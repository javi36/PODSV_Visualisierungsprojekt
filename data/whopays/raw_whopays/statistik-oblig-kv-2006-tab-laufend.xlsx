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backupFile="1" defaultThemeVersion="202300"/>
  <mc:AlternateContent xmlns:mc="http://schemas.openxmlformats.org/markup-compatibility/2006">
    <mc:Choice Requires="x15">
      <x15ac:absPath xmlns:x15ac="http://schemas.microsoft.com/office/spreadsheetml/2010/11/ac" url="/Users/K.Smaili_ZHAW/Desktop/ZHAW/4. Semester/PoDSV_Project Orientated Digital Storytelling and Visualization/PODSV_Visualisierungsprojekt/data/whopays/raw_whopays/"/>
    </mc:Choice>
  </mc:AlternateContent>
  <xr:revisionPtr revIDLastSave="0" documentId="8_{7605176C-6133-0745-B478-76BA82023AC3}" xr6:coauthVersionLast="47" xr6:coauthVersionMax="47" xr10:uidLastSave="{00000000-0000-0000-0000-000000000000}"/>
  <bookViews>
    <workbookView xWindow="0" yWindow="500" windowWidth="38400" windowHeight="20000" tabRatio="601" xr2:uid="{8E6DE088-2645-AA4E-A6E8-54370D9F8AE7}"/>
  </bookViews>
  <sheets>
    <sheet name="Info" sheetId="150" r:id="rId1"/>
    <sheet name="Bd" sheetId="623" r:id="rId2"/>
    <sheet name="B1d" sheetId="624" r:id="rId3"/>
    <sheet name="I1d" sheetId="625" r:id="rId4"/>
    <sheet name="I2d" sheetId="626" r:id="rId5"/>
    <sheet name="I3d" sheetId="627" r:id="rId6"/>
    <sheet name="J1d" sheetId="628" r:id="rId7"/>
    <sheet name="J2d" sheetId="629" r:id="rId8"/>
    <sheet name="T1d" sheetId="504" r:id="rId9"/>
    <sheet name="101d" sheetId="558" r:id="rId10"/>
    <sheet name="102d" sheetId="505" r:id="rId11"/>
    <sheet name="103d" sheetId="506" r:id="rId12"/>
    <sheet name="104d" sheetId="507" r:id="rId13"/>
    <sheet name="105d" sheetId="508" r:id="rId14"/>
    <sheet name="106d" sheetId="509" r:id="rId15"/>
    <sheet name="107d" sheetId="510" r:id="rId16"/>
    <sheet name="108d" sheetId="513" r:id="rId17"/>
    <sheet name="109d" sheetId="514" r:id="rId18"/>
    <sheet name="110d" sheetId="515" r:id="rId19"/>
    <sheet name="111d" sheetId="516" r:id="rId20"/>
    <sheet name="112d" sheetId="524" r:id="rId21"/>
    <sheet name="113d" sheetId="526" r:id="rId22"/>
    <sheet name="T2d" sheetId="482" r:id="rId23"/>
    <sheet name="201d" sheetId="567" r:id="rId24"/>
    <sheet name="202d" sheetId="569" r:id="rId25"/>
    <sheet name="203d" sheetId="568" r:id="rId26"/>
    <sheet name="204d" sheetId="483" r:id="rId27"/>
    <sheet name="205d" sheetId="484" r:id="rId28"/>
    <sheet name="206d" sheetId="485" r:id="rId29"/>
    <sheet name="207d" sheetId="486" r:id="rId30"/>
    <sheet name="208d" sheetId="487" r:id="rId31"/>
    <sheet name="209d" sheetId="488" r:id="rId32"/>
    <sheet name="210d" sheetId="489" r:id="rId33"/>
    <sheet name="211d" sheetId="490" r:id="rId34"/>
    <sheet name="212d" sheetId="491" r:id="rId35"/>
    <sheet name="213d" sheetId="492" r:id="rId36"/>
    <sheet name="214d" sheetId="571" r:id="rId37"/>
    <sheet name="215d" sheetId="575" r:id="rId38"/>
    <sheet name="216d" sheetId="559" r:id="rId39"/>
    <sheet name="217d" sheetId="555" r:id="rId40"/>
    <sheet name="218d" sheetId="579" r:id="rId41"/>
    <sheet name="219d" sheetId="556" r:id="rId42"/>
    <sheet name="220d" sheetId="573" r:id="rId43"/>
    <sheet name="221d" sheetId="574" r:id="rId44"/>
    <sheet name="222d" sheetId="570" r:id="rId45"/>
    <sheet name="223d" sheetId="572" r:id="rId46"/>
    <sheet name="T3d" sheetId="518" r:id="rId47"/>
    <sheet name="301d" sheetId="585" r:id="rId48"/>
    <sheet name="302d" sheetId="582" r:id="rId49"/>
    <sheet name="303d" sheetId="583" r:id="rId50"/>
    <sheet name="304d" sheetId="584" r:id="rId51"/>
    <sheet name="305d" sheetId="601" r:id="rId52"/>
    <sheet name="306d" sheetId="600" r:id="rId53"/>
    <sheet name="307d" sheetId="599" r:id="rId54"/>
    <sheet name="308d" sheetId="581" r:id="rId55"/>
    <sheet name="309d" sheetId="587" r:id="rId56"/>
    <sheet name="310d" sheetId="519" r:id="rId57"/>
    <sheet name="311d" sheetId="586" r:id="rId58"/>
    <sheet name="312d" sheetId="630" r:id="rId59"/>
    <sheet name="T4d" sheetId="498" r:id="rId60"/>
    <sheet name="401d" sheetId="563" r:id="rId61"/>
    <sheet name="402d" sheetId="499" r:id="rId62"/>
    <sheet name="403d" sheetId="500" r:id="rId63"/>
    <sheet name="404d" sheetId="501" r:id="rId64"/>
    <sheet name="405d" sheetId="502" r:id="rId65"/>
    <sheet name="406d" sheetId="503" r:id="rId66"/>
    <sheet name="407d" sheetId="554" r:id="rId67"/>
    <sheet name="408d" sheetId="551" r:id="rId68"/>
    <sheet name="409d" sheetId="552" r:id="rId69"/>
    <sheet name="410d" sheetId="553" r:id="rId70"/>
    <sheet name="411d" sheetId="562" r:id="rId71"/>
    <sheet name="T5d" sheetId="476" r:id="rId72"/>
    <sheet name="501d" sheetId="566" r:id="rId73"/>
    <sheet name="502d" sheetId="561" r:id="rId74"/>
    <sheet name="503d" sheetId="565" r:id="rId75"/>
    <sheet name="504d" sheetId="477" r:id="rId76"/>
    <sheet name="T6d" sheetId="527" r:id="rId77"/>
    <sheet name="601d" sheetId="535" r:id="rId78"/>
    <sheet name="602d" sheetId="534" r:id="rId79"/>
    <sheet name="603d" sheetId="533" r:id="rId80"/>
    <sheet name="604d" sheetId="532" r:id="rId81"/>
    <sheet name="605d" sheetId="531" r:id="rId82"/>
    <sheet name="606d" sheetId="530" r:id="rId83"/>
    <sheet name="T7d" sheetId="528" r:id="rId84"/>
    <sheet name="701d" sheetId="540" r:id="rId85"/>
    <sheet name="702d" sheetId="539" r:id="rId86"/>
    <sheet name="703d" sheetId="538" r:id="rId87"/>
    <sheet name="704d" sheetId="537" r:id="rId88"/>
    <sheet name="705d" sheetId="536" r:id="rId89"/>
    <sheet name="T8d" sheetId="517" r:id="rId90"/>
    <sheet name="801d" sheetId="550" r:id="rId91"/>
    <sheet name="802d" sheetId="549" r:id="rId92"/>
    <sheet name="803d" sheetId="547" r:id="rId93"/>
    <sheet name="804d" sheetId="546" r:id="rId94"/>
    <sheet name="805d" sheetId="542" r:id="rId95"/>
    <sheet name="806d" sheetId="543" r:id="rId96"/>
    <sheet name="807d" sheetId="545" r:id="rId97"/>
    <sheet name="808d" sheetId="544" r:id="rId98"/>
    <sheet name="809d" sheetId="541" r:id="rId99"/>
    <sheet name="810d" sheetId="522" r:id="rId100"/>
    <sheet name="811d" sheetId="521" r:id="rId101"/>
    <sheet name="812d" sheetId="520" r:id="rId102"/>
    <sheet name="T9d" sheetId="529" r:id="rId103"/>
    <sheet name="901d" sheetId="606" r:id="rId104"/>
    <sheet name="902d" sheetId="608" r:id="rId105"/>
    <sheet name="903d" sheetId="607" r:id="rId106"/>
    <sheet name="904d" sheetId="609" r:id="rId107"/>
    <sheet name="905d" sheetId="610" r:id="rId108"/>
    <sheet name="906d" sheetId="620" r:id="rId109"/>
    <sheet name="907d" sheetId="618" r:id="rId110"/>
    <sheet name="908d" sheetId="619" r:id="rId111"/>
    <sheet name="909d" sheetId="611" r:id="rId112"/>
    <sheet name="910d" sheetId="612" r:id="rId113"/>
    <sheet name="911d" sheetId="622" r:id="rId114"/>
    <sheet name="912d" sheetId="604" r:id="rId115"/>
    <sheet name="913d" sheetId="621" r:id="rId116"/>
    <sheet name="914d" sheetId="616" r:id="rId117"/>
    <sheet name="915d" sheetId="615" r:id="rId118"/>
    <sheet name="916d" sheetId="602" r:id="rId119"/>
    <sheet name="917d" sheetId="603" r:id="rId120"/>
    <sheet name="918d" sheetId="605" r:id="rId121"/>
    <sheet name="919d" sheetId="613" r:id="rId122"/>
    <sheet name="920d" sheetId="614" r:id="rId123"/>
    <sheet name="921d" sheetId="578" r:id="rId124"/>
    <sheet name="922d" sheetId="580" r:id="rId125"/>
    <sheet name="T10d" sheetId="494" r:id="rId126"/>
    <sheet name="1001d" sheetId="495" r:id="rId127"/>
    <sheet name="1002d" sheetId="496" r:id="rId128"/>
    <sheet name="1003d" sheetId="497" r:id="rId129"/>
    <sheet name="T11d" sheetId="478" r:id="rId130"/>
    <sheet name="1101d" sheetId="576" r:id="rId131"/>
    <sheet name="1102d" sheetId="589" r:id="rId132"/>
    <sheet name="1103d" sheetId="588" r:id="rId133"/>
    <sheet name="1104d" sheetId="590" r:id="rId134"/>
    <sheet name="1105d" sheetId="512" r:id="rId135"/>
    <sheet name="1106d" sheetId="511" r:id="rId136"/>
    <sheet name="1107d" sheetId="597" r:id="rId137"/>
    <sheet name="1108d" sheetId="595" r:id="rId138"/>
    <sheet name="1109d" sheetId="598" r:id="rId139"/>
    <sheet name="1110d" sheetId="596" r:id="rId140"/>
    <sheet name="1111d" sheetId="591" r:id="rId141"/>
    <sheet name="1112d" sheetId="592" r:id="rId142"/>
    <sheet name="1113d" sheetId="523" r:id="rId143"/>
    <sheet name="1114d" sheetId="479" r:id="rId144"/>
    <sheet name="1115d" sheetId="480" r:id="rId145"/>
    <sheet name="1116d" sheetId="481" r:id="rId146"/>
    <sheet name="1117d" sheetId="577" r:id="rId147"/>
    <sheet name="1118d" sheetId="593" r:id="rId148"/>
    <sheet name="1119d" sheetId="594" r:id="rId149"/>
  </sheets>
  <definedNames>
    <definedName name="_xlnm.Print_Area" localSheetId="126">'1001d'!$A$1:$G$26</definedName>
    <definedName name="_xlnm.Print_Area" localSheetId="127">'1002d'!$A$1:$G$27</definedName>
    <definedName name="_xlnm.Print_Area" localSheetId="128">'1003d'!$A$1:$H$34</definedName>
    <definedName name="_xlnm.Print_Area" localSheetId="9">'101d'!$A$1:$Q$56</definedName>
    <definedName name="_xlnm.Print_Area" localSheetId="10">'102d'!$A$1:$E$39</definedName>
    <definedName name="_xlnm.Print_Area" localSheetId="11">'103d'!$A$1:$E$39</definedName>
    <definedName name="_xlnm.Print_Area" localSheetId="12">'104d'!$A$1:$E$39</definedName>
    <definedName name="_xlnm.Print_Area" localSheetId="13">'105d'!$A$1:$E$39</definedName>
    <definedName name="_xlnm.Print_Area" localSheetId="14">'106d'!$A$1:$E$39</definedName>
    <definedName name="_xlnm.Print_Area" localSheetId="15">'107d'!$A$1:$E$48</definedName>
    <definedName name="_xlnm.Print_Area" localSheetId="16">'108d'!$A$1:$F$23</definedName>
    <definedName name="_xlnm.Print_Area" localSheetId="17">'109d'!$A$1:$F$23</definedName>
    <definedName name="_xlnm.Print_Area" localSheetId="130">'1101d'!$A$1:$G$26</definedName>
    <definedName name="_xlnm.Print_Area" localSheetId="131">'1102d'!$A$1:$G$28</definedName>
    <definedName name="_xlnm.Print_Area" localSheetId="132">'1103d'!$A$1:$F$43</definedName>
    <definedName name="_xlnm.Print_Area" localSheetId="133">'1104d'!$A$1:$G$41</definedName>
    <definedName name="_xlnm.Print_Area" localSheetId="134">'1105d'!$A$1:$G$25</definedName>
    <definedName name="_xlnm.Print_Area" localSheetId="135">'1106d'!$A$1:$G$22</definedName>
    <definedName name="_xlnm.Print_Area" localSheetId="136">'1107d'!$A$1:$J$28</definedName>
    <definedName name="_xlnm.Print_Area" localSheetId="137">'1108d'!$A$1:$J$39</definedName>
    <definedName name="_xlnm.Print_Area" localSheetId="138">'1109d'!$A$1:$K$27</definedName>
    <definedName name="_xlnm.Print_Area" localSheetId="18">'110d'!$A$1:$H$23</definedName>
    <definedName name="_xlnm.Print_Area" localSheetId="139">'1110d'!$A$1:$K$39</definedName>
    <definedName name="_xlnm.Print_Area" localSheetId="140">'1111d'!$A$1:$G$23</definedName>
    <definedName name="_xlnm.Print_Area" localSheetId="141">'1112d'!$A$1:$F$19</definedName>
    <definedName name="_xlnm.Print_Area" localSheetId="142">'1113d'!$A$1:$F$38</definedName>
    <definedName name="_xlnm.Print_Area" localSheetId="143">'1114d'!$A$1:$G$52</definedName>
    <definedName name="_xlnm.Print_Area" localSheetId="144">'1115d'!$A$1:$G$32</definedName>
    <definedName name="_xlnm.Print_Area" localSheetId="145">'1116d'!$A$1:$G$42</definedName>
    <definedName name="_xlnm.Print_Area" localSheetId="146">'1117d'!$A$1:$G$19</definedName>
    <definedName name="_xlnm.Print_Area" localSheetId="147">'1118d'!$A$1:$D$18</definedName>
    <definedName name="_xlnm.Print_Area" localSheetId="148">'1119d'!$A$1:$I$23</definedName>
    <definedName name="_xlnm.Print_Area" localSheetId="19">'111d'!$A$1:$G$23</definedName>
    <definedName name="_xlnm.Print_Area" localSheetId="20">'112d'!$A$1:$G$26</definedName>
    <definedName name="_xlnm.Print_Area" localSheetId="21">'113d'!$A$1:$G$26</definedName>
    <definedName name="_xlnm.Print_Area" localSheetId="23">'201d'!$A$1:$G$23</definedName>
    <definedName name="_xlnm.Print_Area" localSheetId="24">'202d'!$A$1:$G$82</definedName>
    <definedName name="_xlnm.Print_Area" localSheetId="25">'203d'!$A$1:$L$41</definedName>
    <definedName name="_xlnm.Print_Area" localSheetId="26">'204d'!$A$1:$G$42</definedName>
    <definedName name="_xlnm.Print_Area" localSheetId="27">'205d'!$A$1:$G$41</definedName>
    <definedName name="_xlnm.Print_Area" localSheetId="28">'206d'!$A$1:$G$31</definedName>
    <definedName name="_xlnm.Print_Area" localSheetId="29">'207d'!$A$1:$G$42</definedName>
    <definedName name="_xlnm.Print_Area" localSheetId="30">'208d'!$A$1:$G$41</definedName>
    <definedName name="_xlnm.Print_Area" localSheetId="31">'209d'!$A$1:$G$31</definedName>
    <definedName name="_xlnm.Print_Area" localSheetId="32">'210d'!$A$1:$G$41</definedName>
    <definedName name="_xlnm.Print_Area" localSheetId="33">'211d'!$A$1:$G$31</definedName>
    <definedName name="_xlnm.Print_Area" localSheetId="34">'212d'!$A$1:$G$39</definedName>
    <definedName name="_xlnm.Print_Area" localSheetId="35">'213d'!$A$1:$G$41</definedName>
    <definedName name="_xlnm.Print_Area" localSheetId="36">'214d'!$A$1:$G$25</definedName>
    <definedName name="_xlnm.Print_Area" localSheetId="37">'215d'!$A$1:$G$81</definedName>
    <definedName name="_xlnm.Print_Area" localSheetId="38">'216d'!$A$1:$N$49</definedName>
    <definedName name="_xlnm.Print_Area" localSheetId="39">'217d'!$A$1:$H$35</definedName>
    <definedName name="_xlnm.Print_Area" localSheetId="40">'218d'!$A$1:$N$48</definedName>
    <definedName name="_xlnm.Print_Area" localSheetId="41">'219d'!$A$1:$H$35</definedName>
    <definedName name="_xlnm.Print_Area" localSheetId="42">'220d'!$A$1:$G$25</definedName>
    <definedName name="_xlnm.Print_Area" localSheetId="43">'221d'!$A$1:$H$82</definedName>
    <definedName name="_xlnm.Print_Area" localSheetId="44">'222d'!$A$1:$G$17</definedName>
    <definedName name="_xlnm.Print_Area" localSheetId="45">'223d'!$A$1:$H$19</definedName>
    <definedName name="_xlnm.Print_Area" localSheetId="47">'301d'!$A$1:$H$37</definedName>
    <definedName name="_xlnm.Print_Area" localSheetId="48">'302d'!$A$1:$H$45</definedName>
    <definedName name="_xlnm.Print_Area" localSheetId="49">'303d'!$A$1:$G$45</definedName>
    <definedName name="_xlnm.Print_Area" localSheetId="50">'304d'!$A$1:$H$45</definedName>
    <definedName name="_xlnm.Print_Area" localSheetId="51">'305d'!$A$1:$G$42</definedName>
    <definedName name="_xlnm.Print_Area" localSheetId="52">'306d'!$A$1:$G$42</definedName>
    <definedName name="_xlnm.Print_Area" localSheetId="53">'307d'!$A$1:$G$42</definedName>
    <definedName name="_xlnm.Print_Area" localSheetId="54">'308d'!$A$1:$L$40</definedName>
    <definedName name="_xlnm.Print_Area" localSheetId="55">'309d'!$A$2:$G$25</definedName>
    <definedName name="_xlnm.Print_Area" localSheetId="56">'310d'!$A$1:$G$17</definedName>
    <definedName name="_xlnm.Print_Area" localSheetId="57">'311d'!$A$1:$G$19</definedName>
    <definedName name="_xlnm.Print_Area" localSheetId="58">'312d'!$A$1:$J$81</definedName>
    <definedName name="_xlnm.Print_Area" localSheetId="60" xml:space="preserve">  '401d'!$A$1:$H$26</definedName>
    <definedName name="_xlnm.Print_Area" localSheetId="61">'402d'!$A$1:$H$42</definedName>
    <definedName name="_xlnm.Print_Area" localSheetId="62">'403d'!$A$1:$F$35</definedName>
    <definedName name="_xlnm.Print_Area" localSheetId="63">'404d'!$A$1:$I$43</definedName>
    <definedName name="_xlnm.Print_Area" localSheetId="64">'405d'!$A$1:$I$42</definedName>
    <definedName name="_xlnm.Print_Area" localSheetId="65">'406d'!$A$1:$I$42</definedName>
    <definedName name="_xlnm.Print_Area" localSheetId="66">'407d'!$A$1:$I$33</definedName>
    <definedName name="_xlnm.Print_Area" localSheetId="67">'408d'!$A$1:$I$49</definedName>
    <definedName name="_xlnm.Print_Area" localSheetId="68">'409d'!$A$1:$G$47</definedName>
    <definedName name="_xlnm.Print_Area" localSheetId="69">'410d'!$A$1:$H$42</definedName>
    <definedName name="_xlnm.Print_Area" localSheetId="70">'411d'!$A$1:$I$49</definedName>
    <definedName name="_xlnm.Print_Area" localSheetId="72">'501d'!$A$1:$AD$109</definedName>
    <definedName name="_xlnm.Print_Area" localSheetId="73">'502d'!$A$1:$K$90</definedName>
    <definedName name="_xlnm.Print_Area" localSheetId="74">'503d'!$A$1:$I$120</definedName>
    <definedName name="_xlnm.Print_Area" localSheetId="75">'504d'!$A$1:$I$33</definedName>
    <definedName name="_xlnm.Print_Area" localSheetId="77">'601d'!$A$1:$G$26</definedName>
    <definedName name="_xlnm.Print_Area" localSheetId="78">'602d'!$A$1:$G$23</definedName>
    <definedName name="_xlnm.Print_Area" localSheetId="79">'603d'!$A$1:$E$39</definedName>
    <definedName name="_xlnm.Print_Area" localSheetId="80">'604d'!$A$1:$E$37</definedName>
    <definedName name="_xlnm.Print_Area" localSheetId="81">'605d'!$A$1:$E$40</definedName>
    <definedName name="_xlnm.Print_Area" localSheetId="82">'606d'!$A$1:$E$40</definedName>
    <definedName name="_xlnm.Print_Area" localSheetId="84">'701d'!$A$1:$G$29</definedName>
    <definedName name="_xlnm.Print_Area" localSheetId="85">'702d'!$A$2:$F$23</definedName>
    <definedName name="_xlnm.Print_Area" localSheetId="86">'703d'!$A$1:$E$43</definedName>
    <definedName name="_xlnm.Print_Area" localSheetId="87">'704d'!$A$1:$E$37</definedName>
    <definedName name="_xlnm.Print_Area" localSheetId="88">'705d'!$A$1:$E$39</definedName>
    <definedName name="_xlnm.Print_Area" localSheetId="90">'801d'!$A$1:$H$26</definedName>
    <definedName name="_xlnm.Print_Area" localSheetId="91">'802d'!$A$1:$I$23</definedName>
    <definedName name="_xlnm.Print_Area" localSheetId="92">'803d'!$A$1:$H$26</definedName>
    <definedName name="_xlnm.Print_Area" localSheetId="93">'804d'!$A$1:$H$28</definedName>
    <definedName name="_xlnm.Print_Area" localSheetId="94">'805d'!$A$1:$D$48</definedName>
    <definedName name="_xlnm.Print_Area" localSheetId="95">'806d'!$A$1:$D$41</definedName>
    <definedName name="_xlnm.Print_Area" localSheetId="96">'807d'!$A$1:$G$27</definedName>
    <definedName name="_xlnm.Print_Area" localSheetId="97">'808d'!$A$1:$H$25</definedName>
    <definedName name="_xlnm.Print_Area" localSheetId="98">'809d'!$A$1:$D$33</definedName>
    <definedName name="_xlnm.Print_Area" localSheetId="99">'810d'!$A$1:$D$44</definedName>
    <definedName name="_xlnm.Print_Area" localSheetId="100">'811d'!$A$1:$D$31</definedName>
    <definedName name="_xlnm.Print_Area" localSheetId="101" xml:space="preserve">  '812d'!$A$1:$D$27</definedName>
    <definedName name="_xlnm.Print_Area" localSheetId="103">'901d'!$A$1:$G$32</definedName>
    <definedName name="_xlnm.Print_Area" localSheetId="104">'902d'!$A$1:$H$30</definedName>
    <definedName name="_xlnm.Print_Area" localSheetId="105">'903d'!$A$1:$I$31</definedName>
    <definedName name="_xlnm.Print_Area" localSheetId="106">'904d'!$A$1:$H$29</definedName>
    <definedName name="_xlnm.Print_Area" localSheetId="107">'905d'!$A$1:$H$31</definedName>
    <definedName name="_xlnm.Print_Area" localSheetId="108">'906d'!$A$1:$Q$44</definedName>
    <definedName name="_xlnm.Print_Area" localSheetId="109">'907d'!$A$1:$Q$39</definedName>
    <definedName name="_xlnm.Print_Area" localSheetId="110">'908d'!$A$1:$R$108</definedName>
    <definedName name="_xlnm.Print_Area" localSheetId="111">'909d'!$A$1:$K$51</definedName>
    <definedName name="_xlnm.Print_Area" localSheetId="112">'910d'!$A$1:$I$26</definedName>
    <definedName name="_xlnm.Print_Area" localSheetId="113">'911d'!$A$1:$M$38</definedName>
    <definedName name="_xlnm.Print_Area" localSheetId="114">'912d'!$A$1:$I$72</definedName>
    <definedName name="_xlnm.Print_Area" localSheetId="115">'913d'!$A$1:$K$48</definedName>
    <definedName name="_xlnm.Print_Area" localSheetId="116">'914d'!$A$1:$M$40</definedName>
    <definedName name="_xlnm.Print_Area" localSheetId="117">'915d'!$A$1:$G$79</definedName>
    <definedName name="_xlnm.Print_Area" localSheetId="118">'916d'!$A$1:$J$41</definedName>
    <definedName name="_xlnm.Print_Area" localSheetId="119">'917d'!$A$1:$K$36</definedName>
    <definedName name="_xlnm.Print_Area" localSheetId="120">'918d'!$A$1:$J$34</definedName>
    <definedName name="_xlnm.Print_Area" localSheetId="121">'919d'!$A$1:$P$26</definedName>
    <definedName name="_xlnm.Print_Area" localSheetId="122">'920d'!$A$1:$P$43</definedName>
    <definedName name="_xlnm.Print_Area" localSheetId="123">'921d'!$A$1:$G$35</definedName>
    <definedName name="_xlnm.Print_Area" localSheetId="124">'922d'!$A$1:$G$30</definedName>
    <definedName name="_xlnm.Print_Area" localSheetId="2" xml:space="preserve"> B1d!$A$1:$K$185</definedName>
    <definedName name="_xlnm.Print_Area" localSheetId="0" xml:space="preserve">    Info!$A$1:$K$74</definedName>
    <definedName name="_xlnm.Print_Area" localSheetId="6">J1d!$A$1:$K$65</definedName>
    <definedName name="_xlnm.Print_Area" localSheetId="7">J2d!$A$1:$K$71</definedName>
    <definedName name="_xlnm.Print_Titles" localSheetId="72">'501d'!$A:$B,'501d'!$1:$10</definedName>
    <definedName name="_xlnm.Print_Titles" localSheetId="74">'503d'!$A:$A,'503d'!$1:$10</definedName>
    <definedName name="_xlnm.Print_Titles" localSheetId="75">'504d'!$A:$A,'504d'!$1:$7</definedName>
    <definedName name="_xlnm.Print_Titles" localSheetId="109">'907d'!$1:$7</definedName>
    <definedName name="_xlnm.Print_Titles" localSheetId="2">B1d!$5:$5</definedName>
    <definedName name="Z_E58FEA52_E3A2_4787_9824_12DA55A527FE_.wvu.Cols" localSheetId="69" hidden="1">'410d'!$J:$J</definedName>
    <definedName name="Z_E58FEA52_E3A2_4787_9824_12DA55A527FE_.wvu.PrintArea" localSheetId="69" hidden="1">'410d'!$A$1:$E$41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28" l="1"/>
  <c r="H7" i="628"/>
  <c r="D8" i="628"/>
  <c r="E8" i="628"/>
  <c r="F8" i="628"/>
  <c r="G8" i="628"/>
  <c r="H9" i="628"/>
  <c r="H11" i="628"/>
  <c r="B12" i="628"/>
  <c r="H12" i="628"/>
  <c r="D13" i="628"/>
  <c r="E13" i="628"/>
  <c r="F13" i="628"/>
  <c r="G13" i="628"/>
  <c r="B14" i="628"/>
  <c r="H14" i="628"/>
  <c r="H16" i="628"/>
  <c r="B17" i="628"/>
  <c r="H17" i="628"/>
  <c r="D18" i="628"/>
  <c r="E18" i="628"/>
  <c r="F18" i="628"/>
  <c r="G18" i="628"/>
  <c r="B19" i="628"/>
  <c r="H19" i="628"/>
  <c r="H21" i="628"/>
  <c r="B22" i="628"/>
  <c r="H22" i="628"/>
  <c r="D23" i="628"/>
  <c r="E23" i="628"/>
  <c r="F23" i="628"/>
  <c r="G23" i="628"/>
  <c r="B24" i="628"/>
  <c r="H24" i="628"/>
  <c r="H26" i="628"/>
  <c r="B27" i="628"/>
  <c r="H27" i="628"/>
  <c r="D28" i="628"/>
  <c r="E28" i="628"/>
  <c r="F28" i="628"/>
  <c r="G28" i="628"/>
  <c r="B29" i="628"/>
  <c r="H29" i="628"/>
  <c r="H31" i="628"/>
  <c r="B32" i="628"/>
  <c r="H32" i="628"/>
  <c r="D33" i="628"/>
  <c r="E33" i="628"/>
  <c r="F33" i="628"/>
  <c r="G33" i="628"/>
  <c r="B34" i="628"/>
  <c r="H34" i="628"/>
  <c r="H36" i="628"/>
  <c r="B37" i="628"/>
  <c r="H37" i="628"/>
  <c r="F38" i="628"/>
  <c r="G38" i="628"/>
  <c r="B39" i="628"/>
  <c r="H41" i="628"/>
  <c r="B42" i="628"/>
  <c r="H42" i="628"/>
  <c r="D43" i="628"/>
  <c r="E43" i="628"/>
  <c r="F43" i="628"/>
  <c r="G43" i="628"/>
  <c r="B44" i="628"/>
  <c r="H44" i="628"/>
  <c r="H6" i="629"/>
  <c r="H7" i="629"/>
  <c r="E8" i="629"/>
  <c r="F8" i="629"/>
  <c r="G8" i="629"/>
  <c r="H9" i="629"/>
  <c r="H11" i="629"/>
  <c r="B12" i="629"/>
  <c r="H12" i="629"/>
  <c r="E13" i="629"/>
  <c r="F13" i="629"/>
  <c r="G13" i="629"/>
  <c r="B14" i="629"/>
  <c r="H14" i="629"/>
  <c r="H16" i="629"/>
  <c r="B17" i="629"/>
  <c r="H17" i="629"/>
  <c r="E18" i="629"/>
  <c r="F18" i="629"/>
  <c r="G18" i="629"/>
  <c r="B19" i="629"/>
  <c r="H19" i="629"/>
  <c r="H21" i="629"/>
  <c r="B22" i="629"/>
  <c r="H22" i="629"/>
  <c r="E23" i="629"/>
  <c r="F23" i="629"/>
  <c r="G23" i="629"/>
  <c r="B24" i="629"/>
  <c r="H24" i="629"/>
  <c r="H26" i="629"/>
  <c r="B27" i="629"/>
  <c r="H27" i="629"/>
  <c r="E28" i="629"/>
  <c r="F28" i="629"/>
  <c r="G28" i="629"/>
  <c r="B29" i="629"/>
  <c r="H29" i="629"/>
  <c r="H31" i="629"/>
  <c r="B32" i="629"/>
  <c r="H32" i="629"/>
  <c r="E33" i="629"/>
  <c r="F33" i="629"/>
  <c r="G33" i="629"/>
  <c r="B34" i="629"/>
  <c r="H34" i="629"/>
  <c r="H36" i="629"/>
  <c r="B37" i="629"/>
  <c r="H37" i="629"/>
  <c r="E38" i="629"/>
  <c r="F38" i="629"/>
  <c r="G38" i="629"/>
  <c r="B39" i="629"/>
  <c r="H39" i="629"/>
  <c r="H41" i="629"/>
  <c r="B42" i="629"/>
  <c r="H42" i="629"/>
  <c r="E43" i="629"/>
  <c r="F43" i="629"/>
  <c r="G43" i="629"/>
  <c r="B44" i="629"/>
  <c r="H44" i="629"/>
  <c r="H46" i="629"/>
  <c r="B47" i="629"/>
  <c r="H47" i="629"/>
  <c r="F48" i="629"/>
  <c r="G48" i="629"/>
  <c r="B49" i="629"/>
  <c r="H51" i="629"/>
  <c r="B52" i="629"/>
  <c r="H52" i="629"/>
  <c r="E53" i="629"/>
  <c r="F53" i="629"/>
  <c r="G53" i="629"/>
  <c r="B54" i="629"/>
  <c r="H54" i="629"/>
  <c r="H56" i="629"/>
  <c r="B57" i="629"/>
  <c r="H57" i="629"/>
  <c r="E58" i="629"/>
  <c r="F58" i="629"/>
  <c r="G58" i="629"/>
  <c r="B59" i="629"/>
  <c r="H59" i="629"/>
  <c r="D50" i="625"/>
  <c r="I50" i="625"/>
  <c r="D51" i="625"/>
  <c r="I51" i="625"/>
  <c r="D52" i="625"/>
  <c r="I52" i="625"/>
  <c r="D53" i="625"/>
  <c r="I53" i="625"/>
  <c r="D54" i="625"/>
  <c r="I54" i="625"/>
  <c r="D55" i="625"/>
  <c r="I55" i="625"/>
  <c r="D56" i="625"/>
  <c r="I56" i="625"/>
  <c r="D57" i="625"/>
  <c r="I57" i="625"/>
  <c r="D58" i="625"/>
  <c r="I58" i="625"/>
  <c r="D59" i="625"/>
  <c r="I59" i="625"/>
  <c r="I60" i="625"/>
  <c r="I61" i="625"/>
  <c r="I62" i="625"/>
  <c r="I63" i="625"/>
  <c r="D64" i="625"/>
  <c r="I64" i="625"/>
  <c r="D65" i="625"/>
  <c r="I65" i="625"/>
  <c r="D66" i="625"/>
  <c r="I66" i="625"/>
  <c r="D67" i="625"/>
  <c r="I67" i="625"/>
  <c r="D68" i="625"/>
  <c r="I68" i="625"/>
  <c r="D69" i="625"/>
  <c r="I69" i="625"/>
  <c r="D70" i="625"/>
  <c r="I70" i="625"/>
  <c r="D71" i="625"/>
  <c r="I71" i="625"/>
  <c r="D72" i="625"/>
  <c r="I72" i="625"/>
  <c r="D73" i="625"/>
  <c r="I73" i="625"/>
  <c r="D74" i="625"/>
  <c r="I74" i="625"/>
  <c r="D75" i="625"/>
  <c r="I75" i="625"/>
  <c r="D76" i="625"/>
  <c r="I76" i="625"/>
  <c r="D77" i="625"/>
  <c r="D78" i="625"/>
  <c r="D80" i="625"/>
  <c r="D3" i="623"/>
  <c r="I3" i="623" s="1"/>
  <c r="M3" i="623" s="1"/>
  <c r="E3" i="623"/>
  <c r="G3" i="623"/>
  <c r="K3" i="623" s="1"/>
  <c r="A76" i="615"/>
  <c r="S8" i="611"/>
  <c r="V8" i="611"/>
  <c r="S9" i="611"/>
  <c r="V9" i="611"/>
  <c r="S10" i="611"/>
  <c r="V10" i="611"/>
  <c r="S11" i="611"/>
  <c r="V11" i="611"/>
  <c r="S12" i="611"/>
  <c r="V12" i="611"/>
  <c r="S13" i="611"/>
  <c r="V13" i="611"/>
  <c r="S14" i="611"/>
  <c r="V14" i="611"/>
  <c r="S15" i="611"/>
  <c r="V15" i="611"/>
  <c r="S16" i="611"/>
  <c r="V16" i="611"/>
  <c r="S17" i="611"/>
  <c r="V17" i="611"/>
  <c r="S18" i="611"/>
  <c r="V18" i="611"/>
  <c r="S19" i="611"/>
  <c r="V19" i="611"/>
  <c r="S20" i="611"/>
  <c r="V20" i="611"/>
  <c r="S21" i="611"/>
  <c r="V21" i="611"/>
  <c r="S22" i="611"/>
  <c r="V22" i="611"/>
  <c r="S23" i="611"/>
  <c r="V23" i="611"/>
  <c r="S24" i="611"/>
  <c r="V24" i="611"/>
  <c r="S25" i="611"/>
  <c r="V25" i="611"/>
  <c r="S26" i="611"/>
  <c r="V26" i="611"/>
  <c r="S27" i="611"/>
  <c r="V27" i="611"/>
  <c r="S28" i="611"/>
  <c r="V28" i="611"/>
  <c r="S29" i="611"/>
  <c r="V29" i="611"/>
  <c r="S30" i="611"/>
  <c r="V30" i="611"/>
  <c r="S31" i="611"/>
  <c r="V31" i="611"/>
  <c r="S32" i="611"/>
  <c r="V32" i="611"/>
  <c r="S33" i="611"/>
  <c r="V33" i="611"/>
  <c r="N34" i="611"/>
  <c r="V34" i="611" s="1"/>
  <c r="O34" i="611"/>
  <c r="P34" i="611"/>
  <c r="Q34" i="611"/>
  <c r="T34" i="611"/>
  <c r="S34" i="6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Informatik</author>
  </authors>
  <commentList>
    <comment ref="H6" authorId="0" shapeId="0" xr:uid="{DCC87B30-A7A5-3B45-8958-B28948769CAC}">
      <text>
        <r>
          <rPr>
            <b/>
            <sz val="8"/>
            <color indexed="81"/>
            <rFont val="Tahoma"/>
            <family val="2"/>
          </rPr>
          <t>Cap / 22.10.01</t>
        </r>
        <r>
          <rPr>
            <sz val="8"/>
            <color indexed="81"/>
            <rFont val="Tahoma"/>
            <family val="2"/>
          </rPr>
          <t xml:space="preserve">
gemäss Auswertung 1999 vom 22.10.01</t>
        </r>
      </text>
    </comment>
  </commentList>
</comments>
</file>

<file path=xl/sharedStrings.xml><?xml version="1.0" encoding="utf-8"?>
<sst xmlns="http://schemas.openxmlformats.org/spreadsheetml/2006/main" count="8443" uniqueCount="2437">
  <si>
    <t xml:space="preserve"> Frequently Requested Data &gt; Total expenditure on health, % gross domestic product </t>
  </si>
  <si>
    <t xml:space="preserve">Belgien </t>
  </si>
  <si>
    <t>Griechenland</t>
  </si>
  <si>
    <t>Irland</t>
  </si>
  <si>
    <t>Luxemburg</t>
  </si>
  <si>
    <t>Portugal</t>
  </si>
  <si>
    <t>Vereinigtes Königreich</t>
  </si>
  <si>
    <t>Island</t>
  </si>
  <si>
    <t>Datenstand: 1.6.07</t>
  </si>
  <si>
    <t xml:space="preserve">1) EUR-12: Die Euro-Zone umfasst Belgien, Deutschland, Finnland, Frankreich, Griechenland, Irland, Italien, </t>
  </si>
  <si>
    <t xml:space="preserve">    Luxemburg, Niederlande, Österreich, Portugal und Spanien.</t>
  </si>
  <si>
    <t xml:space="preserve">    EU-15: EUR-12 plus Dänemark, Schweden und das Vereinigte Königreich.</t>
  </si>
  <si>
    <t>2) Der Sozialschutz umfasst alle Maßnahmen öffentlicher oder privater Stellen, die darauf abzielen, Haushalte</t>
  </si>
  <si>
    <t xml:space="preserve">    oder Einzelne vor bestimmten festgelegten Risiken zu schützen.</t>
  </si>
  <si>
    <t xml:space="preserve">3) Für die Definition der für die Schweiz ausgewiesenen Leistungen siehe </t>
  </si>
  <si>
    <t>Gesamtrechnung der Sozialen Sichereit: Methoden und Konzepte, BFS, Neuenburg, 2002.</t>
  </si>
  <si>
    <t>Hier ist zu beachten, dass die Kostenbeteiligung der Versicherten (in der Schweiz im Rahmen des KVG obligatorisch)</t>
  </si>
  <si>
    <t>und die Prämienverbilligung in den Zahlen nicht berücksichtigt sind.</t>
  </si>
  <si>
    <t xml:space="preserve">Werte in der Schweiz in 2001 : </t>
  </si>
  <si>
    <t>Kostenbeteiligung der Versicherten = 0,57% des BIP ; Prämienverbilligung = 0,63% des BIP.</t>
  </si>
  <si>
    <t>Quelle: Eurostat, European social statistics - Data 2007 : epp.eurostat.cec.eu.int</t>
  </si>
  <si>
    <t>Topics &gt;  Database &gt; Browse &gt; Population and social conditions &gt; Living conditions and welfare  &gt; Social protection &gt; Social protection expenditure  &gt;</t>
  </si>
  <si>
    <t xml:space="preserve"> Expenditure - Tables by benefits and currency, by function  &gt; Tables by benefits and currency - sickness/health care function</t>
  </si>
  <si>
    <r>
      <t xml:space="preserve">T 9.20  Sozialschutzleistungen für die Gesundheitsversorgung 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: Internationaler Vergleich in % des BIP ab 1996</t>
    </r>
  </si>
  <si>
    <r>
      <t xml:space="preserve">UE-15 </t>
    </r>
    <r>
      <rPr>
        <vertAlign val="superscript"/>
        <sz val="11"/>
        <rFont val="Arial"/>
        <family val="2"/>
      </rPr>
      <t>1</t>
    </r>
  </si>
  <si>
    <r>
      <t xml:space="preserve">EUR-12 </t>
    </r>
    <r>
      <rPr>
        <vertAlign val="superscript"/>
        <sz val="11"/>
        <rFont val="Arial"/>
        <family val="2"/>
      </rPr>
      <t>1</t>
    </r>
  </si>
  <si>
    <r>
      <t>Schweiz</t>
    </r>
    <r>
      <rPr>
        <b/>
        <vertAlign val="superscript"/>
        <sz val="11"/>
        <rFont val="Arial"/>
        <family val="2"/>
      </rPr>
      <t xml:space="preserve"> 3</t>
    </r>
  </si>
  <si>
    <t>Versichertenbestand nach Alter und Geschlecht per 31.12.</t>
  </si>
  <si>
    <t>Versichertenbestand per 31.12 nach Versicherungsform ab 1996</t>
  </si>
  <si>
    <t>Versichertenbestand nach Versicherungsform per 31.12.</t>
  </si>
  <si>
    <t>Verteilung der Versicherungsformen in % - Versicherte ab 19 Jahren seit 1996</t>
  </si>
  <si>
    <t>Verteilung der Versicherungsformen in % nach Kanton - Versicherte ab 19 Jahren</t>
  </si>
  <si>
    <t>Verteilung der Versicherungsformen in % - Versicherte 0-18 Jahre seit 1996</t>
  </si>
  <si>
    <t xml:space="preserve">Verteilung der Versicherungsformen in % nach Kanton - Versicherte 0-18 Jahre </t>
  </si>
  <si>
    <t>Aufteilung der Versicherten (Kinder und Erwachsene) nach Versicherungsform ab 1996</t>
  </si>
  <si>
    <t>Versichertenbestand nach Geschlecht am 1.1.</t>
  </si>
  <si>
    <t>Durchschnittlicher Versichertenbestand nach Kantonen und Altersgruppen</t>
  </si>
  <si>
    <t>Durchschnittlicher Versichertenbestand nach Altersgruppen und Geschlecht</t>
  </si>
  <si>
    <t xml:space="preserve">Durchschnittlicher Versichertenbestand nach Kantonen </t>
  </si>
  <si>
    <t>Versicherteneintritte / Versicherungswechsler KVG nach Geschlecht</t>
  </si>
  <si>
    <t>Zahlungsausstände für OKP-Prämien</t>
  </si>
  <si>
    <t>Kanton</t>
  </si>
  <si>
    <t>Kinder</t>
  </si>
  <si>
    <t>Junge</t>
  </si>
  <si>
    <t>Erwachsene</t>
  </si>
  <si>
    <t>Veränd.</t>
  </si>
  <si>
    <t>gegenüb.</t>
  </si>
  <si>
    <t>(0-18 Jahre)</t>
  </si>
  <si>
    <t>(19-25 Jahre)</t>
  </si>
  <si>
    <t>(26 J. und älter)</t>
  </si>
  <si>
    <t>Vorjahr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</si>
  <si>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</si>
  <si>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</si>
  <si>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</si>
  <si>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</si>
  <si>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</si>
  <si>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</si>
  <si>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</si>
  <si>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</si>
  <si>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</si>
  <si>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</si>
  <si>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</si>
  <si>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</si>
  <si>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</si>
  <si>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</si>
  <si>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</si>
  <si>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</si>
  <si>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</si>
  <si>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</si>
  <si>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</si>
  <si>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</si>
  <si>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</si>
  <si>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</si>
  <si>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</si>
  <si>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</si>
  <si>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</si>
  <si>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</si>
  <si>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Quelle: Statistik des Risikoausgleiches - Gemeinsame Einrichtung KVG</t>
  </si>
  <si>
    <t>1) Durchschnittlicher Versichertenbestand = Anzahl Versicherungsmonate dividiert durch 12.</t>
  </si>
  <si>
    <t xml:space="preserve">2) Mit dem In-Kraft-Treten des Personenfreizügigkeitsabkommens mit den EG-Staaten bzw. dem revidierten </t>
  </si>
  <si>
    <t xml:space="preserve">EFTA-Abkommen per 1. Juni 2002 wurde die Versicherungspflicht auf einzelne Personengruppen ausgedehnt, </t>
  </si>
  <si>
    <t>welche Wohnsitz in einem EG-Staat bzw. in Island oder Norwegen haben:</t>
  </si>
  <si>
    <t xml:space="preserve">- Im Risikoausgleich zu berücksichtigen sind: </t>
  </si>
  <si>
    <t>Versicherte mit Arbeitsort in der Schweiz (Grenzgänger) sowie ihre nicht erwerbstätigen Familienangehörigen.</t>
  </si>
  <si>
    <t>- Im Risikoausgleich nicht zu berücksichtigen sind:</t>
  </si>
  <si>
    <t>Empfänger einer schweizerischen Rente und ihre nicht erwerbstätigen Familienangehörigen;</t>
  </si>
  <si>
    <t>Empfänger einer Leistung der schweizerischen Arbeitslosenversicherung und ihre nicht erwerbstätigen Familienangehörigen.</t>
  </si>
  <si>
    <t>Nicht erwerbstätige Familienangehörige von in der Schweiz erwerbstätigen und wohnenden Personen.</t>
  </si>
  <si>
    <t xml:space="preserve">Aufgrund unterschiedlicher Definitionen kommt es zu Differenzen beim Versichertenbestand und bei den Kosten  </t>
  </si>
  <si>
    <t>und denselben Angaben im Formular EF 123 der Versicherer (siehe Definition Versicherte in Tabelle 11.02, Fussnote 2).</t>
  </si>
  <si>
    <r>
      <t xml:space="preserve">T 11.14  Durchschnittlicher Versichertenbestand </t>
    </r>
    <r>
      <rPr>
        <b/>
        <vertAlign val="superscript"/>
        <sz val="12"/>
        <rFont val="Arial"/>
        <family val="2"/>
      </rPr>
      <t>1, 2</t>
    </r>
    <r>
      <rPr>
        <b/>
        <sz val="12"/>
        <rFont val="Arial"/>
        <family val="2"/>
      </rPr>
      <t xml:space="preserve">  nach Kantonen und Altergruppen</t>
    </r>
  </si>
  <si>
    <t>16.7.07: 11.14,11.15,11.16</t>
  </si>
  <si>
    <t>Altersgruppen</t>
  </si>
  <si>
    <t>Männlich</t>
  </si>
  <si>
    <t>in %</t>
  </si>
  <si>
    <t>Weiblich</t>
  </si>
  <si>
    <t>des Totals</t>
  </si>
  <si>
    <t>0 - 18</t>
  </si>
  <si>
    <t>19 - 25</t>
  </si>
  <si>
    <t>26 - 30</t>
  </si>
  <si>
    <t>31 - 35</t>
  </si>
  <si>
    <t>36 - 40</t>
  </si>
  <si>
    <t>41 - 45</t>
  </si>
  <si>
    <t>46 - 50</t>
  </si>
  <si>
    <t>51 - 55</t>
  </si>
  <si>
    <t>56 - 60</t>
  </si>
  <si>
    <t>61 - 65</t>
  </si>
  <si>
    <t>66 - 70</t>
  </si>
  <si>
    <t>71 - 75</t>
  </si>
  <si>
    <t>76 - 80</t>
  </si>
  <si>
    <t>81 - 85</t>
  </si>
  <si>
    <t>86 - 90</t>
  </si>
  <si>
    <t>&gt; 90</t>
  </si>
  <si>
    <t>2) Vgl. Fussnote 2) von Tabelle 11.14.</t>
  </si>
  <si>
    <r>
      <t xml:space="preserve">T 11.15 Durchschnittlicher Versichertenbestand </t>
    </r>
    <r>
      <rPr>
        <b/>
        <vertAlign val="superscript"/>
        <sz val="12"/>
        <rFont val="Arial"/>
        <family val="2"/>
      </rPr>
      <t>1, 2</t>
    </r>
    <r>
      <rPr>
        <b/>
        <sz val="12"/>
        <rFont val="Arial"/>
        <family val="2"/>
      </rPr>
      <t xml:space="preserve">  nach Altersgruppen und Geschlecht</t>
    </r>
  </si>
  <si>
    <t>Männer</t>
  </si>
  <si>
    <t>Frauen</t>
  </si>
  <si>
    <t>Erwach-</t>
  </si>
  <si>
    <t>Kinder und</t>
  </si>
  <si>
    <t>sene</t>
  </si>
  <si>
    <r>
      <t xml:space="preserve">T 11.16  Durchschnittlicher Versichertenbestand </t>
    </r>
    <r>
      <rPr>
        <b/>
        <vertAlign val="superscript"/>
        <sz val="12"/>
        <rFont val="Arial"/>
        <family val="2"/>
      </rPr>
      <t>1, 2</t>
    </r>
    <r>
      <rPr>
        <b/>
        <sz val="12"/>
        <rFont val="Arial"/>
        <family val="2"/>
      </rPr>
      <t xml:space="preserve">  nach Kantonen</t>
    </r>
  </si>
  <si>
    <t>Datenstand : 3.7.07</t>
  </si>
  <si>
    <t>2: Leistungen und Kostenbeteiligung in der OKP</t>
  </si>
  <si>
    <t>1) Ab 2006, vgl. Fussnote 1) von Tabelle 11.06.</t>
  </si>
  <si>
    <r>
      <t xml:space="preserve">T 11.05 Versichertenbestand per 31.12. nach Versicherungsform </t>
    </r>
    <r>
      <rPr>
        <b/>
        <vertAlign val="superscript"/>
        <sz val="12"/>
        <color indexed="10"/>
        <rFont val="Arial"/>
        <family val="2"/>
      </rPr>
      <t>1</t>
    </r>
    <r>
      <rPr>
        <b/>
        <sz val="12"/>
        <rFont val="Arial"/>
        <family val="2"/>
      </rPr>
      <t xml:space="preserve"> ab 1996</t>
    </r>
  </si>
  <si>
    <r>
      <t xml:space="preserve">T 11.06  Versichertenbestand nach Versicherungsform </t>
    </r>
    <r>
      <rPr>
        <b/>
        <vertAlign val="superscript"/>
        <sz val="12"/>
        <color indexed="10"/>
        <rFont val="Arial"/>
        <family val="2"/>
      </rPr>
      <t>1</t>
    </r>
    <r>
      <rPr>
        <b/>
        <sz val="12"/>
        <rFont val="Arial"/>
        <family val="2"/>
      </rPr>
      <t xml:space="preserve"> per 31.12.</t>
    </r>
  </si>
  <si>
    <t>1) Für die Zuteilung der Versicherten zu den Versicherungsformen ist die Versicherungsform (Hausarztmodell, HMO…)</t>
  </si>
  <si>
    <t xml:space="preserve">bei der Kategorie „Eingeschränkte Wahl des Leistungserbringers“ massgebend für die Zuteilung zur Kategorie, auch wenn </t>
  </si>
  <si>
    <t>die Versicherung in Kombination mit einer ordentlichen/wählbaren Franchise abgeschlossen wurde.</t>
  </si>
  <si>
    <t>– Nicht rückzuerstattende Abgabeerträge VOC und HEL</t>
  </si>
  <si>
    <t>– Übriger neutraler Aufwand und Ertrag</t>
  </si>
  <si>
    <t>Einkommens-, Vermögens-, Ertrags- und Kapitalsteuer VVG</t>
  </si>
  <si>
    <t>Total neutraler Aufwand/Ertrag</t>
  </si>
  <si>
    <t>6 / 7</t>
  </si>
  <si>
    <t>Total des Gesamtertrages</t>
  </si>
  <si>
    <t>800 – 801</t>
  </si>
  <si>
    <t>Rückschlag Gesamtbetriebsrechnung</t>
  </si>
  <si>
    <t>Gesamt-Total</t>
  </si>
  <si>
    <t>1) Mit Versicherten, die dem Versicherungsobligatorium unterstehen und in einem EU- oder EFTA-Staat Wohnsitz haben (EWG);</t>
  </si>
  <si>
    <t>[T 1.02 + T 1.07].</t>
  </si>
  <si>
    <t xml:space="preserve">2) Jene Zusatzversicherungen VVG, welche auch unternehmensrechtlich vom KVG-Bereich eines Versicherers abgetrennt werden, </t>
  </si>
  <si>
    <t>entziehen sich der Sicht der BSV-Krankenversicherungsstatistik.</t>
  </si>
  <si>
    <t>Quelle: Formular EF1 [8,9]</t>
  </si>
  <si>
    <r>
      <t xml:space="preserve">Obligatorische Krankenpflegeversicherung KVG </t>
    </r>
    <r>
      <rPr>
        <vertAlign val="superscript"/>
        <sz val="11"/>
        <rFont val="Arial"/>
        <family val="2"/>
      </rPr>
      <t>1</t>
    </r>
  </si>
  <si>
    <r>
      <t xml:space="preserve">Zusatzversicherungen VVG, inkl. Taggeld VVG </t>
    </r>
    <r>
      <rPr>
        <vertAlign val="superscript"/>
        <sz val="11"/>
        <rFont val="Arial"/>
        <family val="2"/>
      </rPr>
      <t>2</t>
    </r>
  </si>
  <si>
    <t xml:space="preserve">T 8.06  Gesamtbetriebsrechnung: Aufwand der Versicherer </t>
  </si>
  <si>
    <t>Kostenbeteiligung der Versicherten</t>
  </si>
  <si>
    <t>30 – 33</t>
  </si>
  <si>
    <t>Veränderung der Rückstellungen für unerledigte Versicherungsfälle / versicherungstechnische Rückstellungen</t>
  </si>
  <si>
    <t>30 – 35</t>
  </si>
  <si>
    <t>Leistungsanteile der Rückversicherer</t>
  </si>
  <si>
    <t>– Personalaufwand inkl. Sozialleistungen</t>
  </si>
  <si>
    <t>05.12.07: 5.01, 11.05, 11.06</t>
  </si>
  <si>
    <r>
      <t xml:space="preserve">1) Bruttokosten = Leistungen (brutto) der Versicherer in der OKP </t>
    </r>
    <r>
      <rPr>
        <b/>
        <sz val="10"/>
        <rFont val="Arial"/>
        <family val="2"/>
      </rPr>
      <t>mit</t>
    </r>
    <r>
      <rPr>
        <sz val="10"/>
        <rFont val="Arial"/>
        <family val="2"/>
      </rPr>
      <t xml:space="preserve"> Kostenbeteiligung durch die Versicherten;</t>
    </r>
  </si>
  <si>
    <t>Quelle: T 2.04 / T 11.16</t>
  </si>
  <si>
    <r>
      <t xml:space="preserve">T 2.05  Bruttokosten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 Fr. pro Versicherten pro Versicherungsmonat nach Kantonen</t>
    </r>
  </si>
  <si>
    <r>
      <t xml:space="preserve">1) Bruttokosten = Leistungen (brutto) der Versicherer in der OKP </t>
    </r>
    <r>
      <rPr>
        <b/>
        <sz val="10"/>
        <rFont val="Arial"/>
        <family val="2"/>
      </rPr>
      <t>mit</t>
    </r>
    <r>
      <rPr>
        <sz val="10"/>
        <rFont val="Arial"/>
        <family val="2"/>
      </rPr>
      <t xml:space="preserve"> Kostenbeteiligung durch die Versicherten.</t>
    </r>
  </si>
  <si>
    <r>
      <t xml:space="preserve">T 2.06  Bruttokosten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Versicherungsmonat nach Altersgruppen und Geschlecht</t>
    </r>
  </si>
  <si>
    <t xml:space="preserve">  (vgl. hierzu auch Tabelle 2.20).</t>
  </si>
  <si>
    <r>
      <t xml:space="preserve">T 2.07  Effektive Kosten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 Fr. nach Kantonen </t>
    </r>
  </si>
  <si>
    <t>T 2.16  Leistungen (brutto) in Mio. Franken nach Kostengruppen ab 1996</t>
  </si>
  <si>
    <t>Ambulante</t>
  </si>
  <si>
    <t>Arzt</t>
  </si>
  <si>
    <t>Spital</t>
  </si>
  <si>
    <t>Medikamente</t>
  </si>
  <si>
    <t>Mittel und</t>
  </si>
  <si>
    <t>Betriebsbeiträge</t>
  </si>
  <si>
    <t>Komplementär-</t>
  </si>
  <si>
    <t>(ambulant)</t>
  </si>
  <si>
    <t>(Arzt)</t>
  </si>
  <si>
    <t>(Apotheke)</t>
  </si>
  <si>
    <t>Gegenstände</t>
  </si>
  <si>
    <t>an HMO's</t>
  </si>
  <si>
    <t>medizin</t>
  </si>
  <si>
    <t>Jahresdurch-schnittliche Veränderung 1998-2006</t>
  </si>
  <si>
    <t>«Intra-muros»</t>
  </si>
  <si>
    <t xml:space="preserve">Spital </t>
  </si>
  <si>
    <t>Pflegeheim</t>
  </si>
  <si>
    <t>(stationär)</t>
  </si>
  <si>
    <t>1) Als «Intra-muros» Behandlung gelten die Kategorien "Spital stationär", "Pflegeheime" und "übrige Leistungen stationär";</t>
  </si>
  <si>
    <t xml:space="preserve"> als ambulante Kosten gelten alle übrigen Kategorien.</t>
  </si>
  <si>
    <t>2) Werte 1996 - 1997 teilweise geschätzt, Werte 1999 mit Datenstand Oktober 2001 revidiert.</t>
  </si>
  <si>
    <t>Quelle : T 2.17</t>
  </si>
  <si>
    <r>
      <t xml:space="preserve">Jahr </t>
    </r>
    <r>
      <rPr>
        <vertAlign val="superscript"/>
        <sz val="11"/>
        <rFont val="Arial"/>
        <family val="2"/>
      </rPr>
      <t>2</t>
    </r>
  </si>
  <si>
    <r>
      <t xml:space="preserve">Behandlung </t>
    </r>
    <r>
      <rPr>
        <b/>
        <vertAlign val="superscript"/>
        <sz val="11"/>
        <rFont val="Arial"/>
        <family val="2"/>
      </rPr>
      <t>1</t>
    </r>
  </si>
  <si>
    <t>Behandlung</t>
  </si>
  <si>
    <t>7.9.07: 5.01</t>
  </si>
  <si>
    <t>Jahresdurch-schnittliche Veränderung 1998-2005</t>
  </si>
  <si>
    <t>1) Vgl. Fussnoten 1) , 2) und 3) von Tabelle 2.16.</t>
  </si>
  <si>
    <t>Quelle: T 2.16 / 11.01</t>
  </si>
  <si>
    <t>Name des Versicherers eventuell gekürzt</t>
  </si>
  <si>
    <t>3A + 3B) Prämien (in Mio. Fr., je versicherte Person in Fr.)</t>
  </si>
  <si>
    <t>4A + 4B + 4C) Risikoausgleich (in Mio. Fr., je versicherte Person in Fr., und in % der Einnahmen)</t>
  </si>
  <si>
    <t>5A + 5B) Leistungen (netto) der Versicherer (in Mio. Fr. und je versicherte Person in Fr.)</t>
  </si>
  <si>
    <t>Nettoleistungen = Bezahlte Leistungen der Versicherer an die Leistungserbringer (Ärzte, Spitäler, Apotheken, usw.)</t>
  </si>
  <si>
    <t>6A + 6B) Verwaltungsaufwand &amp; Abschreibungen (in % der Ausgaben und je versicherte Person in Fr.)</t>
  </si>
  <si>
    <t>7) Gesamtergebnis (je versicherte Person in Fr.)</t>
  </si>
  <si>
    <t>8A + 8B) Rückstellungen (in Mio. Fr. und je versicherte Person in Fr.)</t>
  </si>
  <si>
    <t>9A + 9B + 9C) Reserven (in Mio. Fr., je versicherte Person in Fr., in % des Prämiensolls)</t>
  </si>
  <si>
    <t>12A + 12B) Leistungen (brutto) der Versicherer (in Mio. Fr. und je versicherte Person in Fr.)</t>
  </si>
  <si>
    <t>Bruttoleistungen = Leistungen der Versicherer an die Leistungserbringer (Ärzte, Spitäler, Apotheken, usw.)</t>
  </si>
  <si>
    <t>13A + 13B) Kostenbeteiligung der Versicherten (in Mio. Fr. und je versicherte Person in Fr.)</t>
  </si>
  <si>
    <t>15) Verhältnis Nettoleistungen / Prämien in %</t>
  </si>
  <si>
    <r>
      <t xml:space="preserve">1) Effektive Kosten = (bezahlte) Leistungen der Versicherer in der OKP </t>
    </r>
    <r>
      <rPr>
        <b/>
        <sz val="10"/>
        <rFont val="Arial"/>
        <family val="2"/>
      </rPr>
      <t>ohne</t>
    </r>
    <r>
      <rPr>
        <sz val="10"/>
        <rFont val="Arial"/>
        <family val="2"/>
      </rPr>
      <t xml:space="preserve"> Kostenbeteiligung durch die Versicherten;</t>
    </r>
  </si>
  <si>
    <t>Quelle: T 2.07 / T 11.16</t>
  </si>
  <si>
    <t>Mittlere</t>
  </si>
  <si>
    <t>Index der</t>
  </si>
  <si>
    <t>Wohnbe-</t>
  </si>
  <si>
    <t>Finanz-</t>
  </si>
  <si>
    <t>Bundes-</t>
  </si>
  <si>
    <t>Kantons-</t>
  </si>
  <si>
    <t>kraft</t>
  </si>
  <si>
    <t>beiträge</t>
  </si>
  <si>
    <t>Beiträge</t>
  </si>
  <si>
    <t>in % der</t>
  </si>
  <si>
    <t>in Fr. :</t>
  </si>
  <si>
    <t>Quelle: EFV - Bundes- und Kantonsbeiträge : Verteilungsmodell für das Jahr 2006.</t>
  </si>
  <si>
    <t>1) vgl. Art. 66 Abs. 3 KVG: "Der Bundesrat setzt die Anteile der einzelnen Kantone am Bundesbeitrag nach deren Wohnbevöl-</t>
  </si>
  <si>
    <t>kerung und deren Finanzkraft fest. Er kann die durchschnittlichen Prämien der obligatorischen Krankenpflegeversicherung in</t>
  </si>
  <si>
    <t>den einzelnen Kantonen berücksichtigen".</t>
  </si>
  <si>
    <t>2) inklusive versicherte Grenzgänger und deren Familienangehörige.</t>
  </si>
  <si>
    <t>3) Prämien-Index ist seit 2002 nicht mehr berücksichtigt.</t>
  </si>
  <si>
    <t>4)  Relativer Anteil des Kantonsbeitrages am Bundesbeitrag (vgl. Fussnote 1).</t>
  </si>
  <si>
    <t>5) Maximaler Subventionsbetrag von Bund und Kantonen gemäss KVG-Verteilmodell (vgl. Art. 106 KVG).</t>
  </si>
  <si>
    <r>
      <t xml:space="preserve">T 4.08 KVG-Verteilmodell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: Berechnungsbasis sowie Bundes- und Kantonsbeiträge </t>
    </r>
  </si>
  <si>
    <r>
      <t xml:space="preserve">index KV </t>
    </r>
    <r>
      <rPr>
        <vertAlign val="superscript"/>
        <sz val="11"/>
        <rFont val="Arial"/>
        <family val="2"/>
      </rPr>
      <t>3</t>
    </r>
  </si>
  <si>
    <r>
      <t xml:space="preserve">völkerung </t>
    </r>
    <r>
      <rPr>
        <vertAlign val="superscript"/>
        <sz val="11"/>
        <rFont val="Arial"/>
        <family val="2"/>
      </rPr>
      <t>2</t>
    </r>
  </si>
  <si>
    <r>
      <t xml:space="preserve">Ziel </t>
    </r>
    <r>
      <rPr>
        <b/>
        <vertAlign val="superscript"/>
        <sz val="11"/>
        <rFont val="Arial"/>
        <family val="2"/>
      </rPr>
      <t>5</t>
    </r>
  </si>
  <si>
    <r>
      <t xml:space="preserve">beiträge </t>
    </r>
    <r>
      <rPr>
        <vertAlign val="superscript"/>
        <sz val="11"/>
        <rFont val="Arial"/>
        <family val="2"/>
      </rPr>
      <t>4</t>
    </r>
  </si>
  <si>
    <t xml:space="preserve">T 4.09 Reduktionsfaktor und Subventionen nach Reduktion nach Kantonen </t>
  </si>
  <si>
    <t>Reduk-</t>
  </si>
  <si>
    <t>Subventions-</t>
  </si>
  <si>
    <t>In %</t>
  </si>
  <si>
    <t>tions-</t>
  </si>
  <si>
    <t>beitrag</t>
  </si>
  <si>
    <t>Budget</t>
  </si>
  <si>
    <t>nach Re-</t>
  </si>
  <si>
    <t>Beitrag</t>
  </si>
  <si>
    <t xml:space="preserve">duktion </t>
  </si>
  <si>
    <t>vor Re-</t>
  </si>
  <si>
    <t>Quelle : EFV - Bundes- und Kantonsbeiträge nach Reduktion durch die Kantone für das Jahr 2006.</t>
  </si>
  <si>
    <t>1) Vgl. Art. 66 Abs. 5 KVG: "Der Kanton darf den (...) von ihm zu übernehmenden Betrag um maximal 50 Prozent kürzen, wenn</t>
  </si>
  <si>
    <t xml:space="preserve">  die Prämienverbilligung für Versicherte in bescheidenen wirtschaftlichen Verhältnissen trotzdem sichergestellt ist. </t>
  </si>
  <si>
    <t xml:space="preserve">  Der Beitrag des Bundes an diesen Kanton wird im gleichen Verhältnis gekürzt".  Wert gerundet.</t>
  </si>
  <si>
    <t>2) Budget. Wert in einigen Kantonen gerundet.</t>
  </si>
  <si>
    <t>3) Benutzter Kantonsbeitrag in Prozent des maximalen Gesamtbeitrages.</t>
  </si>
  <si>
    <t>4) Der Reduktionsfaktor bezieht sich auf das Total der Prämienverbilligung.</t>
  </si>
  <si>
    <r>
      <t xml:space="preserve">faktor </t>
    </r>
    <r>
      <rPr>
        <vertAlign val="superscript"/>
        <sz val="11"/>
        <rFont val="Arial"/>
        <family val="2"/>
      </rPr>
      <t>1</t>
    </r>
  </si>
  <si>
    <r>
      <t xml:space="preserve">in Fr. </t>
    </r>
    <r>
      <rPr>
        <vertAlign val="superscript"/>
        <sz val="11"/>
        <rFont val="Arial"/>
        <family val="2"/>
      </rPr>
      <t>2</t>
    </r>
  </si>
  <si>
    <r>
      <t xml:space="preserve">in Fr. </t>
    </r>
    <r>
      <rPr>
        <b/>
        <vertAlign val="superscript"/>
        <sz val="11"/>
        <rFont val="Arial"/>
        <family val="2"/>
      </rPr>
      <t>2</t>
    </r>
  </si>
  <si>
    <r>
      <t xml:space="preserve">duktion </t>
    </r>
    <r>
      <rPr>
        <vertAlign val="superscript"/>
        <sz val="11"/>
        <rFont val="Arial"/>
        <family val="2"/>
      </rPr>
      <t>3</t>
    </r>
  </si>
  <si>
    <r>
      <t xml:space="preserve">CH </t>
    </r>
    <r>
      <rPr>
        <b/>
        <vertAlign val="superscript"/>
        <sz val="11"/>
        <rFont val="Arial"/>
        <family val="2"/>
      </rPr>
      <t>4</t>
    </r>
  </si>
  <si>
    <t>T 4.10 Ausgerichtete Leistungen nach Kantonen</t>
  </si>
  <si>
    <t>nach KVG</t>
  </si>
  <si>
    <t>Leistungen *</t>
  </si>
  <si>
    <t>der Kantone</t>
  </si>
  <si>
    <t>pro Haushalt</t>
  </si>
  <si>
    <t>pro Bezüger</t>
  </si>
  <si>
    <t>und früher</t>
  </si>
  <si>
    <t>Quelle: Formular PV1 &amp; T 4.02 &amp; T 4.04</t>
  </si>
  <si>
    <t>"Nicht-mehr-Berücksichtigung" von Pflegeheimtagen durch grosse Versicherer zurückzuführen und darf somit nicht als echte</t>
  </si>
  <si>
    <t>Abnahme der Spitaltage im Spital stationär fehlinterpretiert werden.</t>
  </si>
  <si>
    <t>Quelle: T 9.21</t>
  </si>
  <si>
    <r>
      <t xml:space="preserve">Erkrankte </t>
    </r>
    <r>
      <rPr>
        <vertAlign val="superscript"/>
        <sz val="11"/>
        <rFont val="Arial"/>
        <family val="2"/>
      </rPr>
      <t>1</t>
    </r>
  </si>
  <si>
    <r>
      <t>Spitaltage</t>
    </r>
    <r>
      <rPr>
        <vertAlign val="superscript"/>
        <sz val="11"/>
        <rFont val="Arial"/>
        <family val="2"/>
      </rPr>
      <t xml:space="preserve"> 2</t>
    </r>
  </si>
  <si>
    <r>
      <t xml:space="preserve">sungen </t>
    </r>
    <r>
      <rPr>
        <vertAlign val="superscript"/>
        <sz val="11"/>
        <rFont val="Arial"/>
        <family val="2"/>
      </rPr>
      <t>2</t>
    </r>
  </si>
  <si>
    <t>Sicherheits- und Schwankungsreserven = Mittel, die dem Versicherer zur Sicherstellung der langfristigen eigenen Zahlungsfähigkeit dienen.</t>
  </si>
  <si>
    <t>Je nach Grösse des Versicherers müssen folgende Mindestsätze (Reserven in % des jährlichen Prämiensolls) erreicht werden (Art. 78 KVV):</t>
  </si>
  <si>
    <t>Versicherte</t>
  </si>
  <si>
    <t>≤  50’000</t>
  </si>
  <si>
    <t>≤  150’000</t>
  </si>
  <si>
    <t>≤  250’000</t>
  </si>
  <si>
    <t>&gt; 250’000</t>
  </si>
  <si>
    <t>2004 -&gt; 2006</t>
  </si>
  <si>
    <t>20% *</t>
  </si>
  <si>
    <t>*) Versicherer mit weniger als 50 000 Versicherten sind verpflichtet, eine Rückversicherung abzuschliessen.</t>
  </si>
  <si>
    <t>10) VVG Zusatzversicherungen : Prämien (in Mio. Fr.)</t>
  </si>
  <si>
    <t>KVG-Versicherer, welche eigene VVG-Zusatzversicherungen anbieten.</t>
  </si>
  <si>
    <t>11A + 11B + 11C) Gesetzlich vorgeschriebene Reserve</t>
  </si>
  <si>
    <t>(in Millionen Fanken, Höher als die gesetzliche vorgeschriebene Reserve, Tiefer als die gesetzliche vorgeschriebene Reserve)</t>
  </si>
  <si>
    <t>Siehe auch 9A.</t>
  </si>
  <si>
    <t>Kostenbeteiligung der Versicherten : Franchise / Selbstbehalt / Tagespauschale im Spital.</t>
  </si>
  <si>
    <t>Berücksichtigt nur die bei dem Versicherer eingereichten Rechnungen.</t>
  </si>
  <si>
    <t>14) Ausgaben Total (in Mio. Fr.)</t>
  </si>
  <si>
    <t>Ausgaben = Total Versicherungs- und Betriebsaufwand.</t>
  </si>
  <si>
    <t>Quelle: Formulare EF 1 2 3</t>
  </si>
  <si>
    <t xml:space="preserve">BAG-Nr. nur wenn EF1.12A Total  &gt; 0 </t>
  </si>
  <si>
    <t xml:space="preserve">EF1.12A Total nur wenn &gt; 0 </t>
  </si>
  <si>
    <t>8B</t>
  </si>
  <si>
    <t>=( [ 8A ] / [ 1 ] ) in %</t>
  </si>
  <si>
    <t>EF2 Konten 6 + 7 Krankheit + Unfall Seiten 2.2 -&gt; 2.7</t>
  </si>
  <si>
    <t>9A</t>
  </si>
  <si>
    <t>EF1 Seite 5 Konten 290 + 290.9</t>
  </si>
  <si>
    <t>3A</t>
  </si>
  <si>
    <t>EF2 Konto 61 Krankheit + Unfall Seiten 2.2 -&gt; 2.7</t>
  </si>
  <si>
    <t>9B</t>
  </si>
  <si>
    <t>= ( [ 9A ] / [ 1 ] ) in %</t>
  </si>
  <si>
    <t>3B</t>
  </si>
  <si>
    <t>= ( [ 3A ] / [ 1 ] )</t>
  </si>
  <si>
    <t>9C</t>
  </si>
  <si>
    <t>= ( [ 9A ] / [ 3 ] ) in %</t>
  </si>
  <si>
    <t>4A</t>
  </si>
  <si>
    <t>innova Krankenversicherung AG</t>
  </si>
  <si>
    <t>avanex Versicherungen AG</t>
  </si>
  <si>
    <t>sansan Versicherungen AG</t>
  </si>
  <si>
    <t>Sana24</t>
  </si>
  <si>
    <t>Arcosana AG</t>
  </si>
  <si>
    <t xml:space="preserve">Total : </t>
  </si>
  <si>
    <t>Krankenkasse Holzgewerbe SKBH</t>
  </si>
  <si>
    <t>CONCORDIA Kranken- und Unfallversicherung</t>
  </si>
  <si>
    <t>Avenir Assurances, Assurances maladie et accidents</t>
  </si>
  <si>
    <t>Xundheit, Öffentliche Gesundheitskasse Schweiz AG</t>
  </si>
  <si>
    <t>Kranken- und Unfall-Versicherungsverein St. Moritz</t>
  </si>
  <si>
    <t>Öffentliche Krankenkasse Surselva (ÖKK Surselva)</t>
  </si>
  <si>
    <t>Personnel communal de la Ville de Neuchâtel</t>
  </si>
  <si>
    <t>*</t>
  </si>
  <si>
    <t>Taggeldkasse bildende KünstlerInnen</t>
  </si>
  <si>
    <t>Gewerbliche Krankenkasse Bern</t>
  </si>
  <si>
    <t>Caisse de maladie de la Société suisse des hôteliers</t>
  </si>
  <si>
    <t>– Anzahl Erkrankte je 100 Versicherte</t>
  </si>
  <si>
    <t>– Anzahl Spitaleinweisungen in 1'000</t>
  </si>
  <si>
    <t>– Anzahl Spitaltage in 1'000</t>
  </si>
  <si>
    <t>– Prämiensoll pro Versicherte(n) in Fr.</t>
  </si>
  <si>
    <t>7B</t>
  </si>
  <si>
    <t>7C</t>
  </si>
  <si>
    <t>–– davon ambulante Leistungen in Fr.</t>
  </si>
  <si>
    <t>7D</t>
  </si>
  <si>
    <t>–– davon stationäre Leistungen in Fr.</t>
  </si>
  <si>
    <t>– Kostenbeteiligung pro Versicherten in Fr.</t>
  </si>
  <si>
    <t>10B</t>
  </si>
  <si>
    <t>– Verwaltungsaufwand / Abschreibungen pro Versicherten in Fr.</t>
  </si>
  <si>
    <t>– Rückstellungen per 31.12. pro Versicherten in Fr.</t>
  </si>
  <si>
    <t>– Reserven per 31.12. pro Versicherten in Fr.</t>
  </si>
  <si>
    <t>– Prämiensoll in Mio. Fr.</t>
  </si>
  <si>
    <t>7A</t>
  </si>
  <si>
    <t>– Kostenbeteiligung in Mio. Fr.</t>
  </si>
  <si>
    <t>10A</t>
  </si>
  <si>
    <t>– Verwaltungsaufwand / Abschreibungen in Mio. Fr.</t>
  </si>
  <si>
    <t>– Gesamtbetriebsergebnis in Mio. Fr.</t>
  </si>
  <si>
    <t>– Rückstellungen: Stand per 31.12. in Mio. Fr.</t>
  </si>
  <si>
    <t>12C</t>
  </si>
  <si>
    <t>– Reserven: Stand per 31.12. in Mio. Fr.</t>
  </si>
  <si>
    <t>13C</t>
  </si>
  <si>
    <t>1) Leistungen brutto = Leistungen inkl. Kostenbeteiligung der Versicherten.</t>
  </si>
  <si>
    <t>2) Leistungen netto = Leistungen der Versicherer abzüglich Kostenbeteiligung der Versicherten.</t>
  </si>
  <si>
    <t>3) Rückstellungen in Prozent der bezahlten Leistungen.</t>
  </si>
  <si>
    <t>4) Reserven in Prozent des Prämiensolls.</t>
  </si>
  <si>
    <t>Quelle: T 8.02, 11.01, 9.25, 3.14, 3.15, 2.16, 2.18, 2.01, 2.02, 2.20, 2.21, 1.10, 1.08, 1.12, 1.13</t>
  </si>
  <si>
    <t>oder</t>
  </si>
  <si>
    <t>Formulare EF123:</t>
  </si>
  <si>
    <t>Anzahl Versicherer mit EF 1.12 A Total &gt; 0</t>
  </si>
  <si>
    <t>= [ 8A ] / [ 2 ]</t>
  </si>
  <si>
    <t xml:space="preserve">Durchschnittlicher Versichertenbestand EF 1.12 A Total  </t>
  </si>
  <si>
    <t>= [ 7A ] - [ 8A ]</t>
  </si>
  <si>
    <t>EF3  T 3.7.1</t>
  </si>
  <si>
    <t>= [ 3A ] / [ 2 ] * 100</t>
  </si>
  <si>
    <t>= [ 7B ] - [ 8B ]</t>
  </si>
  <si>
    <t>EF3  T 3.7.2</t>
  </si>
  <si>
    <t>EF2 Konten 40-47 + 48 K+U Seiten 2.2 -&gt; 2.7</t>
  </si>
  <si>
    <t>= [ 10A ] / [ 2 ]</t>
  </si>
  <si>
    <t>EF3  T 3.4</t>
  </si>
  <si>
    <t xml:space="preserve">EF2 Konto Gesamtbetriebsergebnis Krankheit + Unfall Seiten 2.2 -&gt; 2.7 </t>
  </si>
  <si>
    <t>= [ 6A ] / [ 2 ]</t>
  </si>
  <si>
    <t>EF 1.4 Konto 270</t>
  </si>
  <si>
    <t>EF3  T 3.6</t>
  </si>
  <si>
    <t>= [ 12A ] / [ 2 ]</t>
  </si>
  <si>
    <t>= [ 7A ] / [ 2 ]</t>
  </si>
  <si>
    <t>= [ 12A ] / [ 9A ] * 100 in %</t>
  </si>
  <si>
    <t>EF3  T 3.6 / [ 2 ]</t>
  </si>
  <si>
    <t>EF 1.5 Konten 290 + 290.9</t>
  </si>
  <si>
    <t>EF3 T 3.6 / [ 2 ]</t>
  </si>
  <si>
    <t>= [ 13A ] / [ 2 ]</t>
  </si>
  <si>
    <t>EF2 Konto 32 K+U Seiten 2.2 -&gt; 2.7</t>
  </si>
  <si>
    <t>T 11.03  Versichertenbestand nach Wohnkanton per 31.12.</t>
  </si>
  <si>
    <t xml:space="preserve">Veränderung </t>
  </si>
  <si>
    <t xml:space="preserve">gegenüber </t>
  </si>
  <si>
    <t>Schweiz</t>
  </si>
  <si>
    <t>unbekannt</t>
  </si>
  <si>
    <t>1) Personen mit Wohnsitz/Aufenthalt im Ausland gemäss Art. 4 und 5 KVV.</t>
  </si>
  <si>
    <t>Quelle: Formular EF3 [T 3.2]</t>
  </si>
  <si>
    <r>
      <t xml:space="preserve">Ausland </t>
    </r>
    <r>
      <rPr>
        <vertAlign val="superscript"/>
        <sz val="11"/>
        <rFont val="Arial"/>
        <family val="2"/>
      </rPr>
      <t>1)</t>
    </r>
  </si>
  <si>
    <t>T 11.02  Versichertenbestand per 31.12 ab 1996</t>
  </si>
  <si>
    <t>1) Personen, die das 18. Altersjahr noch nicht vollendet haben.</t>
  </si>
  <si>
    <t>2) Bis 2001: inbegriffen Versicherte mit Wohnsitz oder Aufenthalt im Ausland gemäss Art. 3, 4 und 5 KVV;</t>
  </si>
  <si>
    <t xml:space="preserve">    ab 2002: mit Personen mit Wohnsitz oder Aufenthalt im Ausland gemäss Art. 4 und 5 KVV aber ohne Versicherte,</t>
  </si>
  <si>
    <t xml:space="preserve">    die dem Versicherungsobligatorium unterstehen und in einem EU- oder EFTA-Staat Wohnsitz haben (EWG).</t>
  </si>
  <si>
    <t>Quelle: T 11.03</t>
  </si>
  <si>
    <r>
      <t xml:space="preserve">Kinder </t>
    </r>
    <r>
      <rPr>
        <vertAlign val="superscript"/>
        <sz val="11"/>
        <rFont val="Arial"/>
        <family val="2"/>
      </rPr>
      <t>1</t>
    </r>
  </si>
  <si>
    <t>Altersklassen</t>
  </si>
  <si>
    <t xml:space="preserve">  0 - 5</t>
  </si>
  <si>
    <t xml:space="preserve">  6 - 10</t>
  </si>
  <si>
    <t>11 - 15</t>
  </si>
  <si>
    <t>16 - 18</t>
  </si>
  <si>
    <t>Total 0 - 18</t>
  </si>
  <si>
    <t>19 - 20</t>
  </si>
  <si>
    <t>21 - 25</t>
  </si>
  <si>
    <t>Total 19 - 65</t>
  </si>
  <si>
    <t>91 - 95</t>
  </si>
  <si>
    <t>96 - 100</t>
  </si>
  <si>
    <t>&gt; 100</t>
  </si>
  <si>
    <t>Total 66 und mehr</t>
  </si>
  <si>
    <t>Quelle: Formular EF3 [T 3.1]</t>
  </si>
  <si>
    <r>
      <t xml:space="preserve">T 11.04  Versichertenbestand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nach Alter und Geschlecht per 31.12.</t>
    </r>
  </si>
  <si>
    <t>T 11.11 Verteilung der Versicherten (Kinder und Erwachsene) nach Versicherungsform ab 1996</t>
  </si>
  <si>
    <t>Quelle: T 11.05</t>
  </si>
  <si>
    <t>unvollständig (131 / 134 T.)</t>
  </si>
  <si>
    <t>Beilage B: Übergangsschlüssel Tabellen T  2005 -&gt; 2006 / 2006 -&gt; 2005</t>
  </si>
  <si>
    <t>Publikation 2006</t>
  </si>
  <si>
    <t>1.10</t>
  </si>
  <si>
    <t>(130 Tabellen)</t>
  </si>
  <si>
    <t>nicht vorhanden</t>
  </si>
  <si>
    <t>Daten pro Kanton (27)</t>
  </si>
  <si>
    <t>neu im Jahr 2006 (1)</t>
  </si>
  <si>
    <t>Übergangsschlüssel Tabellen 2006 -&gt; 1996 : siehe Beilage B1 Version STAT KV 2006 Tabellen XLS auf dem www.</t>
  </si>
  <si>
    <t>Übergangsschlüssel Tabellen *  2006 -&gt; 1996</t>
  </si>
  <si>
    <t>20.11.07: B, B1</t>
  </si>
  <si>
    <r>
      <t xml:space="preserve">     Personen, die </t>
    </r>
    <r>
      <rPr>
        <u/>
        <sz val="10"/>
        <rFont val="Arial"/>
        <family val="2"/>
      </rPr>
      <t>Militärdienst</t>
    </r>
    <r>
      <rPr>
        <sz val="10"/>
        <rFont val="Arial"/>
        <family val="2"/>
      </rPr>
      <t xml:space="preserve"> leisten und deshalb sistiert wurden, sind in dieser Tabelle </t>
    </r>
    <r>
      <rPr>
        <u/>
        <sz val="10"/>
        <rFont val="Arial"/>
        <family val="2"/>
      </rPr>
      <t>nicht</t>
    </r>
    <r>
      <rPr>
        <sz val="10"/>
        <rFont val="Arial"/>
        <family val="2"/>
      </rPr>
      <t xml:space="preserve"> aufzuführt.</t>
    </r>
  </si>
  <si>
    <t>(in %)</t>
  </si>
  <si>
    <t>(Durchschnittlicher</t>
  </si>
  <si>
    <t>Versichertenbestand)</t>
  </si>
  <si>
    <t>Krankheit + Unfall Seiten 2.2 -&gt; 2.7 / ( [ 1 ] )</t>
  </si>
  <si>
    <t>(EF2 Konto 3/4 Krankheit + Unfall Seiten 2.2 -&gt; 2.7)</t>
  </si>
  <si>
    <t>8A</t>
  </si>
  <si>
    <t>Datenstand : 5.12.07</t>
  </si>
  <si>
    <t>T 1.12 Stand der Reserven per 31.12. in Franken ab 1996</t>
  </si>
  <si>
    <t>Stand</t>
  </si>
  <si>
    <t>Reserve-</t>
  </si>
  <si>
    <t>Reserven</t>
  </si>
  <si>
    <t>pro ver-</t>
  </si>
  <si>
    <t>sicherte Per-</t>
  </si>
  <si>
    <t>son in Fr.</t>
  </si>
  <si>
    <t>1) Vgl. Tabelle 11.13A.</t>
  </si>
  <si>
    <t>2) Reserven in % des Prämiensolls (vgl. Tabelle 3.10).</t>
  </si>
  <si>
    <t>Quelle: T 8.10 [290 + 290.9]; T 11.13A; T 3.10</t>
  </si>
  <si>
    <r>
      <t xml:space="preserve">Reserven </t>
    </r>
    <r>
      <rPr>
        <vertAlign val="superscript"/>
        <sz val="11"/>
        <rFont val="Arial"/>
        <family val="2"/>
      </rPr>
      <t>1</t>
    </r>
  </si>
  <si>
    <r>
      <t xml:space="preserve">quote </t>
    </r>
    <r>
      <rPr>
        <vertAlign val="superscript"/>
        <sz val="11"/>
        <rFont val="Arial"/>
        <family val="2"/>
      </rPr>
      <t>2</t>
    </r>
  </si>
  <si>
    <t>1) Bezahlte Leistungen der Versicherer = Leistungen (brutto) der Versicherer minus Kostenbeteiligungen der Versicherten.</t>
  </si>
  <si>
    <t>Quelle: T 1.03; 1.04; 1.05; 1.06 [30-33]</t>
  </si>
  <si>
    <t xml:space="preserve">T 1.13  Stand der Rückstellungen per 31.12. für unerledigte Versicherungsfälle in Franken ab 1996 </t>
  </si>
  <si>
    <t>Stand Rück-</t>
  </si>
  <si>
    <t>Rückstellungen</t>
  </si>
  <si>
    <t>Rück-</t>
  </si>
  <si>
    <t>stellungen pro</t>
  </si>
  <si>
    <t>in % der be-</t>
  </si>
  <si>
    <t>stellungen</t>
  </si>
  <si>
    <t>versicherte</t>
  </si>
  <si>
    <t>zahlten Lei-</t>
  </si>
  <si>
    <t>2) Vgl. Tabelle 2.20.</t>
  </si>
  <si>
    <t>Quelle: T 8.10 [270]; T 11.13A; T 2.20</t>
  </si>
  <si>
    <r>
      <t xml:space="preserve">Person in Fr. </t>
    </r>
    <r>
      <rPr>
        <vertAlign val="superscript"/>
        <sz val="11"/>
        <rFont val="Arial"/>
        <family val="2"/>
      </rPr>
      <t>1</t>
    </r>
  </si>
  <si>
    <r>
      <t xml:space="preserve">stungen </t>
    </r>
    <r>
      <rPr>
        <vertAlign val="superscript"/>
        <sz val="11"/>
        <rFont val="Arial"/>
        <family val="2"/>
      </rPr>
      <t>2</t>
    </r>
  </si>
  <si>
    <t xml:space="preserve"> www.bag.admin.ch/kvstat             Rubrik Statistikpublikationen</t>
  </si>
  <si>
    <t>Datenstand: 14.8.07</t>
  </si>
  <si>
    <t>Datenstand : 14.8.07</t>
  </si>
  <si>
    <t>901-922</t>
  </si>
  <si>
    <t>Sektion Statistik und Mathematik</t>
  </si>
  <si>
    <t>© Bundesamt für Gesundheit (BAG)</t>
  </si>
  <si>
    <t>Auszugsweiser Abdruck – ausser für kommerzielle Nutzung –  unter</t>
  </si>
  <si>
    <t>laufende Aufdatierung</t>
  </si>
  <si>
    <t>(0 - 100%)</t>
  </si>
  <si>
    <t>Gesamtgeschäft der vom BAG anerkannten Krankenversicherer</t>
  </si>
  <si>
    <r>
      <t>B</t>
    </r>
    <r>
      <rPr>
        <b/>
        <i/>
        <sz val="12"/>
        <rFont val="55 Helvetica Roman"/>
      </rPr>
      <t xml:space="preserve">     Bundesamt für Gesundheit</t>
    </r>
  </si>
  <si>
    <t>andere Teile folgen später</t>
  </si>
  <si>
    <t>501-504</t>
  </si>
  <si>
    <t>Teil 10</t>
  </si>
  <si>
    <t>1001-1003</t>
  </si>
  <si>
    <t>Risikoausgleich in der OKP</t>
  </si>
  <si>
    <t>H 04 A</t>
  </si>
  <si>
    <t>G 04 B</t>
  </si>
  <si>
    <t>H 04 B</t>
  </si>
  <si>
    <t>G 05</t>
  </si>
  <si>
    <t>H 05</t>
  </si>
  <si>
    <t>G 07</t>
  </si>
  <si>
    <t>G 08</t>
  </si>
  <si>
    <t>H 08</t>
  </si>
  <si>
    <t>9.10</t>
  </si>
  <si>
    <t>G 09</t>
  </si>
  <si>
    <t>H 09</t>
  </si>
  <si>
    <t>G 01 A</t>
  </si>
  <si>
    <t>G 03 A</t>
  </si>
  <si>
    <t>G 03 B</t>
  </si>
  <si>
    <t>G 04</t>
  </si>
  <si>
    <t>G 06</t>
  </si>
  <si>
    <t>G 10</t>
  </si>
  <si>
    <t>G 11</t>
  </si>
  <si>
    <t>G 12</t>
  </si>
  <si>
    <t>2.10</t>
  </si>
  <si>
    <t xml:space="preserve">* : Teil Tabellen </t>
  </si>
  <si>
    <t xml:space="preserve">Publikation 2000 </t>
  </si>
  <si>
    <t>F 02 -&gt; F 05</t>
  </si>
  <si>
    <t>F 01 -&gt; F 03</t>
  </si>
  <si>
    <t>3.11</t>
  </si>
  <si>
    <t>3.12</t>
  </si>
  <si>
    <t>3.13</t>
  </si>
  <si>
    <t>5.01 -&gt; 5.03</t>
  </si>
  <si>
    <t>5.00</t>
  </si>
  <si>
    <t>H 06 + H 07</t>
  </si>
  <si>
    <t>Datenstand: 11.12.2007</t>
  </si>
  <si>
    <r>
      <t xml:space="preserve">Durchschnittlicher Versichertenbestand KVG und </t>
    </r>
    <r>
      <rPr>
        <sz val="9"/>
        <color indexed="10"/>
        <rFont val="Arial"/>
        <family val="2"/>
      </rPr>
      <t>Durchschnittsalter</t>
    </r>
    <r>
      <rPr>
        <sz val="9"/>
        <rFont val="Arial"/>
        <family val="2"/>
      </rPr>
      <t xml:space="preserve"> nach Geschlecht</t>
    </r>
  </si>
  <si>
    <t>11.12.07: 11.13, B, T11</t>
  </si>
  <si>
    <r>
      <t>Neuheiten im Jahr 2006 (</t>
    </r>
    <r>
      <rPr>
        <sz val="8"/>
        <color indexed="10"/>
        <rFont val="Arial"/>
        <family val="2"/>
      </rPr>
      <t>16</t>
    </r>
    <r>
      <rPr>
        <sz val="8"/>
        <rFont val="Arial"/>
        <family val="2"/>
      </rPr>
      <t>)</t>
    </r>
  </si>
  <si>
    <t>Durchschnittsalter</t>
  </si>
  <si>
    <r>
      <t>Quelle: A: Formular EF3 [</t>
    </r>
    <r>
      <rPr>
        <sz val="10"/>
        <color indexed="10"/>
        <rFont val="Arial"/>
        <family val="2"/>
      </rPr>
      <t>T 3.1</t>
    </r>
    <r>
      <rPr>
        <sz val="10"/>
        <rFont val="Arial"/>
        <family val="2"/>
      </rPr>
      <t xml:space="preserve"> &amp; 3.8.1 &amp; 3.8.4] / B: Formular EF1 [1.12 D] / C: Formular EF1 [1.12 E]</t>
    </r>
  </si>
  <si>
    <r>
      <t xml:space="preserve">T 11.13 Durchschnittlicher Versichertenbestand und </t>
    </r>
    <r>
      <rPr>
        <b/>
        <sz val="12"/>
        <color indexed="10"/>
        <rFont val="Arial"/>
        <family val="2"/>
      </rPr>
      <t>Durchschnittsalter</t>
    </r>
    <r>
      <rPr>
        <b/>
        <sz val="12"/>
        <rFont val="Arial"/>
        <family val="2"/>
      </rPr>
      <t xml:space="preserve"> für die obligatorische Krankenpflegeversicherung gemäss Art. 29 KVV</t>
    </r>
  </si>
  <si>
    <t xml:space="preserve">    1998-2003: ordentliche Jahresfranchise: 230.- ; wählbare Jahresfranchisen: 400.-  600.-  1200.-  1500.-</t>
  </si>
  <si>
    <t xml:space="preserve">    2004: ordentliche Jahresfranchise: 300.- ; wählbare Jahresfranchisen: 400.-  600.-  1200.-  1500.-</t>
  </si>
  <si>
    <t xml:space="preserve">    2005-2006: ordentliche Jahresfranchise: 300.- ; wählbare Jahresfranchisen: 500.-  1000.-  1500.-  2000.- 2500.-</t>
  </si>
  <si>
    <t>Quelle: 1996 : T 11.06  ; 1997- : T 11.08</t>
  </si>
  <si>
    <r>
      <t>T 11.07 Verteilung der Versicherungsformen</t>
    </r>
    <r>
      <rPr>
        <b/>
        <vertAlign val="superscript"/>
        <sz val="12"/>
        <rFont val="Arial"/>
        <family val="2"/>
      </rPr>
      <t xml:space="preserve"> </t>
    </r>
    <r>
      <rPr>
        <b/>
        <sz val="12"/>
        <rFont val="Arial"/>
        <family val="2"/>
      </rPr>
      <t>in % - Versicherte ab 19 Jahren ab 1996</t>
    </r>
  </si>
  <si>
    <t>T 11.09 Verteilung der Versicherungsformen in % - Versicherte 0-18 Jahre ab 1996</t>
  </si>
  <si>
    <t>VI</t>
  </si>
  <si>
    <t>1) 1996-2004: ordentliche Jahresfranchise: 0.- ; wählbare Jahresfranchisen: 150.-  300.-  375.-</t>
  </si>
  <si>
    <t xml:space="preserve">    2005-2006: ordentliche Jahresfranchise: 0.- ; wählbare Jahresfranchisen: 100.-  200.-  300.-  400.-  500.-  600.-</t>
  </si>
  <si>
    <t>Quelle: 1996 : T 11.06  ; 1997- : T 11.10</t>
  </si>
  <si>
    <t>16.10.07: 3.12,11.02-11.04,11.11,11.12,11.18,11.19</t>
  </si>
  <si>
    <t>der Versicherten sind unterhalb dieser Prämie</t>
  </si>
  <si>
    <t>der Versicherten sind unterhalb und oberhalb dieser Prämie</t>
  </si>
  <si>
    <t>der Versicherten sind oberhalb dieser Prämie</t>
  </si>
  <si>
    <r>
      <t>T 3.07  Verteilung der kantonalen monatlichen Durchschnittsprämien</t>
    </r>
    <r>
      <rPr>
        <b/>
        <vertAlign val="superscript"/>
        <sz val="12"/>
        <rFont val="Arial"/>
        <family val="2"/>
      </rPr>
      <t xml:space="preserve"> 1</t>
    </r>
  </si>
  <si>
    <r>
      <t xml:space="preserve">T 3.06  Verteilung der kantonalen monatlichen Durchschnittsprämien </t>
    </r>
    <r>
      <rPr>
        <b/>
        <vertAlign val="superscript"/>
        <sz val="12"/>
        <rFont val="Arial"/>
        <family val="2"/>
      </rPr>
      <t>1</t>
    </r>
  </si>
  <si>
    <t>Schätzung basierend auf den Prämien 2008 und der Aufteilung der Versicherten 2006.</t>
  </si>
  <si>
    <r>
      <t xml:space="preserve">T 3.05  Verteilung der kantonalen monatlichen Durchschnittsprämien </t>
    </r>
    <r>
      <rPr>
        <b/>
        <vertAlign val="superscript"/>
        <sz val="12"/>
        <rFont val="Arial"/>
        <family val="2"/>
      </rPr>
      <t>1</t>
    </r>
  </si>
  <si>
    <t>für junge Erwachsene (19 - 25 Jahre) in Franken für 2008</t>
  </si>
  <si>
    <t>17.10.07: 11.07-&gt;11.10, 3.05-&gt;3.07</t>
  </si>
  <si>
    <r>
      <t xml:space="preserve">T 1.02  Betriebsrechnung der obligatorischen Krankenpflegeversicherung KVG insgesamt </t>
    </r>
    <r>
      <rPr>
        <b/>
        <vertAlign val="superscript"/>
        <sz val="12"/>
        <rFont val="Arial"/>
        <family val="2"/>
      </rPr>
      <t>1</t>
    </r>
  </si>
  <si>
    <t xml:space="preserve">T 5.01 Aufsichtsdaten OKP gemäss Art. 31 KVV </t>
  </si>
  <si>
    <t>Name des OKP Versicherers</t>
  </si>
  <si>
    <t>Durchsch-</t>
  </si>
  <si>
    <t>Kosten-</t>
  </si>
  <si>
    <t>Brutto-</t>
  </si>
  <si>
    <t>Risikoaus–</t>
  </si>
  <si>
    <t>Verwaltungs-</t>
  </si>
  <si>
    <t>Gesamter-</t>
  </si>
  <si>
    <t>Stand der</t>
  </si>
  <si>
    <t>Verhältnis</t>
  </si>
  <si>
    <t>Einnahmen</t>
  </si>
  <si>
    <t>Ausgaben</t>
  </si>
  <si>
    <t>Risiko–</t>
  </si>
  <si>
    <t>Gesetzlich</t>
  </si>
  <si>
    <t>Höher als die</t>
  </si>
  <si>
    <t>Tiefer als die</t>
  </si>
  <si>
    <t>nittlicher</t>
  </si>
  <si>
    <t xml:space="preserve">je versicherte </t>
  </si>
  <si>
    <t>des Ver-</t>
  </si>
  <si>
    <t>beteiligung</t>
  </si>
  <si>
    <t>leistungen</t>
  </si>
  <si>
    <t>gleich</t>
  </si>
  <si>
    <t xml:space="preserve">aufwand + </t>
  </si>
  <si>
    <t>gebnis je</t>
  </si>
  <si>
    <t xml:space="preserve"> Rückstel-</t>
  </si>
  <si>
    <t>gleich in %</t>
  </si>
  <si>
    <t>ausgleich</t>
  </si>
  <si>
    <t>vorgeschrie-</t>
  </si>
  <si>
    <t>gesetzlich</t>
  </si>
  <si>
    <t xml:space="preserve">Person </t>
  </si>
  <si>
    <t>sicherers</t>
  </si>
  <si>
    <t>je versicherte</t>
  </si>
  <si>
    <t>Abschrei-</t>
  </si>
  <si>
    <t>lungen je</t>
  </si>
  <si>
    <t>leistungen /</t>
  </si>
  <si>
    <t>der Ein-</t>
  </si>
  <si>
    <t>lungen</t>
  </si>
  <si>
    <t xml:space="preserve"> in Mio. Fr.</t>
  </si>
  <si>
    <t>sicherungen:</t>
  </si>
  <si>
    <t>bene Reserve</t>
  </si>
  <si>
    <t>tenbestand</t>
  </si>
  <si>
    <t>bungen je</t>
  </si>
  <si>
    <t xml:space="preserve"> Person</t>
  </si>
  <si>
    <t>nahmen</t>
  </si>
  <si>
    <t>bungen</t>
  </si>
  <si>
    <t>Person</t>
  </si>
  <si>
    <t xml:space="preserve"> in % der </t>
  </si>
  <si>
    <t>(+) in Mio. Fr.</t>
  </si>
  <si>
    <t>(-) in Mio. Fr.</t>
  </si>
  <si>
    <t>Person in Fr.</t>
  </si>
  <si>
    <t>Quelle und Erklärungen: T 5.02</t>
  </si>
  <si>
    <t>T 5.03 KVG Versicherer: Daten zur freiwilligen Taggeldversicherung</t>
  </si>
  <si>
    <t>* : KVG-Versi-</t>
  </si>
  <si>
    <t>cherer nur mit</t>
  </si>
  <si>
    <t xml:space="preserve">freiwilliger </t>
  </si>
  <si>
    <t>in Tausend</t>
  </si>
  <si>
    <t>1) Es gibt OKP-Versicherer, die in der freiwilligen Krankentaggeld keine Versicherten haben. Name des Versicherers eventuell gekürzt.</t>
  </si>
  <si>
    <t>Quelle: Formular EF123</t>
  </si>
  <si>
    <t>BAG-Nr. nur wenn [2] oder [3] &gt; 0</t>
  </si>
  <si>
    <t xml:space="preserve">* wenn EF 1.12A Total = 0 </t>
  </si>
  <si>
    <t>EF3 Total T 3.9.2</t>
  </si>
  <si>
    <t>EF3 Total T 3.9.3</t>
  </si>
  <si>
    <t>4</t>
  </si>
  <si>
    <t xml:space="preserve">EF2 Konten 40-47 + 48 Krankheit + Unfall Seiten 2.0 -&gt; 2.1 </t>
  </si>
  <si>
    <t>EF2 Konten Gesamtbetriebergebnis ohne Position Krankheit + Unfall Seiten 2.0 -&gt; 2.1</t>
  </si>
  <si>
    <t>EF1 [1.4] Konto 271</t>
  </si>
  <si>
    <t>EF1 [1.5] Konto 291</t>
  </si>
  <si>
    <r>
      <t xml:space="preserve">Name des KVG-Versicherers </t>
    </r>
    <r>
      <rPr>
        <vertAlign val="superscript"/>
        <sz val="10"/>
        <rFont val="Arial"/>
        <family val="2"/>
      </rPr>
      <t>1</t>
    </r>
  </si>
  <si>
    <t>CSS Kranken-Versicherung AG</t>
  </si>
  <si>
    <t>Krankenkasse 57</t>
  </si>
  <si>
    <t>SUPRA CAISSE-MALADIE</t>
  </si>
  <si>
    <t>Krankenkasse Luchsingen-Hätzingen</t>
  </si>
  <si>
    <t>Kranken- und Unfallkasse Einsiedeln</t>
  </si>
  <si>
    <t>Caisse Maladie de la Fonction Publique</t>
  </si>
  <si>
    <t>Kranken- &amp; Unfallkasse Rothenburg</t>
  </si>
  <si>
    <t>PROVITA Gesundheitsversicherung AG</t>
  </si>
  <si>
    <t>Sumiswalder Kranken- und Unfallkasse</t>
  </si>
  <si>
    <t>Caisse-Maladie EOS</t>
  </si>
  <si>
    <t>Krankenkasse Steffisburg</t>
  </si>
  <si>
    <t>Carena Schweiz</t>
  </si>
  <si>
    <t>Krankenkasse Bau- und Holzgewerbe SKBH</t>
  </si>
  <si>
    <t>CONCORDIA  Kranken- und Unfallversicherung</t>
  </si>
  <si>
    <t>Krankenkasse Malters</t>
  </si>
  <si>
    <t>Atupri Krankenkasse</t>
  </si>
  <si>
    <t>Avenir Assurances</t>
  </si>
  <si>
    <t>Krankenkasse Luzerner Hinterland Zell</t>
  </si>
  <si>
    <t>KPT CPT Krankenkasse</t>
  </si>
  <si>
    <t xml:space="preserve">Xundheit, Öffentliche Gesundheitskasse </t>
  </si>
  <si>
    <t>Caisse-maladie Hermes</t>
  </si>
  <si>
    <t>ÖKK Kranken- und Unfallversicherungen AG</t>
  </si>
  <si>
    <t>PANORAMA Kranken- und Unfallversicherung</t>
  </si>
  <si>
    <t>Öffentliche Krankenkasse Basel</t>
  </si>
  <si>
    <t>Versicherungsverein St. Moritz</t>
  </si>
  <si>
    <t>Krankenkasse Flaachtal</t>
  </si>
  <si>
    <t>Krankenkasse der Region Goms</t>
  </si>
  <si>
    <r>
      <t xml:space="preserve">  Sozialhilfe </t>
    </r>
    <r>
      <rPr>
        <b/>
        <vertAlign val="superscript"/>
        <sz val="10"/>
        <rFont val="Arial"/>
        <family val="2"/>
      </rPr>
      <t>7</t>
    </r>
  </si>
  <si>
    <r>
      <t xml:space="preserve">  Hilflosenentschädigungen </t>
    </r>
    <r>
      <rPr>
        <b/>
        <vertAlign val="superscript"/>
        <sz val="10"/>
        <rFont val="Arial"/>
        <family val="2"/>
      </rPr>
      <t>7</t>
    </r>
  </si>
  <si>
    <r>
      <t xml:space="preserve">Netto Prämien der obligatorischen Krankenpflegeversicherung KVG </t>
    </r>
    <r>
      <rPr>
        <b/>
        <vertAlign val="superscript"/>
        <sz val="8"/>
        <rFont val="Arial"/>
        <family val="2"/>
      </rPr>
      <t>10</t>
    </r>
  </si>
  <si>
    <r>
      <t xml:space="preserve">Zusatzversicherungen VVG der KVG-Versicherer </t>
    </r>
    <r>
      <rPr>
        <b/>
        <vertAlign val="superscript"/>
        <sz val="8"/>
        <rFont val="Arial"/>
        <family val="2"/>
      </rPr>
      <t>5</t>
    </r>
  </si>
  <si>
    <r>
      <t xml:space="preserve">Zusatzversicherungen VVG der Privatversicherer </t>
    </r>
    <r>
      <rPr>
        <b/>
        <vertAlign val="superscript"/>
        <sz val="8"/>
        <rFont val="Arial"/>
        <family val="2"/>
      </rPr>
      <t>6</t>
    </r>
  </si>
  <si>
    <r>
      <t xml:space="preserve">  Kostenbeteiligung </t>
    </r>
    <r>
      <rPr>
        <b/>
        <vertAlign val="superscript"/>
        <sz val="10"/>
        <rFont val="Arial"/>
        <family val="2"/>
      </rPr>
      <t>11</t>
    </r>
  </si>
  <si>
    <r>
      <t xml:space="preserve">  Out of pocket </t>
    </r>
    <r>
      <rPr>
        <b/>
        <vertAlign val="superscript"/>
        <sz val="10"/>
        <rFont val="Arial"/>
        <family val="2"/>
      </rPr>
      <t>8</t>
    </r>
  </si>
  <si>
    <t>Datenstand: 15.11.07</t>
  </si>
  <si>
    <t>2004-2005</t>
  </si>
  <si>
    <t>1996-2005</t>
  </si>
  <si>
    <t>Krankenkasse Schweizerischer Metallbaufirmen</t>
  </si>
  <si>
    <t>Mitarbeiter der fenaco-Mitgliedgenossenschaften</t>
  </si>
  <si>
    <t>1) Siehe Fussnote 1) in T 1.02</t>
  </si>
  <si>
    <t>Quelle: Formular EF2 [ 2.2 ]</t>
  </si>
  <si>
    <r>
      <t xml:space="preserve">T 1.03  Betriebsrechnung der Versicherung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mit ordentlicher Franchise </t>
    </r>
  </si>
  <si>
    <t>Quelle: Formular EF2 [ 2.3]</t>
  </si>
  <si>
    <r>
      <t xml:space="preserve">T 1.04  Betriebsrechnung der Versicherungen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mit wählbarer Franchise </t>
    </r>
  </si>
  <si>
    <t>Quelle: Formular EF2 [ 2.4]</t>
  </si>
  <si>
    <r>
      <t xml:space="preserve">T 1.05  Betriebsrechnung der BONUS-Versicherung </t>
    </r>
    <r>
      <rPr>
        <b/>
        <vertAlign val="superscript"/>
        <sz val="12"/>
        <rFont val="Arial"/>
        <family val="2"/>
      </rPr>
      <t>1</t>
    </r>
  </si>
  <si>
    <t>Quelle: Formular EF2 [Summe 2.5 bis 2.7]</t>
  </si>
  <si>
    <r>
      <t xml:space="preserve">T 1.06  Betriebsrechnung der Versicherungen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mit eingeschränkter Wahl des Leistungserbringers </t>
    </r>
  </si>
  <si>
    <t xml:space="preserve">Prämien für Effektivkosten </t>
  </si>
  <si>
    <t xml:space="preserve">Prämien für Pauschalkosten </t>
  </si>
  <si>
    <t>Leistungen (Effektivkosten)</t>
  </si>
  <si>
    <t>Leistungen (Pauschalkosten)</t>
  </si>
  <si>
    <t>Rückstellungen für Pauschalkosten</t>
  </si>
  <si>
    <t>Leistungen (31.1 + 31.2)</t>
  </si>
  <si>
    <t>Kostenbeteiligung der Versicherten (32)    (-)</t>
  </si>
  <si>
    <t>Bezahlte Leistungen (30-33)</t>
  </si>
  <si>
    <t>1) Ohne Liechstenstein. Versichertenbestand : siehe T 11.13.</t>
  </si>
  <si>
    <t>2) GrenzgängerInnen, sowie ihre nichterwerbstätigen Familienangehörigen (Versicherte gemäss Art. 3 KVV).</t>
  </si>
  <si>
    <t>Quelle: Formular EF2 [T.E] &amp; EF1 [1.12]</t>
  </si>
  <si>
    <r>
      <t xml:space="preserve">T 1.07  Betriebsrechnung der obligatorischen Krankenpflegeversicherung Personen mit Wohnsitz in einem EG-Staat, in Island oder in Norwegen, inklusive GrenzgängerInnen </t>
    </r>
    <r>
      <rPr>
        <b/>
        <vertAlign val="superscript"/>
        <sz val="12"/>
        <rFont val="Arial"/>
        <family val="2"/>
      </rPr>
      <t>1</t>
    </r>
  </si>
  <si>
    <r>
      <t xml:space="preserve">Nur GrenzgängerInnen </t>
    </r>
    <r>
      <rPr>
        <b/>
        <vertAlign val="superscript"/>
        <sz val="12"/>
        <rFont val="Arial"/>
        <family val="2"/>
      </rPr>
      <t>2</t>
    </r>
  </si>
  <si>
    <t xml:space="preserve">     Die Werte für 1996 und 2004 wurden revidiert.</t>
  </si>
  <si>
    <r>
      <t xml:space="preserve">tionsziel </t>
    </r>
    <r>
      <rPr>
        <vertAlign val="superscript"/>
        <sz val="11"/>
        <rFont val="Arial"/>
        <family val="2"/>
      </rPr>
      <t>1</t>
    </r>
  </si>
  <si>
    <r>
      <t xml:space="preserve">faktor 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:</t>
    </r>
  </si>
  <si>
    <r>
      <t xml:space="preserve">Kürzungen </t>
    </r>
    <r>
      <rPr>
        <vertAlign val="superscript"/>
        <sz val="11"/>
        <rFont val="Arial"/>
        <family val="2"/>
      </rPr>
      <t>3</t>
    </r>
  </si>
  <si>
    <t>SanaTop Versicherungen AG</t>
  </si>
  <si>
    <r>
      <t xml:space="preserve">nach KVG </t>
    </r>
    <r>
      <rPr>
        <vertAlign val="superscript"/>
        <sz val="11"/>
        <rFont val="Arial"/>
        <family val="2"/>
      </rPr>
      <t>4</t>
    </r>
  </si>
  <si>
    <r>
      <t xml:space="preserve">T 8.07 Aktiven und Passiven der Versicherer in </t>
    </r>
    <r>
      <rPr>
        <b/>
        <sz val="12"/>
        <color indexed="10"/>
        <rFont val="Arial"/>
        <family val="2"/>
      </rPr>
      <t>Mio.</t>
    </r>
    <r>
      <rPr>
        <b/>
        <sz val="12"/>
        <rFont val="Arial"/>
        <family val="2"/>
      </rPr>
      <t xml:space="preserve"> Franken ab 1996</t>
    </r>
  </si>
  <si>
    <r>
      <t>T 8.08  Eigenkapital, Kapitalanlagen, Grundstücke und Gebäude der Versicherer in</t>
    </r>
    <r>
      <rPr>
        <b/>
        <sz val="12"/>
        <color indexed="10"/>
        <rFont val="Arial"/>
        <family val="2"/>
      </rPr>
      <t xml:space="preserve"> Mio.</t>
    </r>
    <r>
      <rPr>
        <b/>
        <sz val="12"/>
        <rFont val="Arial"/>
        <family val="2"/>
      </rPr>
      <t xml:space="preserve"> Franken ab 1996</t>
    </r>
  </si>
  <si>
    <t>21.8.07: 8.07, 8.08</t>
  </si>
  <si>
    <t xml:space="preserve">T 2.17  Leistungen (brutto) in Franken nach Kostengruppen </t>
  </si>
  <si>
    <t>Kostengruppen</t>
  </si>
  <si>
    <t>C 02 A</t>
  </si>
  <si>
    <t>C 02 B</t>
  </si>
  <si>
    <t>C 03</t>
  </si>
  <si>
    <t>C 04</t>
  </si>
  <si>
    <t>C 05</t>
  </si>
  <si>
    <t>D 01 A</t>
  </si>
  <si>
    <t>D 01 B</t>
  </si>
  <si>
    <t>D 02</t>
  </si>
  <si>
    <t>D 03</t>
  </si>
  <si>
    <t>D 04</t>
  </si>
  <si>
    <t>E 01 A</t>
  </si>
  <si>
    <t>E 01 B</t>
  </si>
  <si>
    <t xml:space="preserve">E 01 </t>
  </si>
  <si>
    <t>E 02</t>
  </si>
  <si>
    <t>201-223</t>
  </si>
  <si>
    <t>9.21</t>
  </si>
  <si>
    <t>Belegexemplares an das Bundesamt für Gesundheit, Sektion Statistik und Mathematik gestattet.</t>
  </si>
  <si>
    <t>Verfügbar am:</t>
  </si>
  <si>
    <t>Vom Bund anerkannte Versicherungsträger</t>
  </si>
  <si>
    <t xml:space="preserve">Tabellen </t>
  </si>
  <si>
    <t>Teil 1</t>
  </si>
  <si>
    <t>Teil 2</t>
  </si>
  <si>
    <t>Leistungen und Kostenbeteiligung in der OKP</t>
  </si>
  <si>
    <t>Teil 3</t>
  </si>
  <si>
    <t>Prämien in der OKP</t>
  </si>
  <si>
    <t>Teil 4</t>
  </si>
  <si>
    <t>Prämienverbilligung in der OKP</t>
  </si>
  <si>
    <t>Teil 5</t>
  </si>
  <si>
    <t>Aufsichtsdaten OKP</t>
  </si>
  <si>
    <t>Teil 6</t>
  </si>
  <si>
    <t>601-606</t>
  </si>
  <si>
    <t>Freiwillige Taggeldversicherung KVG</t>
  </si>
  <si>
    <t>Teil 7</t>
  </si>
  <si>
    <t>Teil 8</t>
  </si>
  <si>
    <t>Teil 9</t>
  </si>
  <si>
    <t>Zusatzinformationen zum Gesundheitswesen</t>
  </si>
  <si>
    <t>Zusatzversicherungen VVG der vom BAG anerkannten Krankenversicherer</t>
  </si>
  <si>
    <t>Beilage B</t>
  </si>
  <si>
    <t>3.10</t>
  </si>
  <si>
    <t>401-411</t>
  </si>
  <si>
    <t>Finanzen und obligatorische Krankenpflegeversicherung (OKP)</t>
  </si>
  <si>
    <t>E 03</t>
  </si>
  <si>
    <t>E 04</t>
  </si>
  <si>
    <t>E 05</t>
  </si>
  <si>
    <t>E 06</t>
  </si>
  <si>
    <t>E 07</t>
  </si>
  <si>
    <t>E 08</t>
  </si>
  <si>
    <t>E 09</t>
  </si>
  <si>
    <t>E 10</t>
  </si>
  <si>
    <t>E 11</t>
  </si>
  <si>
    <t>F 01</t>
  </si>
  <si>
    <t>F 02</t>
  </si>
  <si>
    <t>F 03</t>
  </si>
  <si>
    <t>F 04</t>
  </si>
  <si>
    <t>G 01</t>
  </si>
  <si>
    <t>H 01</t>
  </si>
  <si>
    <t>G 02 A</t>
  </si>
  <si>
    <t>H 02 A</t>
  </si>
  <si>
    <t>G 02 B</t>
  </si>
  <si>
    <t>H 02 B</t>
  </si>
  <si>
    <t>G 03</t>
  </si>
  <si>
    <t>H 03</t>
  </si>
  <si>
    <t>G 04 A</t>
  </si>
  <si>
    <r>
      <t xml:space="preserve">Korrigierte Tabellen :      </t>
    </r>
    <r>
      <rPr>
        <sz val="11"/>
        <color indexed="10"/>
        <rFont val="55 Helvetica Roman"/>
      </rPr>
      <t>(Korrekturen in roter Farbe)</t>
    </r>
    <r>
      <rPr>
        <sz val="11"/>
        <rFont val="55 Helvetica Roman"/>
      </rPr>
      <t xml:space="preserve">  </t>
    </r>
    <r>
      <rPr>
        <b/>
        <sz val="11"/>
        <rFont val="55 Helvetica Roman"/>
      </rPr>
      <t xml:space="preserve">   </t>
    </r>
    <r>
      <rPr>
        <b/>
        <sz val="11"/>
        <color indexed="9"/>
        <rFont val="55 Helvetica Roman"/>
      </rPr>
      <t xml:space="preserve">     (gegenüber PDF Version und der gedruckten Version) :</t>
    </r>
  </si>
  <si>
    <t>Statistik der obligatorischen Krankenversicherung 2006</t>
  </si>
  <si>
    <t>5: Individuelle Daten pro Versicherer</t>
  </si>
  <si>
    <t>Aufsichtsdaten der Krankenversicherer OKP</t>
  </si>
  <si>
    <t>Erklärungen und Quellen für die Aufsichtsdaten</t>
  </si>
  <si>
    <t>Versicherungsform</t>
  </si>
  <si>
    <t>total in %</t>
  </si>
  <si>
    <t>Ordentliche Jahresfranchise</t>
  </si>
  <si>
    <t>Wählbare Jahresfranchisen</t>
  </si>
  <si>
    <t>BONUS-Versicherung</t>
  </si>
  <si>
    <t>Eingeschränkte Wahl (z.B. HMO)</t>
  </si>
  <si>
    <t>Quelle: Formular EF3 [T3.3]</t>
  </si>
  <si>
    <t xml:space="preserve">Jahr </t>
  </si>
  <si>
    <t>Ordentliche</t>
  </si>
  <si>
    <t>Wählbare</t>
  </si>
  <si>
    <t>BONUS-</t>
  </si>
  <si>
    <t>Einge-</t>
  </si>
  <si>
    <t xml:space="preserve">  Jahres-</t>
  </si>
  <si>
    <t xml:space="preserve"> Jahres-</t>
  </si>
  <si>
    <t>Versiche-</t>
  </si>
  <si>
    <t>schränk-</t>
  </si>
  <si>
    <t>franchise</t>
  </si>
  <si>
    <t>franchisen</t>
  </si>
  <si>
    <t>rung</t>
  </si>
  <si>
    <t>te Wahl</t>
  </si>
  <si>
    <t xml:space="preserve"> (z.B. HMO)</t>
  </si>
  <si>
    <t>Quelle: T 11.06</t>
  </si>
  <si>
    <t>T 1.08 Gesamtbetriebsergebnis in Franken nach Versicherungsform ab 1996</t>
  </si>
  <si>
    <t>Quelle: T 1.03, 1.04, 1.05, 1.06</t>
  </si>
  <si>
    <t>T 1.09  Gesamtbetriebsergebnis in Franken je versicherte Person nach Versicherungsform ab 1996</t>
  </si>
  <si>
    <t>Jahr</t>
  </si>
  <si>
    <t>Quelle: T 1.08 / T 11.05</t>
  </si>
  <si>
    <t>T 1.10 Verwaltungsaufwand / Abschreibungen in Franken nach Versicherungsform ab 1996</t>
  </si>
  <si>
    <t>In % des</t>
  </si>
  <si>
    <t>Versicherungs-</t>
  </si>
  <si>
    <t>und Betriebsauf-</t>
  </si>
  <si>
    <t>wand</t>
  </si>
  <si>
    <t>wands</t>
  </si>
  <si>
    <t>Quelle: T 1.03, 1.04, 1.05, 1.06 [4] &amp; 1.02 [3/4]</t>
  </si>
  <si>
    <t>T 1.11 Verwaltungsaufwand / Abschreibungen in Franken je versicherte Person nach Versicherungsform ab 1996</t>
  </si>
  <si>
    <t>Quelle: T 1.10 / T 11.05</t>
  </si>
  <si>
    <t>8: Gesamtgeschäft der vom BAG anerkannten Krankenversicherer</t>
  </si>
  <si>
    <t>Anzahl Versicherer ab 1996</t>
  </si>
  <si>
    <t>Anzahl Versicherer OKP nach Grösse ab 1996</t>
  </si>
  <si>
    <t>Stellen- und Personalbestand der Versicherer ab 1996</t>
  </si>
  <si>
    <t>Ertrag, Aufwand und Ergebnis der Versicherer ab 1996</t>
  </si>
  <si>
    <t>Gesamtbetriebsrechnung: Ertrag der Versicherer</t>
  </si>
  <si>
    <t xml:space="preserve">Gesamtbetriebsrechnung: Aufwand der Versicherer </t>
  </si>
  <si>
    <t>Aktiven und Passiven der Versicherer ab 1996</t>
  </si>
  <si>
    <t>Bilanz: Aktiven der Versicherer per 31.12.</t>
  </si>
  <si>
    <t>Bilanz: Passiven der Versicherer per 31.12.</t>
  </si>
  <si>
    <t>Aufstellung über Kapitalanlagen, Grundstücke und Gebäude per 31.12.</t>
  </si>
  <si>
    <t>Ergebnisverteilung per 31.12.</t>
  </si>
  <si>
    <t>3: Prämientarife in der OKP</t>
  </si>
  <si>
    <t>Monatliche Durchschnittsprämien ab 1996 : CH</t>
  </si>
  <si>
    <t>Kantonale monatliche Durchschnittsprämien für Erwachsene pro Prämienregion</t>
  </si>
  <si>
    <t>Kantonale monatliche Durchschnittsprämien für junge Erwachsene pro Prämienregion</t>
  </si>
  <si>
    <t>Kantonale monatliche Durchschnittsprämien für Kinder pro Prämienregion</t>
  </si>
  <si>
    <t>Verteilung der kantonalen monatlichen Durchschnittsprämien für Erwachsene</t>
  </si>
  <si>
    <t>Verteilung der kantonalen monatlichen Durchschnittsprämien für junge Erwachsene</t>
  </si>
  <si>
    <t>Verteilung der kantonalen monatlichen Durchschnittsprämien für Kinder</t>
  </si>
  <si>
    <t>Kantonale Durchschnittsprämien pro Versicherten pro Jahr ab 1996</t>
  </si>
  <si>
    <t>Prämiensoll nach Versicherungsform ab 1996</t>
  </si>
  <si>
    <t xml:space="preserve">Prämiensoll nach Versicherungsform </t>
  </si>
  <si>
    <t>Prämiensoll je versicherte Person nach Versicherungsform</t>
  </si>
  <si>
    <t>Prämiensoll je versicherte Person nach Versicherungsform ab 1996</t>
  </si>
  <si>
    <t xml:space="preserve">T 3.10  Prämiensoll in Franken nach Versicherungsform </t>
  </si>
  <si>
    <t>Quelle: Formular EF3 [T 3.4]</t>
  </si>
  <si>
    <t>T 8.12  Ergebnisverteilung per 31.12.</t>
  </si>
  <si>
    <t>Betrag</t>
  </si>
  <si>
    <t>Gesamtbetriebsrechnung:</t>
  </si>
  <si>
    <t>Vorschlag</t>
  </si>
  <si>
    <t>Rückschlag</t>
  </si>
  <si>
    <t>Zuweisungen</t>
  </si>
  <si>
    <t xml:space="preserve">Entnahmen </t>
  </si>
  <si>
    <t>Fonds:</t>
  </si>
  <si>
    <t>Reglementierte Fonds</t>
  </si>
  <si>
    <t>Immobilien</t>
  </si>
  <si>
    <t>1) Ohne T 7.04</t>
  </si>
  <si>
    <t>Quelle: Formular EF2 [2.10]</t>
  </si>
  <si>
    <r>
      <t xml:space="preserve">T 7.05  Betriebsrechnung der Zusatzversicherungen Versicherte wohnhaft im Ausland </t>
    </r>
    <r>
      <rPr>
        <b/>
        <vertAlign val="superscript"/>
        <sz val="12"/>
        <rFont val="Arial"/>
        <family val="2"/>
      </rPr>
      <t>1</t>
    </r>
  </si>
  <si>
    <t xml:space="preserve">T 7.04  Betriebsrechnung der Krankenpflegeversicherung Liechtenstein </t>
  </si>
  <si>
    <t>Quelle: Formular EF2 [2.9]</t>
  </si>
  <si>
    <t>davon Taggeldversicherung VVG</t>
  </si>
  <si>
    <t xml:space="preserve">Brutto-Prämien (60-65) </t>
  </si>
  <si>
    <t xml:space="preserve">Bezahlte Leistungen (30-33) </t>
  </si>
  <si>
    <t>1) Gemäss Art. 13 und 14 KVV, ohne  T 7.04 und 7.05.</t>
  </si>
  <si>
    <t>Quelle: Formular EF2 [2.8] &amp; EF1 [1.12C]</t>
  </si>
  <si>
    <r>
      <t xml:space="preserve">T 7.03  Betriebsrechnung der Zusatzversicherungen VVG </t>
    </r>
    <r>
      <rPr>
        <b/>
        <vertAlign val="superscript"/>
        <sz val="12"/>
        <rFont val="Arial"/>
        <family val="2"/>
      </rPr>
      <t>1</t>
    </r>
  </si>
  <si>
    <t xml:space="preserve">T 7.02  Indikatoren der Betriebsrechnung der anderen Versicherungen in Franken </t>
  </si>
  <si>
    <t>Zusatzversi-</t>
  </si>
  <si>
    <t>Kranken-</t>
  </si>
  <si>
    <t>Zusatzver-</t>
  </si>
  <si>
    <t>cherungen</t>
  </si>
  <si>
    <t>pflegever-</t>
  </si>
  <si>
    <t>sicherungen</t>
  </si>
  <si>
    <t>VVG</t>
  </si>
  <si>
    <t>sicherung</t>
  </si>
  <si>
    <t>Liechten-</t>
  </si>
  <si>
    <t>wohnhaft</t>
  </si>
  <si>
    <t>stein</t>
  </si>
  <si>
    <t xml:space="preserve"> im Ausland</t>
  </si>
  <si>
    <t>Versicherungsertrag</t>
  </si>
  <si>
    <t>davon Brutto-Prämien</t>
  </si>
  <si>
    <t>Neutraler Aufwand/Ertrag</t>
  </si>
  <si>
    <t>Total des Gesamtertrags</t>
  </si>
  <si>
    <t>Versicherungsaufwand</t>
  </si>
  <si>
    <t>davon Brutto-Leistungen</t>
  </si>
  <si>
    <t>Betriebsaufwand</t>
  </si>
  <si>
    <t>Total Vers.- und Betriebsaufwand</t>
  </si>
  <si>
    <t>Quelle: T 7.03, 7.04, 7.05</t>
  </si>
  <si>
    <t>aufwand</t>
  </si>
  <si>
    <t>1) Zusammenzug der «Zusatzversicherungen VVG»,</t>
  </si>
  <si>
    <t>«Krankenpflegeversicherung Liechtenstein» und «Zusatzversicherungen Versicherte wohnhaft im Ausland».</t>
  </si>
  <si>
    <t>2) Vorjahresvergleiche sind nur mit Vorbehalt möglich, da jene Zusatzversicherungen VAG, welche auch unternehmensrechtlich</t>
  </si>
  <si>
    <t>vom KVG-Bereich eines Versicherers abgetrennt werden, sich der Sicht der BAG-Krankenversicherungsstatistik entziehen.</t>
  </si>
  <si>
    <t>3) Revidierte Zahlen für 2002 und 2003 (ohne T 7.06).</t>
  </si>
  <si>
    <t>Quelle: T 7.02</t>
  </si>
  <si>
    <r>
      <t xml:space="preserve">T 7.01  Ertrag, Aufwand und Ergebnis der anderen Versicherungen insgesamt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 Franken ab 1996</t>
    </r>
  </si>
  <si>
    <r>
      <t xml:space="preserve">Jahr </t>
    </r>
    <r>
      <rPr>
        <vertAlign val="superscript"/>
        <sz val="11"/>
        <rFont val="Arial"/>
        <family val="2"/>
      </rPr>
      <t>2, 3</t>
    </r>
  </si>
  <si>
    <t>T 8.09  Bilanz: Aktiven der Versicherer per 31.12.</t>
  </si>
  <si>
    <t>Umlaufvermögen</t>
  </si>
  <si>
    <t>Flüssige Mittel</t>
  </si>
  <si>
    <t>Forderungen bei Versicherten</t>
  </si>
  <si>
    <t>– Forderungen bei Versicherten brutto</t>
  </si>
  <si>
    <t xml:space="preserve">– Wertberichtigung / Delkredere </t>
  </si>
  <si>
    <t>Forderungen bei Partnern</t>
  </si>
  <si>
    <t>– Forderungen bei Partnern brutto</t>
  </si>
  <si>
    <t>– Wertberichtigung / Delkredere</t>
  </si>
  <si>
    <t>Forderungen bei Rückversicherern</t>
  </si>
  <si>
    <t>Kinder (0-18 Jahre) werden für die Berechnung des Risikoausgleichs nicht miteinbezogen.</t>
  </si>
  <si>
    <r>
      <t xml:space="preserve">T 10.03  Risikoausgleich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und Versicherungsmonat nach Altersgruppen und Geschlecht</t>
    </r>
  </si>
  <si>
    <t>–</t>
  </si>
  <si>
    <t>4: Prämienverbilligung in der OKP</t>
  </si>
  <si>
    <t>Anzahl Bezüger, Bezügerquoten, subventionierte Haushalte sowie ausgerichtete Subventionen ab 1996</t>
  </si>
  <si>
    <t>Anzahl Bezüger nach Geschlecht und Kantonen</t>
  </si>
  <si>
    <t>Anzahl Bezüger nach Geschlecht und Altersgruppen</t>
  </si>
  <si>
    <t xml:space="preserve">Anzahl subventionierte Haushalte nach Haushaltsgrösse und Kantonen </t>
  </si>
  <si>
    <t>Anzahl subventionierte Haushalte nach ausbezahltem Jahresbetrag und Kantonen</t>
  </si>
  <si>
    <t xml:space="preserve">Kantonale Grenzbeträge für die Berechtigung: Massgebende Einkommen </t>
  </si>
  <si>
    <t>Maximale, budgetierte und ausbezahlte Subventionen ab 1996</t>
  </si>
  <si>
    <t xml:space="preserve">KVG-Verteilmodell: Berechnungsbasis sowie Bundes- und Kantonsbeiträge </t>
  </si>
  <si>
    <t>Reduktionsfaktor und Subventionen nach Reduktion nach Kantonen</t>
  </si>
  <si>
    <t xml:space="preserve">Ausgerichtete Leistungen nach Kantonen </t>
  </si>
  <si>
    <t>Bezügerquoten nach Geschlecht und Kantonen und begünstigte Haushalte in %</t>
  </si>
  <si>
    <t>T 4.02 Anzahl Bezüger nach Geschlecht und Kantonen</t>
  </si>
  <si>
    <t xml:space="preserve">davon </t>
  </si>
  <si>
    <t>Männliche</t>
  </si>
  <si>
    <t>Weibliche</t>
  </si>
  <si>
    <t>Bezüger, deren</t>
  </si>
  <si>
    <t>Personen</t>
  </si>
  <si>
    <t>Ergänzungs-</t>
  </si>
  <si>
    <t>Sozialhilfe-</t>
  </si>
  <si>
    <t>OKP Prämien</t>
  </si>
  <si>
    <t>Leistungs-</t>
  </si>
  <si>
    <t>Bezüger</t>
  </si>
  <si>
    <t>vollumfänglich</t>
  </si>
  <si>
    <t>verbilligt werden</t>
  </si>
  <si>
    <t>Quelle: Formular PV2 [2.1]</t>
  </si>
  <si>
    <t>1) Anzahl Personen, an welche im Berichtsjahr Subventionen nach KVG ausgerichtet wurden.</t>
  </si>
  <si>
    <r>
      <t xml:space="preserve">Bezüger </t>
    </r>
    <r>
      <rPr>
        <vertAlign val="superscript"/>
        <sz val="11"/>
        <rFont val="Arial"/>
        <family val="2"/>
      </rPr>
      <t>1</t>
    </r>
  </si>
  <si>
    <t>T 4.03 Anzahl Bezüger nach Geschlecht und Altersgruppen</t>
  </si>
  <si>
    <t>Altersgruppe</t>
  </si>
  <si>
    <t>männlich</t>
  </si>
  <si>
    <t>weiblich</t>
  </si>
  <si>
    <t>Anteil am</t>
  </si>
  <si>
    <t>Gesamt-</t>
  </si>
  <si>
    <t>total</t>
  </si>
  <si>
    <t>0 – 5</t>
  </si>
  <si>
    <t>6 – 10</t>
  </si>
  <si>
    <t>11 – 15</t>
  </si>
  <si>
    <t>16 – 18</t>
  </si>
  <si>
    <t>19 – 20</t>
  </si>
  <si>
    <t>20 – 25</t>
  </si>
  <si>
    <t>26 – 30</t>
  </si>
  <si>
    <t>31 – 35</t>
  </si>
  <si>
    <t>36 – 40</t>
  </si>
  <si>
    <t>41 – 45</t>
  </si>
  <si>
    <t>46 – 50</t>
  </si>
  <si>
    <t>51 – 55</t>
  </si>
  <si>
    <t>56 – 60</t>
  </si>
  <si>
    <t>61 – 65</t>
  </si>
  <si>
    <t>66 – 70</t>
  </si>
  <si>
    <t>71 – 75</t>
  </si>
  <si>
    <t>76 – 80</t>
  </si>
  <si>
    <t>81 – 85</t>
  </si>
  <si>
    <t>86 – 90</t>
  </si>
  <si>
    <t>91 – 95</t>
  </si>
  <si>
    <t>96 und mehr</t>
  </si>
  <si>
    <t>Alter unbekannt</t>
  </si>
  <si>
    <t>Haushaltgrösse gemäss Anzahl Haushaltsmitglieder</t>
  </si>
  <si>
    <t>Haushalte</t>
  </si>
  <si>
    <t>davon</t>
  </si>
  <si>
    <t>1 Person</t>
  </si>
  <si>
    <t>2 Perso-</t>
  </si>
  <si>
    <t>3 Perso-</t>
  </si>
  <si>
    <t>4 Perso-</t>
  </si>
  <si>
    <t>5 Perso-</t>
  </si>
  <si>
    <t>alleiner-</t>
  </si>
  <si>
    <t>nen</t>
  </si>
  <si>
    <t>nen und</t>
  </si>
  <si>
    <t>ziehende</t>
  </si>
  <si>
    <t>mehr</t>
  </si>
  <si>
    <t xml:space="preserve">FR </t>
  </si>
  <si>
    <t xml:space="preserve">SO </t>
  </si>
  <si>
    <t>Quelle: Formular PV2 [2.2]</t>
  </si>
  <si>
    <t>1) Anzahl subventionierte Haushalte im Sinne der kantonalen Regelungen zur Prämienverbilligung.</t>
  </si>
  <si>
    <t>2) Alleinerziehende Personen mit einem oder mehreren Kindern.</t>
  </si>
  <si>
    <r>
      <t xml:space="preserve">T 4.04 Anzahl subventionierte Haushalte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nach Haushaltsgrösse und Kantonen</t>
    </r>
  </si>
  <si>
    <r>
      <t xml:space="preserve">Haushalte </t>
    </r>
    <r>
      <rPr>
        <vertAlign val="superscript"/>
        <sz val="11"/>
        <rFont val="Arial"/>
        <family val="2"/>
      </rPr>
      <t>2</t>
    </r>
  </si>
  <si>
    <t>Ausbezahlter Jahresbetrag</t>
  </si>
  <si>
    <t>1 - 600</t>
  </si>
  <si>
    <t>601 -</t>
  </si>
  <si>
    <t>1'201 -</t>
  </si>
  <si>
    <t>2'401 -</t>
  </si>
  <si>
    <t>3'601 -</t>
  </si>
  <si>
    <t>mehr als</t>
  </si>
  <si>
    <t>Jahresbe-</t>
  </si>
  <si>
    <t>Fr.</t>
  </si>
  <si>
    <t>1'200 Fr.</t>
  </si>
  <si>
    <t>2'400 Fr.</t>
  </si>
  <si>
    <t>3'600 Fr.</t>
  </si>
  <si>
    <t>4'800 Fr.</t>
  </si>
  <si>
    <t>trag un-</t>
  </si>
  <si>
    <t>bekannt</t>
  </si>
  <si>
    <r>
      <t xml:space="preserve">T 4.05 Anzahl subventionierte Haushalte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nach ausbezahltem Jahresbetrag und Kantonen </t>
    </r>
  </si>
  <si>
    <t>Obergrenze des massgebenden Einkommens in Fr.</t>
  </si>
  <si>
    <t>Hauhaltsvorstand alleinstehend/alleinerziehend</t>
  </si>
  <si>
    <t>Hauhaltsvorstand verheiratet</t>
  </si>
  <si>
    <t>Keine</t>
  </si>
  <si>
    <t>1 Kind</t>
  </si>
  <si>
    <t>2 Kinder</t>
  </si>
  <si>
    <t>3 Kinder</t>
  </si>
  <si>
    <t>Quelle: Formular PV2 [2.3]</t>
  </si>
  <si>
    <t>1) Für massgebende Einkommen, die höher sind als die obenstehenden Beträge, werden keine Subventionen mehr ausbezahlt.</t>
  </si>
  <si>
    <t>Das massgebende Einkommen entspricht einem je nach Kanton definierten Einkommen, meist "steuerbares Einkommen" aber auch "Reineinkommen"</t>
  </si>
  <si>
    <t>oder "Effektives Einkommen", zuzüglich einem bestimmten Anteil des Vermögens (meist "steuerbares Vermögen" oder "Reinvermögen").</t>
  </si>
  <si>
    <r>
      <t xml:space="preserve">T 4.06 Kantonale Grenzbeträge für die Berechtigung: Massgebende Einkommen </t>
    </r>
    <r>
      <rPr>
        <b/>
        <vertAlign val="superscript"/>
        <sz val="12"/>
        <rFont val="Arial"/>
        <family val="2"/>
      </rPr>
      <t>1</t>
    </r>
  </si>
  <si>
    <t>Datenstand: 8.8.07</t>
  </si>
  <si>
    <t/>
  </si>
  <si>
    <t>17.7.07: 2.04 -&gt; 2.13, 5.02, 10.01 -&gt; 10.03</t>
  </si>
  <si>
    <t>8.8.07: 4.02 -&gt; 4.06</t>
  </si>
  <si>
    <t>1: Finanzen und obligatorische Krankenpflegeversicherung (OKP)</t>
  </si>
  <si>
    <t>Obligatorische Krankenpflegeversicherung ab 1996 : wichtigste Indikatoren</t>
  </si>
  <si>
    <t xml:space="preserve">Betriebsrechnung der obligatorischen Krankenpflegeversicherung KVG insgesamt </t>
  </si>
  <si>
    <t>Betriebsrechnung der Versicherung mit ordentlicher Franchise</t>
  </si>
  <si>
    <t xml:space="preserve">Betriebsrechnung der Versicherungen mit wählbarer Franchise </t>
  </si>
  <si>
    <t>3) In der Kollektivversicherung gibt es auch Lohnsummenverträge, bei denen die Zahl der Versicherten nicht bekannt ist.</t>
  </si>
  <si>
    <r>
      <t xml:space="preserve">rung </t>
    </r>
    <r>
      <rPr>
        <vertAlign val="superscript"/>
        <sz val="11"/>
        <color indexed="10"/>
        <rFont val="Arial"/>
        <family val="2"/>
      </rPr>
      <t>3</t>
    </r>
  </si>
  <si>
    <t xml:space="preserve">Betriebsrechnung der BONUS-Versicherung </t>
  </si>
  <si>
    <t>T 8.01 Anzahl KVG Versicherer ab 1996</t>
  </si>
  <si>
    <t>A</t>
  </si>
  <si>
    <t>B</t>
  </si>
  <si>
    <t>C</t>
  </si>
  <si>
    <t>D</t>
  </si>
  <si>
    <t xml:space="preserve">Anzahl </t>
  </si>
  <si>
    <t>Zuwachs</t>
  </si>
  <si>
    <t>Abgang</t>
  </si>
  <si>
    <t>Obligatorische</t>
  </si>
  <si>
    <t>Freiwillige</t>
  </si>
  <si>
    <t>Krankenpflege-</t>
  </si>
  <si>
    <t>Taggeld-</t>
  </si>
  <si>
    <t>KVG</t>
  </si>
  <si>
    <t>versicherung</t>
  </si>
  <si>
    <t>1) Nur obligatorische Krankenpflegeversicherung = A - C ; nur freiwillige Taggeldversicherung = A - B</t>
  </si>
  <si>
    <t>Quelle: T 5.01; T 5.03; T 5.04</t>
  </si>
  <si>
    <r>
      <t xml:space="preserve">    Anzahl KVG-Versicherer </t>
    </r>
    <r>
      <rPr>
        <vertAlign val="superscript"/>
        <sz val="11"/>
        <rFont val="Arial"/>
        <family val="2"/>
      </rPr>
      <t>1</t>
    </r>
  </si>
  <si>
    <r>
      <t xml:space="preserve">OKP </t>
    </r>
    <r>
      <rPr>
        <b/>
        <i/>
        <sz val="11"/>
        <rFont val="Arial"/>
        <family val="2"/>
      </rPr>
      <t>und</t>
    </r>
  </si>
  <si>
    <t xml:space="preserve">Betriebsrechnung der Versicherungen mit eingeschränkter Wahl des Leistungserbringers </t>
  </si>
  <si>
    <t>Betriebsrechnung der obligatorischen Krankenpflegeversicherung Personen mit Wohnsitz in einem EG-Staat</t>
  </si>
  <si>
    <t>Gesamtbetriebsergebnis  nach Versicherungsform ab 1996</t>
  </si>
  <si>
    <t>Gesamtbetriebsergebnis  je versicherte Person nach Versicherungsform ab 1996</t>
  </si>
  <si>
    <t>Verwaltungsaufwand / Abschreibungen  nach Versicherungsform ab 1996</t>
  </si>
  <si>
    <t xml:space="preserve">Verwaltungsaufwand / Abschreibungen  je versicherte Person nach Versicherungsform ab 1996 </t>
  </si>
  <si>
    <t>Stand der Reserven per 31.12. ab 1996</t>
  </si>
  <si>
    <t xml:space="preserve">Stand der Rückstellungen per 31.12. für unerledigte Versicherungsfälle ab 1996 </t>
  </si>
  <si>
    <t>Kontengruppen</t>
  </si>
  <si>
    <t>Krankheit</t>
  </si>
  <si>
    <t>Unfall</t>
  </si>
  <si>
    <t>in Fr.</t>
  </si>
  <si>
    <t>Prämien</t>
  </si>
  <si>
    <t>Erlösminderungen für Prämien (-)</t>
  </si>
  <si>
    <t>Andere Beitragsanteile</t>
  </si>
  <si>
    <t>60-65</t>
  </si>
  <si>
    <t>Brutto-Prämien</t>
  </si>
  <si>
    <t>Prämienanteile der Rückversicherer (-)</t>
  </si>
  <si>
    <t>60-66</t>
  </si>
  <si>
    <t>Eigene Versicherungsprämien</t>
  </si>
  <si>
    <t>Prämienverbilligung / sonstige Beiträge</t>
  </si>
  <si>
    <t>Prämienermässigung an Versicherte (-)</t>
  </si>
  <si>
    <t>Sonstige Betriebserträge</t>
  </si>
  <si>
    <t>Total Versicherungsertrag</t>
  </si>
  <si>
    <t>Leistungen</t>
  </si>
  <si>
    <t>Kostenbeteiligung der Versicherten (-)</t>
  </si>
  <si>
    <t>30-33</t>
  </si>
  <si>
    <t>Bezahlte Leistungen</t>
  </si>
  <si>
    <t>Sonstige Aufwendungen für Leistungen</t>
  </si>
  <si>
    <t>Rückstellungen für unerledigte Versicherungsfälle</t>
  </si>
  <si>
    <t>30-35</t>
  </si>
  <si>
    <t>Brutto-Leistungen</t>
  </si>
  <si>
    <t>Leistungsanteile der Rückversicherer (-)</t>
  </si>
  <si>
    <t>Risikoausgleich</t>
  </si>
  <si>
    <t>Total Versicherungsaufwand</t>
  </si>
  <si>
    <t>40-47</t>
  </si>
  <si>
    <t>Verwaltungsaufwand</t>
  </si>
  <si>
    <t>Abschreibungen</t>
  </si>
  <si>
    <t>Sonstige Betriebsaufwendungen</t>
  </si>
  <si>
    <t>Total Betriebsaufwand</t>
  </si>
  <si>
    <t>3/4</t>
  </si>
  <si>
    <t>Total Versicherungs- und Betriebsaufwand</t>
  </si>
  <si>
    <t>Versicherungsbetriebsergebnis</t>
  </si>
  <si>
    <t>Neutraler Aufwand / Ertrag</t>
  </si>
  <si>
    <t>Gesamtbetriebsergebnis</t>
  </si>
  <si>
    <t>1) Vgl. Fussnote 3) von Tabelle 11.02.</t>
  </si>
  <si>
    <t>Quelle: Formular EF2 [Summe 2.2 bis 2.7]</t>
  </si>
  <si>
    <t>1) Effektiv im Berichtsjahr an die Haushalte/BezügerInnen ausbezahlte Prämienverbilligungen nach KVG. Bund und Kantone.</t>
  </si>
  <si>
    <r>
      <t xml:space="preserve">nach KVG </t>
    </r>
    <r>
      <rPr>
        <b/>
        <vertAlign val="superscript"/>
        <sz val="11"/>
        <rFont val="Arial"/>
        <family val="2"/>
      </rPr>
      <t>1</t>
    </r>
  </si>
  <si>
    <t>* davon Anteil</t>
  </si>
  <si>
    <t xml:space="preserve">T 4.07 Maximale, budgetierte und ausbezahlte Subventionen ab 1996 </t>
  </si>
  <si>
    <t>Subven-</t>
  </si>
  <si>
    <t>Reduktions-</t>
  </si>
  <si>
    <t>Ausbezahlte</t>
  </si>
  <si>
    <t>budget nach</t>
  </si>
  <si>
    <t>Subventionen</t>
  </si>
  <si>
    <t>Durchschnitt</t>
  </si>
  <si>
    <t>CH in %</t>
  </si>
  <si>
    <t>Quelle: Fussnote 1) &amp; T 4.09 &amp; T 4.10</t>
  </si>
  <si>
    <t xml:space="preserve">1) Maximaler Subventionsbetrag von Bund und Kantonen gemäss KVG-Verteilmodell: </t>
  </si>
  <si>
    <t xml:space="preserve">   Art. 106 KVG &amp; Bundesbeschlüsse über die Bundesbeiträge in der Krankenversicherung.</t>
  </si>
  <si>
    <t>T 9.19  Gesundheitskosten ausgewählter OECD–Länder in % des BIP ab 1996</t>
  </si>
  <si>
    <t>Land</t>
  </si>
  <si>
    <t>Australien</t>
  </si>
  <si>
    <t>Belgien</t>
  </si>
  <si>
    <t>Dänemark</t>
  </si>
  <si>
    <t>Deutschland</t>
  </si>
  <si>
    <t>Finnland</t>
  </si>
  <si>
    <t>Frankreich</t>
  </si>
  <si>
    <t>Grossbritannien</t>
  </si>
  <si>
    <t>Italien</t>
  </si>
  <si>
    <t>Japan</t>
  </si>
  <si>
    <t>Niederlande</t>
  </si>
  <si>
    <t>Norwegen</t>
  </si>
  <si>
    <t>Österreich</t>
  </si>
  <si>
    <t>Schweden</t>
  </si>
  <si>
    <t>Spanien</t>
  </si>
  <si>
    <t>USA</t>
  </si>
  <si>
    <t>Datenstand: 22.10.07</t>
  </si>
  <si>
    <t>Quelle: www.oecd.org/home/   Topics &gt; Health &gt; OECD Health Data 2007 -</t>
  </si>
  <si>
    <t>1) Quelle: T 6.04 Brutto-Prämien [60-65] und bezahlte Leistungen [30-33]. Mit Unfallversicherung.</t>
  </si>
  <si>
    <t>2) Quelle: T 7.03 : Krankentaggeld VVG (BAG). Mit Unfallversicherung.</t>
  </si>
  <si>
    <t>3) Total: die kursiv gedruckten Zahlen wurden vom BSV geschätzt auf der Basis der vom BPV gelieferten Zahlen.</t>
  </si>
  <si>
    <t>4) Quelle: Die privaten Versicherungseinrichtungen in der Schweiz (BPV), detaillierte Fassung der Tabelle AS03N. Für 1996 sind keine Zahlen verfügbar.</t>
  </si>
  <si>
    <t>5) Das BPV konnte die definitiven Werte für 2004 bis zum Redaktionsschluss (15.10.05) nicht liefern.</t>
  </si>
  <si>
    <r>
      <t>Total</t>
    </r>
    <r>
      <rPr>
        <b/>
        <vertAlign val="superscript"/>
        <sz val="11"/>
        <rFont val="Arial"/>
        <family val="2"/>
      </rPr>
      <t xml:space="preserve"> 3</t>
    </r>
  </si>
  <si>
    <r>
      <t xml:space="preserve">VVG </t>
    </r>
    <r>
      <rPr>
        <vertAlign val="superscript"/>
        <sz val="11"/>
        <rFont val="Arial"/>
        <family val="2"/>
      </rPr>
      <t>2</t>
    </r>
  </si>
  <si>
    <r>
      <t xml:space="preserve">VVG </t>
    </r>
    <r>
      <rPr>
        <vertAlign val="superscript"/>
        <sz val="11"/>
        <rFont val="Arial"/>
        <family val="2"/>
      </rPr>
      <t>4</t>
    </r>
  </si>
  <si>
    <r>
      <t xml:space="preserve">KVG </t>
    </r>
    <r>
      <rPr>
        <vertAlign val="superscript"/>
        <sz val="11"/>
        <rFont val="Arial"/>
        <family val="2"/>
      </rPr>
      <t>1</t>
    </r>
  </si>
  <si>
    <r>
      <t xml:space="preserve">(-&gt; 2003: Bundesamt für Privatversicherungen [BPV]. Ohne Unfallversicherung.). </t>
    </r>
    <r>
      <rPr>
        <i/>
        <sz val="10"/>
        <rFont val="Arial"/>
        <family val="2"/>
      </rPr>
      <t>1996: Schätzung BSV.</t>
    </r>
  </si>
  <si>
    <r>
      <t xml:space="preserve">     Der Anteil der Kollektivversicherung (Prämien und Leistungen) umfasst mehr als 90 %. Ohne Unfallversicherung. </t>
    </r>
    <r>
      <rPr>
        <i/>
        <sz val="10"/>
        <rFont val="Arial"/>
        <family val="2"/>
      </rPr>
      <t>1996:  Schätzungen  BSV.</t>
    </r>
  </si>
  <si>
    <t>Ärztliche Leistungen</t>
  </si>
  <si>
    <t>Zahnärztliche Leistungen</t>
  </si>
  <si>
    <t>Spital-leistungen</t>
  </si>
  <si>
    <t>Medizinische Apparate</t>
  </si>
  <si>
    <t>Andere Gesundheits-leistungen</t>
  </si>
  <si>
    <t>Gesundheits-pflege (Total)</t>
  </si>
  <si>
    <t>Allgemeiner Kostenindex (LIK)</t>
  </si>
  <si>
    <t>Vorjahresveränderung der Preisindizes für Gesundheitspflege ab 1996</t>
  </si>
  <si>
    <t>1) Basis des Indexes der Konsumentenpreise: Mai 2000 = 100. Indizes neu berechnet auf der Basis Jahresdurchschnitt 1996 = 100.</t>
  </si>
  <si>
    <t>Methode zur Ermittlung des Index  "Gesundheitspflege":</t>
  </si>
  <si>
    <t>- Gesundheitskosten: Gewichtung nach den 6 in der Folge aufgeführten Teilindizes:</t>
  </si>
  <si>
    <t xml:space="preserve"> - Medikamente: Kostenermittlung bei rund 200 Medikamenten in den 10 umsatzstärksten Behandlungskategorien</t>
  </si>
  <si>
    <t xml:space="preserve"> - Ärztliche Leistungen: Gewichtung nach 26 kantonalen Indizes; </t>
  </si>
  <si>
    <t xml:space="preserve">   für jeden Kanton werden die 30 umsatzstärksten Tarifpositionen ermittelt </t>
  </si>
  <si>
    <t xml:space="preserve"> - Zahnärztliche Leistungen: Kostenermittlung von 11 typischen Leistungsarten in 16 Gemeinden, bei ca. 50 Zahnärzten</t>
  </si>
  <si>
    <t xml:space="preserve"> - Spitalleistungen: Gewichtung nach 26 kantonalen Indizes unter Berücksichtigung der Tarife für stationäre und ambulante Dienste.</t>
  </si>
  <si>
    <t xml:space="preserve">   Betrachtet wurden öffentliche und private Akutspitäler und Psychiatrieeinrichtungen.</t>
  </si>
  <si>
    <t xml:space="preserve"> - Medizinische Geräte: Kostenermittlung nach den typischen Leistungen in den Bereichen Augenoptik (Brillen und </t>
  </si>
  <si>
    <t xml:space="preserve">   Kontaktlinsen in 16 Gemeinden), Hörgeräte (Kostenfeststellung nach den 6 - nach BAG-Tarif - meistverkauften Geräten)</t>
  </si>
  <si>
    <t xml:space="preserve">  und andere medizinische Geräte (z.B. Gehhilfen, Stützen usw.)</t>
  </si>
  <si>
    <t xml:space="preserve"> - Andere Gesundheitsleistungen: Kostenermittlung nach den typischen Leistungen in den Bereichen Physiotherapie, Labor und Spitex. </t>
  </si>
  <si>
    <t>Quelle: BFS, Sektion Preise und Verbrauch.</t>
  </si>
  <si>
    <r>
      <t xml:space="preserve">T 9.12  Entwicklung der Preisindizes für Gesundheitspflege ab 1996 </t>
    </r>
    <r>
      <rPr>
        <b/>
        <vertAlign val="superscript"/>
        <sz val="12"/>
        <rFont val="Arial"/>
        <family val="2"/>
      </rPr>
      <t>1</t>
    </r>
  </si>
  <si>
    <t>Grund-</t>
  </si>
  <si>
    <t>2) Die Zusatzversicherungen gemäss VVG der KVG-Versicherer (Krankenkassen) ab 1996 sind nicht in diesen Zahlen inbegriffen.</t>
  </si>
  <si>
    <t>3) Zusatzversicherungen der KVG-Versicherer (Krankenkassen) : ab 1996 gemäss VVG. Mit Unfallversicherung.</t>
  </si>
  <si>
    <t>Quelle: T 7.03 Brutto-Prämien [60-65] und bezahlte Leistungen [30-33] (BAG) - Krankentaggeld VVG (-&gt; 2003: Bundesamt für Privatversicherungen [BPV]).</t>
  </si>
  <si>
    <t>4) Quelle: T 1.02 Brutto-Prämien [60-65] und bezahlte Leistungen [30-33]. Mit Unfallversicherung.</t>
  </si>
  <si>
    <r>
      <t xml:space="preserve">T 9.18  Krankenversicherung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(KVG-Versicherer und Privatversicherer) ab 1996 in Mio. Fr.</t>
    </r>
  </si>
  <si>
    <r>
      <t xml:space="preserve">Privat-versicherer </t>
    </r>
    <r>
      <rPr>
        <b/>
        <vertAlign val="superscript"/>
        <sz val="11"/>
        <rFont val="Arial"/>
        <family val="2"/>
      </rPr>
      <t>2</t>
    </r>
  </si>
  <si>
    <r>
      <t xml:space="preserve">versicherung </t>
    </r>
    <r>
      <rPr>
        <vertAlign val="superscript"/>
        <sz val="10"/>
        <rFont val="Arial"/>
        <family val="2"/>
      </rPr>
      <t>4</t>
    </r>
  </si>
  <si>
    <r>
      <t xml:space="preserve">sicherung </t>
    </r>
    <r>
      <rPr>
        <vertAlign val="superscript"/>
        <sz val="11"/>
        <rFont val="Arial"/>
        <family val="2"/>
      </rPr>
      <t>3</t>
    </r>
  </si>
  <si>
    <r>
      <t xml:space="preserve">1) Krankenpflegeversicherung: Prämien und Leistungen ohne Taggeldversicherung; </t>
    </r>
    <r>
      <rPr>
        <i/>
        <sz val="10"/>
        <rFont val="Arial"/>
        <family val="2"/>
      </rPr>
      <t>1996: Schätzung BSV</t>
    </r>
    <r>
      <rPr>
        <sz val="10"/>
        <rFont val="Arial"/>
        <family val="2"/>
      </rPr>
      <t>.</t>
    </r>
  </si>
  <si>
    <r>
      <t xml:space="preserve">Quelle: T 9.16. </t>
    </r>
    <r>
      <rPr>
        <u/>
        <sz val="10"/>
        <rFont val="Arial"/>
        <family val="2"/>
      </rPr>
      <t>Ohne</t>
    </r>
    <r>
      <rPr>
        <sz val="10"/>
        <rFont val="Arial"/>
        <family val="2"/>
      </rPr>
      <t xml:space="preserve"> Unfallversicherung.</t>
    </r>
  </si>
  <si>
    <t>Datenstand: 12.11.07</t>
  </si>
  <si>
    <t>Datenstand: 29.6.07</t>
  </si>
  <si>
    <t>Noch zur Verrechnung gelangende Abgabeerträge VOC und HEL</t>
  </si>
  <si>
    <t>Verbindlichkeiten bei Partnern</t>
  </si>
  <si>
    <t>Verbindlichkeiten bei Rückversicherern</t>
  </si>
  <si>
    <t>Verbindlichkeiten bei der Gemeinsamen Einrichtung KVG</t>
  </si>
  <si>
    <t>Verbindlichkeiten bei anderen Versicherern</t>
  </si>
  <si>
    <t>Übrige Verbindlichkeiten und passive Rechnungsabgrenzung</t>
  </si>
  <si>
    <t>Rückstellung für unerledigte Versicherungsfälle, Risikoausgleich, nicht versicherungstechn. Rückstellungen, Rücklagen aus Fusionen</t>
  </si>
  <si>
    <t xml:space="preserve">Oblig. Krankenpflegevers. (ohne Kto. 270.2 und 270.3)  </t>
  </si>
  <si>
    <t>Nicht versicherungstechnische Rückstellungen KVG</t>
  </si>
  <si>
    <t>Oblig. Krankenpflegevers. (effektive Kosten gemäss Verordnung (EWG) Nr. 574/72 Art. 93)</t>
  </si>
  <si>
    <t>Oblig. Krankenpflegevers. (Pauschalkosten gem. Verordnung (EWG) Nr. 574/72 Art. 94 und 95)</t>
  </si>
  <si>
    <t>– Freiwillige Taggeldversicherung nach KVG</t>
  </si>
  <si>
    <t>– Aktive Rückversicherung</t>
  </si>
  <si>
    <t>– Zusatzversicherungen inkl. Taggeld VVG</t>
  </si>
  <si>
    <t>– Nicht versicherungstechnische Rückstellungen VVG</t>
  </si>
  <si>
    <t>– Risikoausgleich</t>
  </si>
  <si>
    <t>– Zweckgebundene Rücklagen aus Fusionen</t>
  </si>
  <si>
    <t>Fonds und Eigenkapital</t>
  </si>
  <si>
    <t>Fonds</t>
  </si>
  <si>
    <t>– Reglementierte Fonds</t>
  </si>
  <si>
    <t>– Immobilien (Renovationen, Umbauten)</t>
  </si>
  <si>
    <t>– EDV-Projekte</t>
  </si>
  <si>
    <t>Eigenkapital</t>
  </si>
  <si>
    <t>T 11.19  Anzahl Versicherte OKP nach Grösse der Versicherer ab 1996</t>
  </si>
  <si>
    <t>T 11.12 Versichertenbestand KVG nach Geschlecht  am 1.1.2007</t>
  </si>
  <si>
    <t>Anzahl Versicherte OKP nach Grösse der Versicherer ab 1996</t>
  </si>
  <si>
    <t>16.10.07: 3.03, 3.04, T11</t>
  </si>
  <si>
    <t>STAT KV: Berichte: PDF 1996-2005, Tabellen: XLS 1996-2006, Grafiken: PDF 2004 &amp; XLS 2005-2006 auf der Internet-Adresse</t>
  </si>
  <si>
    <t>– Liegenschaftsergebnis</t>
  </si>
  <si>
    <t>Neutraler Aufwand und Ertrag</t>
  </si>
  <si>
    <t>– Kapitalertrag</t>
  </si>
  <si>
    <t>– Kapitalaufwand</t>
  </si>
  <si>
    <t>– Wertberichtigung auf Wertschriften</t>
  </si>
  <si>
    <t>T 9.07 Kosten des Gesundheitswesens in der Schweiz aus der Sicht der Krankenversicherungsleistungen in Millionen Franken ab 1996</t>
  </si>
  <si>
    <t>Finanzierungsträger</t>
  </si>
  <si>
    <t>Durchschnittl.</t>
  </si>
  <si>
    <t>Schätzung</t>
  </si>
  <si>
    <t>des Gesundheitswesens</t>
  </si>
  <si>
    <t>jährl.</t>
  </si>
  <si>
    <t>Übrige Systeme der sozialen Sicherheit</t>
  </si>
  <si>
    <t>Obligatorische Krankenpflegeversicherung KVG</t>
  </si>
  <si>
    <t xml:space="preserve"> Übriger Aufwand</t>
  </si>
  <si>
    <t xml:space="preserve"> Verwaltungskosten (inkl. Prävention) </t>
  </si>
  <si>
    <t>1) - 17) und Quellen: siehe Fussnoten unter der Tabelle 9.08.</t>
  </si>
  <si>
    <r>
      <t xml:space="preserve">2006 </t>
    </r>
    <r>
      <rPr>
        <i/>
        <vertAlign val="superscript"/>
        <sz val="10"/>
        <rFont val="Arial"/>
        <family val="2"/>
      </rPr>
      <t>17</t>
    </r>
  </si>
  <si>
    <r>
      <t xml:space="preserve">Staat </t>
    </r>
    <r>
      <rPr>
        <b/>
        <vertAlign val="superscript"/>
        <sz val="10"/>
        <rFont val="Arial"/>
        <family val="2"/>
      </rPr>
      <t>1</t>
    </r>
  </si>
  <si>
    <r>
      <t xml:space="preserve">Sozialversicherungen </t>
    </r>
    <r>
      <rPr>
        <b/>
        <vertAlign val="superscript"/>
        <sz val="10"/>
        <rFont val="Arial"/>
        <family val="2"/>
      </rPr>
      <t>2</t>
    </r>
  </si>
  <si>
    <r>
      <t xml:space="preserve">     Ergänzungsleistungen </t>
    </r>
    <r>
      <rPr>
        <b/>
        <vertAlign val="superscript"/>
        <sz val="9"/>
        <rFont val="Arial"/>
        <family val="2"/>
      </rPr>
      <t>7</t>
    </r>
  </si>
  <si>
    <r>
      <t xml:space="preserve">     Sozialhilfe </t>
    </r>
    <r>
      <rPr>
        <b/>
        <vertAlign val="superscript"/>
        <sz val="9"/>
        <rFont val="Arial"/>
        <family val="2"/>
      </rPr>
      <t>7</t>
    </r>
  </si>
  <si>
    <r>
      <t xml:space="preserve">     Hilflosenentschädigungen </t>
    </r>
    <r>
      <rPr>
        <b/>
        <vertAlign val="superscript"/>
        <sz val="9"/>
        <rFont val="Arial"/>
        <family val="2"/>
      </rPr>
      <t>7</t>
    </r>
  </si>
  <si>
    <r>
      <t xml:space="preserve">Brutto Krankenversicherungleistungen 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 xml:space="preserve"> </t>
    </r>
  </si>
  <si>
    <r>
      <t xml:space="preserve">       davon Kostenbeteiligung </t>
    </r>
    <r>
      <rPr>
        <b/>
        <vertAlign val="superscript"/>
        <sz val="8"/>
        <rFont val="Arial"/>
        <family val="2"/>
      </rPr>
      <t>11</t>
    </r>
  </si>
  <si>
    <r>
      <t xml:space="preserve">      davon Prämienverbilligung KVG </t>
    </r>
    <r>
      <rPr>
        <b/>
        <vertAlign val="superscript"/>
        <sz val="8"/>
        <rFont val="Arial"/>
        <family val="2"/>
      </rPr>
      <t>13</t>
    </r>
  </si>
  <si>
    <r>
      <t xml:space="preserve">Zusatzversicherungen VVG der KVG-Versicherer </t>
    </r>
    <r>
      <rPr>
        <vertAlign val="superscript"/>
        <sz val="9"/>
        <rFont val="Arial"/>
        <family val="2"/>
      </rPr>
      <t>5</t>
    </r>
  </si>
  <si>
    <r>
      <t xml:space="preserve">      davon Kostenbeteiligung </t>
    </r>
    <r>
      <rPr>
        <b/>
        <vertAlign val="superscript"/>
        <sz val="8"/>
        <rFont val="Arial"/>
        <family val="2"/>
      </rPr>
      <t>11</t>
    </r>
  </si>
  <si>
    <r>
      <t xml:space="preserve">Zusatzversicherungen VVG der Privatversicherer </t>
    </r>
    <r>
      <rPr>
        <vertAlign val="superscript"/>
        <sz val="9"/>
        <rFont val="Arial"/>
        <family val="2"/>
      </rPr>
      <t>6</t>
    </r>
  </si>
  <si>
    <r>
      <t xml:space="preserve">Andere </t>
    </r>
    <r>
      <rPr>
        <b/>
        <vertAlign val="superscript"/>
        <sz val="10"/>
        <rFont val="Arial"/>
        <family val="2"/>
      </rPr>
      <t>16</t>
    </r>
  </si>
  <si>
    <r>
      <t xml:space="preserve">Out of pocket (Haushalte) </t>
    </r>
    <r>
      <rPr>
        <b/>
        <vertAlign val="superscript"/>
        <sz val="10"/>
        <rFont val="Arial"/>
        <family val="2"/>
      </rPr>
      <t>8</t>
    </r>
  </si>
  <si>
    <r>
      <t xml:space="preserve">Übrige private Finanzierung </t>
    </r>
    <r>
      <rPr>
        <b/>
        <vertAlign val="superscript"/>
        <sz val="10"/>
        <rFont val="Arial"/>
        <family val="2"/>
      </rPr>
      <t>9</t>
    </r>
  </si>
  <si>
    <r>
      <t xml:space="preserve">Total Kosten des Gesundheitswesens </t>
    </r>
    <r>
      <rPr>
        <b/>
        <vertAlign val="superscript"/>
        <sz val="10"/>
        <rFont val="Arial"/>
        <family val="2"/>
      </rPr>
      <t>12</t>
    </r>
  </si>
  <si>
    <t>T 9.08 Details des Finanzierungssaldos in Millionen Franken ab 1996</t>
  </si>
  <si>
    <t xml:space="preserve">Durchschnittl. </t>
  </si>
  <si>
    <t>Krankenversicherer</t>
  </si>
  <si>
    <t xml:space="preserve">Zusatzversicherungen VVG der KVG-Versicherer </t>
  </si>
  <si>
    <t>Zusatzversicherungen VVG der Privatversicherer</t>
  </si>
  <si>
    <t>Fussnoten T 9.06:</t>
  </si>
  <si>
    <t>1) Subventionen oder direkte Leistungen an das Gesundheitswesen (an die Leistungserbringer (Spitäler), an die</t>
  </si>
  <si>
    <t xml:space="preserve">   sozialmedizinischen Institutionen, an die Spitex- und Rettungsdienste) und die Öffentliche Gesundheit, Verwaltung und Prävention.</t>
  </si>
  <si>
    <t>– Verwaltungsräumlichkeiten und Betriebseinrichtungen</t>
  </si>
  <si>
    <t>– EDV-Kosten</t>
  </si>
  <si>
    <t>– Versicherungsprämien und Verbandsbeiträge</t>
  </si>
  <si>
    <t>– Marketing und Werbung inkl. Provisionen KVG</t>
  </si>
  <si>
    <t>– Marketing und Werbung inkl. Provisionen VVG</t>
  </si>
  <si>
    <t>– Übriger Verwaltungsaufwand</t>
  </si>
  <si>
    <t>– Erhaltene Verwaltungsentschädigung</t>
  </si>
  <si>
    <t>40 – 47</t>
  </si>
  <si>
    <t>Total Verwaltungsaufwand</t>
  </si>
  <si>
    <t>3 / 4</t>
  </si>
  <si>
    <t>Vorschlag Gesamtbetriebsrechnung</t>
  </si>
  <si>
    <t>entziehen sich der Sicht der BAG-Krankenversicherungsstatistik.</t>
  </si>
  <si>
    <t>Quelle: Formular EF1 [6,7]</t>
  </si>
  <si>
    <t>Eigenkapital-</t>
  </si>
  <si>
    <t>Kapital-</t>
  </si>
  <si>
    <t>Grundstücke</t>
  </si>
  <si>
    <t>anlagen</t>
  </si>
  <si>
    <t>und Gebaüde</t>
  </si>
  <si>
    <t xml:space="preserve">1) Eigenkapital in % des Prämiensolls. </t>
  </si>
  <si>
    <t>Quelle: T 8.10 [29] ; T 8.05 [60-63] ; T 8.11 [17, 18]</t>
  </si>
  <si>
    <r>
      <t xml:space="preserve">quote </t>
    </r>
    <r>
      <rPr>
        <vertAlign val="superscript"/>
        <sz val="11"/>
        <rFont val="Arial"/>
        <family val="2"/>
      </rPr>
      <t>1</t>
    </r>
  </si>
  <si>
    <t>Aktiven</t>
  </si>
  <si>
    <t>Passiven</t>
  </si>
  <si>
    <t>Bilanz-</t>
  </si>
  <si>
    <t>Umlauf-</t>
  </si>
  <si>
    <t>Anlage-</t>
  </si>
  <si>
    <t>Fremd-</t>
  </si>
  <si>
    <t>Fonds und</t>
  </si>
  <si>
    <t>summe</t>
  </si>
  <si>
    <t>vermögen</t>
  </si>
  <si>
    <t>kapital</t>
  </si>
  <si>
    <t>1) Bestände per Jahresende; Vorjahresvergleiche sind nur mit Vorbehalt möglich, da jene Zusatzversicherungen VAG, welche</t>
  </si>
  <si>
    <t>auch unternehmensrechtlich vom KVG-Bereich eines Versicherers abgetrennt werden, sich der Sicht der BAG-Krankenversi-</t>
  </si>
  <si>
    <t>cherungsstatistik entziehen.</t>
  </si>
  <si>
    <t>Quelle: T 8.09; T 8.10</t>
  </si>
  <si>
    <r>
      <t xml:space="preserve">Jahr </t>
    </r>
    <r>
      <rPr>
        <vertAlign val="superscript"/>
        <sz val="11"/>
        <rFont val="Arial"/>
        <family val="2"/>
      </rPr>
      <t>1</t>
    </r>
  </si>
  <si>
    <t>Eigenkapital, Kapitalanlagen, Grundstücke und Gebäude der Versicherer ab 1996</t>
  </si>
  <si>
    <t>T 8.04  Ertrag, Aufwand und Ergebnis der Versicherer in Mio. Franken ab 1996</t>
  </si>
  <si>
    <t>1) Vorjahresvergleiche sind nur mit Vorbehalt möglich, da jene Zusatzversicherungen VAG, welche auch unternehmensrechtlich</t>
  </si>
  <si>
    <t>die resp. der Entnahme von den Fonds und Reserven.</t>
  </si>
  <si>
    <t>T 2.01  Kostenbeteiligung der Versicherten in Mio. Franken nach Versicherungsform ab 1996</t>
  </si>
  <si>
    <t>Quelle: T 1.03; 1.04; 1.05; 1.06 [32]</t>
  </si>
  <si>
    <t xml:space="preserve">Quelle: 1996: T 2.08 / ab 1997: DATENPOOL santésuisse [Auswertung BAG ; Abdeckungsgrad der Erhebung  : siehe Beilage I ] </t>
  </si>
  <si>
    <t>1) Für alle Versicherten für alle Versicherungsformen.</t>
  </si>
  <si>
    <r>
      <t xml:space="preserve">T 2.03 Kantonale bezahlte Leistungen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pro Versicherten pro Jahr in Franken ab 1996</t>
    </r>
  </si>
  <si>
    <r>
      <t xml:space="preserve">    Bezahlte Leistungen der Versicherer = Leistungen der Versicherer </t>
    </r>
    <r>
      <rPr>
        <b/>
        <sz val="10"/>
        <rFont val="Arial"/>
        <family val="2"/>
      </rPr>
      <t>ohne</t>
    </r>
    <r>
      <rPr>
        <sz val="10"/>
        <rFont val="Arial"/>
        <family val="2"/>
      </rPr>
      <t xml:space="preserve"> Kostenbeteiligungen der Versicherten.</t>
    </r>
  </si>
  <si>
    <t>Quelle:  T 8.05 [6/7]; T 8.06 [3/4]; T 8.06 [800-801] - T 8.05 [800-801]</t>
  </si>
  <si>
    <r>
      <t xml:space="preserve">ergebnis </t>
    </r>
    <r>
      <rPr>
        <vertAlign val="superscript"/>
        <sz val="11"/>
        <rFont val="Arial"/>
        <family val="2"/>
      </rPr>
      <t>2</t>
    </r>
  </si>
  <si>
    <t>Eidgenössisches Departement des Innern EDI</t>
  </si>
  <si>
    <t xml:space="preserve">27.8.07: 5.02, 6.03 </t>
  </si>
  <si>
    <t>27.8.07: 2.16, 2.18</t>
  </si>
  <si>
    <r>
      <t xml:space="preserve">2) Jahresergebnis ( = Vorschlag Gesamtbetriebsrechnung minus Rückschlag Gesamtbetriebsrechnung) </t>
    </r>
    <r>
      <rPr>
        <i/>
        <sz val="10"/>
        <rFont val="Arial"/>
        <family val="2"/>
      </rPr>
      <t>vor</t>
    </r>
    <r>
      <rPr>
        <sz val="10"/>
        <rFont val="Arial"/>
        <family val="2"/>
      </rPr>
      <t xml:space="preserve"> der Zuweisung an</t>
    </r>
  </si>
  <si>
    <t>Quelle: Formular EF3 [3.8.3] &amp; T 11.13</t>
  </si>
  <si>
    <r>
      <t xml:space="preserve">Teil  Tabellen </t>
    </r>
    <r>
      <rPr>
        <b/>
        <sz val="14"/>
        <rFont val="55 Helvetica Roman"/>
      </rPr>
      <t>(XLS)</t>
    </r>
  </si>
  <si>
    <t>Datenstand : siehe Beilage I</t>
  </si>
  <si>
    <t>3.9.07: 5.01, 5.03, 11.01</t>
  </si>
  <si>
    <t xml:space="preserve">14.9.07: 2.01-&gt;2.03, 2.14,2.15, 2.21-&gt;2.23,11.17 </t>
  </si>
  <si>
    <r>
      <t xml:space="preserve">T 2.13 Kostenbeteiligung 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pro Versicherten pro Jahr nach Kantonen und Altersgruppen</t>
    </r>
  </si>
  <si>
    <t>T 5.02 Erklärungen und Quellen für Aufsichtsdaten OKP (T 5.01)</t>
  </si>
  <si>
    <t>0) Nur OKP Versicherer</t>
  </si>
  <si>
    <t>1) Durchschnittlicher Versichertenbestand (nur OKP Versicherer)</t>
  </si>
  <si>
    <t xml:space="preserve">Durchschnittsbestand = Mittelwert aller Monate </t>
  </si>
  <si>
    <t>2) Einnahmen Total (in Mio. Fr.)</t>
  </si>
  <si>
    <t>Prämiensoll, Subventionen und Prämienverbilligungen, Erlösminderungen (Rabatte und Skonti) sowie die übrigen Erträge (Kapital- und Liegenschaftserträge).</t>
  </si>
  <si>
    <t>Prämiensoll = Prämiensumme gemäss den genehmigten Prämientarifen.</t>
  </si>
  <si>
    <t xml:space="preserve">Über den Risikoausgleich erhalten Versicherer mit überdurchschnittlich kostenverursachenden Versicherten (Frauen, ältere Personen) Beiträge, </t>
  </si>
  <si>
    <t>welche von den Versicherern mit unterdurchschnittlich kostenverursachenden Versicherten (Männer, jüngere Personen) finanziert werden.</t>
  </si>
  <si>
    <t xml:space="preserve">Eine positive Prozentzahl bedeutet, dass der Versicherer in den Risikoausgleich einzahlen muss, ein negativer Wert steht bei Versicherern, </t>
  </si>
  <si>
    <t>welche aus dem Risikoausgleich Mittel beziehen können.</t>
  </si>
  <si>
    <t>nach Abzug der Kostenbeteiligung der Versicherten (Franchise / Selbstbehalt / Tagespauschale im Spital).</t>
  </si>
  <si>
    <t xml:space="preserve">Personalaufwand inkl. Sozialleistungen, Verwaltungsräumlichkeiten und Betriebseinrichtungen, EDV-Kosten, Versicherungsprämien </t>
  </si>
  <si>
    <r>
      <t xml:space="preserve">T 3.03  Kantonale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pro Prämienregion </t>
    </r>
    <r>
      <rPr>
        <b/>
        <vertAlign val="superscript"/>
        <sz val="12"/>
        <rFont val="Arial"/>
        <family val="2"/>
      </rPr>
      <t>2</t>
    </r>
  </si>
  <si>
    <r>
      <t xml:space="preserve">T 3.04 Kantonale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pro Prämienregion </t>
    </r>
    <r>
      <rPr>
        <b/>
        <vertAlign val="superscript"/>
        <sz val="12"/>
        <rFont val="Arial"/>
        <family val="2"/>
      </rPr>
      <t>2</t>
    </r>
  </si>
  <si>
    <t>Quelle: T 3.02 &amp; 3.03 &amp; 3.04</t>
  </si>
  <si>
    <t>und nach Prämienregionen. Die Tarife der Versicherungsmodelle mit wählbarer Franchise, Bonus oder eingeschränkter Wahl des</t>
  </si>
  <si>
    <t xml:space="preserve">Leistungserbringers wurden hier nicht berücksichtigt. </t>
  </si>
  <si>
    <t>2)  Die Werte für 1996 wurden revidiert. Diese Werte beziehen sich auf das KVG-Einführungsjahr</t>
  </si>
  <si>
    <t>und sind infolge teilweise unvollständiger Daten mit Zurückhaltung zu interpretieren.</t>
  </si>
  <si>
    <t>3) Die Werte für 1996 wurden revidiert. Sie wurden mittels der Veränderungen 1996/97 der Durchschnittsprämien der Erwachsenen geschätzt.</t>
  </si>
  <si>
    <t>Bis zum Jahr 2000 gab es nur reduzierte Prämien für junge Erwachsene, welche noch in Ausbildung waren. Mit dem Weglassen</t>
  </si>
  <si>
    <t>der Bedingung "in Ausbildung" in 2001 kamen deutlich mehr Personen, welche vorher eine Erwachsenenprämie bezahlen mussten,</t>
  </si>
  <si>
    <t>Krankenkasse Embd</t>
  </si>
  <si>
    <t>Krankenkasse Lötschental</t>
  </si>
  <si>
    <t xml:space="preserve">La Caisse Vaudoise </t>
  </si>
  <si>
    <t>Krankenkasse Stalden</t>
  </si>
  <si>
    <t>Kolping Krankenkasse AG</t>
  </si>
  <si>
    <t>Krankenversicherung EASY SANA</t>
  </si>
  <si>
    <t>Krankenkasse Elm</t>
  </si>
  <si>
    <t>Krankenkasse des Saastales</t>
  </si>
  <si>
    <t>Cassa da malsauns publica Lugnez I</t>
  </si>
  <si>
    <t>KLuG Krankenversicherung</t>
  </si>
  <si>
    <t>"Die Eidgenössische" Gesundheitskasse</t>
  </si>
  <si>
    <t>Krankenkasse Staldenried</t>
  </si>
  <si>
    <t>Öffentliche Kranken- und Unfallkasse Lugnez II</t>
  </si>
  <si>
    <t>Krankenkasse SLKK</t>
  </si>
  <si>
    <t>sodalis Krankenversicherer</t>
  </si>
  <si>
    <t xml:space="preserve">Öffentliche Krankenkasse Surselva </t>
  </si>
  <si>
    <t>Krankenkasse Schattenberge</t>
  </si>
  <si>
    <t>Progrès Versicherungen AG</t>
  </si>
  <si>
    <t>Krankenkasse Zeneggen</t>
  </si>
  <si>
    <t>Krankenkasse Visperterminen</t>
  </si>
  <si>
    <t>Krankenkasse Gondo/Zwischbergen</t>
  </si>
  <si>
    <t>Wincare Versicherungen</t>
  </si>
  <si>
    <t>AVANTIS-Assureur maladie</t>
  </si>
  <si>
    <t>Caisse-maladie de la vallée d'Entremont</t>
  </si>
  <si>
    <t>Krankenkasse des Institutes Ingenbohl</t>
  </si>
  <si>
    <t>Krankenkasse Turbenthal</t>
  </si>
  <si>
    <t>AUXILIA Assurance-maladie</t>
  </si>
  <si>
    <t>Caisse-maladie de Troistorrents</t>
  </si>
  <si>
    <t>Stiftung Krankenkasse Wädenswil</t>
  </si>
  <si>
    <t>Betriebskrankenkasse Birchmeier</t>
  </si>
  <si>
    <t>kmu-Krankenversicherung</t>
  </si>
  <si>
    <t>Krankenkasse Stoffel</t>
  </si>
  <si>
    <t>Krankenkasse Simplon</t>
  </si>
  <si>
    <t>SWICA Krankenversicherung</t>
  </si>
  <si>
    <t>Galenos Kranken- und Unfallversicherung</t>
  </si>
  <si>
    <t>ÖKK Öffentliche Krankenkasse Schweiz</t>
  </si>
  <si>
    <t>Betriebskrankenkasse Heerbrugg</t>
  </si>
  <si>
    <t>Allgemeine Krankenkasse Brugg</t>
  </si>
  <si>
    <t>Fondation Natura Assurances.ch</t>
  </si>
  <si>
    <t>Krankenkasse Cervino</t>
  </si>
  <si>
    <t>Mutuel Assurances</t>
  </si>
  <si>
    <t>Fondation AMB</t>
  </si>
  <si>
    <t>Sanitas Grundversicherungen AG</t>
  </si>
  <si>
    <t>Société suisse des hôteliers</t>
  </si>
  <si>
    <t>Intras - Caisse Maladie</t>
  </si>
  <si>
    <t>Caisse maladie-accident Philos</t>
  </si>
  <si>
    <t>Assura, assurance maladie et accident</t>
  </si>
  <si>
    <t>Caisse-maladie et accidents Universa</t>
  </si>
  <si>
    <t>aerosana versicherungen</t>
  </si>
  <si>
    <t>Visana</t>
  </si>
  <si>
    <t>Agrisano</t>
  </si>
  <si>
    <t>Helsana Versicherungen AG</t>
  </si>
  <si>
    <t xml:space="preserve">   (die Anzahl Erkrankte ist somit kleiner oder gleich wie die Anzahl Versicherte).</t>
  </si>
  <si>
    <t>3) Anzahl Einweisungen ins Spital stationär; zu zählensind Einweisungen in Spitäler zur kurzfristigen</t>
  </si>
  <si>
    <t xml:space="preserve">    und zur langfristigen Behandlung körperlich Kranker sowie Einweisungen in psychiatrische Klini-</t>
  </si>
  <si>
    <t xml:space="preserve">    ken; nicht zu zählensind hingegen Einweisungen in Pflegeheime. Sobald zwischen zwei Spital-</t>
  </si>
  <si>
    <t xml:space="preserve">    aufenthalten eine Lücke besteht, zählen diese als zwei Einweisungen.</t>
  </si>
  <si>
    <t>welche von den Versicherten bereits in Anspruch genommen worden sind, für die sie aber noch keine Rechnungen erhalten haben.</t>
  </si>
  <si>
    <t xml:space="preserve">Es handelt sich hierbei um geschuldete Leistungen, welche die Versicherer im folgenden Jahr noch zu erbringen haben; sie stellen somit keine Reserven dar. </t>
  </si>
  <si>
    <t xml:space="preserve">Quelle: 1996: T 3.12 / ab 1997: DATENPOOL santésuisse [Auswertung BAG ; Abdeckungsgrad der Erhebung  : siehe Beilage I ] </t>
  </si>
  <si>
    <r>
      <t xml:space="preserve">T 3.08 Kantonale Durchschnittsprämien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pro Versicherten pro Jahr in Franken ab 1996</t>
    </r>
  </si>
  <si>
    <r>
      <t xml:space="preserve">Erkrankte </t>
    </r>
    <r>
      <rPr>
        <vertAlign val="superscript"/>
        <sz val="11"/>
        <rFont val="Arial"/>
        <family val="2"/>
      </rPr>
      <t>2</t>
    </r>
  </si>
  <si>
    <r>
      <t xml:space="preserve">Einweisungen </t>
    </r>
    <r>
      <rPr>
        <vertAlign val="superscript"/>
        <sz val="11"/>
        <rFont val="Arial"/>
        <family val="2"/>
      </rPr>
      <t>3</t>
    </r>
  </si>
  <si>
    <r>
      <t xml:space="preserve">Spitaltage </t>
    </r>
    <r>
      <rPr>
        <vertAlign val="superscript"/>
        <sz val="11"/>
        <rFont val="Arial"/>
        <family val="2"/>
      </rPr>
      <t>4</t>
    </r>
  </si>
  <si>
    <t>2) Werte neu berechnet anhand der mittleren Versichertenbestände.</t>
  </si>
  <si>
    <r>
      <t xml:space="preserve">T 2.18  Leistungen (brutto) in Franken je versicherte Person nach Kostengruppen ab 1996 </t>
    </r>
    <r>
      <rPr>
        <b/>
        <vertAlign val="superscript"/>
        <sz val="12"/>
        <rFont val="Arial"/>
        <family val="2"/>
      </rPr>
      <t xml:space="preserve">1 </t>
    </r>
    <r>
      <rPr>
        <b/>
        <vertAlign val="superscript"/>
        <sz val="12"/>
        <color indexed="10"/>
        <rFont val="Arial"/>
        <family val="2"/>
      </rPr>
      <t>2</t>
    </r>
  </si>
  <si>
    <t>T 9.22 Erkrankte, Spitaleinweisungen und Spitaltage ab 1996</t>
  </si>
  <si>
    <t>Einwei-</t>
  </si>
  <si>
    <t>1) Anzahl versicherte Personen, welche im Berichtsjahr mindestens einmal ambulante oder stationäre Kosten verursacht haben.</t>
  </si>
  <si>
    <t>Totaler Beitrag je versicherte Person nach Versicherungsform in der OKP ab 1996</t>
  </si>
  <si>
    <t>Krankenversicherung bei den privaten Versicherungsunternehmungen ab 1996</t>
  </si>
  <si>
    <t>Taggeldversicherung KVG / VVG ab 1996</t>
  </si>
  <si>
    <t>Krankenversicherung (KVG-Versicherer und Privatversicherer) ab 1996</t>
  </si>
  <si>
    <t>Gesundheitskosten ausgewählter OECD–Länder in % des BIP ab 1996</t>
  </si>
  <si>
    <t>Sozialleistungen für die Gesundheitsversorgung : Internationaler Vergleich in % des BIP ab 1996</t>
  </si>
  <si>
    <t>Erkrankte, Spitaleinweisungen und Spitaltage in der OKP</t>
  </si>
  <si>
    <t>Erkrankte, Spitaleinweisungen und Spitaltage in der OKP ab 1996</t>
  </si>
  <si>
    <t>Quelle: Formular EF2 [2.1]</t>
  </si>
  <si>
    <t>1) Getrennte Rechnungsführung für die Einzel- und die Kollektivversicherung wird nur bei unterschiedlichen Prämientarifen</t>
  </si>
  <si>
    <t>verlangt (vgl. Art. 75 Abs. 2 KVG).</t>
  </si>
  <si>
    <r>
      <t xml:space="preserve">T 6.06  Betriebsrechnung der Kollektivversicherung </t>
    </r>
    <r>
      <rPr>
        <b/>
        <vertAlign val="superscript"/>
        <sz val="12"/>
        <rFont val="Arial"/>
        <family val="2"/>
      </rPr>
      <t>1</t>
    </r>
  </si>
  <si>
    <t>Quelle: Formular EF2 [2.0]</t>
  </si>
  <si>
    <r>
      <t xml:space="preserve">T 6.05  Betriebsrechnung der Einzelversicherung </t>
    </r>
    <r>
      <rPr>
        <b/>
        <vertAlign val="superscript"/>
        <sz val="12"/>
        <rFont val="Arial"/>
        <family val="2"/>
      </rPr>
      <t>1</t>
    </r>
  </si>
  <si>
    <t xml:space="preserve">T 6.04  Betriebsrechnung der Einzel- und Kollektivversicherung insgesamt </t>
  </si>
  <si>
    <t>Quelle: Formular EF2 [2.0 &amp; 2.1]</t>
  </si>
  <si>
    <t>Anzahl / Betrag</t>
  </si>
  <si>
    <t>Einzel-</t>
  </si>
  <si>
    <t>Kollektiv-</t>
  </si>
  <si>
    <t>versiche-</t>
  </si>
  <si>
    <t>1999 alt</t>
  </si>
  <si>
    <t>1999 neu</t>
  </si>
  <si>
    <t>Anzahl Versicherer</t>
  </si>
  <si>
    <t>Prämiensoll in Franken</t>
  </si>
  <si>
    <t>Prämiensoll in Franken pro Versicherte(n)</t>
  </si>
  <si>
    <t xml:space="preserve">Leistungen in Franken </t>
  </si>
  <si>
    <t>davon Mutterschaft</t>
  </si>
  <si>
    <t>Leistungen in Franken pro Versicherte(n)</t>
  </si>
  <si>
    <t>Quelle: Formular EF3 [3.9]</t>
  </si>
  <si>
    <t>2) Versichertenbestand am 31.12.</t>
  </si>
  <si>
    <t xml:space="preserve">Reserven Oblig. Krankenpflegeversicherung (ohne Konto 290.5) </t>
  </si>
  <si>
    <t>Aktienkapital</t>
  </si>
  <si>
    <t>– Reserven Taggeldversicherung nach KVG</t>
  </si>
  <si>
    <t>– Reserven Aktive Rückversicherung</t>
  </si>
  <si>
    <t>– Zusatzversicherung VVG, inkl. Taggeld VVG</t>
  </si>
  <si>
    <t>– Einkaufssummen fusionierter Versicherer</t>
  </si>
  <si>
    <t>Total Passiven</t>
  </si>
  <si>
    <t>Quelle: Formular EF1 [4,5]</t>
  </si>
  <si>
    <t>Anteil in %</t>
  </si>
  <si>
    <t>Junge Erwachsene</t>
  </si>
  <si>
    <t>davon gestorben</t>
  </si>
  <si>
    <t>1) Versichertenbestand per 31.12: siehe T 11.02.</t>
  </si>
  <si>
    <t xml:space="preserve">    Durchschnittsbestand = Stand aller Monate zusammengezählt und geteilt durch 12.</t>
  </si>
  <si>
    <t>2) Betriebsrechnung: siehe T 1.07.</t>
  </si>
  <si>
    <t>3) GrenzgängerInnen, sowie ihre nichterwerbstätigen Familienangehörigen (Versicherte gemäss Art. 3 KVV).</t>
  </si>
  <si>
    <r>
      <t xml:space="preserve">A. KVG-Versicherte mit Wohnsitz in der Schweiz und schweizerischer Prämie (inkl. Versicherte gemäss Art. 4 und 5 KVV) </t>
    </r>
    <r>
      <rPr>
        <b/>
        <vertAlign val="superscript"/>
        <sz val="12"/>
        <rFont val="55 Helvetica Roman"/>
      </rPr>
      <t>1</t>
    </r>
  </si>
  <si>
    <r>
      <t xml:space="preserve">B. KVG-Versicherte mit Wohnsitz in einem EG-Staat, in Island oder in Norwegen, inklusive GrenzgängerInnen </t>
    </r>
    <r>
      <rPr>
        <b/>
        <vertAlign val="superscript"/>
        <sz val="12"/>
        <rFont val="Arial"/>
        <family val="2"/>
      </rPr>
      <t>2</t>
    </r>
  </si>
  <si>
    <r>
      <t xml:space="preserve">C. KVG-Versicherte mit Wohnsitz in einem EG-Staat, in Island oder in Norwegen, nur GrenzgängerInnen </t>
    </r>
    <r>
      <rPr>
        <b/>
        <vertAlign val="superscript"/>
        <sz val="12"/>
        <rFont val="Arial"/>
        <family val="2"/>
      </rPr>
      <t>3</t>
    </r>
  </si>
  <si>
    <t>Schätzungen aus dem Prämiengenehmigungsverfahren : Eckwerte 2004-2008</t>
  </si>
  <si>
    <t>Beilage I1</t>
  </si>
  <si>
    <t>Auswertung der Daten des DATENPOOLS von santésuisse durch das BAG für die Statistik der Krankenversicherung (STAT KV)</t>
  </si>
  <si>
    <t xml:space="preserve">Das BAG wertet die jährlichen Daten des DATENPOOLS von santésuisse aus, insbesondere um Daten nach Kanton oder Altersgruppe, </t>
  </si>
  <si>
    <t xml:space="preserve">die auf den Formularen EF 123 nicht verfügbar sind, in der STAT KV und im Internet, zur Verfügung zu stellen. </t>
  </si>
  <si>
    <t>(Zeitreihen nach Kanton oder Altersgruppe: www.bag.admin.ch/pyramiden/index.html?lang=de)</t>
  </si>
  <si>
    <t xml:space="preserve">und Wohnort der versicherten Person erstellt wird und somit verschieden ist: www.bag.admin.ch/kmt/index.html?lang=de). </t>
  </si>
  <si>
    <t xml:space="preserve">Diese Auswertung basiert auf der Gesamtheit der Versicherten, für die Alter, Geschlecht, Kanton,   </t>
  </si>
  <si>
    <t xml:space="preserve">Versicherungsform und Franchisenhöhe bekannt sind. </t>
  </si>
  <si>
    <t>Es werden nur die im Berichtsjahr gültigen Höhen der Wahlfranchisen ausgewiesen.</t>
  </si>
  <si>
    <t>-&gt; Diese Abgrenzung der Gesamtheit der Versicherten kann zu Abweichungen im Vergleich zu anderen Auswertungen führen.</t>
  </si>
  <si>
    <t xml:space="preserve">Da die Daten von santésuisse nicht auf einer Vollerhebung basieren (siehe nachfolgende Berechnung des Deckungsgrades), </t>
  </si>
  <si>
    <t>sind nur die durchschnittlichen Werte pro versicherte Person für Vergleiche relevant und werden vom BAG veröffentlicht.</t>
  </si>
  <si>
    <t>Berechnung des Abdeckungsgrades in %</t>
  </si>
  <si>
    <t>- nach Kanton (siehe I2)</t>
  </si>
  <si>
    <t>Anzahl der im Datenpool erfassten Versicherten (gemäss der oben definierten Gesamtheit der Versicherten) /</t>
  </si>
  <si>
    <t xml:space="preserve">  durchschnittlicher Versichertenbestand (Quelle: Risikoausgleich, T 11.14)</t>
  </si>
  <si>
    <t>- nach Altersgruppe (siehe I3)</t>
  </si>
  <si>
    <t xml:space="preserve"> durchschnittlicher Versichertenbestand (Quelle: Risikoausgleich, T 11.14)</t>
  </si>
  <si>
    <t>Stand der Daten:</t>
  </si>
  <si>
    <t xml:space="preserve"> 1997 - 2000 : 16.4.02 ; 2001-2002 : 24.4.03 ; 2003 : 28.4.04 ; 2004 : 4.6.05 ; 2005 : 16.5.06 ; 2006 : 25.4.07</t>
  </si>
  <si>
    <t>Die Daten entsprechen der Version der Jahresdaten des Datenpools, die für die Auswertung des BAG verwendert wurde.</t>
  </si>
  <si>
    <t>G 06 + G 07</t>
  </si>
  <si>
    <t>-</t>
  </si>
  <si>
    <t>1.50</t>
  </si>
  <si>
    <t>701-705</t>
  </si>
  <si>
    <t>10.01</t>
  </si>
  <si>
    <t>10.02</t>
  </si>
  <si>
    <t>10.03</t>
  </si>
  <si>
    <r>
      <t xml:space="preserve">T 6.03 Versicherer, Versicherte, Prämien und Leistungen nach Einzel- und Kollektivverträgen </t>
    </r>
    <r>
      <rPr>
        <b/>
        <vertAlign val="superscript"/>
        <sz val="12"/>
        <rFont val="Arial"/>
        <family val="2"/>
      </rPr>
      <t>1</t>
    </r>
  </si>
  <si>
    <r>
      <t xml:space="preserve">Versichertenbestand </t>
    </r>
    <r>
      <rPr>
        <b/>
        <vertAlign val="superscript"/>
        <sz val="11"/>
        <rFont val="Arial"/>
        <family val="2"/>
      </rPr>
      <t>2</t>
    </r>
  </si>
  <si>
    <t>T 6.02 Ertrag, Aufwand und Ergebnis in Franken ab 1996</t>
  </si>
  <si>
    <t>Total des</t>
  </si>
  <si>
    <t>Total Ver-</t>
  </si>
  <si>
    <t>sicherungs-</t>
  </si>
  <si>
    <t>betriebs-</t>
  </si>
  <si>
    <t>ertrags</t>
  </si>
  <si>
    <t>und Betriebs-</t>
  </si>
  <si>
    <t>ergebnis</t>
  </si>
  <si>
    <t xml:space="preserve">aufwand </t>
  </si>
  <si>
    <t>Quelle: T 6.04</t>
  </si>
  <si>
    <t>T 6.01 Prämien, Leistungen, Versichertenbestand und Versichererbestand ab 1996</t>
  </si>
  <si>
    <t>Prämiensoll</t>
  </si>
  <si>
    <t>Prämien-</t>
  </si>
  <si>
    <t>Leistun-</t>
  </si>
  <si>
    <t>Versi-</t>
  </si>
  <si>
    <t>in Mio. Fr.</t>
  </si>
  <si>
    <t>soll pro</t>
  </si>
  <si>
    <t>gen pro</t>
  </si>
  <si>
    <t>cherten-</t>
  </si>
  <si>
    <t>cherer-</t>
  </si>
  <si>
    <t>Versicherte(n)</t>
  </si>
  <si>
    <t>Versicher-</t>
  </si>
  <si>
    <t>bestand</t>
  </si>
  <si>
    <t>Quelle: T 6.03</t>
  </si>
  <si>
    <t>1) Versichertenbestand am 31.12. Die Werte 1997 bis 1999 des Versichertenbestands wurden revidiert.</t>
  </si>
  <si>
    <r>
      <t xml:space="preserve">bestand </t>
    </r>
    <r>
      <rPr>
        <vertAlign val="superscript"/>
        <sz val="11"/>
        <rFont val="Arial"/>
        <family val="2"/>
      </rPr>
      <t>1</t>
    </r>
  </si>
  <si>
    <r>
      <t xml:space="preserve">in Fr. </t>
    </r>
    <r>
      <rPr>
        <vertAlign val="superscript"/>
        <sz val="11"/>
        <rFont val="Arial"/>
        <family val="2"/>
      </rPr>
      <t>1</t>
    </r>
  </si>
  <si>
    <r>
      <t xml:space="preserve">te(n) in Fr. </t>
    </r>
    <r>
      <rPr>
        <vertAlign val="superscript"/>
        <sz val="11"/>
        <rFont val="Arial"/>
        <family val="2"/>
      </rPr>
      <t>1</t>
    </r>
  </si>
  <si>
    <r>
      <t xml:space="preserve">    </t>
    </r>
    <r>
      <rPr>
        <u/>
        <sz val="10"/>
        <rFont val="Arial"/>
        <family val="2"/>
      </rPr>
      <t>Nur Einzelversicherung.</t>
    </r>
  </si>
  <si>
    <t>14.8.07: 1.02-&gt;1.13, 2.20, 3.10, 8.10-&gt;8.12, 11.13</t>
  </si>
  <si>
    <t>15.8.07: 6.01 -&gt; 6.06, 11.05, 11.06</t>
  </si>
  <si>
    <t xml:space="preserve"> </t>
  </si>
  <si>
    <t>Verbindlichkeiten bei Versicherten (ohne Konto.215)</t>
  </si>
  <si>
    <t>T 9.01  Kosten des Gesundheitswesens in der Schweiz aus der Sicht der sozialen Sicherheit in Mio. Fr. ab 1996</t>
  </si>
  <si>
    <t>Sozial-</t>
  </si>
  <si>
    <t>Private</t>
  </si>
  <si>
    <t>Total </t>
  </si>
  <si>
    <t>Regimes der</t>
  </si>
  <si>
    <t>Haus-</t>
  </si>
  <si>
    <t>private</t>
  </si>
  <si>
    <t>sozialen</t>
  </si>
  <si>
    <t>Finanzie-</t>
  </si>
  <si>
    <t>1) Subventionen an die Leistungserbringer (Krankenhäuser, usw.); Gesundheitswesen, Verwaltung und Prävention.</t>
  </si>
  <si>
    <t>2) Unfallversicherung UVG, AHV-IV und Militärversicherung.</t>
  </si>
  <si>
    <t>3) Verbilligung KVG-Prämien; Ergänzungsleistungen AHV und IV; Sozialhilfe; Hilflosenschädigung:</t>
  </si>
  <si>
    <t xml:space="preserve">     Regimes der Sozialen Sicherheit, die nicht als Direktzahler in diser Statistik betrachtet sind.</t>
  </si>
  <si>
    <t>4) Aufwand der Krankenversicherung (Betrag der Zahlungen der Krankenversicherung an das Gesundheitswesen, abzüglich Beiträge</t>
  </si>
  <si>
    <t xml:space="preserve">    an die Versicherten für die Prämienverbilligung); Kostenbeteiligungen; "Out of pocket".</t>
  </si>
  <si>
    <t xml:space="preserve">5) Spenden und Vermächtnisse an Institutionen ohne Erwerbscharakter (Pflegeheim, Institution für Behinderte, Spitexorganisation usw.) </t>
  </si>
  <si>
    <t>6) Schätzung BFS [Medienmitteilung 5/07].</t>
  </si>
  <si>
    <t>Quelle: Kosten des Gesundheitswesens 1995-2000 &amp; Kosten und Finanzierung des Gesundheitswesens 2001/02/03/04/05, BFS</t>
  </si>
  <si>
    <r>
      <t xml:space="preserve">Staat </t>
    </r>
    <r>
      <rPr>
        <vertAlign val="superscript"/>
        <sz val="11"/>
        <rFont val="Arial"/>
        <family val="2"/>
      </rPr>
      <t>1</t>
    </r>
  </si>
  <si>
    <r>
      <t xml:space="preserve">rungen </t>
    </r>
    <r>
      <rPr>
        <vertAlign val="superscript"/>
        <sz val="11"/>
        <rFont val="Arial"/>
        <family val="2"/>
      </rPr>
      <t>2</t>
    </r>
  </si>
  <si>
    <r>
      <t xml:space="preserve">halte </t>
    </r>
    <r>
      <rPr>
        <vertAlign val="superscript"/>
        <sz val="11"/>
        <rFont val="Arial"/>
        <family val="2"/>
      </rPr>
      <t>4</t>
    </r>
  </si>
  <si>
    <r>
      <t xml:space="preserve">Sicherheit </t>
    </r>
    <r>
      <rPr>
        <vertAlign val="superscript"/>
        <sz val="11"/>
        <rFont val="Arial"/>
        <family val="2"/>
      </rPr>
      <t>3</t>
    </r>
  </si>
  <si>
    <r>
      <t xml:space="preserve">rung </t>
    </r>
    <r>
      <rPr>
        <vertAlign val="superscript"/>
        <sz val="11"/>
        <rFont val="Arial"/>
        <family val="2"/>
      </rPr>
      <t>5</t>
    </r>
  </si>
  <si>
    <r>
      <t xml:space="preserve">2006 </t>
    </r>
    <r>
      <rPr>
        <i/>
        <vertAlign val="superscript"/>
        <sz val="11"/>
        <rFont val="Arial"/>
        <family val="2"/>
      </rPr>
      <t>6</t>
    </r>
  </si>
  <si>
    <t>T 9.03  Kosten des Gesundheitswesens in der Schweiz nach Leistungserbringer in Mio. Fr. ab 1996</t>
  </si>
  <si>
    <t>Sozialme-</t>
  </si>
  <si>
    <t>Detail-</t>
  </si>
  <si>
    <t>Organisati-</t>
  </si>
  <si>
    <t>dizinische</t>
  </si>
  <si>
    <t>Versor-</t>
  </si>
  <si>
    <t>onen ohne</t>
  </si>
  <si>
    <t>Institu-</t>
  </si>
  <si>
    <t>Erwerbs-</t>
  </si>
  <si>
    <t>charakter</t>
  </si>
  <si>
    <t>1) Allgemeine Krankenhäuser; Psychiatrische Kliniken; Rehabilitationskliniken; andere Spezialkliniken.</t>
  </si>
  <si>
    <t>2) Institutionen für Betagte und Chronischkranke; Institutionen für Behinderte und andere Institutionen.</t>
  </si>
  <si>
    <t>3) Ärzte, Zahnärzte, Physiotherapeuten, Psychotherapeuten, Spitexdienste, medizinische Labors , (usw.).</t>
  </si>
  <si>
    <t>4) Apotheken, Drogerien und therapeutische Apparate.</t>
  </si>
  <si>
    <t>5) Bund, Kantone, Gemeinden.</t>
  </si>
  <si>
    <t>6) Krankenversicherer (KVG); Unfallversicherer (UVG); AHV-IV; Private Krankenversicherer (VVG).</t>
  </si>
  <si>
    <t>7) Schätzung BFS [Medienmitteilung 5/07].</t>
  </si>
  <si>
    <r>
      <t xml:space="preserve">Staat </t>
    </r>
    <r>
      <rPr>
        <vertAlign val="superscript"/>
        <sz val="11"/>
        <rFont val="Arial"/>
        <family val="2"/>
      </rPr>
      <t>5</t>
    </r>
  </si>
  <si>
    <r>
      <t xml:space="preserve">häuser </t>
    </r>
    <r>
      <rPr>
        <vertAlign val="superscript"/>
        <sz val="11"/>
        <rFont val="Arial"/>
        <family val="2"/>
      </rPr>
      <t>1</t>
    </r>
  </si>
  <si>
    <r>
      <t xml:space="preserve">handel </t>
    </r>
    <r>
      <rPr>
        <vertAlign val="superscript"/>
        <sz val="11"/>
        <rFont val="Arial"/>
        <family val="2"/>
      </rPr>
      <t>4</t>
    </r>
  </si>
  <si>
    <r>
      <t xml:space="preserve">cherer </t>
    </r>
    <r>
      <rPr>
        <vertAlign val="superscript"/>
        <sz val="11"/>
        <rFont val="Arial"/>
        <family val="2"/>
      </rPr>
      <t>6</t>
    </r>
  </si>
  <si>
    <r>
      <t xml:space="preserve">gung </t>
    </r>
    <r>
      <rPr>
        <vertAlign val="superscript"/>
        <sz val="11"/>
        <rFont val="Arial"/>
        <family val="2"/>
      </rPr>
      <t>3</t>
    </r>
  </si>
  <si>
    <r>
      <t xml:space="preserve">tionen </t>
    </r>
    <r>
      <rPr>
        <vertAlign val="superscript"/>
        <sz val="11"/>
        <rFont val="Arial"/>
        <family val="2"/>
      </rPr>
      <t>2</t>
    </r>
  </si>
  <si>
    <r>
      <t xml:space="preserve">2005 </t>
    </r>
    <r>
      <rPr>
        <i/>
        <vertAlign val="superscript"/>
        <sz val="11"/>
        <rFont val="Arial"/>
        <family val="2"/>
      </rPr>
      <t>7</t>
    </r>
  </si>
  <si>
    <t>Quellenangabe (Name der Publikation, Jahr, Nummer der Tabelle) und Zustellung eines</t>
  </si>
  <si>
    <t>Beilage B1</t>
  </si>
  <si>
    <t xml:space="preserve">Beilage B1: </t>
  </si>
  <si>
    <t>301-312</t>
  </si>
  <si>
    <t>Teil 11</t>
  </si>
  <si>
    <t>Versicherte in der OKP</t>
  </si>
  <si>
    <t>801-812</t>
  </si>
  <si>
    <t>101-113</t>
  </si>
  <si>
    <t>Publikation 2005</t>
  </si>
  <si>
    <t>4.10</t>
  </si>
  <si>
    <t>2.20</t>
  </si>
  <si>
    <t>8.10</t>
  </si>
  <si>
    <t>8.11</t>
  </si>
  <si>
    <t>11.10</t>
  </si>
  <si>
    <t>9.22</t>
  </si>
  <si>
    <t>9.20</t>
  </si>
  <si>
    <t>Publikation 1996</t>
  </si>
  <si>
    <t>Publikation 1997</t>
  </si>
  <si>
    <t>Publikation 1998</t>
  </si>
  <si>
    <t>Publikation 1999</t>
  </si>
  <si>
    <t>Publikation 2001</t>
  </si>
  <si>
    <t>30.8.07: 4.01, 4.11</t>
  </si>
  <si>
    <t xml:space="preserve">T 4.11 Bezügerquoten nach Geschlecht und Kantonen und begünstigte Haushalte in % </t>
  </si>
  <si>
    <t>Privat-</t>
  </si>
  <si>
    <t>Begünstigte</t>
  </si>
  <si>
    <t>haushalte</t>
  </si>
  <si>
    <t>(approximativ)</t>
  </si>
  <si>
    <t>Quelle: BFS Sektion Bevölkerungsentwicklung &amp; T 4.02 &amp; T 4.05</t>
  </si>
  <si>
    <t>1) Durchschnittliche Wohnbevölkerung in einem bestimmten Gebiet nach wirtschaftlichem Wohnsitz (BFS).</t>
  </si>
  <si>
    <t>2) Anzahl Personen in % der mittleren Wohnbevölkerung des Berichtsjahres.</t>
  </si>
  <si>
    <t>T 9.02  Kosten des Gesundheitswesens in der Schweiz nach Direktzahler in Mio. Fr. ab 1996</t>
  </si>
  <si>
    <t>rungen</t>
  </si>
  <si>
    <t>1) Öffentliche Sicherheit, Rettungsdienste, Stationäre Betriebe, Ambulante Krankenpflege, Verwaltung, Prävention (usw.).</t>
  </si>
  <si>
    <t>2) Krankenversicherung KVG (Grundversicherung); Unfallversicherung UVG; AHV-IV; Militärversicherung.</t>
  </si>
  <si>
    <t>3) KVG-Versicherer &amp; private Versicherer.</t>
  </si>
  <si>
    <t>4) Kostenbeteiligung &amp; "Out of pocket".</t>
  </si>
  <si>
    <r>
      <t xml:space="preserve">VVG </t>
    </r>
    <r>
      <rPr>
        <vertAlign val="superscript"/>
        <sz val="11"/>
        <rFont val="Arial"/>
        <family val="2"/>
      </rPr>
      <t>3</t>
    </r>
  </si>
  <si>
    <t xml:space="preserve">    Die Quote ist approximativ und mit Vorsicht zu behandeln, weil die Wohnbevölverung (gemäss der Definition des BFS) </t>
  </si>
  <si>
    <t xml:space="preserve">    von der Zahl der OKP-Versicherten abweichen kann, die theoretisch einen Anspruch auf Prämienverbilligung haben könnten.</t>
  </si>
  <si>
    <t>3) Gemäss eidgenössischer Volkszählung 2000.</t>
  </si>
  <si>
    <t>4) Die Zahlen sind nur begrenzt vergleichbar, da</t>
  </si>
  <si>
    <t>- Vergleich der Zahlen dieses Jahres mit den Haushalten von 2000,</t>
  </si>
  <si>
    <t>- unterschiedliche Definition des Begriffes Haushalt.</t>
  </si>
  <si>
    <r>
      <t xml:space="preserve">Mittlere Wohnbevölkerung </t>
    </r>
    <r>
      <rPr>
        <vertAlign val="superscript"/>
        <sz val="11"/>
        <rFont val="Arial"/>
        <family val="2"/>
      </rPr>
      <t>1</t>
    </r>
  </si>
  <si>
    <r>
      <t xml:space="preserve">Bezügerquoten (approximativ) </t>
    </r>
    <r>
      <rPr>
        <vertAlign val="superscript"/>
        <sz val="11"/>
        <rFont val="Arial"/>
        <family val="2"/>
      </rPr>
      <t>2</t>
    </r>
  </si>
  <si>
    <r>
      <t xml:space="preserve">Total </t>
    </r>
    <r>
      <rPr>
        <vertAlign val="superscript"/>
        <sz val="11"/>
        <rFont val="Arial"/>
        <family val="2"/>
      </rPr>
      <t>3</t>
    </r>
  </si>
  <si>
    <r>
      <t xml:space="preserve">in % </t>
    </r>
    <r>
      <rPr>
        <vertAlign val="superscript"/>
        <sz val="11"/>
        <rFont val="Arial"/>
        <family val="2"/>
      </rPr>
      <t>4</t>
    </r>
  </si>
  <si>
    <t>T 4.01 Anzahl Bezüger, Bezügerquoten, subventionierte Haushalte sowie ausgerichtete Subventionen nach KVG ab 1996</t>
  </si>
  <si>
    <t>Anzahl</t>
  </si>
  <si>
    <t>Bezüger-</t>
  </si>
  <si>
    <t>Anzahl sub-</t>
  </si>
  <si>
    <t>Subvention</t>
  </si>
  <si>
    <t>Innen-</t>
  </si>
  <si>
    <t>ventionierte</t>
  </si>
  <si>
    <t>Innen</t>
  </si>
  <si>
    <t>Quelle: T 4.02 &amp; 4.04 &amp; 4.10 &amp; 4.11</t>
  </si>
  <si>
    <t>1) Angaben zu Bezügern und subventionierten Haushalten der Jahre 1996 und 1997 teilweise unvollständig.</t>
  </si>
  <si>
    <t>2) Anzahl Bezügern in Prozent der mittleren Wohnbevölkerung des entsprechenden Berichtsjahres. Siehe T 4.11 Fussnote 2).</t>
  </si>
  <si>
    <t>Datenstand : 30.8.07</t>
  </si>
  <si>
    <t>Publikation 2002</t>
  </si>
  <si>
    <t>Publikation 2003</t>
  </si>
  <si>
    <t>Publikation 2004</t>
  </si>
  <si>
    <t>A 01</t>
  </si>
  <si>
    <t>A 02 A</t>
  </si>
  <si>
    <t>A 02 B</t>
  </si>
  <si>
    <t>A 03 A</t>
  </si>
  <si>
    <t>A 03 B</t>
  </si>
  <si>
    <t>A 04 A</t>
  </si>
  <si>
    <t>A 04 B</t>
  </si>
  <si>
    <t>A 05 A</t>
  </si>
  <si>
    <t>A 05 B</t>
  </si>
  <si>
    <t>A 06</t>
  </si>
  <si>
    <t>A 07</t>
  </si>
  <si>
    <t>A 08 A</t>
  </si>
  <si>
    <t>A 08 B</t>
  </si>
  <si>
    <t>A 09 A</t>
  </si>
  <si>
    <t>A 09 B</t>
  </si>
  <si>
    <t>A 10</t>
  </si>
  <si>
    <t>A 11</t>
  </si>
  <si>
    <t>A 12 A</t>
  </si>
  <si>
    <t>A 12 B</t>
  </si>
  <si>
    <t>A 13 B</t>
  </si>
  <si>
    <t>A 13 A</t>
  </si>
  <si>
    <t>B 01</t>
  </si>
  <si>
    <t>B 02</t>
  </si>
  <si>
    <t>B 03 A</t>
  </si>
  <si>
    <t>B 03 B</t>
  </si>
  <si>
    <t>B 04 A</t>
  </si>
  <si>
    <t>B 04 B</t>
  </si>
  <si>
    <t>B 05 A</t>
  </si>
  <si>
    <t>B 05 B</t>
  </si>
  <si>
    <t>B 06 A</t>
  </si>
  <si>
    <t>B 06 B</t>
  </si>
  <si>
    <t>B 07 A</t>
  </si>
  <si>
    <t>B 07 B</t>
  </si>
  <si>
    <t>B 08 A</t>
  </si>
  <si>
    <t>B 08 B</t>
  </si>
  <si>
    <t>B 09 A</t>
  </si>
  <si>
    <t>B 09 B</t>
  </si>
  <si>
    <t>B 10 A</t>
  </si>
  <si>
    <t>B 10 B</t>
  </si>
  <si>
    <t>B 11 A</t>
  </si>
  <si>
    <t>B 11 B</t>
  </si>
  <si>
    <t>B 12 A</t>
  </si>
  <si>
    <t>B 12 B</t>
  </si>
  <si>
    <t>B 13 A</t>
  </si>
  <si>
    <t>B 13 B</t>
  </si>
  <si>
    <t>B 14</t>
  </si>
  <si>
    <t>B 15</t>
  </si>
  <si>
    <t>B 16</t>
  </si>
  <si>
    <t>B 17</t>
  </si>
  <si>
    <t>B 18</t>
  </si>
  <si>
    <t>C 01 A</t>
  </si>
  <si>
    <t>C 01 B</t>
  </si>
  <si>
    <t>3) Aufwand der Krankenversicherung (Betrag der Zahlungen der Krankenversicherung an das Gesundheitswesen, abzüglich Beiträge</t>
  </si>
  <si>
    <t xml:space="preserve"> an die Versicherten für die Prämienverbilligung); Kostenbeteiligung; "Out of pocket"; Andere private Finanzierung.</t>
  </si>
  <si>
    <t>4) Schätzung BFS [Medienmitteilung 5/07].</t>
  </si>
  <si>
    <r>
      <t xml:space="preserve">nehmungen </t>
    </r>
    <r>
      <rPr>
        <vertAlign val="superscript"/>
        <sz val="11"/>
        <rFont val="Arial"/>
        <family val="2"/>
      </rPr>
      <t>2</t>
    </r>
  </si>
  <si>
    <r>
      <t xml:space="preserve">Haushalte </t>
    </r>
    <r>
      <rPr>
        <vertAlign val="superscript"/>
        <sz val="11"/>
        <rFont val="Arial"/>
        <family val="2"/>
      </rPr>
      <t>3</t>
    </r>
  </si>
  <si>
    <r>
      <t xml:space="preserve">2006 </t>
    </r>
    <r>
      <rPr>
        <i/>
        <vertAlign val="superscript"/>
        <sz val="11"/>
        <rFont val="Arial"/>
        <family val="2"/>
      </rPr>
      <t>4</t>
    </r>
  </si>
  <si>
    <r>
      <t xml:space="preserve">2007 </t>
    </r>
    <r>
      <rPr>
        <i/>
        <vertAlign val="superscript"/>
        <sz val="11"/>
        <rFont val="Arial"/>
        <family val="2"/>
      </rPr>
      <t>4</t>
    </r>
  </si>
  <si>
    <r>
      <t xml:space="preserve">2008 </t>
    </r>
    <r>
      <rPr>
        <i/>
        <vertAlign val="superscript"/>
        <sz val="11"/>
        <rFont val="Arial"/>
        <family val="2"/>
      </rPr>
      <t>4</t>
    </r>
  </si>
  <si>
    <t>Daten Vorjahr</t>
  </si>
  <si>
    <t>Ärzte:</t>
  </si>
  <si>
    <t>Dichte der</t>
  </si>
  <si>
    <t>Medika-</t>
  </si>
  <si>
    <t>Apo-</t>
  </si>
  <si>
    <t>Aerzte-</t>
  </si>
  <si>
    <t>Wohn-</t>
  </si>
  <si>
    <t>Allge-</t>
  </si>
  <si>
    <t>Spezial-</t>
  </si>
  <si>
    <t>Ärzte mit</t>
  </si>
  <si>
    <t>Apothe-</t>
  </si>
  <si>
    <t>menten-</t>
  </si>
  <si>
    <t>theken-</t>
  </si>
  <si>
    <t>Anzahl Ärzte (linke Skala)</t>
  </si>
  <si>
    <t>Anzahl Apotheken (rechte Skala)</t>
  </si>
  <si>
    <t>bevölke-</t>
  </si>
  <si>
    <t>mein-</t>
  </si>
  <si>
    <t>ärzte</t>
  </si>
  <si>
    <t>Praxistä-</t>
  </si>
  <si>
    <t>äzte</t>
  </si>
  <si>
    <t>ken</t>
  </si>
  <si>
    <t>praktiker</t>
  </si>
  <si>
    <t>FMH</t>
  </si>
  <si>
    <t>tigkeit</t>
  </si>
  <si>
    <t>Datenstand: 30.8.07</t>
  </si>
  <si>
    <t>1) Quellen: BFS, Bevölkerungsentwicklung; FMH, Ärztestatistik (Ärzte mit Praxistätigkeit), Schweizerischerer Apothekerverein.</t>
  </si>
  <si>
    <t xml:space="preserve">1) Quelle: T 4.11. </t>
  </si>
  <si>
    <t>2) Anzahl Einwohner pro Arzt mit Praxistätigkeit resp. Anzahl Einwohner pro Apotheke (Öffentliche Apotheken).</t>
  </si>
  <si>
    <t>2) Summe der Ärzte (mit Praxistätigkeit) mit Facharzttitel in Allgemeinmedizin und der Ärzte (mit Praxistätigkeit) ohne Facharzttitel.</t>
  </si>
  <si>
    <t>3) Inklusiv Fachärzte für innere Medizin, die als Grundversorger tätig sind.</t>
  </si>
  <si>
    <t>4) Quelle: FMH, Ärztestatistik;</t>
  </si>
  <si>
    <t>5) Anzahl Ärzte mit Praxistätigkeit pro 1'000 Einwohner.</t>
  </si>
  <si>
    <t>6) Veränderung der Dichte.</t>
  </si>
  <si>
    <t>7) Quelle: Schweizerischer Apothekerverein SAV.</t>
  </si>
  <si>
    <t>8) Anzahl Apotheken (Öffentliche Apotheken) pro 10'000 Einwohner.</t>
  </si>
  <si>
    <t>9) Selbstdispensation (Medikamentenverkauf durch Ärzte) : 1 flächendeckend im Kanton / 2 Mischformen /  3 reines Rezeptursystem.</t>
  </si>
  <si>
    <t xml:space="preserve">    Quelle : Managed Care 6/04 S. 33-36.</t>
  </si>
  <si>
    <r>
      <t xml:space="preserve">T 9.09  Wohnbevölkerung, Ärzte mit Praxistätigkeit </t>
    </r>
    <r>
      <rPr>
        <b/>
        <sz val="12"/>
        <rFont val="Arial"/>
        <family val="2"/>
      </rPr>
      <t xml:space="preserve">und Apotheken nach Kantonen </t>
    </r>
  </si>
  <si>
    <r>
      <t xml:space="preserve">Veränd. </t>
    </r>
    <r>
      <rPr>
        <vertAlign val="superscript"/>
        <sz val="11"/>
        <rFont val="Arial"/>
        <family val="2"/>
      </rPr>
      <t>6</t>
    </r>
  </si>
  <si>
    <r>
      <t xml:space="preserve">Ärzte </t>
    </r>
    <r>
      <rPr>
        <vertAlign val="superscript"/>
        <sz val="11"/>
        <rFont val="Arial"/>
        <family val="2"/>
      </rPr>
      <t>5</t>
    </r>
  </si>
  <si>
    <r>
      <t xml:space="preserve">dichte </t>
    </r>
    <r>
      <rPr>
        <vertAlign val="superscript"/>
        <sz val="11"/>
        <rFont val="Arial"/>
        <family val="2"/>
      </rPr>
      <t>2)</t>
    </r>
  </si>
  <si>
    <r>
      <t>ken</t>
    </r>
    <r>
      <rPr>
        <vertAlign val="superscript"/>
        <sz val="11"/>
        <rFont val="Arial"/>
        <family val="2"/>
      </rPr>
      <t xml:space="preserve"> 7</t>
    </r>
  </si>
  <si>
    <r>
      <t xml:space="preserve">verkauf </t>
    </r>
    <r>
      <rPr>
        <vertAlign val="superscript"/>
        <sz val="11"/>
        <rFont val="Arial"/>
        <family val="2"/>
      </rPr>
      <t>9</t>
    </r>
  </si>
  <si>
    <r>
      <t xml:space="preserve">dichte </t>
    </r>
    <r>
      <rPr>
        <vertAlign val="superscript"/>
        <sz val="11"/>
        <rFont val="Arial"/>
        <family val="2"/>
      </rPr>
      <t>8</t>
    </r>
  </si>
  <si>
    <r>
      <t xml:space="preserve">rung </t>
    </r>
    <r>
      <rPr>
        <vertAlign val="superscript"/>
        <sz val="11"/>
        <rFont val="Arial"/>
        <family val="2"/>
      </rPr>
      <t>1</t>
    </r>
  </si>
  <si>
    <r>
      <t xml:space="preserve">praktiker </t>
    </r>
    <r>
      <rPr>
        <vertAlign val="superscript"/>
        <sz val="11"/>
        <rFont val="Arial"/>
        <family val="2"/>
      </rPr>
      <t>2</t>
    </r>
  </si>
  <si>
    <r>
      <t xml:space="preserve">FMH </t>
    </r>
    <r>
      <rPr>
        <vertAlign val="superscript"/>
        <sz val="11"/>
        <rFont val="Arial"/>
        <family val="2"/>
      </rPr>
      <t>3</t>
    </r>
  </si>
  <si>
    <r>
      <t xml:space="preserve">tigkeit </t>
    </r>
    <r>
      <rPr>
        <vertAlign val="superscript"/>
        <sz val="11"/>
        <rFont val="Arial"/>
        <family val="2"/>
      </rPr>
      <t>4</t>
    </r>
  </si>
  <si>
    <r>
      <t xml:space="preserve">T 9.10  Entwicklung der Wohnbevölkerung, der Ärzte mit Praxistätigkeit </t>
    </r>
    <r>
      <rPr>
        <b/>
        <sz val="12"/>
        <rFont val="Arial"/>
        <family val="2"/>
      </rPr>
      <t>und der Apotheken ab 1996</t>
    </r>
  </si>
  <si>
    <t>Ärzte</t>
  </si>
  <si>
    <t>Apo</t>
  </si>
  <si>
    <t>theken</t>
  </si>
  <si>
    <t>1) Quelle: T 9.09.</t>
  </si>
  <si>
    <t>2) Anzahl Ärzte mit Praxistätigkeit pro 1'000 Einwohner.</t>
  </si>
  <si>
    <t>3) Veränderung der Dichte.</t>
  </si>
  <si>
    <t>4) Anzahl Apotheken (Öffentliche Apotheken) pro 10'000 Einwohner.</t>
  </si>
  <si>
    <r>
      <t xml:space="preserve">Veränd. </t>
    </r>
    <r>
      <rPr>
        <vertAlign val="superscript"/>
        <sz val="11"/>
        <rFont val="Arial"/>
        <family val="2"/>
      </rPr>
      <t>3</t>
    </r>
  </si>
  <si>
    <r>
      <t xml:space="preserve">Ärzte </t>
    </r>
    <r>
      <rPr>
        <vertAlign val="superscript"/>
        <sz val="11"/>
        <rFont val="Arial"/>
        <family val="2"/>
      </rPr>
      <t>1</t>
    </r>
  </si>
  <si>
    <r>
      <t xml:space="preserve">dichte </t>
    </r>
    <r>
      <rPr>
        <vertAlign val="superscript"/>
        <sz val="11"/>
        <rFont val="Arial"/>
        <family val="2"/>
      </rPr>
      <t>2</t>
    </r>
  </si>
  <si>
    <r>
      <t xml:space="preserve">ken </t>
    </r>
    <r>
      <rPr>
        <vertAlign val="superscript"/>
        <sz val="11"/>
        <rFont val="Arial"/>
        <family val="2"/>
      </rPr>
      <t>1</t>
    </r>
  </si>
  <si>
    <r>
      <t xml:space="preserve">dichte </t>
    </r>
    <r>
      <rPr>
        <vertAlign val="superscript"/>
        <sz val="11"/>
        <rFont val="Arial"/>
        <family val="2"/>
      </rPr>
      <t>4</t>
    </r>
  </si>
  <si>
    <t>Datenstand: 9.11.07</t>
  </si>
  <si>
    <t>Quelle: Kosten des Gesundheitswesens 1995-2000 &amp; Kosten und Finanzierung des Gesundheitswesens 2001/02/03/04/05, BFS &amp; T 9.10.</t>
  </si>
  <si>
    <t>13.11.07: 9.01-&gt;9.05,9.09,9.10,9.12,9.16-&gt;9.18</t>
  </si>
  <si>
    <t>2) Vgl. Art. 66 Abs. 5 KVG: "Der Kanton darf den (...) von ihm zu übernehmenden Betrag um maximal 50 Prozent kürzen, wenn</t>
  </si>
  <si>
    <t>die Prämienverbilligung für Versicherte in bescheidenen wirtschaftlichen Verhältnissen trotzdem sichergestellt ist. Der Beitrag</t>
  </si>
  <si>
    <t>des Bundes an diesen Kanton wird im gleichen Verhältnis gekürzt".</t>
  </si>
  <si>
    <t>3) Subventionsbudget = maximaler Subventionsbetrag abzüglich der Kürzungsbeträge von Kantonen und Bund (vgl. Fussnote 2).</t>
  </si>
  <si>
    <t>4) Effektiv im Berichtsjahr an die Haushalte/BezügerInnen ausbezahlte Prämienverbilligungen nach KVG.</t>
  </si>
  <si>
    <t>T 8.03  Stellen- und Personalbestand der Versicherer ab 1996</t>
  </si>
  <si>
    <t xml:space="preserve">   Verwaltung / Haupsitz</t>
  </si>
  <si>
    <t xml:space="preserve">       Sektionen / Agenturen</t>
  </si>
  <si>
    <t xml:space="preserve">                          Total</t>
  </si>
  <si>
    <t>Stellen</t>
  </si>
  <si>
    <t>1) Ab 2001, nur obligatorische Grundversicherung OKP.</t>
  </si>
  <si>
    <t>2) Total Personen.</t>
  </si>
  <si>
    <t>Quelle: Formular EF3 [3.10.3]</t>
  </si>
  <si>
    <r>
      <t xml:space="preserve">Vorjahr </t>
    </r>
    <r>
      <rPr>
        <vertAlign val="superscript"/>
        <sz val="9"/>
        <rFont val="Arial"/>
        <family val="2"/>
      </rPr>
      <t>2</t>
    </r>
  </si>
  <si>
    <t>1 – 5'000</t>
  </si>
  <si>
    <t>5'001 –</t>
  </si>
  <si>
    <t>10'001 –</t>
  </si>
  <si>
    <t xml:space="preserve">50'001 – </t>
  </si>
  <si>
    <t xml:space="preserve">100'001 – </t>
  </si>
  <si>
    <t>Quelle: T 5.01</t>
  </si>
  <si>
    <r>
      <t>T 8.02  Anzahl Versicherer OKP nach Grösse</t>
    </r>
    <r>
      <rPr>
        <b/>
        <sz val="12"/>
        <rFont val="Arial"/>
        <family val="2"/>
      </rPr>
      <t xml:space="preserve"> ab 1996</t>
    </r>
  </si>
  <si>
    <t>16.8.07: 7.01 -&gt; 7.05, 8.02 -&gt; 8.09</t>
  </si>
  <si>
    <t>EDV-Projekte</t>
  </si>
  <si>
    <t>Eigenkapital:</t>
  </si>
  <si>
    <t xml:space="preserve">Reserven Oblig. Krankenpflegeversicherung (ohne Kto. 290.5) </t>
  </si>
  <si>
    <t>Reserven Oblig. Krankenpflegeversicherung EG und EFTA (ohne Liechtenstein)</t>
  </si>
  <si>
    <t>Reserven Freiw.Taggeldversicherung KVG</t>
  </si>
  <si>
    <t xml:space="preserve">Reserven Aktive Rückversicherung nach KVG </t>
  </si>
  <si>
    <t>Zusatzversicherung VVG, inkl. Taggeld VVG</t>
  </si>
  <si>
    <t xml:space="preserve">Total </t>
  </si>
  <si>
    <t>Quelle: Formular EF1 [10]</t>
  </si>
  <si>
    <t>T 8.11  Aufstellung über Kapitalanlagen, Grundstücke und Gebäude per 31.12.</t>
  </si>
  <si>
    <t>Anteile</t>
  </si>
  <si>
    <t xml:space="preserve">Kapitalanlagen </t>
  </si>
  <si>
    <t>Kapitalanlagen nach Art. 80 KVV</t>
  </si>
  <si>
    <t>Anlagen bei öffentlich-rechtlichen Körperschaften und bei Banken und Sparkassen</t>
  </si>
  <si>
    <t>Wertpapiere und andere an der Börse kotierte Anlagen</t>
  </si>
  <si>
    <t xml:space="preserve">Anlagen in grundpfandgesicherten Darlehen </t>
  </si>
  <si>
    <t>Anlagen und Guthaben von Betriebskrankenkassen im eigenen Betrieb</t>
  </si>
  <si>
    <t>Anlagen bei Institutionen, die der Durchführung der sozialen Krankenversicherung dienen</t>
  </si>
  <si>
    <t xml:space="preserve">Sonstige Wertschriften </t>
  </si>
  <si>
    <t>Wertberichtigung Kapitalanlagen</t>
  </si>
  <si>
    <t>Kapitalanlagen  - Gesamttotal</t>
  </si>
  <si>
    <t>Grundstücke und Gebäude</t>
  </si>
  <si>
    <t xml:space="preserve">Grundstücke </t>
  </si>
  <si>
    <t>Gebäude für Verwaltungszwecke</t>
  </si>
  <si>
    <t>Gebäude für Wohn- und Geschäftszwecke</t>
  </si>
  <si>
    <t>Wertberichtigung Grundstücke und Gebäude</t>
  </si>
  <si>
    <t>Grundstücke / Gebäude - Gesamttotal</t>
  </si>
  <si>
    <t>17-18</t>
  </si>
  <si>
    <t>Gesamttotal  Kapitalanlagen, Grundstücke und Gebäude</t>
  </si>
  <si>
    <t>1) Anschaffungswert = Buchwert</t>
  </si>
  <si>
    <t>Quelle: Formular EF1 [11]</t>
  </si>
  <si>
    <t>T 8.10  Bilanz: Passiven der Versicherer per 31.12.</t>
  </si>
  <si>
    <t>Fremdkapital</t>
  </si>
  <si>
    <t>Verbindlichkeiten aus Versicherungsleistungen</t>
  </si>
  <si>
    <t>6: Freiwillige Taggeldversicherung KVG</t>
  </si>
  <si>
    <t>Prämien, Leistungen, Versichertenbestand und Versichererbestand ab 1996</t>
  </si>
  <si>
    <t>Ertrag, Aufwand und Ergebnis ab 1996</t>
  </si>
  <si>
    <t>Versicherer, Versicherte, Prämien und Leistungen nach Einzel- u. Kollektivverträgen</t>
  </si>
  <si>
    <t xml:space="preserve">Betriebsrechnung der Einzel- und Kollektivversicherung insgesamt </t>
  </si>
  <si>
    <t xml:space="preserve">Betriebsrechnung der Einzelversicherung </t>
  </si>
  <si>
    <t>Betriebsrechnung der Kollektivversicherung</t>
  </si>
  <si>
    <t>7: Andere Versicherungen der vom BAG anerkannten Krankenversicherer</t>
  </si>
  <si>
    <t>Ertrag, Aufwand und Ergebnis der anderen Versicherungen insgesamt ab 1996</t>
  </si>
  <si>
    <t>Indikatoren der Betriebsrechnung der anderen Versicherungen</t>
  </si>
  <si>
    <t>Betriebsrechnung der Zusatzversicherungen VVG</t>
  </si>
  <si>
    <t xml:space="preserve">Betriebsrechnung der Krankenpflegeversicherung Liechtenstein </t>
  </si>
  <si>
    <t>Betriebsrechnung der Zusatzversicherungen Versicherte wohnhaft im Ausland</t>
  </si>
  <si>
    <t>9: Zusatzinformationen zum Gesundheitswesen</t>
  </si>
  <si>
    <t>Kosten des Gesundheitswesens in der Schweiz aus der Sicht der sozialen Sicherheit ab 1996</t>
  </si>
  <si>
    <t>Kosten des Gesundheitswesens in der Schweiz nach Direktzahler ab 1996</t>
  </si>
  <si>
    <t>Kosten des Gesundheitswesens in der Schweiz nach Leistungserbringer ab 1996</t>
  </si>
  <si>
    <t>Forderungen von Subventionen, Prämienverbilligung, Risikoausgleich und anderen Beiträgen</t>
  </si>
  <si>
    <t>Vorausbezahlte Versicherungsleistungen, Regress und Rückerstattungsansprüche</t>
  </si>
  <si>
    <t>Übrige Forderungen und aktive Rechnungsabgrenzung</t>
  </si>
  <si>
    <t>Anlagevermögen</t>
  </si>
  <si>
    <t>Kapitalanlagen</t>
  </si>
  <si>
    <t>– Kapitalanlagen brutto</t>
  </si>
  <si>
    <t xml:space="preserve">– Wertberichtigung </t>
  </si>
  <si>
    <t>– Grundstücke und Gebäude brutto</t>
  </si>
  <si>
    <t>– Wertberichtigung</t>
  </si>
  <si>
    <t>Betriebseinrichtungen und Fahrzeuge</t>
  </si>
  <si>
    <t>– Betriebseinrichtungen und Fahrzeuge brutto</t>
  </si>
  <si>
    <t>Total Aktiven</t>
  </si>
  <si>
    <t>Quelle: Formular EF1 [3]</t>
  </si>
  <si>
    <t xml:space="preserve">T 8.05 Gesamtbetriebsrechnung: Ertrag der Versicherer </t>
  </si>
  <si>
    <t>– Taggeld</t>
  </si>
  <si>
    <t>– Überschussbeteiligung auf Kollektivversicherung Taggeld</t>
  </si>
  <si>
    <t>60 – 63</t>
  </si>
  <si>
    <t>Erlösminderungen auf Prämien</t>
  </si>
  <si>
    <t>Andere Prämienanteile</t>
  </si>
  <si>
    <t>60 – 65</t>
  </si>
  <si>
    <t>Prämienanteile der Rückversicherer</t>
  </si>
  <si>
    <t>60 – 66</t>
  </si>
  <si>
    <t>Prämienverbilligung und sonstige Beiträge / Subventionen</t>
  </si>
  <si>
    <t>– Beiträge zur Prämienverbilligung (Art. 65 KVG)</t>
  </si>
  <si>
    <t>– Beiträge anderer Institutionen z.G. der Versicherten</t>
  </si>
  <si>
    <t>– Beiträge z.G. des Versicheres</t>
  </si>
  <si>
    <t>– Beiträge an Insolvenzfonds</t>
  </si>
  <si>
    <t>Prämienermässigung an Versicherte</t>
  </si>
  <si>
    <t>67 – 68</t>
  </si>
  <si>
    <t>Eigene Subventionen und Beiträge</t>
  </si>
  <si>
    <t>Liegenschaftsrechnung</t>
  </si>
  <si>
    <t xml:space="preserve">Leistungen (brutto) in Fr. je versicherte Person nach Versicherungsform </t>
  </si>
  <si>
    <t>(vgl. hierzu auch Tabellen 2.14, 2.16 et 2.17).</t>
  </si>
  <si>
    <r>
      <t xml:space="preserve">T 2.04  Bruttokosten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nach Kantonen</t>
    </r>
  </si>
  <si>
    <t xml:space="preserve">   Quelle: Kosten des Gesundheitswesens [nach Direktzahlern], BFS. Schätzungen: BFS [Medienmitteilung 5/07].</t>
  </si>
  <si>
    <t>2) Leistungen/Zahlungen nur an das Gesundheitswesen.</t>
  </si>
  <si>
    <t xml:space="preserve">   Quelle: Kosten des Gesundheitswesens [aus der Sicht der sozialen Sicherheit], BFS. Schätzungen: BAG: Entwicklung gemäss jährl. Veränderung 2004-2005.</t>
  </si>
  <si>
    <t>3) Individuelle Sachleistungen und Subventionen an die IV-Institutionen; von der AHV bezahlte Hilfsmittel.</t>
  </si>
  <si>
    <t>4) Quelle: T 9.08.</t>
  </si>
  <si>
    <t>5) Ohne Prämien für Taggelder KVG oder VVG. Quelle: T 9.08.</t>
  </si>
  <si>
    <t>6) Ohne Prämien für Taggelder für Verdienstausfall nach VVG. Quelle: T 9.08.</t>
  </si>
  <si>
    <t>7) Quelle: Kosten des Gesundheitswesens [aus der Sicht der sozialen Sicherheit], BFS.</t>
  </si>
  <si>
    <t xml:space="preserve">     Schätzungen: BAG: Entwicklung gemäss jährl. Veränderung 1996-2005.</t>
  </si>
  <si>
    <t xml:space="preserve">8) Zahnpflege, Pensionskosten in Pflegeheimen, Spitexdienste und rezeptfreie Medikamente </t>
  </si>
  <si>
    <t xml:space="preserve">    ("over the counter") bilden die Hauptkosten zur vollen oder teilweisen Last der Haushalte.</t>
  </si>
  <si>
    <t xml:space="preserve">   Wert berechnet wie das Total der Kosten des Gesundheitswesens - Summe der anderen Positionen.</t>
  </si>
  <si>
    <t>9) Spenden und Legate an Organisationen ohne Erwerbszweck wie Pflegeheime für Betagte, Institutionen für Behinderte, Spitexorganisationen, Gesundheitsligen.</t>
  </si>
  <si>
    <t xml:space="preserve">     Quelle: Kosten des Gesundheitswesens [nach Direktzahlern], BFS. Schätzungen: BFS [Medienmitteilung 5/07].</t>
  </si>
  <si>
    <t>11) Quelle: T 9.08.</t>
  </si>
  <si>
    <t>12) Quelle: Kosten des Gesundheitswesens [nach Direktzahlern], BFS. Schätzungen: BFS [Medienmitteilung 5/07].</t>
  </si>
  <si>
    <t>13) Quelle: T 4.07 (Subventionsbudget nach Kürzungen).</t>
  </si>
  <si>
    <t>Fussnoten T 9.07:</t>
  </si>
  <si>
    <t xml:space="preserve">1) - 13) Vgl. Fussnoten von Tabelle 9.06. </t>
  </si>
  <si>
    <t>14) Ohne Prämienverbilligung KVG (in den Bruttoprämien der obligatorischen Krankenpflegeversicherung enthalten).</t>
  </si>
  <si>
    <t>15) Leistungen I der Krankenversicherer [T 9.08 a) ] + Kostenbeteiligung [T 9.08 f) ].</t>
  </si>
  <si>
    <t>16) Siehe T 9.08 : b) Übriger Aufwand und d) Verwaltungskosten (inkl. Prävention).</t>
  </si>
  <si>
    <t>Fussnoten T 9.08:</t>
  </si>
  <si>
    <t>1) Ohne Taggelder (für Verdienstausfall) KVG oder VVG.</t>
  </si>
  <si>
    <t>2) Quelle: T 1.02 [30-33] &amp; T 7.03 [30-33] ohne Taggeld VVG-Prämien oder T 9.18.</t>
  </si>
  <si>
    <t>3) = c) - a). Übriger Versicherungsaufwand gemäss Kosten des Gesundheitswesens, BFS. Schätzungen [BAG] : T 1.02 [34] / T 7.03 [34] / 0.</t>
  </si>
  <si>
    <t>4) = e) - d). Schätzungen [BAG] = a) + b).</t>
  </si>
  <si>
    <t>5) Verwaltungskosten (inkl. Prävention). Quelle: Kosten des Gesundheitswesens [nach Leistungserbringern und Direktzahlern, interne detaillierte Version BFS]. Schätzungen [BAG]: basierend auf dem 2005 festgestellten Verhältnis [d) / a)].</t>
  </si>
  <si>
    <t>6) Quelle: Kosten des Gesundheitswesens [nach Direktzahlern], BFS. Schätzungen [BAG] = c) + d).</t>
  </si>
  <si>
    <t>7) Quelle: T 1.02 [32]; T 7.03 [32], keine Informationen für Privatversicherer [0].</t>
  </si>
  <si>
    <t>8) = e) + f)</t>
  </si>
  <si>
    <t>9) Quelle: T 1.02 [60-65] (Bruttoprämien  inklusive Prämienverbilligung KVG) &amp; T 7.03 [60-65] ohne Taggeld VVG-Prämien oder T 9.18.</t>
  </si>
  <si>
    <t>10) = h) + f)</t>
  </si>
  <si>
    <t>11) Finanzierungssaldo: Differenz zwischen den Leistungen III der Versicherer an das Gesundheitswesen und den Prämieneinzahlungen der Haushalte.</t>
  </si>
  <si>
    <t xml:space="preserve">    Aus der Sicht des Finanzgleichgewichts handelt es sich um die Kapitaleinkommen, die ausserordentlichen Einkommen, die Gewinne und die Veränderungen von Reserven.</t>
  </si>
  <si>
    <t xml:space="preserve">    Ein positiver Saldo bedeutet grundsätzlich einen Abbau, ein negativer Saldo eine Erhöhung der Reserven. = e) - h) oder g) - i).</t>
  </si>
  <si>
    <r>
      <t xml:space="preserve">Krankenversicherung </t>
    </r>
    <r>
      <rPr>
        <b/>
        <i/>
        <vertAlign val="superscript"/>
        <sz val="10"/>
        <rFont val="Arial"/>
        <family val="2"/>
      </rPr>
      <t>1</t>
    </r>
  </si>
  <si>
    <r>
      <t xml:space="preserve">2006 </t>
    </r>
    <r>
      <rPr>
        <b/>
        <i/>
        <vertAlign val="superscript"/>
        <sz val="10"/>
        <rFont val="Arial"/>
        <family val="2"/>
      </rPr>
      <t>12</t>
    </r>
  </si>
  <si>
    <r>
      <t xml:space="preserve">  a) Leistungen der Krankenversicherer I </t>
    </r>
    <r>
      <rPr>
        <b/>
        <vertAlign val="superscript"/>
        <sz val="10"/>
        <rFont val="Arial"/>
        <family val="2"/>
      </rPr>
      <t>2</t>
    </r>
  </si>
  <si>
    <r>
      <t xml:space="preserve">  b) Übriger Aufwand </t>
    </r>
    <r>
      <rPr>
        <b/>
        <vertAlign val="superscript"/>
        <sz val="10"/>
        <rFont val="Arial"/>
        <family val="2"/>
      </rPr>
      <t>3</t>
    </r>
  </si>
  <si>
    <r>
      <t xml:space="preserve">  c) Leistungen II </t>
    </r>
    <r>
      <rPr>
        <b/>
        <vertAlign val="superscript"/>
        <sz val="10"/>
        <rFont val="Arial"/>
        <family val="2"/>
      </rPr>
      <t>4</t>
    </r>
  </si>
  <si>
    <r>
      <t xml:space="preserve">  d) Verwaltungskosten (inkl. Prävention)  </t>
    </r>
    <r>
      <rPr>
        <b/>
        <vertAlign val="superscript"/>
        <sz val="10"/>
        <rFont val="Arial"/>
        <family val="2"/>
      </rPr>
      <t>5</t>
    </r>
  </si>
  <si>
    <r>
      <t xml:space="preserve">  e) Leistungen III  </t>
    </r>
    <r>
      <rPr>
        <b/>
        <vertAlign val="superscript"/>
        <sz val="10"/>
        <rFont val="Arial"/>
        <family val="2"/>
      </rPr>
      <t>6</t>
    </r>
  </si>
  <si>
    <r>
      <t xml:space="preserve">  f) Kostenbeteiligung </t>
    </r>
    <r>
      <rPr>
        <b/>
        <vertAlign val="superscript"/>
        <sz val="10"/>
        <rFont val="Arial"/>
        <family val="2"/>
      </rPr>
      <t>7</t>
    </r>
  </si>
  <si>
    <r>
      <t xml:space="preserve">  g) Gesamtleistungen IV  </t>
    </r>
    <r>
      <rPr>
        <b/>
        <vertAlign val="superscript"/>
        <sz val="10"/>
        <rFont val="Arial"/>
        <family val="2"/>
      </rPr>
      <t>8</t>
    </r>
  </si>
  <si>
    <r>
      <t xml:space="preserve">  h) Prämien der Haushalte </t>
    </r>
    <r>
      <rPr>
        <b/>
        <vertAlign val="superscript"/>
        <sz val="10"/>
        <rFont val="Arial"/>
        <family val="2"/>
      </rPr>
      <t>9</t>
    </r>
  </si>
  <si>
    <r>
      <t xml:space="preserve">Obligatorische Krankenpflegeversicherung KVG </t>
    </r>
    <r>
      <rPr>
        <vertAlign val="superscript"/>
        <sz val="8"/>
        <rFont val="Arial"/>
        <family val="2"/>
      </rPr>
      <t>3</t>
    </r>
  </si>
  <si>
    <r>
      <t xml:space="preserve">  i) Gesamtbeitrag </t>
    </r>
    <r>
      <rPr>
        <b/>
        <vertAlign val="superscript"/>
        <sz val="10"/>
        <rFont val="Arial"/>
        <family val="2"/>
      </rPr>
      <t>10</t>
    </r>
  </si>
  <si>
    <r>
      <t xml:space="preserve">j) Finanzierungssaldo </t>
    </r>
    <r>
      <rPr>
        <b/>
        <vertAlign val="superscript"/>
        <sz val="10"/>
        <rFont val="Arial"/>
        <family val="2"/>
      </rPr>
      <t>11</t>
    </r>
  </si>
  <si>
    <r>
      <t xml:space="preserve">10) NettoPrämien der Haushalte = Bruttoprämien obligatorische Krankenpflegeversicherung (T 9.08 </t>
    </r>
    <r>
      <rPr>
        <vertAlign val="superscript"/>
        <sz val="10"/>
        <rFont val="Arial"/>
        <family val="2"/>
      </rPr>
      <t>h</t>
    </r>
    <r>
      <rPr>
        <sz val="10"/>
        <rFont val="Arial"/>
        <family val="2"/>
      </rPr>
      <t xml:space="preserve"> ) - Prämienverbilligung KVG an Versicherte (T 9.06 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 ).</t>
    </r>
  </si>
  <si>
    <r>
      <t xml:space="preserve">14) Schätzungen </t>
    </r>
    <r>
      <rPr>
        <i/>
        <sz val="10"/>
        <rFont val="Arial"/>
        <family val="2"/>
      </rPr>
      <t>(kursiv)</t>
    </r>
    <r>
      <rPr>
        <sz val="10"/>
        <rFont val="Arial"/>
        <family val="2"/>
      </rPr>
      <t xml:space="preserve"> [BFS &amp; BAG].</t>
    </r>
  </si>
  <si>
    <r>
      <t xml:space="preserve">17) Schätzungen </t>
    </r>
    <r>
      <rPr>
        <i/>
        <sz val="10"/>
        <rFont val="Arial"/>
        <family val="2"/>
      </rPr>
      <t>(kursiv)</t>
    </r>
    <r>
      <rPr>
        <sz val="10"/>
        <rFont val="Arial"/>
        <family val="2"/>
      </rPr>
      <t xml:space="preserve"> [BFS &amp; BAG].</t>
    </r>
  </si>
  <si>
    <r>
      <t xml:space="preserve">12) Schätzungen </t>
    </r>
    <r>
      <rPr>
        <i/>
        <sz val="10"/>
        <rFont val="Arial"/>
        <family val="2"/>
      </rPr>
      <t>(kursiv)</t>
    </r>
    <r>
      <rPr>
        <sz val="10"/>
        <rFont val="Arial"/>
        <family val="2"/>
      </rPr>
      <t xml:space="preserve"> [BAG].</t>
    </r>
  </si>
  <si>
    <t>T 9.06 Kosten des Gesundheitswesens in der Schweiz aus der Sicht der Krankenversicherungsprämien in Millionen Franken ab 1996</t>
  </si>
  <si>
    <t>Bund</t>
  </si>
  <si>
    <t>Kantone</t>
  </si>
  <si>
    <t>Gemeinden</t>
  </si>
  <si>
    <t>Unfallversicherung UVG</t>
  </si>
  <si>
    <t>Militärversicherung</t>
  </si>
  <si>
    <t xml:space="preserve">  Krankenversicherungsprämien </t>
  </si>
  <si>
    <t>1) - 14) und Quellen: siehe Fussnoten unter der Tabelle 9.08.</t>
  </si>
  <si>
    <r>
      <t xml:space="preserve">2006 </t>
    </r>
    <r>
      <rPr>
        <b/>
        <i/>
        <vertAlign val="superscript"/>
        <sz val="10"/>
        <rFont val="Arial"/>
        <family val="2"/>
      </rPr>
      <t>14</t>
    </r>
  </si>
  <si>
    <r>
      <t xml:space="preserve">AHV / IV </t>
    </r>
    <r>
      <rPr>
        <b/>
        <vertAlign val="superscript"/>
        <sz val="10"/>
        <rFont val="Arial"/>
        <family val="2"/>
      </rPr>
      <t>3</t>
    </r>
  </si>
  <si>
    <r>
      <t xml:space="preserve">Finanzierungssaldo für die Krankenversicherung </t>
    </r>
    <r>
      <rPr>
        <b/>
        <vertAlign val="superscript"/>
        <sz val="10"/>
        <rFont val="Arial"/>
        <family val="2"/>
      </rPr>
      <t>4</t>
    </r>
  </si>
  <si>
    <r>
      <t xml:space="preserve">  Prämienverbilligung KVG </t>
    </r>
    <r>
      <rPr>
        <b/>
        <vertAlign val="superscript"/>
        <sz val="10"/>
        <rFont val="Arial"/>
        <family val="2"/>
      </rPr>
      <t>13</t>
    </r>
  </si>
  <si>
    <r>
      <t xml:space="preserve">  Ergänzungsleistungen </t>
    </r>
    <r>
      <rPr>
        <b/>
        <vertAlign val="superscript"/>
        <sz val="10"/>
        <rFont val="Arial"/>
        <family val="2"/>
      </rPr>
      <t>7</t>
    </r>
  </si>
  <si>
    <t>in den Genuss einer reduzierten Prämie. Als Folge hiervon musste die reduzierte Prämie relativ stark auf 2001 hin erhöht werden.</t>
  </si>
  <si>
    <t>4) Die Werte für 1996 wurden revidiert. Sie wurden mittels der Veränderungen 1996/97 der Durchschnittsprämien der Erwachsenen geschätzt.</t>
  </si>
  <si>
    <r>
      <t xml:space="preserve">T 3.01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OKP in Franken ab 1996 : CH</t>
    </r>
  </si>
  <si>
    <r>
      <t xml:space="preserve">(26 J. und älter) </t>
    </r>
    <r>
      <rPr>
        <vertAlign val="superscript"/>
        <sz val="11"/>
        <rFont val="Arial"/>
        <family val="2"/>
      </rPr>
      <t>2</t>
    </r>
  </si>
  <si>
    <r>
      <t xml:space="preserve">(0-18 Jahre) </t>
    </r>
    <r>
      <rPr>
        <vertAlign val="superscript"/>
        <sz val="11"/>
        <rFont val="Arial"/>
        <family val="2"/>
      </rPr>
      <t>4</t>
    </r>
  </si>
  <si>
    <r>
      <t xml:space="preserve">(19-25 Jahre) </t>
    </r>
    <r>
      <rPr>
        <vertAlign val="superscript"/>
        <sz val="11"/>
        <rFont val="Arial"/>
        <family val="2"/>
      </rPr>
      <t>3</t>
    </r>
  </si>
  <si>
    <r>
      <t xml:space="preserve">1) Ausgewiesen wird die </t>
    </r>
    <r>
      <rPr>
        <b/>
        <sz val="10"/>
        <rFont val="Arial"/>
        <family val="2"/>
      </rPr>
      <t>geschätzte</t>
    </r>
    <r>
      <rPr>
        <sz val="10"/>
        <rFont val="Arial"/>
        <family val="2"/>
      </rPr>
      <t xml:space="preserve"> monatliche Durchschnittsprämie </t>
    </r>
    <r>
      <rPr>
        <b/>
        <sz val="10"/>
        <rFont val="Arial"/>
        <family val="2"/>
      </rPr>
      <t>OKP</t>
    </r>
    <r>
      <rPr>
        <sz val="10"/>
        <rFont val="Arial"/>
        <family val="2"/>
      </rPr>
      <t xml:space="preserve"> in Franken; die Berechnungen beruhen auf den Prämientarifen</t>
    </r>
  </si>
  <si>
    <r>
      <t xml:space="preserve"> </t>
    </r>
    <r>
      <rPr>
        <b/>
        <sz val="10"/>
        <rFont val="Arial"/>
        <family val="2"/>
      </rPr>
      <t>inklusive Unfalldeckung der ordentlichen Franchise</t>
    </r>
    <r>
      <rPr>
        <sz val="10"/>
        <rFont val="Arial"/>
        <family val="2"/>
      </rPr>
      <t xml:space="preserve"> und auf den Versichertenbeständen nach Kantonen, nach Versicherer </t>
    </r>
  </si>
  <si>
    <t>Quelle: T 3.10 / T 11.01</t>
  </si>
  <si>
    <t>1) Schätzung des mittleren Versichertenbestandes (ausgenommen Zeile Total) aufgrund der Aufteilung der Versicherten per 31.12 in T 11.05</t>
  </si>
  <si>
    <r>
      <t>T 3.11  Prämiensoll in Franken je versicherte Person nach Versicherungsform</t>
    </r>
    <r>
      <rPr>
        <b/>
        <vertAlign val="superscript"/>
        <sz val="12"/>
        <rFont val="Arial"/>
        <family val="2"/>
      </rPr>
      <t xml:space="preserve"> 1</t>
    </r>
  </si>
  <si>
    <t>T 3.09  Prämiensoll in Mio. Franken nach Versicherungsform ab 1996</t>
  </si>
  <si>
    <t>Quelle: T 3.10</t>
  </si>
  <si>
    <t>für junge Erwachsene (19 -25 Jahre) in Franken für 2008</t>
  </si>
  <si>
    <t>für Kinder (0 - 18 Jahre) in Franken für 2008</t>
  </si>
  <si>
    <t>Details des Finanzierungssaldos ab 1996</t>
  </si>
  <si>
    <t>Wohnbevölkerung, Ärzte mit Praxistätigkeit und Apotheken nach Kantonen</t>
  </si>
  <si>
    <t>Entwicklung der Wohnbevölkerung, der Ärzte mit Praxistätigkeit und der Apotheken ab 1996</t>
  </si>
  <si>
    <t>Aufteilung der Versicherten nach Art der Spitalzusatzversicherungen ab 1996</t>
  </si>
  <si>
    <t>Entwicklung der Preisindizes für Gesundheitspflege ab 1996</t>
  </si>
  <si>
    <t>Index der Krankenversicherungsprämien nach Versicherungsart ab 1996</t>
  </si>
  <si>
    <t>Index der Krankenpflegekosten, der Löhne sowie der Preise ab 1996</t>
  </si>
  <si>
    <t>T 9.21  Erkrankte, Spitaleinweisungen und Spitaltage</t>
  </si>
  <si>
    <t>Merkmal</t>
  </si>
  <si>
    <t>Erkrankte je 100 Versicherte</t>
  </si>
  <si>
    <t>Einweisungen je 100 Versicherte</t>
  </si>
  <si>
    <t>Spitaltage je 100 Versicherte</t>
  </si>
  <si>
    <t>Spitaltage je Einweisung</t>
  </si>
  <si>
    <t>1) Durchschnittlicher Versichertenbestand.</t>
  </si>
  <si>
    <t>2) Anzahl versicherte Personen, welche im Berichtsjahr mindestens einmal ambulante oder stationäre Kosten verursacht haben</t>
  </si>
  <si>
    <t>EF2 Konto 37 Krankheit + Unfall Seiten 2.2 -&gt; 2.7</t>
  </si>
  <si>
    <t xml:space="preserve">EF2 Seite 2.8 VVG Konto 63 Krankheit + Unfall </t>
  </si>
  <si>
    <t>4B</t>
  </si>
  <si>
    <t>(EF2 Konto 37 Krankheit + Unfall Seiten 2.2 -&gt; 2.7) / [ 1 ]</t>
  </si>
  <si>
    <t>11A</t>
  </si>
  <si>
    <t xml:space="preserve">wenn [1] &gt;= 250'000 : 15% von [3] ; wenn [1] &lt; 250'000 : 20% von [3] </t>
  </si>
  <si>
    <t>4C</t>
  </si>
  <si>
    <t>(EF2 Konto 37 Krankheit + Unfall Seiten 2.2 -&gt; 2.7) / [ 2 ]</t>
  </si>
  <si>
    <t>11B</t>
  </si>
  <si>
    <t xml:space="preserve">wenn [9A] &gt;= [11A] : [9A] - [11A] </t>
  </si>
  <si>
    <t>5A</t>
  </si>
  <si>
    <t>EF2 Konto 30-33 Krankheit + Unfall Seiten 2.2 -&gt; 2.7</t>
  </si>
  <si>
    <t>11C</t>
  </si>
  <si>
    <t xml:space="preserve">wenn [9A] &lt; [11A] : [9A] - [11A] </t>
  </si>
  <si>
    <t>5B</t>
  </si>
  <si>
    <t>= ( [ 5A ] / [ 1 ] )</t>
  </si>
  <si>
    <t>12A</t>
  </si>
  <si>
    <t>=  [ 5A ] + [ 13A ]</t>
  </si>
  <si>
    <t>6A</t>
  </si>
  <si>
    <t xml:space="preserve">(EF2 Konten 40-47 + 48 Krankheit + Unfall Seiten 2.2 -&gt; 2.7) / </t>
  </si>
  <si>
    <t>12B</t>
  </si>
  <si>
    <t>= ( [ 12A ] / [ 1 ] )</t>
  </si>
  <si>
    <t>6B</t>
  </si>
  <si>
    <t>(EF2 Konten 40-47 + 48 Krankheit + Unfall Seiten 2.2 -&gt; 2.7) / [ 1 ] in %</t>
  </si>
  <si>
    <t>13A</t>
  </si>
  <si>
    <t>= - (EF2 Konto 32 Krankheit + Unfall Seiten 2.2 -&gt; 2.7)</t>
  </si>
  <si>
    <t xml:space="preserve">EF2 Konten Gesamtbetriebsergebnis ohne Position </t>
  </si>
  <si>
    <t>13B</t>
  </si>
  <si>
    <t>= ( [ 13A ] / [ 1 ] )</t>
  </si>
  <si>
    <t xml:space="preserve">KVG-Versicherer: Daten zur freiwilligen Taggeldversicherung </t>
  </si>
  <si>
    <t>Mutationen bei den Krankenversicherern</t>
  </si>
  <si>
    <t>T 5.04  Mutationen bei den Krankenversicherern</t>
  </si>
  <si>
    <t>BAG-</t>
  </si>
  <si>
    <t>Name des Versicherers</t>
  </si>
  <si>
    <t>Datum</t>
  </si>
  <si>
    <t>nicht mehr</t>
  </si>
  <si>
    <t>Neuer</t>
  </si>
  <si>
    <t>Neue</t>
  </si>
  <si>
    <t>Neues</t>
  </si>
  <si>
    <t>Zusammenschluss oder Transfer mit</t>
  </si>
  <si>
    <t>Nr.</t>
  </si>
  <si>
    <t>in der</t>
  </si>
  <si>
    <t>Versicherer</t>
  </si>
  <si>
    <t>Namen</t>
  </si>
  <si>
    <t>Tätikeits-</t>
  </si>
  <si>
    <t>BAG-Nr. / Versicherer</t>
  </si>
  <si>
    <t>gebiet</t>
  </si>
  <si>
    <t>Krankenkasse Aquilana</t>
  </si>
  <si>
    <t>01.01.06</t>
  </si>
  <si>
    <t>Aquilana Versicherungen</t>
  </si>
  <si>
    <t>Cassa da malsauns ed accidents Lumnezia I</t>
  </si>
  <si>
    <t>18.07.06</t>
  </si>
  <si>
    <t>Fundaziun CMP Lumnezia I</t>
  </si>
  <si>
    <t>AMB Assurances</t>
  </si>
  <si>
    <t>CH</t>
  </si>
  <si>
    <t>Verein aerosana Krankenkasse</t>
  </si>
  <si>
    <t>Stiftung aerosana versicherungen</t>
  </si>
  <si>
    <t>Vivacare</t>
  </si>
  <si>
    <t>x</t>
  </si>
  <si>
    <t>CH - {AI,AR,GE,GL,GR,JU,NE, TG}</t>
  </si>
  <si>
    <t>Sana Top Assurances SA</t>
  </si>
  <si>
    <t>Total</t>
  </si>
  <si>
    <t>1) Nach dem Entzug der Anerkennung als Krankenversicherer wurden die Leistungen durch den Insolvenzfonds (Gemeinsame Einrichtung) erbracht.</t>
  </si>
  <si>
    <t>Quelle: Bulletin RKUV BAG</t>
  </si>
  <si>
    <r>
      <t xml:space="preserve">BAG-Liste </t>
    </r>
    <r>
      <rPr>
        <vertAlign val="superscript"/>
        <sz val="10"/>
        <rFont val="Arial"/>
        <family val="2"/>
      </rPr>
      <t>1</t>
    </r>
  </si>
  <si>
    <t>Statistik der obligatorischen Krankenversicherung 2006, Bundesamt für Gesundheit</t>
  </si>
  <si>
    <t>Datenstand: 16.5.07</t>
  </si>
  <si>
    <t>11: Versicherte in der OKP</t>
  </si>
  <si>
    <t>Durchschnittlicher Versichertenbestand ab 1996</t>
  </si>
  <si>
    <t>Versichertenbestand ab 1996 per 31.12.</t>
  </si>
  <si>
    <t>Versichertenbestand nach Wohnkanton per 31.12.</t>
  </si>
  <si>
    <t>T 9.15 Totaler Beitrag je versicherte Person (Prämie + Kostenbeteiligung) nach Versicherungsform ab 1996</t>
  </si>
  <si>
    <t>Alle Versicherte</t>
  </si>
  <si>
    <t>Quelle: T 3.12 + 2.02</t>
  </si>
  <si>
    <t>T 9.14 Index der Krankenpflegekosten, der Krankenversicherungsausgaben der Versicherten sowie der Löhne ab 1996</t>
  </si>
  <si>
    <t>Pflege-</t>
  </si>
  <si>
    <t>Gesundheits-</t>
  </si>
  <si>
    <t>Krankenver-</t>
  </si>
  <si>
    <t>OKP-</t>
  </si>
  <si>
    <t>BFS-Lohn-</t>
  </si>
  <si>
    <t>kosten-</t>
  </si>
  <si>
    <t>wesen Kosten-</t>
  </si>
  <si>
    <t>sicherung-</t>
  </si>
  <si>
    <t>index</t>
  </si>
  <si>
    <t>ausgaben</t>
  </si>
  <si>
    <t>OKP</t>
  </si>
  <si>
    <t>(nominal)</t>
  </si>
  <si>
    <t>Pflegekostenindex OKP</t>
  </si>
  <si>
    <t>BFS–Lohnindex</t>
  </si>
  <si>
    <t>1) Quelle: T 2.15. Entwicklung der Leistungen pro Versicherte(n) (erfasst mit der Kostenbeteiligung der Versicherten).</t>
  </si>
  <si>
    <t>3) Quelle: T 9.15. OKP Ausgaben = Prämien + Kostenbeteiligung.</t>
  </si>
  <si>
    <t>4) Quelle: T 2.02.</t>
  </si>
  <si>
    <t>5) Quelle: BFS, Sektion Löhne und Arbeitsbedingungen.</t>
  </si>
  <si>
    <t>6) Quelle: T 3.12. Entwicklung pro versicherte Person für alle Versicherungsmodelle.</t>
  </si>
  <si>
    <r>
      <t xml:space="preserve">index </t>
    </r>
    <r>
      <rPr>
        <vertAlign val="superscript"/>
        <sz val="11"/>
        <rFont val="Arial"/>
        <family val="2"/>
      </rPr>
      <t>5</t>
    </r>
  </si>
  <si>
    <r>
      <t xml:space="preserve">index </t>
    </r>
    <r>
      <rPr>
        <vertAlign val="superscript"/>
        <sz val="11"/>
        <rFont val="Arial"/>
        <family val="2"/>
      </rPr>
      <t>2</t>
    </r>
  </si>
  <si>
    <r>
      <t xml:space="preserve">OKP </t>
    </r>
    <r>
      <rPr>
        <vertAlign val="superscript"/>
        <sz val="11"/>
        <rFont val="Arial"/>
        <family val="2"/>
      </rPr>
      <t>1</t>
    </r>
  </si>
  <si>
    <r>
      <t xml:space="preserve">OKP Index </t>
    </r>
    <r>
      <rPr>
        <vertAlign val="superscript"/>
        <sz val="11"/>
        <rFont val="Arial"/>
        <family val="2"/>
      </rPr>
      <t>3</t>
    </r>
  </si>
  <si>
    <r>
      <t xml:space="preserve">Index </t>
    </r>
    <r>
      <rPr>
        <vertAlign val="superscript"/>
        <sz val="11"/>
        <rFont val="Arial"/>
        <family val="2"/>
      </rPr>
      <t>6</t>
    </r>
  </si>
  <si>
    <r>
      <t xml:space="preserve">Index </t>
    </r>
    <r>
      <rPr>
        <vertAlign val="superscript"/>
        <sz val="11"/>
        <rFont val="Arial"/>
        <family val="2"/>
      </rPr>
      <t>4</t>
    </r>
  </si>
  <si>
    <r>
      <t xml:space="preserve">2) Quelle: T 9.05. Entwicklung pro Einwohner. </t>
    </r>
    <r>
      <rPr>
        <i/>
        <sz val="10"/>
        <rFont val="Arial"/>
        <family val="2"/>
      </rPr>
      <t>2006: Schätzung [ BFS, Medienmitteilung 5/07].</t>
    </r>
  </si>
  <si>
    <t>T 9.13 Index der Krankenversicherungsprämien je versicherte Person nach Versicherungsart ab 1996 (Basis 1999 = 100)</t>
  </si>
  <si>
    <t>Einfluss auf das</t>
  </si>
  <si>
    <t xml:space="preserve">Kinder </t>
  </si>
  <si>
    <t>verfügbares</t>
  </si>
  <si>
    <t>allgemein</t>
  </si>
  <si>
    <t>halbprivat</t>
  </si>
  <si>
    <t>privat</t>
  </si>
  <si>
    <t>Einkommen</t>
  </si>
  <si>
    <t>(ganze CH)</t>
  </si>
  <si>
    <t>Veränderung gegenüber dem Vorjahr</t>
  </si>
  <si>
    <t>1) Auswirkung der Prämienentwicklung auf das Wachstum des verfügbaren Einkommens der Haushalte in %. Quelle: Siehe 3).</t>
  </si>
  <si>
    <t>2) Quelle: T 3.12. Effektive Erhöhungen für alle Versicherungsmodelle.</t>
  </si>
  <si>
    <t>3) Quelle: BFS, Sektion Preise und Verbrauch. Krankenversicherungsprämienindex (KVPI) [Medienmitteilung 11/07].</t>
  </si>
  <si>
    <r>
      <t xml:space="preserve">Obligatorische Krankenpflegeversicherung (OKP) </t>
    </r>
    <r>
      <rPr>
        <b/>
        <vertAlign val="superscript"/>
        <sz val="11"/>
        <rFont val="Arial"/>
        <family val="2"/>
      </rPr>
      <t>2</t>
    </r>
  </si>
  <si>
    <r>
      <t xml:space="preserve">Spitalzusatzversicherungen </t>
    </r>
    <r>
      <rPr>
        <b/>
        <vertAlign val="superscript"/>
        <sz val="11"/>
        <rFont val="Arial"/>
        <family val="2"/>
      </rPr>
      <t>3</t>
    </r>
  </si>
  <si>
    <r>
      <t xml:space="preserve">in %  </t>
    </r>
    <r>
      <rPr>
        <vertAlign val="superscript"/>
        <sz val="10"/>
        <rFont val="Arial"/>
        <family val="2"/>
      </rPr>
      <t>1</t>
    </r>
  </si>
  <si>
    <r>
      <t xml:space="preserve">2007 </t>
    </r>
    <r>
      <rPr>
        <vertAlign val="superscript"/>
        <sz val="11"/>
        <rFont val="Arial"/>
        <family val="2"/>
      </rPr>
      <t>4</t>
    </r>
  </si>
  <si>
    <r>
      <t xml:space="preserve">Werte der </t>
    </r>
    <r>
      <rPr>
        <u/>
        <sz val="10"/>
        <rFont val="Arial"/>
        <family val="2"/>
      </rPr>
      <t>effektiven</t>
    </r>
    <r>
      <rPr>
        <sz val="10"/>
        <rFont val="Arial"/>
        <family val="2"/>
      </rPr>
      <t xml:space="preserve"> Erhöhung der Prämien nach Altersgruppen und Versicherungsform: vgl. T 3.12.</t>
    </r>
  </si>
  <si>
    <r>
      <t xml:space="preserve">Werte der </t>
    </r>
    <r>
      <rPr>
        <u/>
        <sz val="10"/>
        <rFont val="Arial"/>
        <family val="2"/>
      </rPr>
      <t>geschätzten</t>
    </r>
    <r>
      <rPr>
        <sz val="10"/>
        <rFont val="Arial"/>
        <family val="2"/>
      </rPr>
      <t xml:space="preserve"> Erhöhung der Prämien pro Kanton und Altersgruppen für die ordentliche Franchise: vgl. T 3.01.</t>
    </r>
  </si>
  <si>
    <r>
      <t xml:space="preserve">4) OKP: </t>
    </r>
    <r>
      <rPr>
        <i/>
        <sz val="10"/>
        <rFont val="Arial"/>
        <family val="2"/>
      </rPr>
      <t>Schätzung :</t>
    </r>
    <r>
      <rPr>
        <sz val="10"/>
        <rFont val="Arial"/>
        <family val="2"/>
      </rPr>
      <t xml:space="preserve"> Quelle: Siehe 3). Siehe auch Beilage J (Schätzung 1, pro Versicherte Person).</t>
    </r>
  </si>
  <si>
    <t xml:space="preserve">Kostenbeteiligung der Versicherten in Fr. nach Versicherungsform ab 1996 </t>
  </si>
  <si>
    <t xml:space="preserve">Kostenbeteiligung je versicherte Person in Fr. nach Versicherungsform ab 1996 </t>
  </si>
  <si>
    <t>Kantonale bezahlte Leistungen pro Versicherten pro Jahr in Franken ab 1996</t>
  </si>
  <si>
    <t>Bruttokosten nach Kantonen</t>
  </si>
  <si>
    <t>Bruttokosten pro Versicherten pro Versicherungsmonat nach Kantonen</t>
  </si>
  <si>
    <t xml:space="preserve">Bruttokosten pro Versicherten pro Versicherungsmonat nach Altersgruppen und Geschlecht </t>
  </si>
  <si>
    <t>Effektive Kosten nach Kantonen</t>
  </si>
  <si>
    <t xml:space="preserve">Effektive Kosten pro Versicherten pro Versicherungsmonat nach Kantonen </t>
  </si>
  <si>
    <t>Effektive Kosten pro Versicherten pro Versicherungsmonat nach Altersgruppen und Geschlecht</t>
  </si>
  <si>
    <t>Kostenbeteiligung pro Versicherten pro Jahr nach Kantonen</t>
  </si>
  <si>
    <t>Kostenbeteiligung pro Versicherten pro Jahr nach Altersgruppen und Geschlecht</t>
  </si>
  <si>
    <t>Effektive Kosten pro Versicherten pro Versicherungsmonat nach Kantonen und Altersgruppen</t>
  </si>
  <si>
    <t>Kostenbeteiligung pro Versicherten pro Jahr nach Kantonen und Altersgruppen</t>
  </si>
  <si>
    <t>Leistungen (brutto)  nach Versicherungsform ab 1996</t>
  </si>
  <si>
    <t>Leistungen (brutto)  je versicherte Person nach Versicherungsform ab 1996</t>
  </si>
  <si>
    <t>Leistungen (brutto)  nach Kostengruppen ab 1996</t>
  </si>
  <si>
    <t xml:space="preserve">Leistungen (brutto) nach Kostengruppen </t>
  </si>
  <si>
    <t xml:space="preserve">Leistungen (brutto) je versicherte Person nach Kostengruppen ab 1996 </t>
  </si>
  <si>
    <t>Leistungen (brutto)  je versicherte Person nach Kostengruppen</t>
  </si>
  <si>
    <t>Bezahlte Leistungen nach Versicherungsform ab 1996</t>
  </si>
  <si>
    <t>Bezahlte Leistungen je versicherte Person nach Versicherungsform ab 1996</t>
  </si>
  <si>
    <t xml:space="preserve">Leistungen (brutto) in Fr. nach Versicherungsform </t>
  </si>
  <si>
    <t>T 11.08 Verteilung der Versicherungsformen in % nach Kanton - Versicherte ab 19 Jahren</t>
  </si>
  <si>
    <t>Ordentl.</t>
  </si>
  <si>
    <t>Andere</t>
  </si>
  <si>
    <t>500 Fr.</t>
  </si>
  <si>
    <t>1000 Fr.</t>
  </si>
  <si>
    <t>1500 Fr.</t>
  </si>
  <si>
    <t>2000 Fr.</t>
  </si>
  <si>
    <t>2500 Fr.</t>
  </si>
  <si>
    <t>rungsformen</t>
  </si>
  <si>
    <t>300 Fr.</t>
  </si>
  <si>
    <t>texte de base pour T 11.07 11.09 et 11.10</t>
  </si>
  <si>
    <t>T 11.10  Verteilung der Versicherungsformen in % nach Kanton - Versicherte 0-18 Jahre</t>
  </si>
  <si>
    <t>100 Fr.</t>
  </si>
  <si>
    <t>200 Fr.</t>
  </si>
  <si>
    <t>400 Fr.</t>
  </si>
  <si>
    <t>600 Fr.</t>
  </si>
  <si>
    <t>0 Fr.</t>
  </si>
  <si>
    <t>I</t>
  </si>
  <si>
    <t>II</t>
  </si>
  <si>
    <t>III</t>
  </si>
  <si>
    <t>IV</t>
  </si>
  <si>
    <t>V</t>
  </si>
  <si>
    <t>1) 1996-97: ordentliche Jahresfranchise: 150.- ; wählbare Jahresfranchisen: 300.-  600.-  1200.-  1500.-</t>
  </si>
  <si>
    <t>Das BAG nimmt keine Revision der veröffentlichen Daten vor, wenn santésuisse ihre Daten im Nachhinein korrigiert.</t>
  </si>
  <si>
    <t>Genauigkeit der Daten:</t>
  </si>
  <si>
    <t>Die Tatsache, dass der Datenpool nicht auf der Gesamtheit der Versicherten und Versicherer basiert, kann eine gewisse Ungenauigkeit der</t>
  </si>
  <si>
    <t>Daten zur Folge haben. Intuitiv kann man verstehen, dass diese Ungenauigkeit grundsätzlich zunimmt, je schwächer der Abdeckungsgrad</t>
  </si>
  <si>
    <t>und je kleiner die Zahl der für die Berechnung eines Wertes berücksichtigten Versicherten ist.</t>
  </si>
  <si>
    <t>Die Genauigkeit der Daten des Datenpools in Funktion des Abdeckungsgrads analytisch einzuschätzen, ist jedoch kein triviales Problem.</t>
  </si>
  <si>
    <t xml:space="preserve">Wir beschränken uns hier darauf, im Sinne eines Beispiels die Genauigkeit von 3 Serien darzustellen, für die </t>
  </si>
  <si>
    <t>"Referenzwerte" vorliegen, da sie aus der abschliessenden Vollerhebung mit den Formularen EF 123 oder dem Risikoausgleich stammen.</t>
  </si>
  <si>
    <t>Prämiensoll pro versicherte Person</t>
  </si>
  <si>
    <t>Kostenbeteiligung 2005</t>
  </si>
  <si>
    <t>T 3.12 STAT KV</t>
  </si>
  <si>
    <t>Datenpool</t>
  </si>
  <si>
    <t>Abweichung Datenpool - STAT KV</t>
  </si>
  <si>
    <t>T 2.13 STAT KV</t>
  </si>
  <si>
    <t>Nettoleistungen 2005</t>
  </si>
  <si>
    <t>T 2.09 STAT KV (*12)</t>
  </si>
  <si>
    <t>0 – 18</t>
  </si>
  <si>
    <t>19 – 25</t>
  </si>
  <si>
    <t>Beilage I2</t>
  </si>
  <si>
    <t>Abdeckungsgrad des Datenpools von santésuisse nach Kanton *</t>
  </si>
  <si>
    <t xml:space="preserve">ZH </t>
  </si>
  <si>
    <t xml:space="preserve">BE </t>
  </si>
  <si>
    <t xml:space="preserve">LU </t>
  </si>
  <si>
    <t xml:space="preserve">UR </t>
  </si>
  <si>
    <t xml:space="preserve">SZ </t>
  </si>
  <si>
    <t xml:space="preserve">OW </t>
  </si>
  <si>
    <t xml:space="preserve">NW </t>
  </si>
  <si>
    <t xml:space="preserve">GL </t>
  </si>
  <si>
    <t xml:space="preserve">ZG </t>
  </si>
  <si>
    <t>BS **</t>
  </si>
  <si>
    <t>BL **</t>
  </si>
  <si>
    <t xml:space="preserve">SH </t>
  </si>
  <si>
    <t xml:space="preserve">AR </t>
  </si>
  <si>
    <t xml:space="preserve">AI </t>
  </si>
  <si>
    <t xml:space="preserve">SG </t>
  </si>
  <si>
    <t xml:space="preserve">GR </t>
  </si>
  <si>
    <t xml:space="preserve">AG </t>
  </si>
  <si>
    <t xml:space="preserve">TG </t>
  </si>
  <si>
    <t xml:space="preserve">TI </t>
  </si>
  <si>
    <t xml:space="preserve">VD </t>
  </si>
  <si>
    <t xml:space="preserve">VS </t>
  </si>
  <si>
    <t xml:space="preserve">NE </t>
  </si>
  <si>
    <t xml:space="preserve">GE </t>
  </si>
  <si>
    <t xml:space="preserve">JU </t>
  </si>
  <si>
    <t xml:space="preserve">CH </t>
  </si>
  <si>
    <t>* Werte vom BAG berechnet</t>
  </si>
  <si>
    <t>** Fehler im Datenpool für BS und BL 1997 – 2002 (1 Gemeinde von BL wurde BS zugeordnet [betrifft Münchenstein])</t>
  </si>
  <si>
    <t>Beilage I3</t>
  </si>
  <si>
    <t>Abdeckungsgrad des Datenpools von santésuisse nach Altersgruppen *</t>
  </si>
  <si>
    <t xml:space="preserve">0-5 Jahre </t>
  </si>
  <si>
    <t xml:space="preserve">6-10 Jahre </t>
  </si>
  <si>
    <t xml:space="preserve">11-15 Jahre </t>
  </si>
  <si>
    <t xml:space="preserve">16-18 Jahre </t>
  </si>
  <si>
    <t xml:space="preserve">19-20 Jahre </t>
  </si>
  <si>
    <t xml:space="preserve">21-25 Jahre </t>
  </si>
  <si>
    <t xml:space="preserve">26-30 Jahre </t>
  </si>
  <si>
    <t xml:space="preserve">31-35 Jahre </t>
  </si>
  <si>
    <t xml:space="preserve">36-40 Jahre </t>
  </si>
  <si>
    <t xml:space="preserve">41-45 Jahre </t>
  </si>
  <si>
    <t xml:space="preserve">46-50 Jahre </t>
  </si>
  <si>
    <t xml:space="preserve">51-55 Jahre </t>
  </si>
  <si>
    <t xml:space="preserve">56-60 Jahre </t>
  </si>
  <si>
    <t xml:space="preserve">61-65 Jahre </t>
  </si>
  <si>
    <t xml:space="preserve">66-70 Jahre </t>
  </si>
  <si>
    <t xml:space="preserve">71-75 Jahre </t>
  </si>
  <si>
    <t xml:space="preserve">76-80 Jahre </t>
  </si>
  <si>
    <t xml:space="preserve">81-85 Jahre </t>
  </si>
  <si>
    <t xml:space="preserve">86-90 Jahre </t>
  </si>
  <si>
    <t xml:space="preserve">91-95 Jahre </t>
  </si>
  <si>
    <t xml:space="preserve">96-100 Jahre </t>
  </si>
  <si>
    <t>101-105 Jahre</t>
  </si>
  <si>
    <t>106-110 Jahre</t>
  </si>
  <si>
    <t>111-115 Jahre</t>
  </si>
  <si>
    <t>116-120 Jahre</t>
  </si>
  <si>
    <t>0-18 Jahre</t>
  </si>
  <si>
    <t>19-25 Jahre</t>
  </si>
  <si>
    <r>
      <t xml:space="preserve">Der gewählte Ansatz ist jener der Auswertung der </t>
    </r>
    <r>
      <rPr>
        <u/>
        <sz val="10"/>
        <rFont val="Arial"/>
        <family val="2"/>
      </rPr>
      <t>Jahres</t>
    </r>
    <r>
      <rPr>
        <sz val="10"/>
        <rFont val="Arial"/>
        <family val="2"/>
      </rPr>
      <t>Daten des DATENPOOLS nach Leistungsart</t>
    </r>
  </si>
  <si>
    <r>
      <t xml:space="preserve">und Wohnort der versicherten Person (im Gegensatz zu den </t>
    </r>
    <r>
      <rPr>
        <u/>
        <sz val="10"/>
        <rFont val="Arial"/>
        <family val="2"/>
      </rPr>
      <t>Monats</t>
    </r>
    <r>
      <rPr>
        <sz val="10"/>
        <rFont val="Arial"/>
        <family val="2"/>
      </rPr>
      <t>Daten für das Kostenmonitoring, das nach Leistungserbringer</t>
    </r>
  </si>
  <si>
    <t>Beilage J1</t>
  </si>
  <si>
    <t>Schätzungen aus dem Prämiengenehmigungsverfahren: Hauptwerte [in Mio. Fr. ausser Versicherte in Tausend Fr.]</t>
  </si>
  <si>
    <t>Veränder. 2005-06 in %</t>
  </si>
  <si>
    <t>Schätzung 1</t>
  </si>
  <si>
    <t>Abweichung S1</t>
  </si>
  <si>
    <t>Schätzung 2</t>
  </si>
  <si>
    <t>Nettoleistungen</t>
  </si>
  <si>
    <t>Kostenbeteiligung</t>
  </si>
  <si>
    <t>Verwaltungskosten</t>
  </si>
  <si>
    <t>Provisionen</t>
  </si>
  <si>
    <t>Bruttoleistungen</t>
  </si>
  <si>
    <t>Bemerkungen:</t>
  </si>
  <si>
    <t>- 1-8: in der STAT KV publizierte Werte [T 1.01 &amp; 1.02] aus den Formularen EF123</t>
  </si>
  <si>
    <t>- Schätzung 1: geschätzte Werte aus dem Prämiengenehmigungsverfahren des BAG, Schätzung für das laufende Jahr</t>
  </si>
  <si>
    <t xml:space="preserve">  Beispiel: Schätzung von 2006 für 2006 / Schätzung von 2007 für 2007</t>
  </si>
  <si>
    <t xml:space="preserve">- Schätzung 2: geschätzte Werte aus dem Prämiengenehmigungsverfahren des BAG, Schätzung für das Folgejahr </t>
  </si>
  <si>
    <t xml:space="preserve">  Beispiel: Schätzung von 2006 für 2007 / Schätzung von 2007 für 2008</t>
  </si>
  <si>
    <t xml:space="preserve">Im Allgemeinen ist die Schätzung 1 genauer als die (eher grobe) Schätzung 2. </t>
  </si>
  <si>
    <t>Es ist lediglich die Abweichung zwischen der Schätzung 1 und dem in der STAT KV publizierten Wert (Abweichung S1 in %) aufgeführt.</t>
  </si>
  <si>
    <t xml:space="preserve">   der Bevölkerung und der geschätzten Bevölkerung in % zum bzw. vom ebenfalls absoluten, für jede Kategorie aufgeführten Wert nach </t>
  </si>
  <si>
    <t xml:space="preserve">   folgendem Schema addiert oder subtrahiert werden:</t>
  </si>
  <si>
    <t xml:space="preserve">   Das Zeichen der Genauigkeit pro versicherte Person richtet sich nach folgendem Schema:</t>
  </si>
  <si>
    <t>Abweichung geschätzte Bevölkerung - Bevölkerung in %</t>
  </si>
  <si>
    <t>+</t>
  </si>
  <si>
    <t xml:space="preserve">Abweichung geschätzter Wert [2-8] - Wert [2-8] in %   </t>
  </si>
  <si>
    <t>Zeichen der Genauigkeit pro versicherte Person: + oder - %</t>
  </si>
  <si>
    <t xml:space="preserve">   Beispiel: Reserven pro versicherte Person im Jahr 2004 mit der Schätzung 1: -0.2% + 0.52% = Abweichung pro versicherte Person von + 0.72%</t>
  </si>
  <si>
    <t>Beilage J2</t>
  </si>
  <si>
    <t>Schätzungen aus dem Prämiengenehmigungsverfahren: Hauptkostengruppen [in Mio. Fr.]</t>
  </si>
  <si>
    <t>Ärzte (ambulant)</t>
  </si>
  <si>
    <t>Spitäler (ambulant)</t>
  </si>
  <si>
    <t>Medikamente (Ärzte)</t>
  </si>
  <si>
    <t>Medikamente (Apotheken)</t>
  </si>
  <si>
    <t>Laboratorien</t>
  </si>
  <si>
    <t>Spitäler (stationär)</t>
  </si>
  <si>
    <t>Alters- und Pflegeheime</t>
  </si>
  <si>
    <t>- 1-11: publizierte Werte aus den Formularen EF123</t>
  </si>
  <si>
    <r>
      <t xml:space="preserve">- Zur Genauigkeit der geschätzten Werte </t>
    </r>
    <r>
      <rPr>
        <b/>
        <sz val="8"/>
        <rFont val="Arial"/>
        <family val="2"/>
      </rPr>
      <t>pro versicherte Person</t>
    </r>
    <r>
      <rPr>
        <sz val="8"/>
        <rFont val="Arial"/>
        <family val="2"/>
      </rPr>
      <t>: Sie berechnen sich, indem der absolute Wert der Abweichung zwischen</t>
    </r>
  </si>
  <si>
    <r>
      <t xml:space="preserve">- Zur Genauigkeit der geschätzten Werte </t>
    </r>
    <r>
      <rPr>
        <u/>
        <sz val="8"/>
        <rFont val="Arial"/>
        <family val="2"/>
      </rPr>
      <t>pro versicherte Person</t>
    </r>
    <r>
      <rPr>
        <sz val="8"/>
        <rFont val="Arial"/>
        <family val="2"/>
      </rPr>
      <t>: Sie berechnen sich nach dem gleichen Grundsatz wie auf der vorangehenden Seite erklärt.</t>
    </r>
  </si>
  <si>
    <t>Beilagen I1-2-3</t>
  </si>
  <si>
    <t>Beilagen J1-2</t>
  </si>
  <si>
    <t>vollständig (137 / 137 T.)</t>
  </si>
  <si>
    <t>27.11.07: I1-&gt;I3, J1, J2</t>
  </si>
  <si>
    <t>Datenpool santésuisse : Abdeckungsgrad, Datenstand und Genauigkeit der Daten 1997-2006</t>
  </si>
  <si>
    <t>16.5.07: 5.04, B2</t>
  </si>
  <si>
    <t>Übergangsschlüssel Tabellen 2005 -&gt; 2006 / 2006 -&gt; 2005                 (2006: neu : T 11.19 &amp; I1-2-3 &amp; J1-2)</t>
  </si>
  <si>
    <t>T 9.04  Kosten des Gesundheitswesens in der Schweiz nach Leistungen in Mio. Fr. ab 1996</t>
  </si>
  <si>
    <t>Stationäre</t>
  </si>
  <si>
    <t>Verkauf</t>
  </si>
  <si>
    <t>Verwaltung</t>
  </si>
  <si>
    <t>und</t>
  </si>
  <si>
    <t>Gesund-</t>
  </si>
  <si>
    <t>teilstationäre</t>
  </si>
  <si>
    <t>1) Akutbehandlung Inkl. Psychiatrie; Rehabilitation; Lagzeit; Andere.</t>
  </si>
  <si>
    <t>2) Medizinische Laboruntersuchungen (in medizinischen Labors); Radiologie; Transport und Rettung; Andere.</t>
  </si>
  <si>
    <t>3) Arzneimittel durch Detailhandel; Arzneimittel durch Ärzte; Therapeutische Apparate.</t>
  </si>
  <si>
    <t>4) Alkohol- und Drogenmissbrauch; Schulgesundheit, usw.</t>
  </si>
  <si>
    <t>5) Schätzung BFS [Medienmitteilung 5/07].</t>
  </si>
  <si>
    <r>
      <t xml:space="preserve">Prävention </t>
    </r>
    <r>
      <rPr>
        <vertAlign val="superscript"/>
        <sz val="11"/>
        <rFont val="Arial"/>
        <family val="2"/>
      </rPr>
      <t>4</t>
    </r>
  </si>
  <si>
    <r>
      <t xml:space="preserve">Leistungen </t>
    </r>
    <r>
      <rPr>
        <vertAlign val="superscript"/>
        <sz val="11"/>
        <rFont val="Arial"/>
        <family val="2"/>
      </rPr>
      <t>2</t>
    </r>
  </si>
  <si>
    <r>
      <t xml:space="preserve">heitsgüter </t>
    </r>
    <r>
      <rPr>
        <vertAlign val="superscript"/>
        <sz val="11"/>
        <rFont val="Arial"/>
        <family val="2"/>
      </rPr>
      <t>3</t>
    </r>
  </si>
  <si>
    <r>
      <t xml:space="preserve">Behandlung </t>
    </r>
    <r>
      <rPr>
        <vertAlign val="superscript"/>
        <sz val="11"/>
        <rFont val="Arial"/>
        <family val="2"/>
      </rPr>
      <t>1</t>
    </r>
  </si>
  <si>
    <r>
      <t xml:space="preserve">2006 </t>
    </r>
    <r>
      <rPr>
        <i/>
        <vertAlign val="superscript"/>
        <sz val="11"/>
        <rFont val="Arial"/>
        <family val="2"/>
      </rPr>
      <t>5</t>
    </r>
  </si>
  <si>
    <t>T 9.05 Kosten des Gesundheitswesens in der Schweiz aus der Sicht der Volkswirtschaft in Mio. Fr. und pro Einwohner in Fr. ab 1996</t>
  </si>
  <si>
    <t>Unter-</t>
  </si>
  <si>
    <t>Total pro</t>
  </si>
  <si>
    <t>Einwohner</t>
  </si>
  <si>
    <t>1) Beiträge an Leistungserbringer; Gesundheitswesen,Verwaltung und Prävention; Verbilligung KVG-Prämien; Andere Soziale Sicherheit.</t>
  </si>
  <si>
    <t>2) Unfallversicherung UVG &amp; AHV-IV: Beiträge und Prämien der Arbeitgeber, der Arbeitnehmer und der Selbständigerwerbenden.</t>
  </si>
  <si>
    <t>T 3.12  Prämiensoll in Franken je versicherte Person nach Versicherungsform ab 1996</t>
  </si>
  <si>
    <t>Quelle: T 3.11</t>
  </si>
  <si>
    <t xml:space="preserve">Zusätzliche Angaben : nach Altersgruppe ab 1996 </t>
  </si>
  <si>
    <r>
      <t xml:space="preserve">Alle Versicherte </t>
    </r>
    <r>
      <rPr>
        <b/>
        <vertAlign val="superscript"/>
        <sz val="11"/>
        <rFont val="Arial"/>
        <family val="2"/>
      </rPr>
      <t>1</t>
    </r>
  </si>
  <si>
    <t>in 1000 Fr.</t>
  </si>
  <si>
    <t>Arzt ambulant</t>
  </si>
  <si>
    <t>Spital ambulant</t>
  </si>
  <si>
    <t>Medikamente Arzt</t>
  </si>
  <si>
    <t>Medikamente Apotheke</t>
  </si>
  <si>
    <t>Spitex</t>
  </si>
  <si>
    <t>Physiotherapie</t>
  </si>
  <si>
    <t>Labor</t>
  </si>
  <si>
    <t>Chiropraktik</t>
  </si>
  <si>
    <t>Mittel und Gegenstände</t>
  </si>
  <si>
    <t>Komplementärmedizin</t>
  </si>
  <si>
    <t>Übrige Leistungen ambulant</t>
  </si>
  <si>
    <t>Leistungen Total</t>
  </si>
  <si>
    <t>davon Leistungen Mutterschaft</t>
  </si>
  <si>
    <t>1) Sofern keine Aufteilung nach den anderen aufgeführten Kostengruppen möglich ist.</t>
  </si>
  <si>
    <t>2) Intra-muros Behandlung; andere Gruppen = ambulante Behandlung.</t>
  </si>
  <si>
    <t>3) Kategorie "Medikamente Spital ambulant" : gehört zur Kategorie "Spital ambulant".</t>
  </si>
  <si>
    <t xml:space="preserve">Quelle: Formular EF3 [T 3.6] </t>
  </si>
  <si>
    <r>
      <t xml:space="preserve">Spital stationär </t>
    </r>
    <r>
      <rPr>
        <vertAlign val="superscript"/>
        <sz val="11"/>
        <rFont val="Arial"/>
        <family val="2"/>
      </rPr>
      <t>2</t>
    </r>
  </si>
  <si>
    <r>
      <t xml:space="preserve">Pflegeheim </t>
    </r>
    <r>
      <rPr>
        <vertAlign val="superscript"/>
        <sz val="11"/>
        <rFont val="Arial"/>
        <family val="2"/>
      </rPr>
      <t>2</t>
    </r>
  </si>
  <si>
    <r>
      <t xml:space="preserve">Betriebsbeiträge an HMO's </t>
    </r>
    <r>
      <rPr>
        <vertAlign val="superscript"/>
        <sz val="11"/>
        <rFont val="Arial"/>
        <family val="2"/>
      </rPr>
      <t>1</t>
    </r>
  </si>
  <si>
    <r>
      <t xml:space="preserve">Übrige Leistungen stationär </t>
    </r>
    <r>
      <rPr>
        <vertAlign val="superscript"/>
        <sz val="11"/>
        <rFont val="Arial"/>
        <family val="2"/>
      </rPr>
      <t>2</t>
    </r>
  </si>
  <si>
    <r>
      <t xml:space="preserve">davon Medikamente Spital ambulant </t>
    </r>
    <r>
      <rPr>
        <i/>
        <vertAlign val="superscript"/>
        <sz val="11"/>
        <rFont val="Arial"/>
        <family val="2"/>
      </rPr>
      <t>3</t>
    </r>
  </si>
  <si>
    <t>T 2.19  Leistungen (brutto) in Franken je versicherte Person nach Kostengruppen</t>
  </si>
  <si>
    <t>Quelle: T 2.17 / T 11.01</t>
  </si>
  <si>
    <t>T 1.01 Obligatorische Krankenpflegeversicherung ab 1996: wichtigste Indikatoren</t>
  </si>
  <si>
    <t>Merkmale</t>
  </si>
  <si>
    <t>Veränderung 2005 - 2006 in %</t>
  </si>
  <si>
    <t>Jahresdurch-schnittliche Veränderung 1996 - 2006 in %</t>
  </si>
  <si>
    <t>– Anzahl Versicherer OKP</t>
  </si>
  <si>
    <t>– Durchschnittlicher Versichertenbestand in 1'000</t>
  </si>
  <si>
    <t>– Anzahl Erkrankte in 1'000</t>
  </si>
  <si>
    <t>T 9.11 Versicherte mit einer Spitalzusatzversicherung ab 1996 in % der OKP-Versicherten</t>
  </si>
  <si>
    <t xml:space="preserve">Total der </t>
  </si>
  <si>
    <t>Versicherte mit Grundversicherung</t>
  </si>
  <si>
    <t>Versicherte ohne Grundversicherung</t>
  </si>
  <si>
    <t>Besondere</t>
  </si>
  <si>
    <t>Spital halbprivat,</t>
  </si>
  <si>
    <t>per 31.12</t>
  </si>
  <si>
    <t>privat und gleich-</t>
  </si>
  <si>
    <t>ganze CH</t>
  </si>
  <si>
    <t>wertige Produkte</t>
  </si>
  <si>
    <t>1) Quelle: Die privaten Versicherungseinrichtungen in der Schweiz (BPV), nicht publizierte detaillierte Fassung der Tabelle AS03N.</t>
  </si>
  <si>
    <t xml:space="preserve">   Mit Vorsicht zu interpretieren. Es sind keine Informationen zu der Einteilung spezieller Versicherungsangebote vorhanden (vgl. Fussnote 5).</t>
  </si>
  <si>
    <t>2) Quelle: Bundesamt für Gesundheit (BAG), Formular EF3 [3.7.3].</t>
  </si>
  <si>
    <t xml:space="preserve">   Es können nur Versicherte berücksichtigt werden, welche die Zusatzversicherung beim gleichen Versicherer abgeschlossen haben wie die obligatorische Krankenpflegeversicherung.</t>
  </si>
  <si>
    <t>3) Quelle: T 11.06.</t>
  </si>
  <si>
    <t>4) Quelle: Bundesamt für Gesundheit (BAG), Formular EF3 [3.7.3].</t>
  </si>
  <si>
    <t xml:space="preserve">  Nur Versicherte, welche die Zusatzversicherung beim anderen Versicherer abgeschlossen haben als die obligatorische Krankenpflegeversicherung.</t>
  </si>
  <si>
    <t>5) Besondere Versicherungsangebote :</t>
  </si>
  <si>
    <t xml:space="preserve">- Flex-Versicherung bei der Versicherte von Fall zu Fall die Abteilung in der sie behandelt werden wollen und die dazu gehörigen Franchise </t>
  </si>
  <si>
    <t xml:space="preserve">  bzw. Kostenbeteiligung für Halb­privat oder Privat Abteilung wählen können.</t>
  </si>
  <si>
    <t>- Spitalzimmerversicherung für die freie Wahl von Ein- oder Zweibettzimmern in der allgemeinen Spitalabteilung</t>
  </si>
  <si>
    <t>- Taggeldversicherung im Zusammenhang mit Spitalaufenthalten bei denen der Versicherte einen fixen Betrag pro Spitaltag erhält.</t>
  </si>
  <si>
    <t>- Behandlungskostenversicherung bei Spitalaufenthalten mit einem definierten Maximalbetrag pro Jahr.</t>
  </si>
  <si>
    <t>6) KVG + Privatversicherer. Quelle : BPV: www.bpv.admin.ch &gt; Themen &gt; Krankenzusatzversicherung &gt; Zahlen und Fakten.   Mit Vorsicht zu interpretieren.</t>
  </si>
  <si>
    <r>
      <t xml:space="preserve"> KVG-Versicherer </t>
    </r>
    <r>
      <rPr>
        <b/>
        <vertAlign val="superscript"/>
        <sz val="11"/>
        <rFont val="Arial"/>
        <family val="2"/>
      </rPr>
      <t>2</t>
    </r>
  </si>
  <si>
    <r>
      <t xml:space="preserve"> KVG-Versicherer </t>
    </r>
    <r>
      <rPr>
        <b/>
        <vertAlign val="superscript"/>
        <sz val="11"/>
        <rFont val="Arial"/>
        <family val="2"/>
      </rPr>
      <t>4</t>
    </r>
  </si>
  <si>
    <r>
      <t xml:space="preserve"> Privatversicherer </t>
    </r>
    <r>
      <rPr>
        <b/>
        <vertAlign val="superscript"/>
        <sz val="11"/>
        <rFont val="Arial"/>
        <family val="2"/>
      </rPr>
      <t>1</t>
    </r>
  </si>
  <si>
    <r>
      <t xml:space="preserve">Versicherer </t>
    </r>
    <r>
      <rPr>
        <b/>
        <vertAlign val="superscript"/>
        <sz val="11"/>
        <rFont val="Arial"/>
        <family val="2"/>
      </rPr>
      <t>6</t>
    </r>
  </si>
  <si>
    <r>
      <t xml:space="preserve">angebote </t>
    </r>
    <r>
      <rPr>
        <vertAlign val="superscript"/>
        <sz val="11"/>
        <rFont val="Arial"/>
        <family val="2"/>
      </rPr>
      <t>5</t>
    </r>
  </si>
  <si>
    <t>16.11.07: 9.06-&gt;9.08,9.11,9.13-&gt;9.15,9.19,9.20</t>
  </si>
  <si>
    <t>Versichertenbestand KVG, Personen mit Wohnsitz in der Schweiz und schweizerischer Prämie (inkl. Versicherte gemäss Art. 4 und 5 KVV)</t>
  </si>
  <si>
    <t>Quelle: Formular EF3 [T 3.8.2]</t>
  </si>
  <si>
    <t>T 11.18 Zahlungsausstände für OKP-Prämien</t>
  </si>
  <si>
    <t>Anzahl Versicherte</t>
  </si>
  <si>
    <t>Prämienvolumen in Franken</t>
  </si>
  <si>
    <t>Quelle: Formular EF3 [3.10.4]</t>
  </si>
  <si>
    <t xml:space="preserve">1) Anzahl Versicherte, die im betrachteten Jahr betrieben wurden sowie das den Betreibungen unterliegende Prämienvolumen, </t>
  </si>
  <si>
    <t>2)  „Versicherte mit sistierten Leistungen“ sind Versicherte für die ein Leistungsstopp verhängt wurde, weil sie ihre Prämien nicht bezahlt haben.</t>
  </si>
  <si>
    <r>
      <t xml:space="preserve">Versicherte mit Betreibung </t>
    </r>
    <r>
      <rPr>
        <vertAlign val="superscript"/>
        <sz val="11"/>
        <rFont val="Arial"/>
        <family val="2"/>
      </rPr>
      <t>1</t>
    </r>
  </si>
  <si>
    <r>
      <t xml:space="preserve">Versicherte mit sistierten Leistungen </t>
    </r>
    <r>
      <rPr>
        <vertAlign val="superscript"/>
        <sz val="11"/>
        <rFont val="Arial"/>
        <family val="2"/>
      </rPr>
      <t>2</t>
    </r>
  </si>
  <si>
    <r>
      <t xml:space="preserve">     unabhängig davon, ob die Prämien schlussendlich durch das Betreibungsverfahren eingebracht werden konnten. </t>
    </r>
    <r>
      <rPr>
        <b/>
        <sz val="10"/>
        <rFont val="Arial"/>
        <family val="2"/>
      </rPr>
      <t>Unvollständige Daten.</t>
    </r>
  </si>
  <si>
    <r>
      <t xml:space="preserve">     Angegeben ist auch das Total der ausstehenden Prämien dieser Versicherten in Franken. </t>
    </r>
    <r>
      <rPr>
        <b/>
        <sz val="10"/>
        <rFont val="Arial"/>
        <family val="2"/>
      </rPr>
      <t>Unvollständige Daten.</t>
    </r>
  </si>
  <si>
    <t>EF1 Seite 4 Konto 270</t>
  </si>
  <si>
    <t>= ( [ 5B ] / [ 3B ] ) in %</t>
  </si>
  <si>
    <r>
      <t>mit</t>
    </r>
    <r>
      <rPr>
        <sz val="10"/>
        <color indexed="8"/>
        <rFont val="Arial"/>
        <family val="2"/>
      </rPr>
      <t xml:space="preserve"> Kostenbeteiligung der Versicherten (Franchise / Selbstbehalt / Tagespauschale im Spital).</t>
    </r>
  </si>
  <si>
    <t>Datenstand: 3.7.07</t>
  </si>
  <si>
    <t>10: Risikoausgleich in der OKP</t>
  </si>
  <si>
    <t>Risikoausgleich: Nettozahler und Nettoempfänger ab 1996</t>
  </si>
  <si>
    <t>Risikoausgleich: Bruttoumverteilung und Nettoumverteilung ab 1996</t>
  </si>
  <si>
    <t>Risikoausgleich pro Versicherten und Versicherungsmonat nach Altersgruppen und Geschlecht</t>
  </si>
  <si>
    <t>T 10.01  Risikoausgleich: Nettozahler und Nettoempfänger ab 1996</t>
  </si>
  <si>
    <t>Aus-</t>
  </si>
  <si>
    <t>Netto-</t>
  </si>
  <si>
    <t>Anteil</t>
  </si>
  <si>
    <t>gleichs-</t>
  </si>
  <si>
    <t>am Total</t>
  </si>
  <si>
    <t>jahr</t>
  </si>
  <si>
    <t>1) Anzahl OKP Versicherer, die für das Ausgleichsjahr eine Abgabe an den Risikoausgleich leisten mussten (Nettozahler),</t>
  </si>
  <si>
    <t xml:space="preserve">    resp. einen Beitrag aus dem Risikoausgleich erhielten (Nettoempfänger).</t>
  </si>
  <si>
    <r>
      <t xml:space="preserve">zahler </t>
    </r>
    <r>
      <rPr>
        <vertAlign val="superscript"/>
        <sz val="11"/>
        <rFont val="Arial"/>
        <family val="2"/>
      </rPr>
      <t>1</t>
    </r>
  </si>
  <si>
    <r>
      <t xml:space="preserve">empfänger </t>
    </r>
    <r>
      <rPr>
        <vertAlign val="superscript"/>
        <sz val="11"/>
        <rFont val="Arial"/>
        <family val="2"/>
      </rPr>
      <t>1</t>
    </r>
  </si>
  <si>
    <t>T 10.02  Risikoausgleich: Bruttoumverteilung und Nettoumverteilung in Mio. Fr. ab 1996</t>
  </si>
  <si>
    <t>nach Ge-</t>
  </si>
  <si>
    <t>nach</t>
  </si>
  <si>
    <t>zwischen</t>
  </si>
  <si>
    <t>schlecht</t>
  </si>
  <si>
    <t>Alter</t>
  </si>
  <si>
    <t>Versicherern</t>
  </si>
  <si>
    <t xml:space="preserve">Vorjahr </t>
  </si>
  <si>
    <t>1) Theoretisch-statistische Grösse: Gesamtschweizerische Umverteilung von Männern zu Frauen resp. von jüngeren</t>
  </si>
  <si>
    <t>Versicherten (19 – 55-jährige Personen) zu älteren Versicherten (56-jährige und ältere Personen).</t>
  </si>
  <si>
    <t>2) Effektiv erfolgte Umverteilung zwischen den Versicherern (von Nettozahlern zu Nettoempfängern; vgl. Tabelle 10.01).</t>
  </si>
  <si>
    <r>
      <t xml:space="preserve">Bruttoumverteilung </t>
    </r>
    <r>
      <rPr>
        <vertAlign val="superscript"/>
        <sz val="11"/>
        <rFont val="Arial"/>
        <family val="2"/>
      </rPr>
      <t>1</t>
    </r>
  </si>
  <si>
    <r>
      <t xml:space="preserve">Nettoumverteilung </t>
    </r>
    <r>
      <rPr>
        <vertAlign val="superscript"/>
        <sz val="11"/>
        <rFont val="Arial"/>
        <family val="2"/>
      </rPr>
      <t>2</t>
    </r>
  </si>
  <si>
    <t>gegenüber</t>
  </si>
  <si>
    <t xml:space="preserve">1) Bei der Berechnung der Abgaben und Beiträge werden die effektiven Durchschnittskosten jeder Risikogruppe mit den </t>
  </si>
  <si>
    <t>effektiven Durchschnittskosten aller erwachsenen Versicherten im Alter von 19 und mehr Jahren (Referenzgruppe) verglichen.</t>
  </si>
  <si>
    <t xml:space="preserve">Sind die effektiven Durchschnittskosten der jeweiligen Risikogruppe höher als die Durchschnittskosten der Referenzgruppe, </t>
  </si>
  <si>
    <t>so erhält der Versicherer für jeden Versicherten in dieser Risikogruppe einen Beitrag (+). Umgekehrt hat er eine Abgabe (-) zu leisten.</t>
  </si>
  <si>
    <t>Kosten des Gesundheitswesens in der Schweiz nach Leistungen ab 1996</t>
  </si>
  <si>
    <t>Kosten des Gesundheitswesens in der Schweiz aus der Sicht der Volkswirtschaft und pro Einwohner ab 1996</t>
  </si>
  <si>
    <t>Kosten des Gesundheitswesens in der Schweiz aus der Sicht der Krankenversicherungsprämien ab 1996</t>
  </si>
  <si>
    <t>Kosten des Gesundheitswesens in der Schweiz aus der Sicht der Krankenversicherungsleistungen ab 1996</t>
  </si>
  <si>
    <t>1.10.07: 3.01, 3.03, 3.04, 3.09, 3.11</t>
  </si>
  <si>
    <t>= [ 13A ] / [ 6A ] * 100 in %</t>
  </si>
  <si>
    <r>
      <t xml:space="preserve">– Leistungen 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pro Versicherte(n) in Fr.</t>
    </r>
  </si>
  <si>
    <r>
      <t xml:space="preserve">– Bezahlte Leistungen 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pro Versicherten in  Fr.</t>
    </r>
  </si>
  <si>
    <r>
      <t xml:space="preserve">– Leistungen 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in Mio. Fr.</t>
    </r>
  </si>
  <si>
    <r>
      <t xml:space="preserve">– Bezahlte Leistungen </t>
    </r>
    <r>
      <rPr>
        <vertAlign val="superscript"/>
        <sz val="11"/>
        <rFont val="Arial"/>
        <family val="2"/>
      </rPr>
      <t xml:space="preserve">2  </t>
    </r>
    <r>
      <rPr>
        <sz val="11"/>
        <rFont val="Arial"/>
        <family val="2"/>
      </rPr>
      <t>in Mio. Fr.</t>
    </r>
  </si>
  <si>
    <r>
      <t xml:space="preserve">– Rückstellungenquote 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 xml:space="preserve"> per 31.12. in %</t>
    </r>
  </si>
  <si>
    <r>
      <t xml:space="preserve">– Reservequote </t>
    </r>
    <r>
      <rPr>
        <vertAlign val="superscript"/>
        <sz val="11"/>
        <rFont val="Arial"/>
        <family val="2"/>
      </rPr>
      <t>4</t>
    </r>
    <r>
      <rPr>
        <sz val="11"/>
        <rFont val="Arial"/>
        <family val="2"/>
      </rPr>
      <t xml:space="preserve"> per 31.12. in %</t>
    </r>
  </si>
  <si>
    <t>21.8.07: 1.01, 2.17, 2.19, 4.07 -&gt; 4.10, 8.01, 8.07</t>
  </si>
  <si>
    <t>1101-1119</t>
  </si>
  <si>
    <t>Übergangsschlüssel Tabellen  2006 -&gt; 1996</t>
  </si>
  <si>
    <t>KVG-Verteilmodell 2006</t>
  </si>
  <si>
    <t>Datenstand : 15.8.07</t>
  </si>
  <si>
    <t>für 2006</t>
  </si>
  <si>
    <t>für 2005</t>
  </si>
  <si>
    <t>2006/2007</t>
  </si>
  <si>
    <r>
      <t xml:space="preserve">T 2.08  Effektive 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Versicherungsmonat nach Kantonen</t>
    </r>
  </si>
  <si>
    <r>
      <t xml:space="preserve">1) Effektive Kosten = (bezahlte) Leistungen der Versicherer in der OKP </t>
    </r>
    <r>
      <rPr>
        <b/>
        <sz val="10"/>
        <rFont val="Arial"/>
        <family val="2"/>
      </rPr>
      <t>ohne</t>
    </r>
    <r>
      <rPr>
        <sz val="10"/>
        <rFont val="Arial"/>
        <family val="2"/>
      </rPr>
      <t xml:space="preserve"> Kostenbeteiligung durch die Versicherten.</t>
    </r>
  </si>
  <si>
    <r>
      <t xml:space="preserve">T 2.09  Effektive 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Versicherungsmonat nach Altersgruppen und Geschlecht</t>
    </r>
  </si>
  <si>
    <t>Quelle: T 2.05 - T 2.08</t>
  </si>
  <si>
    <t>1) Berücksichtigt nur die bei dem Versicherer eingereichten Rechnungen.</t>
  </si>
  <si>
    <r>
      <t xml:space="preserve">T 2.10  Kostenbeteiligung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pro Versicherten pro Jahr in Fr. nach Kantonen</t>
    </r>
  </si>
  <si>
    <t>Quelle: T 2.06 - T 2.09</t>
  </si>
  <si>
    <t>1) Berücksichtigt nur die bei dem Versicherer eingereichten Rechnungen</t>
  </si>
  <si>
    <r>
      <t xml:space="preserve">T 2.11  Kostenbeteiligung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Jahr nach Altersgruppen und Geschlecht</t>
    </r>
  </si>
  <si>
    <t>T 2.12 Effektive Kosten pro Versicherten pro Versicherungsmonat nach Kantonen und Altersgruppen</t>
  </si>
  <si>
    <t>Quelle: T 2.01 / T 11.01 &amp; T 11.05</t>
  </si>
  <si>
    <t>Zusätzliche Angaben : nach Altersgruppe ab 1996</t>
  </si>
  <si>
    <t xml:space="preserve">Erwachsene </t>
  </si>
  <si>
    <t>(26 Jahre und mehr)</t>
  </si>
  <si>
    <t xml:space="preserve">Quelle: DATENPOOL santésuisse [Auswertung BAG ; Abdeckungsgrad der Erhebung  : siehe Beilage I ] </t>
  </si>
  <si>
    <t>2) Schätzung des mittleren Versichertenbestandes (ausgenommen Spalte Total) aufgrund der Aufteilung der Versicherten per 31.12 in T 11.05</t>
  </si>
  <si>
    <r>
      <t xml:space="preserve">T 2.02  Kostenbeteiligung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je versicherte Person in Franken nach Versicherungsform ab 1996</t>
    </r>
  </si>
  <si>
    <r>
      <t xml:space="preserve">Alle Versicherte </t>
    </r>
    <r>
      <rPr>
        <b/>
        <vertAlign val="superscript"/>
        <sz val="11"/>
        <rFont val="Arial"/>
        <family val="2"/>
      </rPr>
      <t>2</t>
    </r>
  </si>
  <si>
    <t xml:space="preserve">T 2.22  Leistungen (brutto) in Franken nach Versicherungsform </t>
  </si>
  <si>
    <t>Quelle: Formular EF3 [T 3.5]</t>
  </si>
  <si>
    <t>T 2.14  Leistungen (brutto) in Mio. Franken nach Versicherungsform ab 1996</t>
  </si>
  <si>
    <t>1) Vgl. Fussnote 2) von Tabelle 11.02.</t>
  </si>
  <si>
    <t>Quelle: T 2.22</t>
  </si>
  <si>
    <t>T 2.23 Leistungen (brutto) in Franken je versicherte Person nach Versicherungsform</t>
  </si>
  <si>
    <t>Abweichung</t>
  </si>
  <si>
    <t>vom Gesamt-</t>
  </si>
  <si>
    <t>durchschnitt</t>
  </si>
  <si>
    <t>Quelle: T 2.22 / T 11.06 &amp; T 11.01</t>
  </si>
  <si>
    <t>1) Schätzung des mittleren Versichertenbestandes (ausgenommen Zeile Total) aufgrund der Aufteilung der Versicherten per 31.12 in T 11.06</t>
  </si>
  <si>
    <r>
      <t xml:space="preserve">Versicherungsform </t>
    </r>
    <r>
      <rPr>
        <vertAlign val="superscript"/>
        <sz val="11"/>
        <rFont val="Arial"/>
        <family val="2"/>
      </rPr>
      <t>1</t>
    </r>
  </si>
  <si>
    <r>
      <t xml:space="preserve">T 2.20  Bezahlte Leistungen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</t>
    </r>
    <r>
      <rPr>
        <b/>
        <sz val="12"/>
        <color indexed="10"/>
        <rFont val="Arial"/>
        <family val="2"/>
      </rPr>
      <t xml:space="preserve"> Mio.</t>
    </r>
    <r>
      <rPr>
        <b/>
        <sz val="12"/>
        <rFont val="Arial"/>
        <family val="2"/>
      </rPr>
      <t xml:space="preserve"> Franken nach Versicherungsform ab 1996</t>
    </r>
  </si>
  <si>
    <t>Quelle: T 2.20 / T 11.01 &amp; T 11.05</t>
  </si>
  <si>
    <r>
      <t xml:space="preserve">T 2.21 Bezahlte Leistungen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Franken je versicherte Person nach Versicherungsform ab 1996</t>
    </r>
  </si>
  <si>
    <r>
      <t>Alle Versicherte</t>
    </r>
    <r>
      <rPr>
        <b/>
        <vertAlign val="superscript"/>
        <sz val="11"/>
        <rFont val="Arial"/>
        <family val="2"/>
      </rPr>
      <t xml:space="preserve"> 2</t>
    </r>
  </si>
  <si>
    <t>Quelle: T 2.23</t>
  </si>
  <si>
    <t xml:space="preserve">Quelle: T 2.02 &amp; T 2.21 ; DATENPOOL santésuisse [Auswertung BAG ; Abdeckungsgrad der Erhebung  : siehe Beilage I ] </t>
  </si>
  <si>
    <t>1) Schätzung des mittleren Versichertenbestandes (ausgenommen Spalte Total) aufgrund der Aufteilung der Versicherten per 31.12 in T 11.05</t>
  </si>
  <si>
    <r>
      <t>T 2.15  Leistungen (brutto</t>
    </r>
    <r>
      <rPr>
        <b/>
        <sz val="12"/>
        <rFont val="Arial"/>
        <family val="2"/>
      </rPr>
      <t>) in Franken je versicherte Person nach Versicherungsform ab 1996</t>
    </r>
  </si>
  <si>
    <r>
      <t>Alle Versicherte</t>
    </r>
    <r>
      <rPr>
        <b/>
        <vertAlign val="superscript"/>
        <sz val="11"/>
        <rFont val="Arial"/>
        <family val="2"/>
      </rPr>
      <t xml:space="preserve"> 1</t>
    </r>
  </si>
  <si>
    <t>1) Durchschnittlicher Versichertenbestand : Stand aller Monate zusammengezählt und geteilt durch 12.</t>
  </si>
  <si>
    <t>2) Vgl. Fussnote 2) von Tabelle 11.02.</t>
  </si>
  <si>
    <t>Quelle: Formular EF1 [1.12 A]</t>
  </si>
  <si>
    <r>
      <t xml:space="preserve">T 11.01 Durchschnittlicher Versichertenbestand </t>
    </r>
    <r>
      <rPr>
        <b/>
        <vertAlign val="superscript"/>
        <sz val="12"/>
        <rFont val="Arial"/>
        <family val="2"/>
      </rPr>
      <t xml:space="preserve">1  </t>
    </r>
    <r>
      <rPr>
        <b/>
        <sz val="12"/>
        <rFont val="Arial"/>
        <family val="2"/>
      </rPr>
      <t>ab 1996</t>
    </r>
  </si>
  <si>
    <t xml:space="preserve">T 11.17  Versicherteneintritte / Versicherungswechsler KVG nach Geschlecht </t>
  </si>
  <si>
    <t xml:space="preserve">In % am </t>
  </si>
  <si>
    <t>durchschnittlichen</t>
  </si>
  <si>
    <t>Versichertenbestand</t>
  </si>
  <si>
    <t>davon Neugeborene</t>
  </si>
  <si>
    <t>4) Anzahl Spitaltage im Spital stationär; zu zählen sind die Spitaltage in Spitälern zur kurzfristigen</t>
  </si>
  <si>
    <t xml:space="preserve">    und zur langfristigen Behandlung körperlich Kranker sowie die Spitaltage in psychiatrischen Kliniken;</t>
  </si>
  <si>
    <t xml:space="preserve">    nicht zu zählen sind hingegen die Tage in Pflegeheimen.</t>
  </si>
  <si>
    <t>5) Personen, die das 18. Altersjahr noch nicht vollendet haben (vgl. Art. 61 Abs. 3 KVG); bei der</t>
  </si>
  <si>
    <t xml:space="preserve">    "Mutterschaft" von "Kindern" ist die Mutterschaft von noch nicht 18-jährigen Frauen gemeint.</t>
  </si>
  <si>
    <t>Quelle: Formular EF3 [T 3.2 &amp; 3.7.1 &amp; 3.7.2]</t>
  </si>
  <si>
    <r>
      <t xml:space="preserve">Kinder </t>
    </r>
    <r>
      <rPr>
        <vertAlign val="superscript"/>
        <sz val="11"/>
        <rFont val="Arial"/>
        <family val="2"/>
      </rPr>
      <t>5</t>
    </r>
  </si>
  <si>
    <r>
      <t xml:space="preserve">Versicherte </t>
    </r>
    <r>
      <rPr>
        <vertAlign val="superscript"/>
        <sz val="11"/>
        <rFont val="Arial"/>
        <family val="2"/>
      </rPr>
      <t>1</t>
    </r>
  </si>
  <si>
    <t>R1</t>
  </si>
  <si>
    <t>R2</t>
  </si>
  <si>
    <t>R3</t>
  </si>
  <si>
    <t>RU</t>
  </si>
  <si>
    <t>Jahresdurch-</t>
  </si>
  <si>
    <t>schnittliche</t>
  </si>
  <si>
    <t>Veränderung</t>
  </si>
  <si>
    <t>1998 - 2008</t>
  </si>
  <si>
    <t>Quelle: Genehmigungsverfahren für Krankenversicherungsprämien, BAG.</t>
  </si>
  <si>
    <t>1) Vgl. Fussnote 1) von Tabelle 3.01.</t>
  </si>
  <si>
    <t>2) Die Krankenkassen dürfen innerhalb eines Kantons bis zu drei unterschiedliche Regionaltarife anwenden (R1, R2, R3).</t>
  </si>
  <si>
    <t>Einige Kantone haben nur eine Region: die Krankenkassen wenden eine Einheitsprämie an (RU).</t>
  </si>
  <si>
    <t>3) Prämien publiziert im OKP Prämienwegweiser 2008 vom BAG.</t>
  </si>
  <si>
    <r>
      <t xml:space="preserve">T 3.02  Kantonale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pro Prämienregion </t>
    </r>
    <r>
      <rPr>
        <b/>
        <vertAlign val="superscript"/>
        <sz val="12"/>
        <rFont val="Arial"/>
        <family val="2"/>
      </rPr>
      <t>2</t>
    </r>
  </si>
  <si>
    <r>
      <t xml:space="preserve">Total </t>
    </r>
    <r>
      <rPr>
        <b/>
        <vertAlign val="superscript"/>
        <sz val="11"/>
        <rFont val="Arial"/>
        <family val="2"/>
      </rPr>
      <t>3</t>
    </r>
  </si>
  <si>
    <t>für Erwachsene (26 Jahre und mehr) in Franken für 2008</t>
  </si>
  <si>
    <t>Datenstand: 27.9.07</t>
  </si>
  <si>
    <t>27.9.07: 9.21, 9.22, 3.02, 3.08</t>
  </si>
  <si>
    <t>11.9.07: 2.20, 5.01, 2.18</t>
  </si>
  <si>
    <t>(Mobiliar, Haftpflicht usw.), Werbung sowie Abschreibungen. Ausgaben = Total des Versicherungs- und Betriebsaufwands.</t>
  </si>
  <si>
    <t>Das Gesamtbetriebsergebnis entspricht dem Saldo der Einnahmen (Total des Gesamtertrags) und der Ausgaben (Total des Versicherungs- und Betriebsaufwands).</t>
  </si>
  <si>
    <t xml:space="preserve">Rückstellungen für unerledigte Versicherungsfälle, welche am Ende des Jahres für diejenigen Leistungen gebildet werden müssen, </t>
  </si>
  <si>
    <t>2) Die Zeitreihen der Einweisungen und besonders der Spitaltage sind von beschränkter Aussagekraft;</t>
  </si>
  <si>
    <t>der Grund liegt darin, dass vor 1999 nicht von allen Versicherern die Einweisungen und Tage in Pflegeheime(n) vollständig ausge-</t>
  </si>
  <si>
    <t>schieden werden konnten. So ist insbesondere auch die starke Abnahme der Spitaltage zwischen 1998 und 1999 auf diese</t>
  </si>
  <si>
    <t>T 9.16 Krankenversicherung bei den privaten Versicherungsunternehmungen ab 1996 in Mio. Fr.</t>
  </si>
  <si>
    <t>mit</t>
  </si>
  <si>
    <t>krankenver-</t>
  </si>
  <si>
    <t>1) Prämien = verdiente Prämien brutto; Leistungen = Zahlungen für Versicherungsfälle brutto.</t>
  </si>
  <si>
    <t xml:space="preserve">  1996:  Schätzung  BSV (kursiv).</t>
  </si>
  <si>
    <t xml:space="preserve">   Die Zusatzversicherungen gemäss VVG der KVG-Versicherer (Krankenkassen) ab 1996 sind in diesen Zahlen nicht inbegriffen.</t>
  </si>
  <si>
    <t>2) Prämien und Leistungen ohne Taggeldversicherung und ohne Unfallversicherung.</t>
  </si>
  <si>
    <t>Quelle: Die privaten Versicherungseinrichtungen in der Schweiz (BPV), detaillierte Fassung der Tabelle AS03N.</t>
  </si>
  <si>
    <r>
      <t xml:space="preserve">Prämien </t>
    </r>
    <r>
      <rPr>
        <b/>
        <vertAlign val="superscript"/>
        <sz val="11"/>
        <rFont val="Arial"/>
        <family val="2"/>
      </rPr>
      <t>1</t>
    </r>
  </si>
  <si>
    <r>
      <t xml:space="preserve">Leistungen </t>
    </r>
    <r>
      <rPr>
        <b/>
        <vertAlign val="superscript"/>
        <sz val="11"/>
        <rFont val="Arial"/>
        <family val="2"/>
      </rPr>
      <t>1</t>
    </r>
  </si>
  <si>
    <r>
      <t xml:space="preserve">      Krankenpflegeversicherung</t>
    </r>
    <r>
      <rPr>
        <b/>
        <vertAlign val="superscript"/>
        <sz val="11"/>
        <rFont val="Arial"/>
        <family val="2"/>
      </rPr>
      <t xml:space="preserve"> 2</t>
    </r>
  </si>
  <si>
    <r>
      <t xml:space="preserve">      Krankenpflegeversicherung </t>
    </r>
    <r>
      <rPr>
        <b/>
        <vertAlign val="superscript"/>
        <sz val="11"/>
        <rFont val="Arial"/>
        <family val="2"/>
      </rPr>
      <t>2</t>
    </r>
  </si>
  <si>
    <t>T 9.17 Taggeldversicherung KVG / VVG ab 1996 in Mio. Fr.</t>
  </si>
  <si>
    <t>KVG-Versicherer</t>
  </si>
  <si>
    <t>Privat-versicherer</t>
  </si>
  <si>
    <t>freiwillige</t>
  </si>
  <si>
    <t>Versicherung</t>
  </si>
  <si>
    <t>Prämien = verdiente Prämien brutto; Leistungen = Zahlungen für Versicherungsfälle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</si>
</sst>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0.0"/>
    <numFmt numFmtId="183" formatCode="#,##0.0"/>
    <numFmt numFmtId="184" formatCode="0.0%"/>
  </numFmts>
  <fonts count="105">
    <font>
      <sz val="10"/>
      <name val="55 Helvetica Roman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22"/>
      <name val="Arial"/>
      <family val="2"/>
    </font>
    <font>
      <b/>
      <i/>
      <sz val="18"/>
      <name val="Arial"/>
      <family val="2"/>
    </font>
    <font>
      <b/>
      <sz val="10"/>
      <name val="Arial"/>
      <family val="2"/>
    </font>
    <font>
      <i/>
      <sz val="12"/>
      <name val="55 Helvetica Roman"/>
    </font>
    <font>
      <sz val="12"/>
      <name val="55 Helvetica Roman"/>
    </font>
    <font>
      <b/>
      <sz val="10"/>
      <color indexed="9"/>
      <name val="55 Helvetica Roman"/>
    </font>
    <font>
      <b/>
      <sz val="20"/>
      <name val="55 Helvetica Roman"/>
    </font>
    <font>
      <b/>
      <sz val="10"/>
      <name val="55 Helvetica Roman"/>
    </font>
    <font>
      <b/>
      <sz val="12"/>
      <color indexed="10"/>
      <name val="55 Helvetica Roman"/>
    </font>
    <font>
      <i/>
      <sz val="11"/>
      <name val="55 Helvetica Roman"/>
    </font>
    <font>
      <sz val="12"/>
      <color indexed="8"/>
      <name val="Arial"/>
      <family val="2"/>
    </font>
    <font>
      <b/>
      <sz val="14"/>
      <name val="55 Helvetica Roman"/>
    </font>
    <font>
      <sz val="9"/>
      <name val="Arial"/>
      <family val="2"/>
    </font>
    <font>
      <b/>
      <i/>
      <sz val="24"/>
      <name val="Logo BAG"/>
      <family val="1"/>
    </font>
    <font>
      <b/>
      <i/>
      <sz val="12"/>
      <name val="55 Helvetica Roman"/>
    </font>
    <font>
      <b/>
      <sz val="11"/>
      <color indexed="9"/>
      <name val="55 Helvetica Roman"/>
    </font>
    <font>
      <b/>
      <sz val="12"/>
      <name val="55 Helvetica Roman"/>
    </font>
    <font>
      <sz val="8"/>
      <name val="Arial"/>
      <family val="2"/>
    </font>
    <font>
      <sz val="9"/>
      <name val="Geneva"/>
      <family val="2"/>
    </font>
    <font>
      <i/>
      <sz val="10"/>
      <name val="55 Helvetica Roman"/>
    </font>
    <font>
      <i/>
      <sz val="10"/>
      <name val="Arial"/>
      <family val="2"/>
    </font>
    <font>
      <sz val="10"/>
      <color indexed="10"/>
      <name val="55 Helvetica Roman"/>
    </font>
    <font>
      <b/>
      <sz val="9"/>
      <name val="55 Helvetica Roman"/>
    </font>
    <font>
      <sz val="9"/>
      <name val="55 Helvetica Roman"/>
    </font>
    <font>
      <sz val="10"/>
      <name val="Arial"/>
      <family val="2"/>
    </font>
    <font>
      <sz val="11"/>
      <name val="55 Helvetica Roman"/>
    </font>
    <font>
      <b/>
      <sz val="8"/>
      <name val="Arial"/>
      <family val="2"/>
    </font>
    <font>
      <sz val="10"/>
      <color indexed="42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b/>
      <sz val="12"/>
      <color indexed="12"/>
      <name val="Arial"/>
      <family val="2"/>
    </font>
    <font>
      <sz val="10"/>
      <name val="55 Helvetica Roman"/>
    </font>
    <font>
      <b/>
      <sz val="9"/>
      <name val="Arial"/>
      <family val="2"/>
    </font>
    <font>
      <b/>
      <sz val="11"/>
      <color indexed="42"/>
      <name val="Arial"/>
      <family val="2"/>
    </font>
    <font>
      <sz val="11"/>
      <color indexed="42"/>
      <name val="Arial"/>
      <family val="2"/>
    </font>
    <font>
      <sz val="6"/>
      <name val="Arial"/>
      <family val="2"/>
    </font>
    <font>
      <b/>
      <sz val="11"/>
      <name val="55 Helvetica Roman"/>
    </font>
    <font>
      <sz val="11"/>
      <color indexed="10"/>
      <name val="55 Helvetica Roman"/>
    </font>
    <font>
      <vertAlign val="superscript"/>
      <sz val="10"/>
      <name val="Arial"/>
      <family val="2"/>
    </font>
    <font>
      <sz val="9"/>
      <name val="Arial"/>
      <family val="2"/>
    </font>
    <font>
      <b/>
      <vertAlign val="superscript"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i/>
      <u/>
      <sz val="11"/>
      <name val="Arial"/>
      <family val="2"/>
    </font>
    <font>
      <vertAlign val="superscript"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vertAlign val="superscript"/>
      <sz val="12"/>
      <name val="55 Helvetica Roman"/>
    </font>
    <font>
      <b/>
      <vertAlign val="superscript"/>
      <sz val="1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0"/>
      <name val="Arial"/>
      <family val="2"/>
    </font>
    <font>
      <vertAlign val="superscript"/>
      <sz val="9"/>
      <name val="Arial"/>
      <family val="2"/>
    </font>
    <font>
      <i/>
      <sz val="12"/>
      <name val="Arial"/>
      <family val="2"/>
    </font>
    <font>
      <b/>
      <sz val="12"/>
      <color indexed="10"/>
      <name val="Arial"/>
      <family val="2"/>
    </font>
    <font>
      <i/>
      <vertAlign val="superscript"/>
      <sz val="11"/>
      <name val="Arial"/>
      <family val="2"/>
    </font>
    <font>
      <b/>
      <sz val="14"/>
      <name val="Arial"/>
      <family val="2"/>
    </font>
    <font>
      <sz val="10"/>
      <color indexed="10"/>
      <name val="Arial"/>
      <family val="2"/>
    </font>
    <font>
      <vertAlign val="superscript"/>
      <sz val="11"/>
      <color indexed="10"/>
      <name val="Arial"/>
      <family val="2"/>
    </font>
    <font>
      <i/>
      <sz val="9"/>
      <name val="Arial"/>
      <family val="2"/>
    </font>
    <font>
      <b/>
      <vertAlign val="superscript"/>
      <sz val="12"/>
      <color indexed="10"/>
      <name val="Arial"/>
      <family val="2"/>
    </font>
    <font>
      <sz val="11"/>
      <color indexed="10"/>
      <name val="Arial"/>
      <family val="2"/>
    </font>
    <font>
      <sz val="9"/>
      <color indexed="10"/>
      <name val="Arial"/>
      <family val="2"/>
    </font>
    <font>
      <sz val="9"/>
      <color indexed="10"/>
      <name val="Arial"/>
      <family val="2"/>
    </font>
    <font>
      <sz val="10"/>
      <color indexed="9"/>
      <name val="Arial"/>
      <family val="2"/>
    </font>
    <font>
      <b/>
      <i/>
      <sz val="10"/>
      <name val="Arial"/>
      <family val="2"/>
    </font>
    <font>
      <sz val="10"/>
      <name val="Tms Rmn"/>
    </font>
    <font>
      <sz val="8"/>
      <name val="Tms Rmn"/>
    </font>
    <font>
      <b/>
      <sz val="10"/>
      <name val="Tms Rmn"/>
    </font>
    <font>
      <i/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sz val="8"/>
      <color indexed="10"/>
      <name val="Arial"/>
      <family val="2"/>
    </font>
    <font>
      <b/>
      <vertAlign val="superscript"/>
      <sz val="9"/>
      <name val="Arial"/>
      <family val="2"/>
    </font>
    <font>
      <sz val="9"/>
      <name val="Tms Rmn"/>
    </font>
    <font>
      <b/>
      <vertAlign val="superscript"/>
      <sz val="8"/>
      <name val="Arial"/>
      <family val="2"/>
    </font>
    <font>
      <b/>
      <sz val="12"/>
      <name val="Times New Roman"/>
      <family val="1"/>
    </font>
    <font>
      <b/>
      <i/>
      <vertAlign val="superscript"/>
      <sz val="10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vertAlign val="superscript"/>
      <sz val="8"/>
      <name val="Arial"/>
      <family val="2"/>
    </font>
    <font>
      <b/>
      <u/>
      <sz val="10"/>
      <name val="Arial"/>
      <family val="2"/>
    </font>
    <font>
      <b/>
      <sz val="10"/>
      <color indexed="56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56"/>
      <name val="Arial"/>
      <family val="2"/>
    </font>
    <font>
      <i/>
      <sz val="9"/>
      <color indexed="56"/>
      <name val="Arial"/>
      <family val="2"/>
    </font>
    <font>
      <b/>
      <i/>
      <sz val="8"/>
      <color indexed="10"/>
      <name val="Arial"/>
      <family val="2"/>
    </font>
    <font>
      <i/>
      <sz val="9"/>
      <color indexed="10"/>
      <name val="Arial"/>
      <family val="2"/>
    </font>
    <font>
      <b/>
      <sz val="10"/>
      <name val="Arial"/>
      <family val="2"/>
    </font>
    <font>
      <b/>
      <i/>
      <sz val="9"/>
      <name val="Arial"/>
      <family val="2"/>
    </font>
    <font>
      <sz val="9"/>
      <color indexed="4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u/>
      <sz val="8"/>
      <name val="Arial"/>
      <family val="2"/>
    </font>
    <font>
      <i/>
      <sz val="11"/>
      <color indexed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lightGray">
        <fgColor indexed="22"/>
        <bgColor indexed="22"/>
      </patternFill>
    </fill>
    <fill>
      <patternFill patternType="solid">
        <fgColor indexed="47"/>
        <bgColor indexed="47"/>
      </patternFill>
    </fill>
    <fill>
      <patternFill patternType="solid">
        <fgColor indexed="1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9"/>
      </bottom>
      <diagonal/>
    </border>
    <border>
      <left style="thin">
        <color indexed="64"/>
      </left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/>
      <top style="medium">
        <color indexed="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9"/>
      </bottom>
      <diagonal/>
    </border>
    <border>
      <left style="medium">
        <color indexed="64"/>
      </left>
      <right/>
      <top style="medium">
        <color indexed="9"/>
      </top>
      <bottom style="medium">
        <color indexed="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9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9"/>
      </top>
      <bottom/>
      <diagonal/>
    </border>
    <border>
      <left style="medium">
        <color indexed="64"/>
      </left>
      <right/>
      <top style="medium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9"/>
      </bottom>
      <diagonal/>
    </border>
    <border>
      <left/>
      <right style="medium">
        <color indexed="64"/>
      </right>
      <top style="medium">
        <color indexed="9"/>
      </top>
      <bottom style="medium">
        <color indexed="9"/>
      </bottom>
      <diagonal/>
    </border>
    <border>
      <left/>
      <right style="medium">
        <color indexed="64"/>
      </right>
      <top style="thin">
        <color indexed="8"/>
      </top>
      <bottom style="medium">
        <color indexed="9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74" fillId="0" borderId="0"/>
    <xf numFmtId="0" fontId="74" fillId="0" borderId="0"/>
    <xf numFmtId="0" fontId="74" fillId="0" borderId="0"/>
    <xf numFmtId="0" fontId="30" fillId="0" borderId="0"/>
  </cellStyleXfs>
  <cellXfs count="1726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Border="1"/>
    <xf numFmtId="0" fontId="4" fillId="0" borderId="0" xfId="0" applyFont="1" applyFill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3" fontId="4" fillId="0" borderId="0" xfId="0" applyNumberFormat="1" applyFont="1"/>
    <xf numFmtId="3" fontId="3" fillId="0" borderId="0" xfId="0" applyNumberFormat="1" applyFont="1" applyBorder="1" applyAlignment="1">
      <alignment horizontal="right"/>
    </xf>
    <xf numFmtId="0" fontId="12" fillId="2" borderId="0" xfId="0" applyFont="1" applyFill="1"/>
    <xf numFmtId="0" fontId="0" fillId="2" borderId="0" xfId="0" applyFill="1"/>
    <xf numFmtId="0" fontId="4" fillId="2" borderId="0" xfId="0" applyFont="1" applyFill="1"/>
    <xf numFmtId="0" fontId="10" fillId="0" borderId="0" xfId="0" applyFont="1"/>
    <xf numFmtId="2" fontId="2" fillId="0" borderId="0" xfId="0" applyNumberFormat="1" applyFont="1"/>
    <xf numFmtId="2" fontId="10" fillId="0" borderId="0" xfId="0" applyNumberFormat="1" applyFont="1"/>
    <xf numFmtId="0" fontId="4" fillId="3" borderId="0" xfId="0" applyFont="1" applyFill="1"/>
    <xf numFmtId="0" fontId="2" fillId="0" borderId="0" xfId="0" applyFont="1"/>
    <xf numFmtId="0" fontId="5" fillId="2" borderId="0" xfId="0" applyFont="1" applyFill="1"/>
    <xf numFmtId="0" fontId="11" fillId="4" borderId="0" xfId="0" applyFont="1" applyFill="1"/>
    <xf numFmtId="0" fontId="5" fillId="4" borderId="0" xfId="0" applyFont="1" applyFill="1"/>
    <xf numFmtId="0" fontId="19" fillId="0" borderId="0" xfId="0" applyFont="1"/>
    <xf numFmtId="0" fontId="4" fillId="5" borderId="0" xfId="0" applyFont="1" applyFill="1"/>
    <xf numFmtId="0" fontId="14" fillId="0" borderId="0" xfId="0" applyFont="1" applyFill="1"/>
    <xf numFmtId="14" fontId="4" fillId="5" borderId="0" xfId="0" applyNumberFormat="1" applyFont="1" applyFill="1"/>
    <xf numFmtId="0" fontId="0" fillId="0" borderId="0" xfId="0" applyFill="1"/>
    <xf numFmtId="9" fontId="26" fillId="0" borderId="0" xfId="0" applyNumberFormat="1" applyFont="1" applyFill="1" applyAlignment="1">
      <alignment horizontal="right"/>
    </xf>
    <xf numFmtId="2" fontId="4" fillId="5" borderId="0" xfId="0" applyNumberFormat="1" applyFont="1" applyFill="1" applyAlignment="1">
      <alignment horizontal="left"/>
    </xf>
    <xf numFmtId="0" fontId="12" fillId="0" borderId="0" xfId="0" applyFont="1" applyFill="1"/>
    <xf numFmtId="0" fontId="13" fillId="0" borderId="0" xfId="0" applyFont="1" applyFill="1"/>
    <xf numFmtId="0" fontId="28" fillId="2" borderId="0" xfId="0" applyFont="1" applyFill="1"/>
    <xf numFmtId="0" fontId="29" fillId="2" borderId="0" xfId="0" applyFont="1" applyFill="1"/>
    <xf numFmtId="0" fontId="18" fillId="2" borderId="0" xfId="0" applyFont="1" applyFill="1"/>
    <xf numFmtId="14" fontId="4" fillId="0" borderId="0" xfId="0" applyNumberFormat="1" applyFont="1" applyFill="1"/>
    <xf numFmtId="2" fontId="4" fillId="0" borderId="0" xfId="0" applyNumberFormat="1" applyFont="1" applyFill="1" applyAlignment="1">
      <alignment horizontal="left"/>
    </xf>
    <xf numFmtId="0" fontId="4" fillId="0" borderId="1" xfId="0" applyFont="1" applyBorder="1"/>
    <xf numFmtId="0" fontId="22" fillId="0" borderId="0" xfId="0" applyFont="1" applyFill="1"/>
    <xf numFmtId="0" fontId="29" fillId="0" borderId="0" xfId="0" applyFont="1" applyFill="1"/>
    <xf numFmtId="0" fontId="18" fillId="0" borderId="0" xfId="0" applyFont="1" applyFill="1"/>
    <xf numFmtId="0" fontId="25" fillId="0" borderId="0" xfId="0" applyFont="1" applyFill="1"/>
    <xf numFmtId="0" fontId="37" fillId="0" borderId="0" xfId="0" applyFont="1"/>
    <xf numFmtId="0" fontId="4" fillId="6" borderId="0" xfId="0" applyFont="1" applyFill="1"/>
    <xf numFmtId="0" fontId="40" fillId="2" borderId="0" xfId="0" applyFont="1" applyFill="1"/>
    <xf numFmtId="0" fontId="33" fillId="2" borderId="0" xfId="0" applyFont="1" applyFill="1"/>
    <xf numFmtId="0" fontId="41" fillId="2" borderId="0" xfId="0" applyFont="1" applyFill="1"/>
    <xf numFmtId="0" fontId="13" fillId="2" borderId="0" xfId="0" applyFont="1" applyFill="1"/>
    <xf numFmtId="14" fontId="29" fillId="2" borderId="0" xfId="0" applyNumberFormat="1" applyFont="1" applyFill="1"/>
    <xf numFmtId="0" fontId="39" fillId="2" borderId="0" xfId="0" applyFont="1" applyFill="1"/>
    <xf numFmtId="0" fontId="39" fillId="0" borderId="0" xfId="0" applyFont="1" applyFill="1"/>
    <xf numFmtId="0" fontId="43" fillId="5" borderId="0" xfId="0" applyFont="1" applyFill="1"/>
    <xf numFmtId="0" fontId="2" fillId="0" borderId="0" xfId="7" applyFont="1"/>
    <xf numFmtId="0" fontId="30" fillId="0" borderId="0" xfId="7"/>
    <xf numFmtId="0" fontId="4" fillId="0" borderId="0" xfId="7" applyFont="1"/>
    <xf numFmtId="0" fontId="23" fillId="0" borderId="0" xfId="7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3" fontId="1" fillId="0" borderId="0" xfId="0" applyNumberFormat="1" applyFont="1" applyFill="1"/>
    <xf numFmtId="0" fontId="1" fillId="0" borderId="0" xfId="0" applyNumberFormat="1" applyFont="1" applyFill="1"/>
    <xf numFmtId="0" fontId="2" fillId="0" borderId="0" xfId="0" applyFont="1" applyBorder="1" applyAlignment="1">
      <alignment vertical="top"/>
    </xf>
    <xf numFmtId="0" fontId="2" fillId="0" borderId="0" xfId="0" applyFont="1" applyFill="1"/>
    <xf numFmtId="0" fontId="4" fillId="3" borderId="2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3" fontId="4" fillId="7" borderId="2" xfId="0" applyNumberFormat="1" applyFont="1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0" fontId="4" fillId="3" borderId="2" xfId="0" applyNumberFormat="1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3" fontId="4" fillId="7" borderId="0" xfId="0" applyNumberFormat="1" applyFont="1" applyFill="1" applyBorder="1" applyAlignment="1">
      <alignment horizontal="center"/>
    </xf>
    <xf numFmtId="3" fontId="4" fillId="3" borderId="0" xfId="0" applyNumberFormat="1" applyFont="1" applyFill="1" applyBorder="1" applyAlignment="1">
      <alignment horizontal="center"/>
    </xf>
    <xf numFmtId="0" fontId="4" fillId="3" borderId="0" xfId="0" applyNumberFormat="1" applyFont="1" applyFill="1" applyBorder="1" applyAlignment="1">
      <alignment horizontal="left"/>
    </xf>
    <xf numFmtId="0" fontId="4" fillId="3" borderId="0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3" fontId="4" fillId="7" borderId="3" xfId="0" applyNumberFormat="1" applyFont="1" applyFill="1" applyBorder="1" applyAlignment="1">
      <alignment horizontal="center" vertical="top"/>
    </xf>
    <xf numFmtId="3" fontId="4" fillId="3" borderId="3" xfId="0" applyNumberFormat="1" applyFont="1" applyFill="1" applyBorder="1" applyAlignment="1">
      <alignment horizontal="center" vertical="top"/>
    </xf>
    <xf numFmtId="0" fontId="4" fillId="3" borderId="3" xfId="0" applyNumberFormat="1" applyFont="1" applyFill="1" applyBorder="1" applyAlignment="1">
      <alignment horizontal="center" vertical="top"/>
    </xf>
    <xf numFmtId="1" fontId="4" fillId="3" borderId="4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left" vertical="center"/>
    </xf>
    <xf numFmtId="14" fontId="4" fillId="7" borderId="4" xfId="0" quotePrefix="1" applyNumberFormat="1" applyFont="1" applyFill="1" applyBorder="1" applyAlignment="1">
      <alignment horizontal="center" vertical="center"/>
    </xf>
    <xf numFmtId="183" fontId="4" fillId="3" borderId="4" xfId="0" applyNumberFormat="1" applyFont="1" applyFill="1" applyBorder="1" applyAlignment="1">
      <alignment horizontal="center" vertical="center" wrapText="1"/>
    </xf>
    <xf numFmtId="183" fontId="4" fillId="7" borderId="4" xfId="0" applyNumberFormat="1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183" fontId="4" fillId="3" borderId="4" xfId="0" applyNumberFormat="1" applyFont="1" applyFill="1" applyBorder="1" applyAlignment="1">
      <alignment horizontal="left" vertical="center" wrapText="1"/>
    </xf>
    <xf numFmtId="1" fontId="4" fillId="3" borderId="4" xfId="0" applyNumberFormat="1" applyFont="1" applyFill="1" applyBorder="1" applyAlignment="1">
      <alignment horizontal="left" vertical="center" wrapText="1"/>
    </xf>
    <xf numFmtId="183" fontId="4" fillId="3" borderId="4" xfId="0" applyNumberFormat="1" applyFont="1" applyFill="1" applyBorder="1" applyAlignment="1">
      <alignment vertical="center" wrapText="1"/>
    </xf>
    <xf numFmtId="0" fontId="8" fillId="0" borderId="0" xfId="0" applyNumberFormat="1" applyFont="1" applyAlignment="1">
      <alignment horizontal="center"/>
    </xf>
    <xf numFmtId="14" fontId="4" fillId="7" borderId="4" xfId="0" applyNumberFormat="1" applyFont="1" applyFill="1" applyBorder="1" applyAlignment="1">
      <alignment horizontal="center" vertical="center"/>
    </xf>
    <xf numFmtId="0" fontId="8" fillId="3" borderId="5" xfId="0" applyNumberFormat="1" applyFont="1" applyFill="1" applyBorder="1" applyAlignment="1">
      <alignment horizontal="center" vertical="center"/>
    </xf>
    <xf numFmtId="0" fontId="8" fillId="3" borderId="5" xfId="0" applyNumberFormat="1" applyFont="1" applyFill="1" applyBorder="1" applyAlignment="1">
      <alignment horizontal="left" vertical="center"/>
    </xf>
    <xf numFmtId="0" fontId="8" fillId="7" borderId="5" xfId="0" applyNumberFormat="1" applyFont="1" applyFill="1" applyBorder="1" applyAlignment="1">
      <alignment horizontal="center" vertical="center"/>
    </xf>
    <xf numFmtId="0" fontId="8" fillId="7" borderId="5" xfId="0" quotePrefix="1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NumberFormat="1" applyFont="1"/>
    <xf numFmtId="1" fontId="4" fillId="0" borderId="0" xfId="0" applyNumberFormat="1" applyFont="1" applyAlignment="1">
      <alignment horizontal="left"/>
    </xf>
    <xf numFmtId="1" fontId="4" fillId="0" borderId="0" xfId="0" applyNumberFormat="1" applyFont="1"/>
    <xf numFmtId="1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3" applyFont="1"/>
    <xf numFmtId="0" fontId="30" fillId="0" borderId="0" xfId="3"/>
    <xf numFmtId="2" fontId="46" fillId="0" borderId="0" xfId="3" applyNumberFormat="1" applyFont="1"/>
    <xf numFmtId="0" fontId="46" fillId="0" borderId="0" xfId="3" applyFont="1"/>
    <xf numFmtId="0" fontId="46" fillId="0" borderId="0" xfId="3" applyFont="1" applyAlignment="1"/>
    <xf numFmtId="0" fontId="18" fillId="0" borderId="0" xfId="3" applyFont="1" applyAlignment="1"/>
    <xf numFmtId="0" fontId="4" fillId="0" borderId="0" xfId="3" applyFont="1" applyAlignment="1"/>
    <xf numFmtId="0" fontId="23" fillId="0" borderId="0" xfId="3" applyFont="1"/>
    <xf numFmtId="0" fontId="2" fillId="0" borderId="0" xfId="0" applyFont="1" applyAlignment="1">
      <alignment vertical="top"/>
    </xf>
    <xf numFmtId="0" fontId="3" fillId="3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center"/>
    </xf>
    <xf numFmtId="0" fontId="3" fillId="7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0" fontId="3" fillId="7" borderId="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right" vertical="top"/>
    </xf>
    <xf numFmtId="0" fontId="3" fillId="7" borderId="3" xfId="0" applyFont="1" applyFill="1" applyBorder="1" applyAlignment="1">
      <alignment horizontal="right" vertical="top"/>
    </xf>
    <xf numFmtId="0" fontId="3" fillId="0" borderId="0" xfId="0" applyFont="1"/>
    <xf numFmtId="0" fontId="3" fillId="3" borderId="6" xfId="0" applyFont="1" applyFill="1" applyBorder="1" applyAlignment="1">
      <alignment horizontal="left"/>
    </xf>
    <xf numFmtId="3" fontId="3" fillId="7" borderId="6" xfId="0" applyNumberFormat="1" applyFont="1" applyFill="1" applyBorder="1"/>
    <xf numFmtId="3" fontId="3" fillId="3" borderId="6" xfId="0" applyNumberFormat="1" applyFont="1" applyFill="1" applyBorder="1"/>
    <xf numFmtId="184" fontId="3" fillId="7" borderId="6" xfId="0" applyNumberFormat="1" applyFont="1" applyFill="1" applyBorder="1" applyAlignment="1">
      <alignment horizontal="center"/>
    </xf>
    <xf numFmtId="3" fontId="3" fillId="0" borderId="0" xfId="0" applyNumberFormat="1" applyFont="1"/>
    <xf numFmtId="0" fontId="3" fillId="3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3" fontId="5" fillId="7" borderId="6" xfId="0" applyNumberFormat="1" applyFont="1" applyFill="1" applyBorder="1" applyAlignment="1">
      <alignment vertical="center"/>
    </xf>
    <xf numFmtId="3" fontId="5" fillId="3" borderId="6" xfId="0" applyNumberFormat="1" applyFont="1" applyFill="1" applyBorder="1" applyAlignment="1">
      <alignment vertical="center"/>
    </xf>
    <xf numFmtId="184" fontId="5" fillId="7" borderId="6" xfId="0" applyNumberFormat="1" applyFont="1" applyFill="1" applyBorder="1" applyAlignment="1">
      <alignment horizontal="center" vertical="center"/>
    </xf>
    <xf numFmtId="0" fontId="4" fillId="0" borderId="8" xfId="0" applyFont="1" applyBorder="1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6" borderId="0" xfId="0" applyFont="1" applyFill="1" applyAlignment="1">
      <alignment horizontal="right" vertical="top"/>
    </xf>
    <xf numFmtId="3" fontId="3" fillId="7" borderId="2" xfId="0" applyNumberFormat="1" applyFont="1" applyFill="1" applyBorder="1" applyAlignment="1">
      <alignment horizontal="right"/>
    </xf>
    <xf numFmtId="3" fontId="3" fillId="7" borderId="0" xfId="0" applyNumberFormat="1" applyFont="1" applyFill="1" applyBorder="1" applyAlignment="1">
      <alignment horizontal="right"/>
    </xf>
    <xf numFmtId="3" fontId="3" fillId="7" borderId="3" xfId="0" applyNumberFormat="1" applyFont="1" applyFill="1" applyBorder="1" applyAlignment="1">
      <alignment horizontal="right" vertical="top"/>
    </xf>
    <xf numFmtId="3" fontId="3" fillId="7" borderId="4" xfId="0" applyNumberFormat="1" applyFont="1" applyFill="1" applyBorder="1" applyAlignment="1">
      <alignment horizontal="right"/>
    </xf>
    <xf numFmtId="184" fontId="3" fillId="3" borderId="4" xfId="0" applyNumberFormat="1" applyFont="1" applyFill="1" applyBorder="1" applyAlignment="1">
      <alignment horizontal="right"/>
    </xf>
    <xf numFmtId="3" fontId="3" fillId="7" borderId="7" xfId="0" applyNumberFormat="1" applyFont="1" applyFill="1" applyBorder="1" applyAlignment="1">
      <alignment horizontal="right"/>
    </xf>
    <xf numFmtId="184" fontId="3" fillId="3" borderId="7" xfId="0" applyNumberFormat="1" applyFont="1" applyFill="1" applyBorder="1" applyAlignment="1">
      <alignment horizontal="right"/>
    </xf>
    <xf numFmtId="3" fontId="5" fillId="7" borderId="7" xfId="0" applyNumberFormat="1" applyFont="1" applyFill="1" applyBorder="1" applyAlignment="1">
      <alignment horizontal="right" vertical="center"/>
    </xf>
    <xf numFmtId="184" fontId="5" fillId="3" borderId="7" xfId="0" applyNumberFormat="1" applyFont="1" applyFill="1" applyBorder="1" applyAlignment="1">
      <alignment horizontal="right" vertical="center"/>
    </xf>
    <xf numFmtId="0" fontId="8" fillId="0" borderId="0" xfId="0" applyFont="1"/>
    <xf numFmtId="1" fontId="8" fillId="0" borderId="0" xfId="0" applyNumberFormat="1" applyFont="1"/>
    <xf numFmtId="3" fontId="4" fillId="0" borderId="8" xfId="0" applyNumberFormat="1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6" borderId="0" xfId="0" applyFont="1" applyFill="1" applyBorder="1" applyProtection="1"/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6" borderId="0" xfId="0" applyFont="1" applyFill="1" applyAlignment="1">
      <alignment vertical="center"/>
    </xf>
    <xf numFmtId="0" fontId="2" fillId="0" borderId="0" xfId="4" applyFont="1"/>
    <xf numFmtId="0" fontId="30" fillId="0" borderId="0" xfId="4"/>
    <xf numFmtId="0" fontId="18" fillId="0" borderId="0" xfId="4" applyFont="1" applyAlignment="1"/>
    <xf numFmtId="0" fontId="18" fillId="0" borderId="0" xfId="4" applyFont="1"/>
    <xf numFmtId="0" fontId="30" fillId="0" borderId="0" xfId="4" applyAlignment="1"/>
    <xf numFmtId="2" fontId="18" fillId="0" borderId="0" xfId="4" quotePrefix="1" applyNumberFormat="1" applyFont="1"/>
    <xf numFmtId="0" fontId="18" fillId="0" borderId="0" xfId="4" quotePrefix="1" applyFont="1" applyAlignment="1">
      <alignment horizontal="right"/>
    </xf>
    <xf numFmtId="0" fontId="23" fillId="0" borderId="0" xfId="4" applyFont="1"/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184" fontId="3" fillId="3" borderId="6" xfId="0" applyNumberFormat="1" applyFont="1" applyFill="1" applyBorder="1" applyAlignment="1">
      <alignment horizontal="center"/>
    </xf>
    <xf numFmtId="184" fontId="5" fillId="3" borderId="6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1" fillId="0" borderId="0" xfId="0" applyNumberFormat="1" applyFont="1"/>
    <xf numFmtId="0" fontId="2" fillId="0" borderId="0" xfId="0" applyFont="1" applyAlignment="1">
      <alignment horizontal="right" vertical="top"/>
    </xf>
    <xf numFmtId="3" fontId="3" fillId="3" borderId="2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center"/>
    </xf>
    <xf numFmtId="3" fontId="3" fillId="7" borderId="0" xfId="0" applyNumberFormat="1" applyFont="1" applyFill="1" applyBorder="1" applyAlignment="1">
      <alignment horizontal="center"/>
    </xf>
    <xf numFmtId="3" fontId="3" fillId="3" borderId="0" xfId="0" applyNumberFormat="1" applyFont="1" applyFill="1" applyBorder="1" applyAlignment="1">
      <alignment horizontal="right"/>
    </xf>
    <xf numFmtId="3" fontId="3" fillId="7" borderId="3" xfId="0" applyNumberFormat="1" applyFont="1" applyFill="1" applyBorder="1" applyAlignment="1">
      <alignment horizontal="center" vertical="top"/>
    </xf>
    <xf numFmtId="3" fontId="3" fillId="3" borderId="3" xfId="0" applyNumberFormat="1" applyFont="1" applyFill="1" applyBorder="1" applyAlignment="1">
      <alignment horizontal="center" vertical="top"/>
    </xf>
    <xf numFmtId="3" fontId="3" fillId="3" borderId="3" xfId="0" applyNumberFormat="1" applyFont="1" applyFill="1" applyBorder="1" applyAlignment="1">
      <alignment horizontal="right" vertical="top"/>
    </xf>
    <xf numFmtId="3" fontId="3" fillId="7" borderId="4" xfId="0" applyNumberFormat="1" applyFont="1" applyFill="1" applyBorder="1"/>
    <xf numFmtId="3" fontId="3" fillId="3" borderId="4" xfId="0" applyNumberFormat="1" applyFont="1" applyFill="1" applyBorder="1"/>
    <xf numFmtId="3" fontId="5" fillId="7" borderId="4" xfId="0" applyNumberFormat="1" applyFont="1" applyFill="1" applyBorder="1" applyAlignment="1">
      <alignment vertical="center"/>
    </xf>
    <xf numFmtId="3" fontId="5" fillId="3" borderId="4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4" fillId="0" borderId="8" xfId="0" applyNumberFormat="1" applyFont="1" applyBorder="1"/>
    <xf numFmtId="3" fontId="4" fillId="0" borderId="0" xfId="0" applyNumberFormat="1" applyFont="1" applyBorder="1"/>
    <xf numFmtId="0" fontId="4" fillId="0" borderId="0" xfId="0" applyFont="1" applyBorder="1" applyAlignment="1">
      <alignment vertical="top"/>
    </xf>
    <xf numFmtId="0" fontId="8" fillId="0" borderId="0" xfId="0" applyFont="1" applyAlignment="1">
      <alignment horizontal="center"/>
    </xf>
    <xf numFmtId="3" fontId="3" fillId="7" borderId="7" xfId="0" applyNumberFormat="1" applyFont="1" applyFill="1" applyBorder="1"/>
    <xf numFmtId="3" fontId="3" fillId="3" borderId="7" xfId="0" applyNumberFormat="1" applyFont="1" applyFill="1" applyBorder="1"/>
    <xf numFmtId="3" fontId="5" fillId="7" borderId="7" xfId="0" applyNumberFormat="1" applyFont="1" applyFill="1" applyBorder="1" applyAlignment="1">
      <alignment vertical="center"/>
    </xf>
    <xf numFmtId="3" fontId="5" fillId="3" borderId="7" xfId="0" applyNumberFormat="1" applyFont="1" applyFill="1" applyBorder="1" applyAlignment="1">
      <alignment vertical="center"/>
    </xf>
    <xf numFmtId="3" fontId="3" fillId="3" borderId="4" xfId="0" applyNumberFormat="1" applyFont="1" applyFill="1" applyBorder="1" applyAlignment="1">
      <alignment horizontal="right"/>
    </xf>
    <xf numFmtId="3" fontId="5" fillId="7" borderId="4" xfId="0" applyNumberFormat="1" applyFont="1" applyFill="1" applyBorder="1" applyAlignment="1">
      <alignment horizontal="right" vertical="center"/>
    </xf>
    <xf numFmtId="3" fontId="5" fillId="3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2" fontId="4" fillId="0" borderId="0" xfId="0" applyNumberFormat="1" applyFont="1"/>
    <xf numFmtId="3" fontId="3" fillId="3" borderId="7" xfId="0" applyNumberFormat="1" applyFont="1" applyFill="1" applyBorder="1" applyAlignment="1">
      <alignment horizontal="right"/>
    </xf>
    <xf numFmtId="3" fontId="5" fillId="3" borderId="7" xfId="0" applyNumberFormat="1" applyFont="1" applyFill="1" applyBorder="1" applyAlignment="1">
      <alignment horizontal="right" vertical="center"/>
    </xf>
    <xf numFmtId="0" fontId="0" fillId="0" borderId="0" xfId="0" applyBorder="1"/>
    <xf numFmtId="0" fontId="4" fillId="0" borderId="0" xfId="0" applyFont="1" applyFill="1" applyBorder="1"/>
    <xf numFmtId="3" fontId="4" fillId="0" borderId="0" xfId="0" applyNumberFormat="1" applyFont="1" applyFill="1" applyBorder="1" applyAlignment="1">
      <alignment horizontal="right"/>
    </xf>
    <xf numFmtId="0" fontId="1" fillId="0" borderId="0" xfId="0" applyFont="1" applyAlignment="1">
      <alignment vertical="center"/>
    </xf>
    <xf numFmtId="0" fontId="4" fillId="0" borderId="0" xfId="0" applyFont="1" applyFill="1" applyBorder="1" applyAlignment="1">
      <alignment vertical="top"/>
    </xf>
    <xf numFmtId="0" fontId="0" fillId="0" borderId="0" xfId="0" applyAlignment="1">
      <alignment vertical="top"/>
    </xf>
    <xf numFmtId="0" fontId="22" fillId="0" borderId="0" xfId="0" applyFont="1" applyAlignment="1">
      <alignment vertical="top"/>
    </xf>
    <xf numFmtId="0" fontId="48" fillId="0" borderId="0" xfId="0" applyFont="1" applyAlignment="1"/>
    <xf numFmtId="0" fontId="49" fillId="0" borderId="0" xfId="0" applyFont="1" applyAlignment="1"/>
    <xf numFmtId="0" fontId="50" fillId="0" borderId="0" xfId="0" applyFont="1" applyAlignment="1"/>
    <xf numFmtId="0" fontId="0" fillId="0" borderId="0" xfId="0" applyAlignment="1"/>
    <xf numFmtId="0" fontId="4" fillId="0" borderId="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right" vertical="top" wrapText="1"/>
    </xf>
    <xf numFmtId="9" fontId="8" fillId="0" borderId="9" xfId="0" applyNumberFormat="1" applyFont="1" applyBorder="1" applyAlignment="1">
      <alignment horizontal="right" vertical="top" wrapText="1"/>
    </xf>
    <xf numFmtId="0" fontId="26" fillId="0" borderId="9" xfId="0" applyFont="1" applyFill="1" applyBorder="1" applyAlignment="1">
      <alignment horizontal="center" vertical="top" wrapText="1"/>
    </xf>
    <xf numFmtId="0" fontId="26" fillId="0" borderId="9" xfId="0" applyFont="1" applyFill="1" applyBorder="1" applyAlignment="1">
      <alignment horizontal="right" vertical="top" wrapText="1"/>
    </xf>
    <xf numFmtId="9" fontId="26" fillId="0" borderId="9" xfId="0" applyNumberFormat="1" applyFont="1" applyFill="1" applyBorder="1" applyAlignment="1">
      <alignment horizontal="right" vertical="top" wrapText="1"/>
    </xf>
    <xf numFmtId="0" fontId="50" fillId="0" borderId="0" xfId="0" applyFont="1"/>
    <xf numFmtId="0" fontId="49" fillId="0" borderId="0" xfId="0" applyFont="1"/>
    <xf numFmtId="0" fontId="50" fillId="0" borderId="0" xfId="0" applyNumberFormat="1" applyFont="1" applyAlignment="1"/>
    <xf numFmtId="0" fontId="4" fillId="0" borderId="0" xfId="0" applyFont="1" applyAlignment="1"/>
    <xf numFmtId="1" fontId="51" fillId="0" borderId="0" xfId="0" applyNumberFormat="1" applyFont="1" applyFill="1" applyBorder="1" applyAlignment="1"/>
    <xf numFmtId="0" fontId="8" fillId="0" borderId="0" xfId="0" applyFont="1" applyFill="1" applyBorder="1" applyAlignment="1">
      <alignment horizontal="center"/>
    </xf>
    <xf numFmtId="0" fontId="18" fillId="0" borderId="0" xfId="0" applyFont="1" applyFill="1" applyBorder="1"/>
    <xf numFmtId="0" fontId="8" fillId="0" borderId="0" xfId="0" quotePrefix="1" applyFont="1" applyFill="1" applyBorder="1" applyAlignment="1">
      <alignment horizontal="center"/>
    </xf>
    <xf numFmtId="0" fontId="18" fillId="0" borderId="0" xfId="0" quotePrefix="1" applyFont="1" applyFill="1" applyBorder="1"/>
    <xf numFmtId="16" fontId="8" fillId="0" borderId="0" xfId="0" quotePrefix="1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8" fillId="0" borderId="0" xfId="0" applyFont="1" applyBorder="1"/>
    <xf numFmtId="18" fontId="8" fillId="0" borderId="0" xfId="0" quotePrefix="1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2" fillId="0" borderId="0" xfId="2" applyFont="1"/>
    <xf numFmtId="0" fontId="30" fillId="0" borderId="0" xfId="2"/>
    <xf numFmtId="0" fontId="18" fillId="0" borderId="0" xfId="2" quotePrefix="1" applyFont="1" applyAlignment="1"/>
    <xf numFmtId="0" fontId="18" fillId="0" borderId="0" xfId="2" applyFont="1" applyAlignment="1"/>
    <xf numFmtId="0" fontId="30" fillId="0" borderId="0" xfId="2" applyAlignment="1"/>
    <xf numFmtId="2" fontId="18" fillId="0" borderId="0" xfId="2" quotePrefix="1" applyNumberFormat="1" applyFont="1"/>
    <xf numFmtId="0" fontId="18" fillId="0" borderId="0" xfId="2" applyFont="1"/>
    <xf numFmtId="0" fontId="23" fillId="0" borderId="0" xfId="2" applyFont="1"/>
    <xf numFmtId="0" fontId="3" fillId="3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top"/>
    </xf>
    <xf numFmtId="0" fontId="3" fillId="3" borderId="4" xfId="0" quotePrefix="1" applyFont="1" applyFill="1" applyBorder="1" applyAlignment="1">
      <alignment horizontal="left"/>
    </xf>
    <xf numFmtId="0" fontId="3" fillId="3" borderId="7" xfId="0" quotePrefix="1" applyFont="1" applyFill="1" applyBorder="1" applyAlignment="1">
      <alignment horizontal="left"/>
    </xf>
    <xf numFmtId="0" fontId="5" fillId="3" borderId="7" xfId="0" quotePrefix="1" applyFont="1" applyFill="1" applyBorder="1" applyAlignment="1">
      <alignment horizontal="left"/>
    </xf>
    <xf numFmtId="3" fontId="5" fillId="7" borderId="7" xfId="0" applyNumberFormat="1" applyFont="1" applyFill="1" applyBorder="1"/>
    <xf numFmtId="184" fontId="5" fillId="3" borderId="7" xfId="0" applyNumberFormat="1" applyFont="1" applyFill="1" applyBorder="1" applyAlignment="1">
      <alignment horizontal="right"/>
    </xf>
    <xf numFmtId="3" fontId="5" fillId="7" borderId="7" xfId="0" applyNumberFormat="1" applyFont="1" applyFill="1" applyBorder="1" applyAlignment="1">
      <alignment horizontal="right"/>
    </xf>
    <xf numFmtId="0" fontId="3" fillId="7" borderId="2" xfId="0" applyFont="1" applyFill="1" applyBorder="1" applyAlignment="1">
      <alignment horizontal="left"/>
    </xf>
    <xf numFmtId="183" fontId="3" fillId="3" borderId="4" xfId="0" applyNumberFormat="1" applyFont="1" applyFill="1" applyBorder="1" applyAlignment="1">
      <alignment horizontal="right"/>
    </xf>
    <xf numFmtId="0" fontId="0" fillId="0" borderId="3" xfId="0" applyBorder="1" applyAlignment="1">
      <alignment wrapText="1"/>
    </xf>
    <xf numFmtId="0" fontId="2" fillId="0" borderId="0" xfId="6" applyFont="1"/>
    <xf numFmtId="0" fontId="30" fillId="0" borderId="0" xfId="6"/>
    <xf numFmtId="0" fontId="18" fillId="0" borderId="0" xfId="6" applyFont="1" applyAlignment="1"/>
    <xf numFmtId="2" fontId="30" fillId="0" borderId="0" xfId="6" applyNumberFormat="1"/>
    <xf numFmtId="0" fontId="18" fillId="0" borderId="0" xfId="6" applyFont="1"/>
    <xf numFmtId="0" fontId="23" fillId="0" borderId="0" xfId="6" applyFont="1"/>
    <xf numFmtId="0" fontId="2" fillId="0" borderId="0" xfId="0" applyFont="1" applyFill="1" applyAlignment="1">
      <alignment horizontal="right" vertical="top"/>
    </xf>
    <xf numFmtId="0" fontId="0" fillId="3" borderId="2" xfId="0" applyFill="1" applyBorder="1" applyAlignment="1">
      <alignment horizontal="right"/>
    </xf>
    <xf numFmtId="3" fontId="4" fillId="7" borderId="0" xfId="0" applyNumberFormat="1" applyFont="1" applyFill="1" applyBorder="1" applyAlignment="1">
      <alignment horizontal="right"/>
    </xf>
    <xf numFmtId="182" fontId="3" fillId="3" borderId="6" xfId="0" applyNumberFormat="1" applyFont="1" applyFill="1" applyBorder="1" applyAlignment="1">
      <alignment horizontal="left"/>
    </xf>
    <xf numFmtId="184" fontId="3" fillId="3" borderId="6" xfId="0" applyNumberFormat="1" applyFont="1" applyFill="1" applyBorder="1"/>
    <xf numFmtId="3" fontId="3" fillId="7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182" fontId="3" fillId="3" borderId="7" xfId="0" applyNumberFormat="1" applyFont="1" applyFill="1" applyBorder="1" applyAlignment="1">
      <alignment horizontal="left"/>
    </xf>
    <xf numFmtId="182" fontId="5" fillId="3" borderId="0" xfId="0" applyNumberFormat="1" applyFont="1" applyFill="1" applyBorder="1" applyAlignment="1">
      <alignment horizontal="left" vertical="center"/>
    </xf>
    <xf numFmtId="184" fontId="5" fillId="3" borderId="6" xfId="0" applyNumberFormat="1" applyFont="1" applyFill="1" applyBorder="1" applyAlignment="1">
      <alignment vertical="center"/>
    </xf>
    <xf numFmtId="3" fontId="5" fillId="7" borderId="6" xfId="0" applyNumberFormat="1" applyFont="1" applyFill="1" applyBorder="1" applyAlignment="1">
      <alignment horizontal="right" vertical="center"/>
    </xf>
    <xf numFmtId="3" fontId="5" fillId="3" borderId="6" xfId="0" applyNumberFormat="1" applyFont="1" applyFill="1" applyBorder="1" applyAlignment="1">
      <alignment horizontal="right" vertical="center"/>
    </xf>
    <xf numFmtId="3" fontId="5" fillId="7" borderId="5" xfId="0" applyNumberFormat="1" applyFont="1" applyFill="1" applyBorder="1" applyAlignment="1">
      <alignment horizontal="right" vertical="center"/>
    </xf>
    <xf numFmtId="2" fontId="4" fillId="0" borderId="8" xfId="0" applyNumberFormat="1" applyFont="1" applyBorder="1"/>
    <xf numFmtId="3" fontId="3" fillId="0" borderId="8" xfId="0" applyNumberFormat="1" applyFont="1" applyBorder="1" applyAlignment="1">
      <alignment horizontal="right" vertical="top"/>
    </xf>
    <xf numFmtId="2" fontId="4" fillId="0" borderId="0" xfId="0" applyNumberFormat="1" applyFont="1" applyBorder="1"/>
    <xf numFmtId="3" fontId="3" fillId="0" borderId="0" xfId="0" applyNumberFormat="1" applyFont="1" applyBorder="1" applyAlignment="1">
      <alignment horizontal="right" vertical="top"/>
    </xf>
    <xf numFmtId="3" fontId="5" fillId="7" borderId="0" xfId="0" applyNumberFormat="1" applyFont="1" applyFill="1" applyBorder="1" applyAlignment="1">
      <alignment horizontal="right" vertical="center"/>
    </xf>
    <xf numFmtId="3" fontId="5" fillId="3" borderId="0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/>
    </xf>
    <xf numFmtId="3" fontId="5" fillId="3" borderId="0" xfId="0" applyNumberFormat="1" applyFont="1" applyFill="1" applyBorder="1" applyAlignment="1">
      <alignment horizontal="right"/>
    </xf>
    <xf numFmtId="3" fontId="5" fillId="3" borderId="3" xfId="0" applyNumberFormat="1" applyFont="1" applyFill="1" applyBorder="1" applyAlignment="1">
      <alignment horizontal="right" vertical="top"/>
    </xf>
    <xf numFmtId="3" fontId="5" fillId="3" borderId="6" xfId="0" applyNumberFormat="1" applyFont="1" applyFill="1" applyBorder="1"/>
    <xf numFmtId="3" fontId="5" fillId="3" borderId="7" xfId="0" applyNumberFormat="1" applyFont="1" applyFill="1" applyBorder="1"/>
    <xf numFmtId="3" fontId="5" fillId="3" borderId="7" xfId="0" applyNumberFormat="1" applyFont="1" applyFill="1" applyBorder="1" applyAlignment="1">
      <alignment horizontal="right"/>
    </xf>
    <xf numFmtId="3" fontId="5" fillId="3" borderId="0" xfId="0" applyNumberFormat="1" applyFont="1" applyFill="1" applyBorder="1" applyAlignment="1">
      <alignment vertical="center"/>
    </xf>
    <xf numFmtId="3" fontId="5" fillId="7" borderId="0" xfId="0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 vertical="top"/>
    </xf>
    <xf numFmtId="182" fontId="4" fillId="0" borderId="0" xfId="0" applyNumberFormat="1" applyFont="1"/>
    <xf numFmtId="0" fontId="3" fillId="7" borderId="0" xfId="0" applyFont="1" applyFill="1" applyBorder="1" applyAlignment="1">
      <alignment horizontal="left"/>
    </xf>
    <xf numFmtId="3" fontId="3" fillId="7" borderId="0" xfId="0" applyNumberFormat="1" applyFont="1" applyFill="1" applyBorder="1" applyAlignment="1">
      <alignment horizontal="left"/>
    </xf>
    <xf numFmtId="182" fontId="3" fillId="3" borderId="4" xfId="0" applyNumberFormat="1" applyFont="1" applyFill="1" applyBorder="1" applyAlignment="1">
      <alignment horizontal="left"/>
    </xf>
    <xf numFmtId="3" fontId="3" fillId="7" borderId="10" xfId="0" applyNumberFormat="1" applyFont="1" applyFill="1" applyBorder="1"/>
    <xf numFmtId="3" fontId="3" fillId="7" borderId="11" xfId="0" applyNumberFormat="1" applyFont="1" applyFill="1" applyBorder="1"/>
    <xf numFmtId="3" fontId="3" fillId="7" borderId="11" xfId="0" applyNumberFormat="1" applyFont="1" applyFill="1" applyBorder="1" applyAlignment="1">
      <alignment horizontal="right"/>
    </xf>
    <xf numFmtId="182" fontId="3" fillId="3" borderId="5" xfId="0" applyNumberFormat="1" applyFont="1" applyFill="1" applyBorder="1" applyAlignment="1">
      <alignment horizontal="left"/>
    </xf>
    <xf numFmtId="3" fontId="3" fillId="7" borderId="5" xfId="0" applyNumberFormat="1" applyFont="1" applyFill="1" applyBorder="1"/>
    <xf numFmtId="3" fontId="3" fillId="3" borderId="5" xfId="0" applyNumberFormat="1" applyFont="1" applyFill="1" applyBorder="1"/>
    <xf numFmtId="3" fontId="3" fillId="7" borderId="12" xfId="0" applyNumberFormat="1" applyFont="1" applyFill="1" applyBorder="1"/>
    <xf numFmtId="0" fontId="2" fillId="0" borderId="0" xfId="1" applyFont="1"/>
    <xf numFmtId="0" fontId="30" fillId="0" borderId="0" xfId="1"/>
    <xf numFmtId="2" fontId="46" fillId="0" borderId="0" xfId="1" applyNumberFormat="1" applyFont="1"/>
    <xf numFmtId="0" fontId="46" fillId="0" borderId="0" xfId="1" applyFont="1"/>
    <xf numFmtId="0" fontId="46" fillId="0" borderId="0" xfId="1" applyFont="1" applyAlignment="1"/>
    <xf numFmtId="0" fontId="4" fillId="0" borderId="0" xfId="1" quotePrefix="1" applyFont="1" applyAlignment="1">
      <alignment horizontal="right"/>
    </xf>
    <xf numFmtId="0" fontId="4" fillId="0" borderId="0" xfId="1" applyFont="1" applyAlignment="1"/>
    <xf numFmtId="0" fontId="23" fillId="0" borderId="0" xfId="1" applyFont="1"/>
    <xf numFmtId="3" fontId="5" fillId="7" borderId="2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3" fontId="5" fillId="7" borderId="3" xfId="0" applyNumberFormat="1" applyFont="1" applyFill="1" applyBorder="1" applyAlignment="1">
      <alignment horizontal="right" vertical="top"/>
    </xf>
    <xf numFmtId="3" fontId="5" fillId="7" borderId="6" xfId="0" applyNumberFormat="1" applyFont="1" applyFill="1" applyBorder="1" applyAlignment="1">
      <alignment horizontal="right"/>
    </xf>
    <xf numFmtId="3" fontId="3" fillId="7" borderId="7" xfId="0" applyNumberFormat="1" applyFont="1" applyFill="1" applyBorder="1" applyAlignment="1">
      <alignment horizontal="right" vertical="center"/>
    </xf>
    <xf numFmtId="3" fontId="3" fillId="3" borderId="7" xfId="0" applyNumberFormat="1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left" vertical="center"/>
    </xf>
    <xf numFmtId="3" fontId="3" fillId="7" borderId="13" xfId="0" applyNumberFormat="1" applyFont="1" applyFill="1" applyBorder="1" applyAlignment="1">
      <alignment horizontal="right" vertical="center"/>
    </xf>
    <xf numFmtId="3" fontId="3" fillId="3" borderId="13" xfId="0" applyNumberFormat="1" applyFont="1" applyFill="1" applyBorder="1" applyAlignment="1">
      <alignment horizontal="right" vertical="center"/>
    </xf>
    <xf numFmtId="3" fontId="5" fillId="7" borderId="13" xfId="0" applyNumberFormat="1" applyFont="1" applyFill="1" applyBorder="1" applyAlignment="1">
      <alignment horizontal="right" vertical="center"/>
    </xf>
    <xf numFmtId="0" fontId="18" fillId="6" borderId="0" xfId="0" applyFont="1" applyFill="1" applyBorder="1" applyProtection="1"/>
    <xf numFmtId="0" fontId="23" fillId="6" borderId="0" xfId="0" applyFont="1" applyFill="1" applyBorder="1"/>
    <xf numFmtId="0" fontId="2" fillId="0" borderId="0" xfId="0" applyFont="1" applyBorder="1" applyAlignment="1">
      <alignment vertical="top" wrapText="1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left"/>
    </xf>
    <xf numFmtId="3" fontId="5" fillId="7" borderId="4" xfId="0" applyNumberFormat="1" applyFont="1" applyFill="1" applyBorder="1" applyAlignment="1">
      <alignment horizontal="righ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vertical="center"/>
    </xf>
    <xf numFmtId="3" fontId="3" fillId="7" borderId="5" xfId="0" applyNumberFormat="1" applyFont="1" applyFill="1" applyBorder="1" applyAlignment="1">
      <alignment horizontal="right"/>
    </xf>
    <xf numFmtId="3" fontId="3" fillId="3" borderId="5" xfId="0" applyNumberFormat="1" applyFont="1" applyFill="1" applyBorder="1" applyAlignment="1">
      <alignment horizontal="right"/>
    </xf>
    <xf numFmtId="3" fontId="5" fillId="7" borderId="5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3" fontId="3" fillId="7" borderId="4" xfId="0" applyNumberFormat="1" applyFont="1" applyFill="1" applyBorder="1" applyAlignment="1">
      <alignment horizontal="right" vertical="center"/>
    </xf>
    <xf numFmtId="3" fontId="3" fillId="3" borderId="4" xfId="0" applyNumberFormat="1" applyFont="1" applyFill="1" applyBorder="1" applyAlignment="1">
      <alignment horizontal="right" vertical="center"/>
    </xf>
    <xf numFmtId="3" fontId="8" fillId="0" borderId="8" xfId="0" applyNumberFormat="1" applyFont="1" applyBorder="1"/>
    <xf numFmtId="3" fontId="8" fillId="0" borderId="0" xfId="0" applyNumberFormat="1" applyFont="1"/>
    <xf numFmtId="0" fontId="18" fillId="0" borderId="0" xfId="20" applyFont="1"/>
    <xf numFmtId="0" fontId="1" fillId="0" borderId="0" xfId="0" applyFont="1" applyBorder="1"/>
    <xf numFmtId="0" fontId="2" fillId="0" borderId="3" xfId="0" applyFont="1" applyBorder="1" applyAlignment="1">
      <alignment vertical="top"/>
    </xf>
    <xf numFmtId="0" fontId="3" fillId="7" borderId="3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vertical="top" wrapText="1"/>
    </xf>
    <xf numFmtId="184" fontId="3" fillId="7" borderId="4" xfId="0" applyNumberFormat="1" applyFont="1" applyFill="1" applyBorder="1"/>
    <xf numFmtId="184" fontId="3" fillId="3" borderId="4" xfId="0" applyNumberFormat="1" applyFont="1" applyFill="1" applyBorder="1"/>
    <xf numFmtId="0" fontId="3" fillId="3" borderId="14" xfId="0" applyFont="1" applyFill="1" applyBorder="1" applyAlignment="1">
      <alignment vertical="top"/>
    </xf>
    <xf numFmtId="3" fontId="3" fillId="7" borderId="14" xfId="0" applyNumberFormat="1" applyFont="1" applyFill="1" applyBorder="1"/>
    <xf numFmtId="3" fontId="3" fillId="3" borderId="14" xfId="0" applyNumberFormat="1" applyFont="1" applyFill="1" applyBorder="1"/>
    <xf numFmtId="184" fontId="3" fillId="7" borderId="14" xfId="0" applyNumberFormat="1" applyFont="1" applyFill="1" applyBorder="1"/>
    <xf numFmtId="184" fontId="3" fillId="3" borderId="14" xfId="0" applyNumberFormat="1" applyFont="1" applyFill="1" applyBorder="1"/>
    <xf numFmtId="0" fontId="3" fillId="3" borderId="0" xfId="0" applyFont="1" applyFill="1" applyBorder="1" applyAlignment="1">
      <alignment vertical="center"/>
    </xf>
    <xf numFmtId="184" fontId="5" fillId="7" borderId="4" xfId="0" applyNumberFormat="1" applyFont="1" applyFill="1" applyBorder="1" applyAlignment="1">
      <alignment vertical="center"/>
    </xf>
    <xf numFmtId="184" fontId="5" fillId="3" borderId="4" xfId="0" applyNumberFormat="1" applyFont="1" applyFill="1" applyBorder="1" applyAlignment="1">
      <alignment vertical="center"/>
    </xf>
    <xf numFmtId="0" fontId="5" fillId="3" borderId="0" xfId="0" quotePrefix="1" applyFont="1" applyFill="1" applyBorder="1" applyAlignment="1">
      <alignment horizontal="left" vertical="center"/>
    </xf>
    <xf numFmtId="0" fontId="4" fillId="0" borderId="0" xfId="0" applyFont="1" applyAlignment="1">
      <alignment vertical="top"/>
    </xf>
    <xf numFmtId="0" fontId="2" fillId="0" borderId="3" xfId="0" applyFont="1" applyFill="1" applyBorder="1" applyAlignment="1">
      <alignment horizontal="right" vertical="top"/>
    </xf>
    <xf numFmtId="0" fontId="3" fillId="7" borderId="0" xfId="0" applyFont="1" applyFill="1" applyBorder="1" applyAlignment="1">
      <alignment horizontal="right" wrapText="1"/>
    </xf>
    <xf numFmtId="0" fontId="3" fillId="3" borderId="0" xfId="0" applyFont="1" applyFill="1" applyBorder="1" applyAlignment="1">
      <alignment horizontal="right" wrapText="1"/>
    </xf>
    <xf numFmtId="0" fontId="3" fillId="7" borderId="0" xfId="0" applyFont="1" applyFill="1" applyBorder="1" applyAlignment="1">
      <alignment horizontal="right" vertical="top"/>
    </xf>
    <xf numFmtId="1" fontId="3" fillId="3" borderId="4" xfId="0" applyNumberFormat="1" applyFont="1" applyFill="1" applyBorder="1" applyAlignment="1">
      <alignment horizontal="left"/>
    </xf>
    <xf numFmtId="1" fontId="3" fillId="3" borderId="7" xfId="0" applyNumberFormat="1" applyFont="1" applyFill="1" applyBorder="1" applyAlignment="1">
      <alignment horizontal="left"/>
    </xf>
    <xf numFmtId="184" fontId="3" fillId="3" borderId="6" xfId="0" applyNumberFormat="1" applyFont="1" applyFill="1" applyBorder="1" applyAlignment="1">
      <alignment horizontal="right"/>
    </xf>
    <xf numFmtId="1" fontId="5" fillId="3" borderId="0" xfId="0" applyNumberFormat="1" applyFont="1" applyFill="1" applyBorder="1" applyAlignment="1">
      <alignment horizontal="left" vertical="center"/>
    </xf>
    <xf numFmtId="184" fontId="5" fillId="3" borderId="6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2" fillId="0" borderId="0" xfId="10" applyFont="1"/>
    <xf numFmtId="0" fontId="30" fillId="0" borderId="0" xfId="10"/>
    <xf numFmtId="2" fontId="18" fillId="0" borderId="0" xfId="10" applyNumberFormat="1" applyFont="1"/>
    <xf numFmtId="0" fontId="18" fillId="0" borderId="0" xfId="10" applyFont="1" applyAlignment="1"/>
    <xf numFmtId="0" fontId="46" fillId="0" borderId="0" xfId="10" applyFont="1"/>
    <xf numFmtId="0" fontId="18" fillId="0" borderId="0" xfId="10" applyFont="1"/>
    <xf numFmtId="0" fontId="18" fillId="0" borderId="0" xfId="10" applyFont="1" applyFill="1" applyBorder="1"/>
    <xf numFmtId="0" fontId="2" fillId="0" borderId="0" xfId="5" applyFont="1"/>
    <xf numFmtId="0" fontId="30" fillId="0" borderId="0" xfId="5"/>
    <xf numFmtId="0" fontId="18" fillId="0" borderId="0" xfId="5" applyFont="1"/>
    <xf numFmtId="0" fontId="18" fillId="0" borderId="0" xfId="5" applyFont="1" applyAlignment="1"/>
    <xf numFmtId="0" fontId="18" fillId="0" borderId="0" xfId="5" quotePrefix="1" applyFont="1" applyAlignment="1">
      <alignment horizontal="right"/>
    </xf>
    <xf numFmtId="0" fontId="23" fillId="0" borderId="0" xfId="5" applyFont="1"/>
    <xf numFmtId="3" fontId="3" fillId="3" borderId="0" xfId="0" applyNumberFormat="1" applyFont="1" applyFill="1" applyBorder="1"/>
    <xf numFmtId="0" fontId="5" fillId="3" borderId="0" xfId="0" applyFont="1" applyFill="1" applyBorder="1" applyAlignment="1">
      <alignment vertical="center"/>
    </xf>
    <xf numFmtId="184" fontId="5" fillId="7" borderId="0" xfId="0" applyNumberFormat="1" applyFont="1" applyFill="1" applyBorder="1" applyAlignment="1">
      <alignment vertical="center"/>
    </xf>
    <xf numFmtId="184" fontId="5" fillId="3" borderId="0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3" fontId="3" fillId="3" borderId="0" xfId="0" applyNumberFormat="1" applyFont="1" applyFill="1" applyBorder="1" applyAlignment="1">
      <alignment vertical="center"/>
    </xf>
    <xf numFmtId="184" fontId="1" fillId="0" borderId="0" xfId="0" applyNumberFormat="1" applyFont="1" applyAlignment="1">
      <alignment horizontal="center"/>
    </xf>
    <xf numFmtId="3" fontId="3" fillId="7" borderId="2" xfId="0" applyNumberFormat="1" applyFont="1" applyFill="1" applyBorder="1" applyAlignment="1">
      <alignment horizontal="center"/>
    </xf>
    <xf numFmtId="184" fontId="3" fillId="3" borderId="2" xfId="0" applyNumberFormat="1" applyFont="1" applyFill="1" applyBorder="1" applyAlignment="1">
      <alignment horizontal="center"/>
    </xf>
    <xf numFmtId="184" fontId="3" fillId="3" borderId="3" xfId="0" applyNumberFormat="1" applyFont="1" applyFill="1" applyBorder="1" applyAlignment="1">
      <alignment horizontal="center" vertical="top"/>
    </xf>
    <xf numFmtId="0" fontId="53" fillId="3" borderId="6" xfId="0" applyFont="1" applyFill="1" applyBorder="1" applyAlignment="1">
      <alignment horizontal="left"/>
    </xf>
    <xf numFmtId="3" fontId="5" fillId="7" borderId="6" xfId="0" applyNumberFormat="1" applyFont="1" applyFill="1" applyBorder="1" applyAlignment="1">
      <alignment horizontal="left"/>
    </xf>
    <xf numFmtId="184" fontId="5" fillId="3" borderId="6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left" wrapText="1"/>
    </xf>
    <xf numFmtId="3" fontId="51" fillId="7" borderId="7" xfId="0" applyNumberFormat="1" applyFont="1" applyFill="1" applyBorder="1" applyAlignment="1">
      <alignment horizontal="center" wrapText="1"/>
    </xf>
    <xf numFmtId="184" fontId="51" fillId="3" borderId="6" xfId="0" applyNumberFormat="1" applyFont="1" applyFill="1" applyBorder="1" applyAlignment="1">
      <alignment horizontal="center" wrapText="1"/>
    </xf>
    <xf numFmtId="0" fontId="53" fillId="3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 wrapText="1"/>
    </xf>
    <xf numFmtId="0" fontId="53" fillId="3" borderId="7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5" fillId="3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left"/>
    </xf>
    <xf numFmtId="3" fontId="5" fillId="3" borderId="6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 wrapText="1"/>
    </xf>
    <xf numFmtId="184" fontId="4" fillId="0" borderId="8" xfId="0" applyNumberFormat="1" applyFont="1" applyBorder="1" applyAlignment="1">
      <alignment horizontal="center"/>
    </xf>
    <xf numFmtId="184" fontId="4" fillId="0" borderId="0" xfId="0" applyNumberFormat="1" applyFont="1" applyBorder="1" applyAlignment="1">
      <alignment horizontal="center"/>
    </xf>
    <xf numFmtId="184" fontId="4" fillId="0" borderId="0" xfId="0" applyNumberFormat="1" applyFont="1" applyAlignment="1">
      <alignment horizontal="center"/>
    </xf>
    <xf numFmtId="0" fontId="53" fillId="3" borderId="6" xfId="0" applyFont="1" applyFill="1" applyBorder="1" applyAlignment="1">
      <alignment horizontal="left" wrapText="1"/>
    </xf>
    <xf numFmtId="0" fontId="54" fillId="3" borderId="7" xfId="0" applyFont="1" applyFill="1" applyBorder="1" applyAlignment="1">
      <alignment horizontal="center"/>
    </xf>
    <xf numFmtId="0" fontId="54" fillId="3" borderId="7" xfId="0" applyFont="1" applyFill="1" applyBorder="1" applyAlignment="1">
      <alignment horizontal="left"/>
    </xf>
    <xf numFmtId="3" fontId="3" fillId="7" borderId="7" xfId="0" applyNumberFormat="1" applyFont="1" applyFill="1" applyBorder="1" applyAlignment="1">
      <alignment horizontal="right" wrapText="1"/>
    </xf>
    <xf numFmtId="0" fontId="5" fillId="3" borderId="6" xfId="0" applyFont="1" applyFill="1" applyBorder="1" applyAlignment="1">
      <alignment horizontal="left"/>
    </xf>
    <xf numFmtId="184" fontId="3" fillId="3" borderId="4" xfId="0" applyNumberFormat="1" applyFont="1" applyFill="1" applyBorder="1" applyAlignment="1">
      <alignment horizontal="center"/>
    </xf>
    <xf numFmtId="0" fontId="54" fillId="3" borderId="7" xfId="0" applyFont="1" applyFill="1" applyBorder="1" applyAlignment="1">
      <alignment horizontal="center" wrapText="1"/>
    </xf>
    <xf numFmtId="0" fontId="54" fillId="3" borderId="7" xfId="0" applyFont="1" applyFill="1" applyBorder="1" applyAlignment="1">
      <alignment horizontal="left" wrapText="1"/>
    </xf>
    <xf numFmtId="184" fontId="5" fillId="3" borderId="4" xfId="0" applyNumberFormat="1" applyFont="1" applyFill="1" applyBorder="1" applyAlignment="1">
      <alignment horizontal="center" vertical="center"/>
    </xf>
    <xf numFmtId="0" fontId="22" fillId="0" borderId="3" xfId="0" applyFont="1" applyBorder="1" applyAlignment="1"/>
    <xf numFmtId="0" fontId="0" fillId="0" borderId="0" xfId="0" applyBorder="1" applyAlignment="1">
      <alignment wrapText="1"/>
    </xf>
    <xf numFmtId="0" fontId="5" fillId="7" borderId="2" xfId="0" applyFont="1" applyFill="1" applyBorder="1" applyAlignment="1">
      <alignment horizontal="right"/>
    </xf>
    <xf numFmtId="184" fontId="3" fillId="3" borderId="2" xfId="0" applyNumberFormat="1" applyFont="1" applyFill="1" applyBorder="1" applyAlignment="1">
      <alignment horizontal="right"/>
    </xf>
    <xf numFmtId="184" fontId="3" fillId="3" borderId="0" xfId="0" applyNumberFormat="1" applyFont="1" applyFill="1" applyBorder="1" applyAlignment="1">
      <alignment horizontal="right"/>
    </xf>
    <xf numFmtId="184" fontId="3" fillId="3" borderId="3" xfId="0" applyNumberFormat="1" applyFont="1" applyFill="1" applyBorder="1" applyAlignment="1">
      <alignment horizontal="right" vertical="top"/>
    </xf>
    <xf numFmtId="0" fontId="3" fillId="3" borderId="4" xfId="0" applyFont="1" applyFill="1" applyBorder="1" applyAlignment="1">
      <alignment vertical="center" wrapText="1"/>
    </xf>
    <xf numFmtId="3" fontId="3" fillId="7" borderId="4" xfId="0" applyNumberFormat="1" applyFont="1" applyFill="1" applyBorder="1" applyAlignment="1">
      <alignment vertical="center"/>
    </xf>
    <xf numFmtId="3" fontId="3" fillId="3" borderId="4" xfId="0" applyNumberFormat="1" applyFont="1" applyFill="1" applyBorder="1" applyAlignment="1">
      <alignment vertical="center"/>
    </xf>
    <xf numFmtId="184" fontId="3" fillId="3" borderId="4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84" fontId="4" fillId="0" borderId="8" xfId="0" applyNumberFormat="1" applyFont="1" applyBorder="1"/>
    <xf numFmtId="184" fontId="4" fillId="0" borderId="0" xfId="0" applyNumberFormat="1" applyFont="1" applyBorder="1"/>
    <xf numFmtId="0" fontId="54" fillId="3" borderId="15" xfId="0" applyFont="1" applyFill="1" applyBorder="1" applyAlignment="1">
      <alignment vertical="center"/>
    </xf>
    <xf numFmtId="3" fontId="54" fillId="7" borderId="15" xfId="0" applyNumberFormat="1" applyFont="1" applyFill="1" applyBorder="1" applyAlignment="1">
      <alignment vertical="center"/>
    </xf>
    <xf numFmtId="3" fontId="54" fillId="3" borderId="15" xfId="0" applyNumberFormat="1" applyFont="1" applyFill="1" applyBorder="1" applyAlignment="1">
      <alignment vertical="center"/>
    </xf>
    <xf numFmtId="184" fontId="54" fillId="3" borderId="15" xfId="0" applyNumberFormat="1" applyFont="1" applyFill="1" applyBorder="1" applyAlignment="1">
      <alignment vertical="center"/>
    </xf>
    <xf numFmtId="0" fontId="2" fillId="0" borderId="0" xfId="0" applyFont="1" applyAlignment="1">
      <alignment wrapText="1"/>
    </xf>
    <xf numFmtId="0" fontId="5" fillId="3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184" fontId="4" fillId="0" borderId="0" xfId="0" applyNumberFormat="1" applyFont="1"/>
    <xf numFmtId="0" fontId="5" fillId="3" borderId="15" xfId="0" applyFont="1" applyFill="1" applyBorder="1" applyAlignment="1">
      <alignment vertical="center"/>
    </xf>
    <xf numFmtId="3" fontId="3" fillId="7" borderId="15" xfId="0" applyNumberFormat="1" applyFont="1" applyFill="1" applyBorder="1" applyAlignment="1">
      <alignment vertical="center"/>
    </xf>
    <xf numFmtId="3" fontId="3" fillId="3" borderId="15" xfId="0" applyNumberFormat="1" applyFont="1" applyFill="1" applyBorder="1" applyAlignment="1">
      <alignment vertical="center"/>
    </xf>
    <xf numFmtId="3" fontId="5" fillId="3" borderId="15" xfId="0" applyNumberFormat="1" applyFont="1" applyFill="1" applyBorder="1" applyAlignment="1">
      <alignment vertical="center"/>
    </xf>
    <xf numFmtId="0" fontId="38" fillId="0" borderId="0" xfId="0" applyFont="1"/>
    <xf numFmtId="184" fontId="1" fillId="0" borderId="0" xfId="0" applyNumberFormat="1" applyFont="1"/>
    <xf numFmtId="0" fontId="2" fillId="0" borderId="0" xfId="0" applyFont="1" applyFill="1" applyBorder="1" applyAlignment="1">
      <alignment horizontal="right" vertical="top"/>
    </xf>
    <xf numFmtId="184" fontId="3" fillId="7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184" fontId="3" fillId="7" borderId="0" xfId="0" applyNumberFormat="1" applyFont="1" applyFill="1" applyBorder="1" applyAlignment="1">
      <alignment horizontal="right"/>
    </xf>
    <xf numFmtId="184" fontId="3" fillId="7" borderId="3" xfId="0" applyNumberFormat="1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/>
    </xf>
    <xf numFmtId="184" fontId="3" fillId="7" borderId="4" xfId="0" applyNumberFormat="1" applyFont="1" applyFill="1" applyBorder="1" applyAlignment="1">
      <alignment horizontal="right"/>
    </xf>
    <xf numFmtId="184" fontId="3" fillId="0" borderId="0" xfId="0" applyNumberFormat="1" applyFont="1" applyFill="1" applyBorder="1" applyAlignment="1">
      <alignment horizontal="right"/>
    </xf>
    <xf numFmtId="184" fontId="3" fillId="7" borderId="7" xfId="0" applyNumberFormat="1" applyFont="1" applyFill="1" applyBorder="1" applyAlignment="1">
      <alignment horizontal="right"/>
    </xf>
    <xf numFmtId="184" fontId="5" fillId="7" borderId="0" xfId="0" applyNumberFormat="1" applyFont="1" applyFill="1" applyBorder="1" applyAlignment="1">
      <alignment horizontal="right" vertical="center"/>
    </xf>
    <xf numFmtId="184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/>
    <xf numFmtId="3" fontId="5" fillId="0" borderId="0" xfId="0" applyNumberFormat="1" applyFont="1" applyFill="1"/>
    <xf numFmtId="0" fontId="3" fillId="7" borderId="2" xfId="0" applyFont="1" applyFill="1" applyBorder="1" applyAlignment="1">
      <alignment horizontal="center"/>
    </xf>
    <xf numFmtId="0" fontId="22" fillId="0" borderId="0" xfId="8" applyFont="1"/>
    <xf numFmtId="0" fontId="30" fillId="0" borderId="0" xfId="8"/>
    <xf numFmtId="0" fontId="2" fillId="0" borderId="0" xfId="8" applyFont="1"/>
    <xf numFmtId="0" fontId="4" fillId="0" borderId="0" xfId="8" applyFont="1" applyAlignment="1"/>
    <xf numFmtId="0" fontId="18" fillId="0" borderId="0" xfId="8" applyFont="1"/>
    <xf numFmtId="0" fontId="22" fillId="0" borderId="0" xfId="9" applyFont="1"/>
    <xf numFmtId="0" fontId="30" fillId="0" borderId="0" xfId="9"/>
    <xf numFmtId="0" fontId="2" fillId="0" borderId="0" xfId="9" applyFont="1"/>
    <xf numFmtId="0" fontId="4" fillId="0" borderId="0" xfId="9" applyFont="1"/>
    <xf numFmtId="0" fontId="4" fillId="0" borderId="0" xfId="9" applyFont="1" applyAlignment="1"/>
    <xf numFmtId="0" fontId="18" fillId="0" borderId="0" xfId="9" applyFont="1"/>
    <xf numFmtId="0" fontId="22" fillId="0" borderId="0" xfId="11" applyFont="1"/>
    <xf numFmtId="0" fontId="30" fillId="0" borderId="0" xfId="11"/>
    <xf numFmtId="0" fontId="2" fillId="0" borderId="0" xfId="11" applyFont="1"/>
    <xf numFmtId="2" fontId="46" fillId="0" borderId="0" xfId="11" applyNumberFormat="1" applyFont="1"/>
    <xf numFmtId="0" fontId="3" fillId="3" borderId="7" xfId="0" applyFont="1" applyFill="1" applyBorder="1" applyAlignment="1">
      <alignment horizontal="left" vertical="center" wrapText="1"/>
    </xf>
    <xf numFmtId="184" fontId="3" fillId="3" borderId="4" xfId="0" applyNumberFormat="1" applyFont="1" applyFill="1" applyBorder="1" applyAlignment="1">
      <alignment horizontal="center" vertical="center"/>
    </xf>
    <xf numFmtId="184" fontId="5" fillId="3" borderId="4" xfId="0" applyNumberFormat="1" applyFont="1" applyFill="1" applyBorder="1" applyAlignment="1">
      <alignment horizontal="center"/>
    </xf>
    <xf numFmtId="0" fontId="46" fillId="0" borderId="0" xfId="11" applyFont="1" applyAlignment="1"/>
    <xf numFmtId="0" fontId="46" fillId="0" borderId="0" xfId="11" applyFont="1"/>
    <xf numFmtId="0" fontId="23" fillId="0" borderId="0" xfId="11" applyFont="1"/>
    <xf numFmtId="0" fontId="18" fillId="0" borderId="0" xfId="11" applyFont="1" applyAlignment="1"/>
    <xf numFmtId="3" fontId="2" fillId="0" borderId="0" xfId="0" applyNumberFormat="1" applyFont="1"/>
    <xf numFmtId="0" fontId="3" fillId="3" borderId="6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3" fontId="8" fillId="0" borderId="0" xfId="0" applyNumberFormat="1" applyFont="1" applyBorder="1"/>
    <xf numFmtId="0" fontId="5" fillId="7" borderId="0" xfId="0" applyFont="1" applyFill="1" applyBorder="1" applyAlignment="1">
      <alignment horizontal="right"/>
    </xf>
    <xf numFmtId="184" fontId="3" fillId="3" borderId="0" xfId="0" applyNumberFormat="1" applyFont="1" applyFill="1" applyBorder="1" applyAlignment="1">
      <alignment horizontal="center"/>
    </xf>
    <xf numFmtId="0" fontId="5" fillId="7" borderId="3" xfId="0" applyFont="1" applyFill="1" applyBorder="1" applyAlignment="1">
      <alignment horizontal="right" vertical="top"/>
    </xf>
    <xf numFmtId="0" fontId="3" fillId="0" borderId="0" xfId="0" applyFont="1" applyAlignment="1">
      <alignment horizontal="right"/>
    </xf>
    <xf numFmtId="0" fontId="5" fillId="3" borderId="6" xfId="0" quotePrefix="1" applyFont="1" applyFill="1" applyBorder="1" applyAlignment="1"/>
    <xf numFmtId="0" fontId="5" fillId="3" borderId="7" xfId="0" quotePrefix="1" applyFont="1" applyFill="1" applyBorder="1" applyAlignment="1"/>
    <xf numFmtId="184" fontId="3" fillId="3" borderId="7" xfId="0" applyNumberFormat="1" applyFont="1" applyFill="1" applyBorder="1" applyAlignment="1">
      <alignment horizontal="center"/>
    </xf>
    <xf numFmtId="3" fontId="3" fillId="3" borderId="7" xfId="0" applyNumberFormat="1" applyFont="1" applyFill="1" applyBorder="1" applyAlignment="1"/>
    <xf numFmtId="0" fontId="5" fillId="3" borderId="7" xfId="0" quotePrefix="1" applyFont="1" applyFill="1" applyBorder="1" applyAlignment="1">
      <alignment wrapText="1"/>
    </xf>
    <xf numFmtId="3" fontId="3" fillId="3" borderId="7" xfId="0" applyNumberFormat="1" applyFont="1" applyFill="1" applyBorder="1" applyAlignment="1">
      <alignment vertical="center"/>
    </xf>
    <xf numFmtId="0" fontId="3" fillId="3" borderId="0" xfId="0" quotePrefix="1" applyFont="1" applyFill="1" applyBorder="1" applyAlignment="1">
      <alignment vertical="center"/>
    </xf>
    <xf numFmtId="184" fontId="3" fillId="3" borderId="7" xfId="0" applyNumberFormat="1" applyFont="1" applyFill="1" applyBorder="1" applyAlignment="1">
      <alignment horizontal="center" vertical="center"/>
    </xf>
    <xf numFmtId="3" fontId="3" fillId="7" borderId="0" xfId="0" applyNumberFormat="1" applyFont="1" applyFill="1" applyBorder="1" applyAlignment="1">
      <alignment horizontal="right" vertical="center"/>
    </xf>
    <xf numFmtId="0" fontId="8" fillId="0" borderId="8" xfId="0" applyFont="1" applyBorder="1"/>
    <xf numFmtId="0" fontId="8" fillId="0" borderId="0" xfId="0" applyFont="1" applyBorder="1"/>
    <xf numFmtId="0" fontId="5" fillId="3" borderId="7" xfId="0" quotePrefix="1" applyFont="1" applyFill="1" applyBorder="1" applyAlignment="1">
      <alignment horizontal="left" vertical="center"/>
    </xf>
    <xf numFmtId="184" fontId="5" fillId="3" borderId="7" xfId="0" applyNumberFormat="1" applyFont="1" applyFill="1" applyBorder="1" applyAlignment="1">
      <alignment horizontal="center" vertical="center"/>
    </xf>
    <xf numFmtId="183" fontId="3" fillId="7" borderId="4" xfId="0" applyNumberFormat="1" applyFont="1" applyFill="1" applyBorder="1" applyAlignment="1"/>
    <xf numFmtId="3" fontId="3" fillId="3" borderId="4" xfId="0" applyNumberFormat="1" applyFont="1" applyFill="1" applyBorder="1" applyAlignment="1"/>
    <xf numFmtId="3" fontId="3" fillId="7" borderId="4" xfId="0" applyNumberFormat="1" applyFont="1" applyFill="1" applyBorder="1" applyAlignment="1"/>
    <xf numFmtId="0" fontId="3" fillId="3" borderId="4" xfId="0" applyNumberFormat="1" applyFont="1" applyFill="1" applyBorder="1" applyAlignment="1">
      <alignment horizontal="center"/>
    </xf>
    <xf numFmtId="183" fontId="3" fillId="7" borderId="7" xfId="0" applyNumberFormat="1" applyFont="1" applyFill="1" applyBorder="1" applyAlignment="1"/>
    <xf numFmtId="3" fontId="3" fillId="7" borderId="7" xfId="0" applyNumberFormat="1" applyFont="1" applyFill="1" applyBorder="1" applyAlignment="1"/>
    <xf numFmtId="0" fontId="3" fillId="3" borderId="7" xfId="0" applyNumberFormat="1" applyFont="1" applyFill="1" applyBorder="1" applyAlignment="1">
      <alignment horizontal="center"/>
    </xf>
    <xf numFmtId="183" fontId="5" fillId="7" borderId="7" xfId="0" applyNumberFormat="1" applyFont="1" applyFill="1" applyBorder="1" applyAlignment="1">
      <alignment vertical="center"/>
    </xf>
    <xf numFmtId="0" fontId="5" fillId="3" borderId="7" xfId="0" applyNumberFormat="1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3" fontId="5" fillId="7" borderId="0" xfId="0" applyNumberFormat="1" applyFont="1" applyFill="1" applyBorder="1" applyAlignment="1">
      <alignment horizontal="center" vertical="center"/>
    </xf>
    <xf numFmtId="3" fontId="5" fillId="7" borderId="5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Alignment="1">
      <alignment horizontal="center"/>
    </xf>
    <xf numFmtId="3" fontId="4" fillId="0" borderId="0" xfId="0" applyNumberFormat="1" applyFont="1" applyFill="1"/>
    <xf numFmtId="0" fontId="4" fillId="0" borderId="0" xfId="0" quotePrefix="1" applyFont="1" applyFill="1" applyAlignment="1">
      <alignment horizontal="center"/>
    </xf>
    <xf numFmtId="0" fontId="18" fillId="6" borderId="0" xfId="0" applyFont="1" applyFill="1" applyBorder="1"/>
    <xf numFmtId="0" fontId="52" fillId="7" borderId="0" xfId="0" applyFont="1" applyFill="1" applyBorder="1" applyAlignment="1">
      <alignment horizontal="center"/>
    </xf>
    <xf numFmtId="0" fontId="3" fillId="3" borderId="6" xfId="0" quotePrefix="1" applyFont="1" applyFill="1" applyBorder="1" applyAlignment="1">
      <alignment horizontal="left" vertical="center"/>
    </xf>
    <xf numFmtId="184" fontId="3" fillId="7" borderId="4" xfId="0" applyNumberFormat="1" applyFont="1" applyFill="1" applyBorder="1" applyAlignment="1">
      <alignment horizontal="center" vertical="center"/>
    </xf>
    <xf numFmtId="184" fontId="3" fillId="7" borderId="7" xfId="0" applyNumberFormat="1" applyFont="1" applyFill="1" applyBorder="1" applyAlignment="1">
      <alignment horizontal="center" vertical="center"/>
    </xf>
    <xf numFmtId="0" fontId="3" fillId="3" borderId="0" xfId="0" quotePrefix="1" applyFont="1" applyFill="1" applyBorder="1" applyAlignment="1">
      <alignment horizontal="left" vertical="center"/>
    </xf>
    <xf numFmtId="3" fontId="54" fillId="7" borderId="4" xfId="0" applyNumberFormat="1" applyFont="1" applyFill="1" applyBorder="1" applyAlignment="1">
      <alignment horizontal="right"/>
    </xf>
    <xf numFmtId="0" fontId="54" fillId="3" borderId="7" xfId="0" applyFont="1" applyFill="1" applyBorder="1" applyAlignment="1">
      <alignment horizontal="left" vertical="center"/>
    </xf>
    <xf numFmtId="184" fontId="5" fillId="3" borderId="7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183" fontId="3" fillId="3" borderId="7" xfId="0" applyNumberFormat="1" applyFont="1" applyFill="1" applyBorder="1" applyAlignment="1">
      <alignment horizontal="center" vertical="center"/>
    </xf>
    <xf numFmtId="183" fontId="3" fillId="3" borderId="0" xfId="0" applyNumberFormat="1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184" fontId="3" fillId="7" borderId="2" xfId="0" applyNumberFormat="1" applyFont="1" applyFill="1" applyBorder="1" applyAlignment="1">
      <alignment horizontal="center"/>
    </xf>
    <xf numFmtId="184" fontId="3" fillId="7" borderId="0" xfId="0" applyNumberFormat="1" applyFont="1" applyFill="1" applyBorder="1" applyAlignment="1">
      <alignment horizontal="center"/>
    </xf>
    <xf numFmtId="184" fontId="3" fillId="7" borderId="3" xfId="0" applyNumberFormat="1" applyFont="1" applyFill="1" applyBorder="1" applyAlignment="1">
      <alignment horizontal="center" vertical="top"/>
    </xf>
    <xf numFmtId="184" fontId="3" fillId="7" borderId="4" xfId="0" applyNumberFormat="1" applyFont="1" applyFill="1" applyBorder="1" applyAlignment="1">
      <alignment horizontal="center"/>
    </xf>
    <xf numFmtId="184" fontId="3" fillId="7" borderId="7" xfId="0" applyNumberFormat="1" applyFont="1" applyFill="1" applyBorder="1" applyAlignment="1">
      <alignment horizontal="center"/>
    </xf>
    <xf numFmtId="183" fontId="3" fillId="3" borderId="7" xfId="0" applyNumberFormat="1" applyFont="1" applyFill="1" applyBorder="1" applyAlignment="1">
      <alignment horizontal="right"/>
    </xf>
    <xf numFmtId="184" fontId="5" fillId="7" borderId="7" xfId="0" applyNumberFormat="1" applyFont="1" applyFill="1" applyBorder="1" applyAlignment="1">
      <alignment horizontal="center" vertical="center"/>
    </xf>
    <xf numFmtId="3" fontId="5" fillId="3" borderId="0" xfId="0" applyNumberFormat="1" applyFont="1" applyFill="1" applyBorder="1" applyAlignment="1">
      <alignment horizontal="center" vertical="center"/>
    </xf>
    <xf numFmtId="183" fontId="5" fillId="3" borderId="7" xfId="0" applyNumberFormat="1" applyFont="1" applyFill="1" applyBorder="1" applyAlignment="1">
      <alignment horizontal="right" vertical="center"/>
    </xf>
    <xf numFmtId="184" fontId="5" fillId="7" borderId="5" xfId="0" applyNumberFormat="1" applyFont="1" applyFill="1" applyBorder="1" applyAlignment="1">
      <alignment horizontal="center" vertical="center"/>
    </xf>
    <xf numFmtId="183" fontId="5" fillId="3" borderId="5" xfId="0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vertical="center"/>
    </xf>
    <xf numFmtId="0" fontId="18" fillId="7" borderId="2" xfId="0" applyFont="1" applyFill="1" applyBorder="1" applyAlignment="1">
      <alignment horizontal="left"/>
    </xf>
    <xf numFmtId="0" fontId="18" fillId="3" borderId="2" xfId="0" applyFont="1" applyFill="1" applyBorder="1" applyAlignment="1">
      <alignment horizontal="right"/>
    </xf>
    <xf numFmtId="0" fontId="18" fillId="7" borderId="2" xfId="0" applyFont="1" applyFill="1" applyBorder="1" applyAlignment="1">
      <alignment horizontal="center"/>
    </xf>
    <xf numFmtId="184" fontId="18" fillId="7" borderId="2" xfId="0" applyNumberFormat="1" applyFont="1" applyFill="1" applyBorder="1" applyAlignment="1">
      <alignment horizontal="center"/>
    </xf>
    <xf numFmtId="0" fontId="18" fillId="7" borderId="0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center"/>
    </xf>
    <xf numFmtId="184" fontId="18" fillId="7" borderId="0" xfId="0" applyNumberFormat="1" applyFont="1" applyFill="1" applyBorder="1" applyAlignment="1">
      <alignment horizontal="center"/>
    </xf>
    <xf numFmtId="0" fontId="18" fillId="7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right"/>
    </xf>
    <xf numFmtId="0" fontId="18" fillId="7" borderId="0" xfId="0" applyFont="1" applyFill="1" applyBorder="1" applyAlignment="1">
      <alignment horizontal="right"/>
    </xf>
    <xf numFmtId="0" fontId="3" fillId="7" borderId="3" xfId="0" applyFont="1" applyFill="1" applyBorder="1" applyAlignment="1">
      <alignment horizontal="left" vertical="top"/>
    </xf>
    <xf numFmtId="3" fontId="3" fillId="7" borderId="4" xfId="0" quotePrefix="1" applyNumberFormat="1" applyFont="1" applyFill="1" applyBorder="1" applyAlignment="1">
      <alignment horizontal="right"/>
    </xf>
    <xf numFmtId="3" fontId="3" fillId="7" borderId="7" xfId="0" quotePrefix="1" applyNumberFormat="1" applyFont="1" applyFill="1" applyBorder="1" applyAlignment="1">
      <alignment horizontal="right"/>
    </xf>
    <xf numFmtId="3" fontId="5" fillId="7" borderId="7" xfId="0" quotePrefix="1" applyNumberFormat="1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left"/>
    </xf>
    <xf numFmtId="0" fontId="3" fillId="9" borderId="2" xfId="0" applyFont="1" applyFill="1" applyBorder="1" applyAlignment="1">
      <alignment horizontal="right"/>
    </xf>
    <xf numFmtId="0" fontId="3" fillId="8" borderId="2" xfId="0" applyFont="1" applyFill="1" applyBorder="1" applyAlignment="1">
      <alignment horizontal="right"/>
    </xf>
    <xf numFmtId="0" fontId="3" fillId="8" borderId="0" xfId="0" applyFont="1" applyFill="1" applyBorder="1" applyAlignment="1">
      <alignment horizontal="left"/>
    </xf>
    <xf numFmtId="0" fontId="3" fillId="9" borderId="0" xfId="0" applyFont="1" applyFill="1" applyBorder="1" applyAlignment="1">
      <alignment horizontal="right"/>
    </xf>
    <xf numFmtId="3" fontId="3" fillId="8" borderId="0" xfId="0" applyNumberFormat="1" applyFont="1" applyFill="1" applyBorder="1" applyAlignment="1">
      <alignment horizontal="right"/>
    </xf>
    <xf numFmtId="0" fontId="3" fillId="8" borderId="0" xfId="0" applyFont="1" applyFill="1" applyBorder="1" applyAlignment="1">
      <alignment horizontal="right"/>
    </xf>
    <xf numFmtId="0" fontId="3" fillId="8" borderId="3" xfId="0" applyFont="1" applyFill="1" applyBorder="1" applyAlignment="1">
      <alignment horizontal="left" vertical="top"/>
    </xf>
    <xf numFmtId="0" fontId="3" fillId="9" borderId="3" xfId="0" applyFont="1" applyFill="1" applyBorder="1" applyAlignment="1">
      <alignment horizontal="right" vertical="top"/>
    </xf>
    <xf numFmtId="0" fontId="3" fillId="8" borderId="3" xfId="0" applyFont="1" applyFill="1" applyBorder="1" applyAlignment="1">
      <alignment horizontal="right" vertical="top"/>
    </xf>
    <xf numFmtId="0" fontId="3" fillId="8" borderId="4" xfId="0" quotePrefix="1" applyFont="1" applyFill="1" applyBorder="1" applyAlignment="1">
      <alignment horizontal="left"/>
    </xf>
    <xf numFmtId="3" fontId="3" fillId="9" borderId="4" xfId="0" applyNumberFormat="1" applyFont="1" applyFill="1" applyBorder="1" applyAlignment="1">
      <alignment horizontal="right"/>
    </xf>
    <xf numFmtId="0" fontId="3" fillId="8" borderId="4" xfId="0" quotePrefix="1" applyFont="1" applyFill="1" applyBorder="1" applyAlignment="1">
      <alignment horizontal="right"/>
    </xf>
    <xf numFmtId="184" fontId="3" fillId="8" borderId="4" xfId="0" quotePrefix="1" applyNumberFormat="1" applyFont="1" applyFill="1" applyBorder="1" applyAlignment="1">
      <alignment horizontal="right"/>
    </xf>
    <xf numFmtId="0" fontId="3" fillId="8" borderId="7" xfId="0" quotePrefix="1" applyFont="1" applyFill="1" applyBorder="1" applyAlignment="1">
      <alignment horizontal="left"/>
    </xf>
    <xf numFmtId="3" fontId="3" fillId="9" borderId="7" xfId="0" applyNumberFormat="1" applyFont="1" applyFill="1" applyBorder="1" applyAlignment="1">
      <alignment horizontal="right"/>
    </xf>
    <xf numFmtId="0" fontId="3" fillId="8" borderId="7" xfId="0" quotePrefix="1" applyFont="1" applyFill="1" applyBorder="1" applyAlignment="1">
      <alignment horizontal="right"/>
    </xf>
    <xf numFmtId="184" fontId="3" fillId="8" borderId="7" xfId="0" quotePrefix="1" applyNumberFormat="1" applyFont="1" applyFill="1" applyBorder="1" applyAlignment="1">
      <alignment horizontal="right"/>
    </xf>
    <xf numFmtId="0" fontId="5" fillId="8" borderId="0" xfId="0" quotePrefix="1" applyFont="1" applyFill="1" applyBorder="1" applyAlignment="1">
      <alignment horizontal="left" vertical="center"/>
    </xf>
    <xf numFmtId="3" fontId="5" fillId="9" borderId="0" xfId="0" applyNumberFormat="1" applyFont="1" applyFill="1" applyBorder="1" applyAlignment="1">
      <alignment horizontal="right" vertical="center"/>
    </xf>
    <xf numFmtId="0" fontId="5" fillId="8" borderId="0" xfId="0" quotePrefix="1" applyFont="1" applyFill="1" applyBorder="1" applyAlignment="1">
      <alignment horizontal="right" vertical="center"/>
    </xf>
    <xf numFmtId="184" fontId="5" fillId="8" borderId="7" xfId="0" quotePrefix="1" applyNumberFormat="1" applyFont="1" applyFill="1" applyBorder="1" applyAlignment="1">
      <alignment horizontal="right" vertical="center"/>
    </xf>
    <xf numFmtId="182" fontId="3" fillId="0" borderId="8" xfId="0" applyNumberFormat="1" applyFont="1" applyBorder="1" applyAlignment="1">
      <alignment horizontal="right" vertical="top"/>
    </xf>
    <xf numFmtId="182" fontId="3" fillId="0" borderId="0" xfId="0" applyNumberFormat="1" applyFont="1" applyBorder="1" applyAlignment="1">
      <alignment horizontal="right" vertical="top"/>
    </xf>
    <xf numFmtId="0" fontId="1" fillId="0" borderId="3" xfId="0" applyFont="1" applyBorder="1" applyAlignment="1">
      <alignment horizontal="center"/>
    </xf>
    <xf numFmtId="0" fontId="3" fillId="7" borderId="4" xfId="0" applyFont="1" applyFill="1" applyBorder="1" applyAlignment="1">
      <alignment horizontal="left"/>
    </xf>
    <xf numFmtId="3" fontId="3" fillId="3" borderId="4" xfId="0" applyNumberFormat="1" applyFont="1" applyFill="1" applyBorder="1" applyAlignment="1">
      <alignment horizontal="center" vertical="center"/>
    </xf>
    <xf numFmtId="3" fontId="3" fillId="7" borderId="4" xfId="0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left"/>
    </xf>
    <xf numFmtId="3" fontId="3" fillId="3" borderId="7" xfId="0" applyNumberFormat="1" applyFont="1" applyFill="1" applyBorder="1" applyAlignment="1">
      <alignment horizontal="center" vertical="center"/>
    </xf>
    <xf numFmtId="3" fontId="3" fillId="7" borderId="7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left" vertical="center"/>
    </xf>
    <xf numFmtId="3" fontId="5" fillId="7" borderId="0" xfId="0" applyNumberFormat="1" applyFont="1" applyFill="1" applyBorder="1" applyAlignment="1">
      <alignment horizontal="right"/>
    </xf>
    <xf numFmtId="3" fontId="3" fillId="7" borderId="6" xfId="0" applyNumberFormat="1" applyFont="1" applyFill="1" applyBorder="1" applyAlignment="1">
      <alignment horizontal="center"/>
    </xf>
    <xf numFmtId="3" fontId="5" fillId="7" borderId="6" xfId="0" applyNumberFormat="1" applyFont="1" applyFill="1" applyBorder="1"/>
    <xf numFmtId="3" fontId="3" fillId="7" borderId="7" xfId="0" applyNumberFormat="1" applyFont="1" applyFill="1" applyBorder="1" applyAlignment="1">
      <alignment horizontal="center"/>
    </xf>
    <xf numFmtId="184" fontId="5" fillId="3" borderId="0" xfId="0" applyNumberFormat="1" applyFont="1" applyFill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top"/>
    </xf>
    <xf numFmtId="3" fontId="5" fillId="0" borderId="8" xfId="0" applyNumberFormat="1" applyFont="1" applyBorder="1" applyAlignment="1">
      <alignment horizontal="right" vertical="top"/>
    </xf>
    <xf numFmtId="3" fontId="3" fillId="0" borderId="0" xfId="0" applyNumberFormat="1" applyFont="1" applyBorder="1" applyAlignment="1">
      <alignment horizontal="center" vertical="top"/>
    </xf>
    <xf numFmtId="3" fontId="5" fillId="0" borderId="0" xfId="0" applyNumberFormat="1" applyFont="1" applyBorder="1" applyAlignment="1">
      <alignment horizontal="right" vertical="top"/>
    </xf>
    <xf numFmtId="182" fontId="4" fillId="0" borderId="0" xfId="0" applyNumberFormat="1" applyFont="1" applyBorder="1"/>
    <xf numFmtId="184" fontId="5" fillId="7" borderId="0" xfId="0" applyNumberFormat="1" applyFont="1" applyFill="1" applyBorder="1" applyAlignment="1">
      <alignment horizontal="center" vertical="center"/>
    </xf>
    <xf numFmtId="184" fontId="5" fillId="3" borderId="5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61" fillId="0" borderId="0" xfId="0" applyFont="1" applyAlignment="1">
      <alignment horizontal="center"/>
    </xf>
    <xf numFmtId="0" fontId="54" fillId="7" borderId="2" xfId="0" applyFont="1" applyFill="1" applyBorder="1" applyAlignment="1">
      <alignment horizontal="center"/>
    </xf>
    <xf numFmtId="3" fontId="54" fillId="7" borderId="0" xfId="0" applyNumberFormat="1" applyFont="1" applyFill="1" applyBorder="1" applyAlignment="1">
      <alignment horizontal="center"/>
    </xf>
    <xf numFmtId="3" fontId="54" fillId="7" borderId="3" xfId="0" applyNumberFormat="1" applyFont="1" applyFill="1" applyBorder="1" applyAlignment="1">
      <alignment horizontal="center" vertical="top"/>
    </xf>
    <xf numFmtId="184" fontId="54" fillId="7" borderId="6" xfId="0" applyNumberFormat="1" applyFont="1" applyFill="1" applyBorder="1" applyAlignment="1">
      <alignment horizontal="center"/>
    </xf>
    <xf numFmtId="184" fontId="54" fillId="7" borderId="7" xfId="0" applyNumberFormat="1" applyFont="1" applyFill="1" applyBorder="1" applyAlignment="1">
      <alignment horizontal="center"/>
    </xf>
    <xf numFmtId="3" fontId="3" fillId="3" borderId="7" xfId="0" applyNumberFormat="1" applyFont="1" applyFill="1" applyBorder="1" applyAlignment="1">
      <alignment horizontal="center"/>
    </xf>
    <xf numFmtId="184" fontId="53" fillId="7" borderId="0" xfId="0" applyNumberFormat="1" applyFont="1" applyFill="1" applyBorder="1" applyAlignment="1">
      <alignment horizontal="center" vertical="center"/>
    </xf>
    <xf numFmtId="3" fontId="5" fillId="7" borderId="6" xfId="0" applyNumberFormat="1" applyFont="1" applyFill="1" applyBorder="1" applyAlignment="1">
      <alignment horizontal="center" vertical="center"/>
    </xf>
    <xf numFmtId="3" fontId="54" fillId="0" borderId="8" xfId="0" applyNumberFormat="1" applyFont="1" applyBorder="1" applyAlignment="1">
      <alignment horizontal="center" vertical="top"/>
    </xf>
    <xf numFmtId="3" fontId="54" fillId="0" borderId="0" xfId="0" applyNumberFormat="1" applyFont="1" applyBorder="1" applyAlignment="1">
      <alignment horizontal="center" vertical="top"/>
    </xf>
    <xf numFmtId="0" fontId="26" fillId="0" borderId="0" xfId="0" applyFont="1" applyAlignment="1">
      <alignment horizontal="center"/>
    </xf>
    <xf numFmtId="3" fontId="54" fillId="7" borderId="0" xfId="0" applyNumberFormat="1" applyFont="1" applyFill="1" applyBorder="1" applyAlignment="1">
      <alignment horizontal="center" vertical="top"/>
    </xf>
    <xf numFmtId="0" fontId="3" fillId="3" borderId="6" xfId="0" quotePrefix="1" applyFont="1" applyFill="1" applyBorder="1" applyAlignment="1">
      <alignment horizontal="left"/>
    </xf>
    <xf numFmtId="183" fontId="3" fillId="7" borderId="6" xfId="0" quotePrefix="1" applyNumberFormat="1" applyFont="1" applyFill="1" applyBorder="1" applyAlignment="1">
      <alignment horizontal="right"/>
    </xf>
    <xf numFmtId="183" fontId="3" fillId="3" borderId="6" xfId="0" applyNumberFormat="1" applyFont="1" applyFill="1" applyBorder="1" applyAlignment="1">
      <alignment horizontal="center"/>
    </xf>
    <xf numFmtId="183" fontId="3" fillId="3" borderId="6" xfId="0" applyNumberFormat="1" applyFont="1" applyFill="1" applyBorder="1" applyAlignment="1">
      <alignment horizontal="right"/>
    </xf>
    <xf numFmtId="183" fontId="3" fillId="7" borderId="7" xfId="0" quotePrefix="1" applyNumberFormat="1" applyFont="1" applyFill="1" applyBorder="1" applyAlignment="1">
      <alignment horizontal="right"/>
    </xf>
    <xf numFmtId="183" fontId="5" fillId="7" borderId="7" xfId="0" quotePrefix="1" applyNumberFormat="1" applyFont="1" applyFill="1" applyBorder="1" applyAlignment="1">
      <alignment horizontal="right"/>
    </xf>
    <xf numFmtId="184" fontId="5" fillId="7" borderId="7" xfId="0" applyNumberFormat="1" applyFont="1" applyFill="1" applyBorder="1" applyAlignment="1">
      <alignment horizontal="center"/>
    </xf>
    <xf numFmtId="183" fontId="5" fillId="3" borderId="7" xfId="0" applyNumberFormat="1" applyFont="1" applyFill="1" applyBorder="1" applyAlignment="1">
      <alignment horizontal="right"/>
    </xf>
    <xf numFmtId="0" fontId="3" fillId="3" borderId="7" xfId="0" quotePrefix="1" applyFont="1" applyFill="1" applyBorder="1" applyAlignment="1">
      <alignment horizontal="left" vertical="center"/>
    </xf>
    <xf numFmtId="183" fontId="3" fillId="7" borderId="7" xfId="0" quotePrefix="1" applyNumberFormat="1" applyFont="1" applyFill="1" applyBorder="1" applyAlignment="1">
      <alignment horizontal="right" vertical="center"/>
    </xf>
    <xf numFmtId="183" fontId="3" fillId="3" borderId="7" xfId="0" applyNumberFormat="1" applyFont="1" applyFill="1" applyBorder="1" applyAlignment="1">
      <alignment horizontal="right" vertical="center"/>
    </xf>
    <xf numFmtId="182" fontId="4" fillId="0" borderId="8" xfId="0" applyNumberFormat="1" applyFont="1" applyBorder="1"/>
    <xf numFmtId="183" fontId="3" fillId="7" borderId="4" xfId="0" applyNumberFormat="1" applyFont="1" applyFill="1" applyBorder="1" applyAlignment="1">
      <alignment horizontal="right"/>
    </xf>
    <xf numFmtId="183" fontId="3" fillId="7" borderId="7" xfId="0" applyNumberFormat="1" applyFont="1" applyFill="1" applyBorder="1" applyAlignment="1">
      <alignment horizontal="right"/>
    </xf>
    <xf numFmtId="183" fontId="5" fillId="7" borderId="7" xfId="0" applyNumberFormat="1" applyFont="1" applyFill="1" applyBorder="1" applyAlignment="1">
      <alignment horizontal="right" vertical="center"/>
    </xf>
    <xf numFmtId="0" fontId="61" fillId="0" borderId="0" xfId="0" applyFont="1"/>
    <xf numFmtId="184" fontId="3" fillId="7" borderId="6" xfId="0" applyNumberFormat="1" applyFont="1" applyFill="1" applyBorder="1" applyAlignment="1">
      <alignment horizontal="right"/>
    </xf>
    <xf numFmtId="0" fontId="3" fillId="3" borderId="5" xfId="0" quotePrefix="1" applyFont="1" applyFill="1" applyBorder="1" applyAlignment="1">
      <alignment horizontal="left" vertical="center"/>
    </xf>
    <xf numFmtId="3" fontId="3" fillId="7" borderId="5" xfId="0" applyNumberFormat="1" applyFont="1" applyFill="1" applyBorder="1" applyAlignment="1">
      <alignment horizontal="right" vertical="center"/>
    </xf>
    <xf numFmtId="3" fontId="3" fillId="3" borderId="5" xfId="0" applyNumberFormat="1" applyFont="1" applyFill="1" applyBorder="1" applyAlignment="1">
      <alignment horizontal="right" vertical="center"/>
    </xf>
    <xf numFmtId="3" fontId="5" fillId="3" borderId="5" xfId="0" applyNumberFormat="1" applyFont="1" applyFill="1" applyBorder="1" applyAlignment="1">
      <alignment horizontal="right" vertical="center"/>
    </xf>
    <xf numFmtId="184" fontId="3" fillId="7" borderId="5" xfId="0" applyNumberFormat="1" applyFont="1" applyFill="1" applyBorder="1" applyAlignment="1">
      <alignment horizontal="right" vertical="center"/>
    </xf>
    <xf numFmtId="0" fontId="3" fillId="0" borderId="0" xfId="0" quotePrefix="1" applyFont="1" applyFill="1" applyBorder="1" applyAlignment="1">
      <alignment horizontal="left" vertical="center"/>
    </xf>
    <xf numFmtId="184" fontId="3" fillId="0" borderId="0" xfId="0" applyNumberFormat="1" applyFont="1" applyFill="1" applyBorder="1" applyAlignment="1">
      <alignment horizontal="right" vertical="center"/>
    </xf>
    <xf numFmtId="0" fontId="54" fillId="3" borderId="6" xfId="0" quotePrefix="1" applyFont="1" applyFill="1" applyBorder="1" applyAlignment="1">
      <alignment horizontal="left" vertical="center"/>
    </xf>
    <xf numFmtId="3" fontId="54" fillId="7" borderId="6" xfId="0" applyNumberFormat="1" applyFont="1" applyFill="1" applyBorder="1" applyAlignment="1">
      <alignment horizontal="right" vertical="center"/>
    </xf>
    <xf numFmtId="3" fontId="54" fillId="3" borderId="6" xfId="0" applyNumberFormat="1" applyFont="1" applyFill="1" applyBorder="1" applyAlignment="1">
      <alignment horizontal="right" vertical="center"/>
    </xf>
    <xf numFmtId="3" fontId="53" fillId="3" borderId="6" xfId="0" applyNumberFormat="1" applyFont="1" applyFill="1" applyBorder="1" applyAlignment="1">
      <alignment horizontal="right" vertical="center"/>
    </xf>
    <xf numFmtId="184" fontId="54" fillId="7" borderId="6" xfId="0" applyNumberFormat="1" applyFont="1" applyFill="1" applyBorder="1" applyAlignment="1">
      <alignment horizontal="right" vertical="center"/>
    </xf>
    <xf numFmtId="0" fontId="54" fillId="3" borderId="13" xfId="0" quotePrefix="1" applyFont="1" applyFill="1" applyBorder="1" applyAlignment="1">
      <alignment horizontal="left" vertical="center" wrapText="1"/>
    </xf>
    <xf numFmtId="3" fontId="54" fillId="7" borderId="13" xfId="0" applyNumberFormat="1" applyFont="1" applyFill="1" applyBorder="1" applyAlignment="1">
      <alignment horizontal="right" vertical="center"/>
    </xf>
    <xf numFmtId="3" fontId="54" fillId="3" borderId="13" xfId="0" applyNumberFormat="1" applyFont="1" applyFill="1" applyBorder="1" applyAlignment="1">
      <alignment horizontal="right" vertical="center"/>
    </xf>
    <xf numFmtId="3" fontId="53" fillId="3" borderId="13" xfId="0" applyNumberFormat="1" applyFont="1" applyFill="1" applyBorder="1" applyAlignment="1">
      <alignment horizontal="right" vertical="center"/>
    </xf>
    <xf numFmtId="184" fontId="54" fillId="7" borderId="13" xfId="0" applyNumberFormat="1" applyFont="1" applyFill="1" applyBorder="1" applyAlignment="1">
      <alignment horizontal="right" vertical="center"/>
    </xf>
    <xf numFmtId="0" fontId="26" fillId="0" borderId="0" xfId="0" applyFont="1"/>
    <xf numFmtId="0" fontId="4" fillId="6" borderId="0" xfId="0" applyFont="1" applyFill="1" applyBorder="1"/>
    <xf numFmtId="0" fontId="3" fillId="0" borderId="0" xfId="0" applyFont="1" applyFill="1" applyBorder="1" applyAlignment="1">
      <alignment horizontal="left"/>
    </xf>
    <xf numFmtId="0" fontId="0" fillId="0" borderId="3" xfId="0" applyBorder="1" applyAlignment="1"/>
    <xf numFmtId="0" fontId="64" fillId="6" borderId="0" xfId="0" applyFont="1" applyFill="1" applyAlignment="1">
      <alignment vertical="top"/>
    </xf>
    <xf numFmtId="0" fontId="18" fillId="6" borderId="0" xfId="0" applyFont="1" applyFill="1"/>
    <xf numFmtId="0" fontId="8" fillId="6" borderId="0" xfId="0" applyFont="1" applyFill="1"/>
    <xf numFmtId="0" fontId="64" fillId="6" borderId="3" xfId="0" applyFont="1" applyFill="1" applyBorder="1" applyAlignment="1">
      <alignment vertical="top"/>
    </xf>
    <xf numFmtId="0" fontId="18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4" fillId="0" borderId="3" xfId="0" applyFont="1" applyBorder="1"/>
    <xf numFmtId="0" fontId="32" fillId="7" borderId="0" xfId="0" applyFont="1" applyFill="1" applyBorder="1" applyAlignment="1">
      <alignment horizontal="center"/>
    </xf>
    <xf numFmtId="0" fontId="5" fillId="7" borderId="0" xfId="0" applyFont="1" applyFill="1" applyBorder="1"/>
    <xf numFmtId="0" fontId="5" fillId="3" borderId="0" xfId="0" applyFont="1" applyFill="1" applyBorder="1"/>
    <xf numFmtId="0" fontId="5" fillId="0" borderId="0" xfId="0" applyFont="1" applyFill="1" applyBorder="1" applyAlignment="1">
      <alignment horizontal="right"/>
    </xf>
    <xf numFmtId="0" fontId="18" fillId="7" borderId="0" xfId="0" applyFont="1" applyFill="1" applyBorder="1" applyAlignment="1">
      <alignment horizontal="center" wrapText="1"/>
    </xf>
    <xf numFmtId="0" fontId="18" fillId="3" borderId="0" xfId="0" applyFont="1" applyFill="1" applyBorder="1" applyAlignment="1">
      <alignment horizontal="center" wrapText="1"/>
    </xf>
    <xf numFmtId="0" fontId="18" fillId="0" borderId="0" xfId="0" applyFont="1" applyFill="1" applyBorder="1" applyAlignment="1">
      <alignment horizontal="right" wrapText="1"/>
    </xf>
    <xf numFmtId="0" fontId="39" fillId="3" borderId="0" xfId="0" applyFont="1" applyFill="1" applyBorder="1"/>
    <xf numFmtId="0" fontId="5" fillId="0" borderId="0" xfId="0" applyFont="1" applyFill="1" applyBorder="1"/>
    <xf numFmtId="0" fontId="32" fillId="7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vertical="top"/>
    </xf>
    <xf numFmtId="0" fontId="5" fillId="3" borderId="3" xfId="0" applyFont="1" applyFill="1" applyBorder="1" applyAlignment="1">
      <alignment vertical="top"/>
    </xf>
    <xf numFmtId="0" fontId="5" fillId="3" borderId="3" xfId="0" applyFont="1" applyFill="1" applyBorder="1"/>
    <xf numFmtId="0" fontId="5" fillId="0" borderId="3" xfId="0" applyFont="1" applyFill="1" applyBorder="1" applyAlignment="1">
      <alignment horizontal="right" vertical="top"/>
    </xf>
    <xf numFmtId="0" fontId="5" fillId="7" borderId="3" xfId="0" applyFont="1" applyFill="1" applyBorder="1"/>
    <xf numFmtId="0" fontId="23" fillId="7" borderId="4" xfId="0" applyFont="1" applyFill="1" applyBorder="1" applyAlignment="1">
      <alignment horizontal="center"/>
    </xf>
    <xf numFmtId="0" fontId="3" fillId="7" borderId="4" xfId="0" applyFont="1" applyFill="1" applyBorder="1" applyAlignment="1"/>
    <xf numFmtId="3" fontId="5" fillId="3" borderId="4" xfId="0" applyNumberFormat="1" applyFont="1" applyFill="1" applyBorder="1" applyAlignment="1"/>
    <xf numFmtId="3" fontId="3" fillId="0" borderId="4" xfId="0" applyNumberFormat="1" applyFont="1" applyFill="1" applyBorder="1" applyAlignment="1"/>
    <xf numFmtId="184" fontId="4" fillId="7" borderId="4" xfId="0" applyNumberFormat="1" applyFont="1" applyFill="1" applyBorder="1" applyAlignment="1">
      <alignment horizontal="center"/>
    </xf>
    <xf numFmtId="184" fontId="4" fillId="3" borderId="4" xfId="0" applyNumberFormat="1" applyFont="1" applyFill="1" applyBorder="1" applyAlignment="1">
      <alignment horizontal="center"/>
    </xf>
    <xf numFmtId="184" fontId="4" fillId="0" borderId="0" xfId="0" applyNumberFormat="1" applyFont="1" applyFill="1" applyBorder="1" applyAlignment="1">
      <alignment horizontal="center"/>
    </xf>
    <xf numFmtId="0" fontId="23" fillId="7" borderId="7" xfId="0" applyFont="1" applyFill="1" applyBorder="1" applyAlignment="1">
      <alignment horizontal="center"/>
    </xf>
    <xf numFmtId="0" fontId="3" fillId="7" borderId="7" xfId="0" applyFont="1" applyFill="1" applyBorder="1" applyAlignment="1"/>
    <xf numFmtId="3" fontId="5" fillId="3" borderId="7" xfId="0" applyNumberFormat="1" applyFont="1" applyFill="1" applyBorder="1" applyAlignment="1"/>
    <xf numFmtId="183" fontId="3" fillId="3" borderId="7" xfId="0" applyNumberFormat="1" applyFont="1" applyFill="1" applyBorder="1" applyAlignment="1"/>
    <xf numFmtId="182" fontId="3" fillId="3" borderId="7" xfId="0" applyNumberFormat="1" applyFont="1" applyFill="1" applyBorder="1" applyAlignment="1">
      <alignment horizontal="right"/>
    </xf>
    <xf numFmtId="183" fontId="5" fillId="3" borderId="7" xfId="0" applyNumberFormat="1" applyFont="1" applyFill="1" applyBorder="1" applyAlignment="1"/>
    <xf numFmtId="183" fontId="3" fillId="0" borderId="4" xfId="0" applyNumberFormat="1" applyFont="1" applyFill="1" applyBorder="1" applyAlignment="1"/>
    <xf numFmtId="0" fontId="4" fillId="7" borderId="7" xfId="0" applyFont="1" applyFill="1" applyBorder="1" applyAlignment="1"/>
    <xf numFmtId="184" fontId="3" fillId="3" borderId="7" xfId="0" applyNumberFormat="1" applyFont="1" applyFill="1" applyBorder="1" applyAlignment="1"/>
    <xf numFmtId="184" fontId="3" fillId="7" borderId="7" xfId="0" applyNumberFormat="1" applyFont="1" applyFill="1" applyBorder="1" applyAlignment="1"/>
    <xf numFmtId="184" fontId="5" fillId="3" borderId="7" xfId="0" applyNumberFormat="1" applyFont="1" applyFill="1" applyBorder="1" applyAlignment="1"/>
    <xf numFmtId="0" fontId="23" fillId="7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center"/>
    </xf>
    <xf numFmtId="184" fontId="3" fillId="3" borderId="5" xfId="0" applyNumberFormat="1" applyFont="1" applyFill="1" applyBorder="1" applyAlignment="1">
      <alignment vertical="center"/>
    </xf>
    <xf numFmtId="184" fontId="3" fillId="7" borderId="5" xfId="0" applyNumberFormat="1" applyFont="1" applyFill="1" applyBorder="1" applyAlignment="1">
      <alignment vertical="center"/>
    </xf>
    <xf numFmtId="184" fontId="5" fillId="3" borderId="5" xfId="0" applyNumberFormat="1" applyFont="1" applyFill="1" applyBorder="1" applyAlignment="1">
      <alignment vertical="center"/>
    </xf>
    <xf numFmtId="184" fontId="3" fillId="0" borderId="5" xfId="0" applyNumberFormat="1" applyFont="1" applyFill="1" applyBorder="1" applyAlignment="1">
      <alignment vertical="center"/>
    </xf>
    <xf numFmtId="184" fontId="4" fillId="7" borderId="5" xfId="0" applyNumberFormat="1" applyFont="1" applyFill="1" applyBorder="1" applyAlignment="1">
      <alignment horizontal="center" vertical="center"/>
    </xf>
    <xf numFmtId="184" fontId="4" fillId="3" borderId="5" xfId="0" applyNumberFormat="1" applyFont="1" applyFill="1" applyBorder="1" applyAlignment="1">
      <alignment horizontal="center" vertical="center"/>
    </xf>
    <xf numFmtId="184" fontId="4" fillId="0" borderId="0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/>
    <xf numFmtId="184" fontId="3" fillId="0" borderId="8" xfId="0" applyNumberFormat="1" applyFont="1" applyFill="1" applyBorder="1" applyAlignment="1"/>
    <xf numFmtId="184" fontId="5" fillId="0" borderId="8" xfId="0" applyNumberFormat="1" applyFont="1" applyFill="1" applyBorder="1" applyAlignment="1"/>
    <xf numFmtId="184" fontId="5" fillId="0" borderId="0" xfId="0" applyNumberFormat="1" applyFont="1" applyFill="1" applyBorder="1" applyAlignment="1"/>
    <xf numFmtId="0" fontId="1" fillId="6" borderId="0" xfId="0" applyFont="1" applyFill="1"/>
    <xf numFmtId="0" fontId="2" fillId="6" borderId="0" xfId="0" applyFont="1" applyFill="1"/>
    <xf numFmtId="0" fontId="3" fillId="0" borderId="0" xfId="0" applyFont="1" applyFill="1" applyBorder="1"/>
    <xf numFmtId="3" fontId="1" fillId="0" borderId="0" xfId="0" applyNumberFormat="1" applyFont="1" applyFill="1" applyBorder="1"/>
    <xf numFmtId="0" fontId="2" fillId="0" borderId="0" xfId="0" applyFont="1" applyBorder="1"/>
    <xf numFmtId="0" fontId="4" fillId="0" borderId="16" xfId="0" applyFont="1" applyBorder="1" applyAlignment="1">
      <alignment horizontal="center"/>
    </xf>
    <xf numFmtId="0" fontId="4" fillId="0" borderId="16" xfId="0" applyFont="1" applyFill="1" applyBorder="1"/>
    <xf numFmtId="0" fontId="18" fillId="0" borderId="16" xfId="0" applyFont="1" applyFill="1" applyBorder="1"/>
    <xf numFmtId="0" fontId="4" fillId="0" borderId="16" xfId="0" applyFont="1" applyFill="1" applyBorder="1" applyAlignment="1">
      <alignment horizontal="right"/>
    </xf>
    <xf numFmtId="0" fontId="4" fillId="0" borderId="16" xfId="0" quotePrefix="1" applyFont="1" applyBorder="1"/>
    <xf numFmtId="0" fontId="4" fillId="0" borderId="16" xfId="0" applyFont="1" applyBorder="1"/>
    <xf numFmtId="0" fontId="8" fillId="0" borderId="16" xfId="0" applyFont="1" applyBorder="1"/>
    <xf numFmtId="0" fontId="4" fillId="0" borderId="17" xfId="16" applyFont="1" applyFill="1" applyBorder="1"/>
    <xf numFmtId="0" fontId="4" fillId="0" borderId="16" xfId="0" applyFont="1" applyBorder="1" applyAlignment="1">
      <alignment horizontal="right"/>
    </xf>
    <xf numFmtId="0" fontId="18" fillId="0" borderId="16" xfId="0" applyFont="1" applyBorder="1"/>
    <xf numFmtId="0" fontId="18" fillId="0" borderId="0" xfId="0" applyFont="1"/>
    <xf numFmtId="0" fontId="31" fillId="10" borderId="0" xfId="0" applyFont="1" applyFill="1" applyAlignment="1">
      <alignment horizontal="left"/>
    </xf>
    <xf numFmtId="2" fontId="15" fillId="10" borderId="0" xfId="0" applyNumberFormat="1" applyFont="1" applyFill="1" applyAlignment="1">
      <alignment horizontal="center"/>
    </xf>
    <xf numFmtId="0" fontId="16" fillId="10" borderId="0" xfId="0" applyFont="1" applyFill="1" applyAlignment="1"/>
    <xf numFmtId="0" fontId="4" fillId="10" borderId="0" xfId="0" applyFont="1" applyFill="1"/>
    <xf numFmtId="0" fontId="38" fillId="0" borderId="0" xfId="0" applyFont="1" applyFill="1"/>
    <xf numFmtId="0" fontId="27" fillId="0" borderId="0" xfId="0" applyFont="1" applyFill="1"/>
    <xf numFmtId="2" fontId="23" fillId="0" borderId="0" xfId="0" applyNumberFormat="1" applyFont="1" applyFill="1" applyAlignment="1">
      <alignment horizontal="left"/>
    </xf>
    <xf numFmtId="3" fontId="3" fillId="0" borderId="3" xfId="0" applyNumberFormat="1" applyFont="1" applyFill="1" applyBorder="1" applyAlignment="1">
      <alignment horizontal="right" vertical="top"/>
    </xf>
    <xf numFmtId="0" fontId="26" fillId="7" borderId="0" xfId="0" applyFont="1" applyFill="1" applyBorder="1" applyAlignment="1">
      <alignment horizontal="right" vertical="center"/>
    </xf>
    <xf numFmtId="184" fontId="26" fillId="3" borderId="0" xfId="0" applyNumberFormat="1" applyFont="1" applyFill="1" applyBorder="1" applyAlignment="1">
      <alignment horizontal="right" vertical="center"/>
    </xf>
    <xf numFmtId="0" fontId="67" fillId="7" borderId="0" xfId="0" applyFont="1" applyFill="1" applyBorder="1" applyAlignment="1">
      <alignment horizontal="right" vertical="top"/>
    </xf>
    <xf numFmtId="0" fontId="65" fillId="0" borderId="0" xfId="0" applyFont="1"/>
    <xf numFmtId="184" fontId="1" fillId="6" borderId="0" xfId="0" applyNumberFormat="1" applyFont="1" applyFill="1"/>
    <xf numFmtId="0" fontId="23" fillId="0" borderId="0" xfId="0" applyFont="1" applyAlignment="1">
      <alignment horizontal="left" wrapText="1"/>
    </xf>
    <xf numFmtId="0" fontId="2" fillId="6" borderId="0" xfId="0" applyFont="1" applyFill="1" applyAlignment="1">
      <alignment vertical="top"/>
    </xf>
    <xf numFmtId="0" fontId="26" fillId="7" borderId="0" xfId="0" applyFont="1" applyFill="1" applyBorder="1" applyAlignment="1">
      <alignment horizontal="right"/>
    </xf>
    <xf numFmtId="184" fontId="26" fillId="3" borderId="0" xfId="0" applyNumberFormat="1" applyFont="1" applyFill="1" applyBorder="1" applyAlignment="1">
      <alignment horizontal="right"/>
    </xf>
    <xf numFmtId="0" fontId="3" fillId="3" borderId="0" xfId="0" applyFont="1" applyFill="1" applyBorder="1" applyAlignment="1">
      <alignment horizontal="left" vertical="top"/>
    </xf>
    <xf numFmtId="184" fontId="3" fillId="3" borderId="0" xfId="0" applyNumberFormat="1" applyFont="1" applyFill="1" applyBorder="1" applyAlignment="1">
      <alignment horizontal="right" vertical="top"/>
    </xf>
    <xf numFmtId="0" fontId="26" fillId="7" borderId="0" xfId="0" applyFont="1" applyFill="1" applyBorder="1" applyAlignment="1">
      <alignment horizontal="right" vertical="top"/>
    </xf>
    <xf numFmtId="184" fontId="26" fillId="3" borderId="0" xfId="0" applyNumberFormat="1" applyFont="1" applyFill="1" applyBorder="1" applyAlignment="1">
      <alignment horizontal="right" vertical="top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3" fontId="3" fillId="0" borderId="0" xfId="0" applyNumberFormat="1" applyFont="1" applyFill="1" applyBorder="1" applyAlignment="1">
      <alignment horizontal="right" vertical="top"/>
    </xf>
    <xf numFmtId="184" fontId="3" fillId="0" borderId="0" xfId="0" applyNumberFormat="1" applyFont="1" applyFill="1" applyBorder="1" applyAlignment="1">
      <alignment horizontal="right" vertical="top"/>
    </xf>
    <xf numFmtId="0" fontId="18" fillId="3" borderId="5" xfId="0" applyFont="1" applyFill="1" applyBorder="1" applyAlignment="1">
      <alignment horizontal="left" vertical="center" wrapText="1"/>
    </xf>
    <xf numFmtId="184" fontId="3" fillId="3" borderId="5" xfId="0" applyNumberFormat="1" applyFont="1" applyFill="1" applyBorder="1" applyAlignment="1">
      <alignment horizontal="right" vertical="center"/>
    </xf>
    <xf numFmtId="184" fontId="67" fillId="3" borderId="0" xfId="0" applyNumberFormat="1" applyFont="1" applyFill="1" applyBorder="1" applyAlignment="1">
      <alignment horizontal="right" vertical="top"/>
    </xf>
    <xf numFmtId="184" fontId="4" fillId="0" borderId="0" xfId="0" applyNumberFormat="1" applyFont="1" applyFill="1"/>
    <xf numFmtId="184" fontId="5" fillId="3" borderId="14" xfId="0" applyNumberFormat="1" applyFont="1" applyFill="1" applyBorder="1" applyAlignment="1">
      <alignment horizontal="right" vertical="center"/>
    </xf>
    <xf numFmtId="3" fontId="5" fillId="3" borderId="14" xfId="0" applyNumberFormat="1" applyFont="1" applyFill="1" applyBorder="1" applyAlignment="1">
      <alignment horizontal="right" vertical="center"/>
    </xf>
    <xf numFmtId="3" fontId="5" fillId="7" borderId="14" xfId="0" applyNumberFormat="1" applyFont="1" applyFill="1" applyBorder="1" applyAlignment="1">
      <alignment horizontal="right" vertical="center"/>
    </xf>
    <xf numFmtId="184" fontId="3" fillId="7" borderId="13" xfId="0" applyNumberFormat="1" applyFont="1" applyFill="1" applyBorder="1" applyAlignment="1">
      <alignment horizontal="right" vertical="center"/>
    </xf>
    <xf numFmtId="0" fontId="65" fillId="0" borderId="0" xfId="0" applyFont="1" applyFill="1" applyAlignment="1">
      <alignment horizontal="left"/>
    </xf>
    <xf numFmtId="0" fontId="3" fillId="10" borderId="0" xfId="0" applyFont="1" applyFill="1" applyAlignment="1">
      <alignment horizontal="left"/>
    </xf>
    <xf numFmtId="0" fontId="3" fillId="10" borderId="0" xfId="0" applyFont="1" applyFill="1"/>
    <xf numFmtId="0" fontId="4" fillId="0" borderId="0" xfId="12" applyFont="1" applyAlignment="1">
      <alignment horizontal="right"/>
    </xf>
    <xf numFmtId="0" fontId="1" fillId="0" borderId="3" xfId="0" applyFont="1" applyBorder="1"/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1" fillId="0" borderId="3" xfId="0" applyNumberFormat="1" applyFont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" fontId="3" fillId="7" borderId="0" xfId="0" applyNumberFormat="1" applyFont="1" applyFill="1" applyBorder="1" applyAlignment="1">
      <alignment horizontal="center"/>
    </xf>
    <xf numFmtId="184" fontId="3" fillId="7" borderId="6" xfId="0" applyNumberFormat="1" applyFont="1" applyFill="1" applyBorder="1"/>
    <xf numFmtId="9" fontId="3" fillId="3" borderId="6" xfId="0" applyNumberFormat="1" applyFont="1" applyFill="1" applyBorder="1" applyAlignment="1">
      <alignment horizontal="center"/>
    </xf>
    <xf numFmtId="184" fontId="5" fillId="7" borderId="6" xfId="0" applyNumberFormat="1" applyFont="1" applyFill="1" applyBorder="1" applyAlignment="1">
      <alignment vertical="center"/>
    </xf>
    <xf numFmtId="3" fontId="5" fillId="7" borderId="5" xfId="0" applyNumberFormat="1" applyFont="1" applyFill="1" applyBorder="1" applyAlignment="1">
      <alignment vertical="center"/>
    </xf>
    <xf numFmtId="9" fontId="5" fillId="3" borderId="5" xfId="0" applyNumberFormat="1" applyFont="1" applyFill="1" applyBorder="1" applyAlignment="1">
      <alignment horizontal="center" vertical="center"/>
    </xf>
    <xf numFmtId="0" fontId="4" fillId="0" borderId="0" xfId="0" quotePrefix="1" applyFont="1"/>
    <xf numFmtId="0" fontId="3" fillId="3" borderId="0" xfId="0" applyFont="1" applyFill="1" applyBorder="1" applyAlignment="1">
      <alignment horizontal="right" vertical="top"/>
    </xf>
    <xf numFmtId="184" fontId="3" fillId="3" borderId="7" xfId="0" applyNumberFormat="1" applyFont="1" applyFill="1" applyBorder="1" applyAlignment="1">
      <alignment horizontal="right" vertical="center"/>
    </xf>
    <xf numFmtId="184" fontId="3" fillId="7" borderId="7" xfId="0" applyNumberFormat="1" applyFont="1" applyFill="1" applyBorder="1" applyAlignment="1">
      <alignment horizontal="right" vertical="center"/>
    </xf>
    <xf numFmtId="184" fontId="5" fillId="3" borderId="4" xfId="0" applyNumberFormat="1" applyFont="1" applyFill="1" applyBorder="1" applyAlignment="1">
      <alignment horizontal="right" vertical="center"/>
    </xf>
    <xf numFmtId="184" fontId="5" fillId="7" borderId="4" xfId="0" applyNumberFormat="1" applyFont="1" applyFill="1" applyBorder="1" applyAlignment="1">
      <alignment horizontal="right" vertical="center"/>
    </xf>
    <xf numFmtId="0" fontId="1" fillId="0" borderId="0" xfId="0" applyFont="1" applyAlignment="1"/>
    <xf numFmtId="0" fontId="15" fillId="10" borderId="0" xfId="0" applyNumberFormat="1" applyFont="1" applyFill="1" applyAlignment="1">
      <alignment horizontal="center"/>
    </xf>
    <xf numFmtId="0" fontId="4" fillId="7" borderId="0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3" fontId="4" fillId="3" borderId="3" xfId="0" applyNumberFormat="1" applyFont="1" applyFill="1" applyBorder="1" applyAlignment="1">
      <alignment horizontal="right" vertical="center"/>
    </xf>
    <xf numFmtId="3" fontId="4" fillId="7" borderId="3" xfId="0" applyNumberFormat="1" applyFont="1" applyFill="1" applyBorder="1" applyAlignment="1">
      <alignment horizontal="right" vertical="center"/>
    </xf>
    <xf numFmtId="3" fontId="4" fillId="7" borderId="4" xfId="0" applyNumberFormat="1" applyFont="1" applyFill="1" applyBorder="1" applyAlignment="1">
      <alignment vertical="center"/>
    </xf>
    <xf numFmtId="3" fontId="4" fillId="3" borderId="4" xfId="0" applyNumberFormat="1" applyFont="1" applyFill="1" applyBorder="1" applyAlignment="1">
      <alignment horizontal="right" vertical="center"/>
    </xf>
    <xf numFmtId="3" fontId="4" fillId="3" borderId="4" xfId="0" applyNumberFormat="1" applyFont="1" applyFill="1" applyBorder="1" applyAlignment="1">
      <alignment vertical="center"/>
    </xf>
    <xf numFmtId="184" fontId="4" fillId="7" borderId="4" xfId="0" applyNumberFormat="1" applyFont="1" applyFill="1" applyBorder="1" applyAlignment="1">
      <alignment horizontal="right" vertical="center"/>
    </xf>
    <xf numFmtId="183" fontId="4" fillId="3" borderId="4" xfId="0" applyNumberFormat="1" applyFont="1" applyFill="1" applyBorder="1" applyAlignment="1">
      <alignment horizontal="right" vertical="center"/>
    </xf>
    <xf numFmtId="183" fontId="4" fillId="3" borderId="7" xfId="0" applyNumberFormat="1" applyFont="1" applyFill="1" applyBorder="1" applyAlignment="1">
      <alignment horizontal="right" vertical="center"/>
    </xf>
    <xf numFmtId="183" fontId="4" fillId="3" borderId="14" xfId="0" applyNumberFormat="1" applyFont="1" applyFill="1" applyBorder="1" applyAlignment="1">
      <alignment horizontal="right" vertical="center"/>
    </xf>
    <xf numFmtId="1" fontId="39" fillId="3" borderId="5" xfId="0" applyNumberFormat="1" applyFont="1" applyFill="1" applyBorder="1" applyAlignment="1">
      <alignment horizontal="left" vertical="center"/>
    </xf>
    <xf numFmtId="1" fontId="8" fillId="3" borderId="5" xfId="0" applyNumberFormat="1" applyFont="1" applyFill="1" applyBorder="1" applyAlignment="1">
      <alignment horizontal="left" vertical="center"/>
    </xf>
    <xf numFmtId="3" fontId="8" fillId="7" borderId="5" xfId="0" applyNumberFormat="1" applyFont="1" applyFill="1" applyBorder="1" applyAlignment="1">
      <alignment vertical="center"/>
    </xf>
    <xf numFmtId="3" fontId="8" fillId="3" borderId="5" xfId="0" applyNumberFormat="1" applyFont="1" applyFill="1" applyBorder="1" applyAlignment="1">
      <alignment horizontal="right" vertical="center"/>
    </xf>
    <xf numFmtId="3" fontId="8" fillId="3" borderId="5" xfId="0" quotePrefix="1" applyNumberFormat="1" applyFont="1" applyFill="1" applyBorder="1" applyAlignment="1">
      <alignment horizontal="right" vertical="center"/>
    </xf>
    <xf numFmtId="3" fontId="8" fillId="3" borderId="5" xfId="0" applyNumberFormat="1" applyFont="1" applyFill="1" applyBorder="1" applyAlignment="1">
      <alignment vertical="center"/>
    </xf>
    <xf numFmtId="184" fontId="8" fillId="7" borderId="5" xfId="0" applyNumberFormat="1" applyFont="1" applyFill="1" applyBorder="1" applyAlignment="1">
      <alignment horizontal="right" vertical="center"/>
    </xf>
    <xf numFmtId="183" fontId="8" fillId="3" borderId="5" xfId="0" applyNumberFormat="1" applyFont="1" applyFill="1" applyBorder="1" applyAlignment="1">
      <alignment horizontal="right" vertical="center"/>
    </xf>
    <xf numFmtId="3" fontId="4" fillId="0" borderId="7" xfId="0" applyNumberFormat="1" applyFont="1" applyFill="1" applyBorder="1" applyAlignment="1"/>
    <xf numFmtId="183" fontId="4" fillId="0" borderId="7" xfId="0" applyNumberFormat="1" applyFont="1" applyFill="1" applyBorder="1" applyAlignment="1">
      <alignment horizontal="right"/>
    </xf>
    <xf numFmtId="184" fontId="4" fillId="0" borderId="7" xfId="0" applyNumberFormat="1" applyFont="1" applyFill="1" applyBorder="1" applyAlignment="1">
      <alignment horizontal="right"/>
    </xf>
    <xf numFmtId="3" fontId="4" fillId="0" borderId="7" xfId="0" applyNumberFormat="1" applyFont="1" applyFill="1" applyBorder="1" applyAlignment="1">
      <alignment horizontal="left"/>
    </xf>
    <xf numFmtId="184" fontId="4" fillId="0" borderId="7" xfId="0" applyNumberFormat="1" applyFont="1" applyFill="1" applyBorder="1" applyAlignment="1"/>
    <xf numFmtId="3" fontId="4" fillId="0" borderId="7" xfId="0" applyNumberFormat="1" applyFont="1" applyFill="1" applyBorder="1" applyAlignment="1">
      <alignment horizontal="right"/>
    </xf>
    <xf numFmtId="0" fontId="4" fillId="0" borderId="0" xfId="0" applyNumberFormat="1" applyFont="1" applyAlignment="1">
      <alignment horizontal="center"/>
    </xf>
    <xf numFmtId="0" fontId="2" fillId="0" borderId="0" xfId="0" applyFont="1" applyFill="1" applyAlignment="1">
      <alignment vertical="top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3" fontId="1" fillId="0" borderId="13" xfId="0" applyNumberFormat="1" applyFont="1" applyBorder="1"/>
    <xf numFmtId="0" fontId="4" fillId="3" borderId="13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 vertical="top"/>
    </xf>
    <xf numFmtId="0" fontId="4" fillId="3" borderId="13" xfId="0" applyFont="1" applyFill="1" applyBorder="1" applyAlignment="1">
      <alignment horizontal="center" vertical="top"/>
    </xf>
    <xf numFmtId="3" fontId="4" fillId="3" borderId="13" xfId="0" applyNumberFormat="1" applyFont="1" applyFill="1" applyBorder="1" applyAlignment="1">
      <alignment horizontal="center" vertical="top"/>
    </xf>
    <xf numFmtId="3" fontId="4" fillId="7" borderId="13" xfId="0" applyNumberFormat="1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left" vertical="center"/>
    </xf>
    <xf numFmtId="3" fontId="4" fillId="7" borderId="4" xfId="0" applyNumberFormat="1" applyFont="1" applyFill="1" applyBorder="1" applyAlignment="1">
      <alignment horizontal="center" vertical="center"/>
    </xf>
    <xf numFmtId="183" fontId="4" fillId="7" borderId="4" xfId="0" applyNumberFormat="1" applyFont="1" applyFill="1" applyBorder="1" applyAlignment="1">
      <alignment horizontal="right" vertical="center"/>
    </xf>
    <xf numFmtId="183" fontId="4" fillId="7" borderId="4" xfId="0" applyNumberFormat="1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183" fontId="4" fillId="7" borderId="7" xfId="0" applyNumberFormat="1" applyFont="1" applyFill="1" applyBorder="1" applyAlignment="1">
      <alignment horizontal="right" vertical="center"/>
    </xf>
    <xf numFmtId="183" fontId="4" fillId="7" borderId="7" xfId="0" applyNumberFormat="1" applyFont="1" applyFill="1" applyBorder="1" applyAlignment="1">
      <alignment vertical="center"/>
    </xf>
    <xf numFmtId="1" fontId="8" fillId="3" borderId="5" xfId="0" applyNumberFormat="1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left" vertical="center"/>
    </xf>
    <xf numFmtId="3" fontId="8" fillId="7" borderId="5" xfId="0" applyNumberFormat="1" applyFont="1" applyFill="1" applyBorder="1" applyAlignment="1">
      <alignment horizontal="center" vertical="center"/>
    </xf>
    <xf numFmtId="183" fontId="8" fillId="7" borderId="5" xfId="0" applyNumberFormat="1" applyFont="1" applyFill="1" applyBorder="1" applyAlignment="1">
      <alignment horizontal="right" vertical="center"/>
    </xf>
    <xf numFmtId="183" fontId="8" fillId="7" borderId="5" xfId="0" applyNumberFormat="1" applyFont="1" applyFill="1" applyBorder="1" applyAlignment="1">
      <alignment vertical="center"/>
    </xf>
    <xf numFmtId="3" fontId="4" fillId="0" borderId="7" xfId="0" applyNumberFormat="1" applyFont="1" applyFill="1" applyBorder="1" applyAlignment="1">
      <alignment horizontal="center"/>
    </xf>
    <xf numFmtId="1" fontId="65" fillId="0" borderId="0" xfId="0" applyNumberFormat="1" applyFont="1" applyAlignment="1">
      <alignment horizontal="left"/>
    </xf>
    <xf numFmtId="0" fontId="2" fillId="0" borderId="0" xfId="0" applyFont="1" applyFill="1" applyBorder="1" applyAlignment="1">
      <alignment vertical="center"/>
    </xf>
    <xf numFmtId="183" fontId="5" fillId="7" borderId="0" xfId="0" applyNumberFormat="1" applyFont="1" applyFill="1" applyBorder="1" applyAlignment="1">
      <alignment horizontal="right" vertical="center"/>
    </xf>
    <xf numFmtId="183" fontId="5" fillId="3" borderId="0" xfId="0" applyNumberFormat="1" applyFont="1" applyFill="1" applyBorder="1" applyAlignment="1">
      <alignment horizontal="right" vertical="center"/>
    </xf>
    <xf numFmtId="0" fontId="4" fillId="6" borderId="8" xfId="0" applyFont="1" applyFill="1" applyBorder="1"/>
    <xf numFmtId="0" fontId="5" fillId="3" borderId="0" xfId="0" applyFont="1" applyFill="1" applyBorder="1" applyAlignment="1">
      <alignment horizontal="left"/>
    </xf>
    <xf numFmtId="0" fontId="5" fillId="3" borderId="5" xfId="0" quotePrefix="1" applyFont="1" applyFill="1" applyBorder="1" applyAlignment="1">
      <alignment horizontal="left" vertical="center"/>
    </xf>
    <xf numFmtId="0" fontId="4" fillId="0" borderId="0" xfId="0" applyFont="1" applyBorder="1" applyAlignment="1"/>
    <xf numFmtId="184" fontId="3" fillId="7" borderId="4" xfId="0" applyNumberFormat="1" applyFont="1" applyFill="1" applyBorder="1" applyAlignment="1">
      <alignment vertical="center"/>
    </xf>
    <xf numFmtId="184" fontId="5" fillId="7" borderId="5" xfId="0" applyNumberFormat="1" applyFont="1" applyFill="1" applyBorder="1" applyAlignment="1">
      <alignment vertical="center"/>
    </xf>
    <xf numFmtId="184" fontId="54" fillId="7" borderId="15" xfId="0" applyNumberFormat="1" applyFont="1" applyFill="1" applyBorder="1" applyAlignment="1">
      <alignment vertical="center"/>
    </xf>
    <xf numFmtId="0" fontId="3" fillId="3" borderId="2" xfId="0" applyFont="1" applyFill="1" applyBorder="1"/>
    <xf numFmtId="0" fontId="3" fillId="3" borderId="0" xfId="0" applyFont="1" applyFill="1" applyBorder="1"/>
    <xf numFmtId="0" fontId="3" fillId="3" borderId="3" xfId="0" applyFont="1" applyFill="1" applyBorder="1"/>
    <xf numFmtId="3" fontId="3" fillId="7" borderId="3" xfId="0" applyNumberFormat="1" applyFont="1" applyFill="1" applyBorder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0" fontId="3" fillId="3" borderId="6" xfId="0" applyFont="1" applyFill="1" applyBorder="1"/>
    <xf numFmtId="0" fontId="3" fillId="3" borderId="7" xfId="0" applyFont="1" applyFill="1" applyBorder="1"/>
    <xf numFmtId="183" fontId="5" fillId="7" borderId="7" xfId="0" applyNumberFormat="1" applyFont="1" applyFill="1" applyBorder="1" applyAlignment="1">
      <alignment horizontal="right"/>
    </xf>
    <xf numFmtId="0" fontId="4" fillId="3" borderId="7" xfId="0" applyFont="1" applyFill="1" applyBorder="1"/>
    <xf numFmtId="182" fontId="3" fillId="7" borderId="7" xfId="0" applyNumberFormat="1" applyFont="1" applyFill="1" applyBorder="1" applyAlignment="1">
      <alignment horizontal="right"/>
    </xf>
    <xf numFmtId="183" fontId="3" fillId="7" borderId="0" xfId="0" applyNumberFormat="1" applyFont="1" applyFill="1" applyBorder="1" applyAlignment="1">
      <alignment horizontal="right" vertical="center"/>
    </xf>
    <xf numFmtId="183" fontId="3" fillId="3" borderId="0" xfId="0" applyNumberFormat="1" applyFont="1" applyFill="1" applyBorder="1" applyAlignment="1">
      <alignment horizontal="right" vertical="center"/>
    </xf>
    <xf numFmtId="184" fontId="3" fillId="3" borderId="6" xfId="0" applyNumberFormat="1" applyFont="1" applyFill="1" applyBorder="1" applyAlignment="1">
      <alignment vertical="center"/>
    </xf>
    <xf numFmtId="0" fontId="4" fillId="6" borderId="0" xfId="0" applyFont="1" applyFill="1" applyBorder="1" applyAlignment="1" applyProtection="1">
      <alignment vertical="center"/>
    </xf>
    <xf numFmtId="0" fontId="65" fillId="0" borderId="0" xfId="0" applyFont="1" applyBorder="1"/>
    <xf numFmtId="3" fontId="3" fillId="7" borderId="0" xfId="0" applyNumberFormat="1" applyFont="1" applyFill="1" applyBorder="1" applyAlignment="1">
      <alignment horizontal="right" vertical="top"/>
    </xf>
    <xf numFmtId="0" fontId="3" fillId="3" borderId="0" xfId="0" applyFont="1" applyFill="1" applyBorder="1" applyAlignment="1">
      <alignment horizontal="center" vertical="center"/>
    </xf>
    <xf numFmtId="3" fontId="3" fillId="7" borderId="0" xfId="0" applyNumberFormat="1" applyFont="1" applyFill="1" applyBorder="1" applyAlignment="1">
      <alignment horizontal="center" vertical="center"/>
    </xf>
    <xf numFmtId="9" fontId="5" fillId="7" borderId="2" xfId="0" applyNumberFormat="1" applyFont="1" applyFill="1" applyBorder="1" applyAlignment="1">
      <alignment horizontal="right" wrapText="1"/>
    </xf>
    <xf numFmtId="9" fontId="5" fillId="3" borderId="2" xfId="0" applyNumberFormat="1" applyFont="1" applyFill="1" applyBorder="1" applyAlignment="1">
      <alignment horizontal="right" wrapText="1"/>
    </xf>
    <xf numFmtId="9" fontId="3" fillId="3" borderId="2" xfId="0" applyNumberFormat="1" applyFont="1" applyFill="1" applyBorder="1" applyAlignment="1">
      <alignment horizontal="center" vertical="center" wrapText="1"/>
    </xf>
    <xf numFmtId="9" fontId="3" fillId="7" borderId="2" xfId="0" applyNumberFormat="1" applyFont="1" applyFill="1" applyBorder="1" applyAlignment="1">
      <alignment horizontal="center" vertical="center" wrapText="1"/>
    </xf>
    <xf numFmtId="9" fontId="3" fillId="7" borderId="0" xfId="0" applyNumberFormat="1" applyFont="1" applyFill="1" applyBorder="1" applyAlignment="1">
      <alignment horizontal="right" wrapText="1"/>
    </xf>
    <xf numFmtId="9" fontId="3" fillId="3" borderId="0" xfId="0" applyNumberFormat="1" applyFont="1" applyFill="1" applyBorder="1" applyAlignment="1">
      <alignment horizontal="right" wrapText="1"/>
    </xf>
    <xf numFmtId="9" fontId="3" fillId="3" borderId="0" xfId="0" applyNumberFormat="1" applyFont="1" applyFill="1" applyBorder="1" applyAlignment="1">
      <alignment horizontal="center" vertical="center" wrapText="1"/>
    </xf>
    <xf numFmtId="9" fontId="3" fillId="7" borderId="0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3" fontId="3" fillId="7" borderId="3" xfId="0" applyNumberFormat="1" applyFont="1" applyFill="1" applyBorder="1" applyAlignment="1">
      <alignment horizontal="center" vertical="center"/>
    </xf>
    <xf numFmtId="183" fontId="5" fillId="7" borderId="4" xfId="0" applyNumberFormat="1" applyFont="1" applyFill="1" applyBorder="1" applyAlignment="1">
      <alignment horizontal="right"/>
    </xf>
    <xf numFmtId="3" fontId="3" fillId="6" borderId="8" xfId="0" applyNumberFormat="1" applyFont="1" applyFill="1" applyBorder="1" applyAlignment="1">
      <alignment horizontal="right" vertical="top"/>
    </xf>
    <xf numFmtId="3" fontId="3" fillId="6" borderId="0" xfId="0" applyNumberFormat="1" applyFont="1" applyFill="1" applyBorder="1" applyAlignment="1">
      <alignment horizontal="right" vertical="top"/>
    </xf>
    <xf numFmtId="182" fontId="3" fillId="7" borderId="4" xfId="0" applyNumberFormat="1" applyFont="1" applyFill="1" applyBorder="1" applyAlignment="1">
      <alignment horizontal="right"/>
    </xf>
    <xf numFmtId="182" fontId="5" fillId="7" borderId="0" xfId="0" applyNumberFormat="1" applyFont="1" applyFill="1" applyBorder="1" applyAlignment="1">
      <alignment horizontal="right" vertical="center"/>
    </xf>
    <xf numFmtId="182" fontId="29" fillId="0" borderId="0" xfId="0" applyNumberFormat="1" applyFont="1"/>
    <xf numFmtId="0" fontId="5" fillId="3" borderId="14" xfId="0" quotePrefix="1" applyFont="1" applyFill="1" applyBorder="1" applyAlignment="1">
      <alignment horizontal="left" vertical="center"/>
    </xf>
    <xf numFmtId="183" fontId="5" fillId="7" borderId="14" xfId="0" applyNumberFormat="1" applyFont="1" applyFill="1" applyBorder="1" applyAlignment="1">
      <alignment horizontal="right" vertical="center"/>
    </xf>
    <xf numFmtId="183" fontId="5" fillId="3" borderId="14" xfId="0" applyNumberFormat="1" applyFont="1" applyFill="1" applyBorder="1" applyAlignment="1">
      <alignment horizontal="right" vertical="center"/>
    </xf>
    <xf numFmtId="0" fontId="31" fillId="0" borderId="0" xfId="12" applyFont="1"/>
    <xf numFmtId="184" fontId="69" fillId="3" borderId="4" xfId="0" applyNumberFormat="1" applyFont="1" applyFill="1" applyBorder="1" applyAlignment="1">
      <alignment horizontal="center"/>
    </xf>
    <xf numFmtId="184" fontId="69" fillId="7" borderId="4" xfId="0" applyNumberFormat="1" applyFont="1" applyFill="1" applyBorder="1" applyAlignment="1">
      <alignment horizontal="center"/>
    </xf>
    <xf numFmtId="184" fontId="69" fillId="3" borderId="7" xfId="0" applyNumberFormat="1" applyFont="1" applyFill="1" applyBorder="1" applyAlignment="1">
      <alignment horizontal="center"/>
    </xf>
    <xf numFmtId="184" fontId="69" fillId="7" borderId="7" xfId="0" applyNumberFormat="1" applyFont="1" applyFill="1" applyBorder="1" applyAlignment="1">
      <alignment horizontal="center"/>
    </xf>
    <xf numFmtId="184" fontId="69" fillId="3" borderId="5" xfId="0" applyNumberFormat="1" applyFont="1" applyFill="1" applyBorder="1" applyAlignment="1">
      <alignment horizontal="center" vertical="center"/>
    </xf>
    <xf numFmtId="184" fontId="69" fillId="7" borderId="5" xfId="0" applyNumberFormat="1" applyFont="1" applyFill="1" applyBorder="1" applyAlignment="1">
      <alignment horizontal="center" vertical="center"/>
    </xf>
    <xf numFmtId="184" fontId="3" fillId="7" borderId="7" xfId="0" applyNumberFormat="1" applyFont="1" applyFill="1" applyBorder="1"/>
    <xf numFmtId="3" fontId="3" fillId="7" borderId="7" xfId="0" applyNumberFormat="1" applyFont="1" applyFill="1" applyBorder="1" applyAlignment="1">
      <alignment vertical="center"/>
    </xf>
    <xf numFmtId="184" fontId="3" fillId="7" borderId="7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horizontal="left" vertical="center"/>
    </xf>
    <xf numFmtId="3" fontId="5" fillId="3" borderId="5" xfId="0" applyNumberFormat="1" applyFont="1" applyFill="1" applyBorder="1" applyAlignment="1">
      <alignment vertical="center"/>
    </xf>
    <xf numFmtId="184" fontId="5" fillId="7" borderId="5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7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16" fontId="3" fillId="3" borderId="7" xfId="0" applyNumberFormat="1" applyFont="1" applyFill="1" applyBorder="1" applyAlignment="1">
      <alignment horizontal="left"/>
    </xf>
    <xf numFmtId="0" fontId="5" fillId="3" borderId="13" xfId="0" applyFont="1" applyFill="1" applyBorder="1" applyAlignment="1">
      <alignment horizontal="left" vertical="center"/>
    </xf>
    <xf numFmtId="184" fontId="5" fillId="3" borderId="0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right" wrapText="1"/>
    </xf>
    <xf numFmtId="0" fontId="5" fillId="3" borderId="2" xfId="0" applyFont="1" applyFill="1" applyBorder="1" applyAlignment="1">
      <alignment horizontal="right" wrapText="1"/>
    </xf>
    <xf numFmtId="0" fontId="3" fillId="3" borderId="5" xfId="0" applyFont="1" applyFill="1" applyBorder="1" applyAlignment="1">
      <alignment vertical="center" wrapText="1"/>
    </xf>
    <xf numFmtId="3" fontId="3" fillId="7" borderId="5" xfId="0" applyNumberFormat="1" applyFont="1" applyFill="1" applyBorder="1" applyAlignment="1">
      <alignment vertical="center"/>
    </xf>
    <xf numFmtId="3" fontId="3" fillId="3" borderId="5" xfId="0" applyNumberFormat="1" applyFont="1" applyFill="1" applyBorder="1" applyAlignment="1">
      <alignment vertical="center"/>
    </xf>
    <xf numFmtId="0" fontId="59" fillId="0" borderId="0" xfId="0" applyFont="1"/>
    <xf numFmtId="0" fontId="4" fillId="0" borderId="0" xfId="0" applyFont="1" applyFill="1" applyBorder="1" applyAlignment="1">
      <alignment horizontal="center"/>
    </xf>
    <xf numFmtId="0" fontId="3" fillId="7" borderId="0" xfId="0" quotePrefix="1" applyFont="1" applyFill="1" applyBorder="1" applyAlignment="1">
      <alignment horizontal="right"/>
    </xf>
    <xf numFmtId="0" fontId="4" fillId="8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center"/>
    </xf>
    <xf numFmtId="184" fontId="3" fillId="9" borderId="4" xfId="0" applyNumberFormat="1" applyFont="1" applyFill="1" applyBorder="1" applyAlignment="1">
      <alignment horizontal="right"/>
    </xf>
    <xf numFmtId="3" fontId="3" fillId="8" borderId="4" xfId="0" quotePrefix="1" applyNumberFormat="1" applyFont="1" applyFill="1" applyBorder="1" applyAlignment="1">
      <alignment horizontal="right"/>
    </xf>
    <xf numFmtId="184" fontId="3" fillId="9" borderId="7" xfId="0" applyNumberFormat="1" applyFont="1" applyFill="1" applyBorder="1" applyAlignment="1">
      <alignment horizontal="right"/>
    </xf>
    <xf numFmtId="3" fontId="3" fillId="8" borderId="7" xfId="0" quotePrefix="1" applyNumberFormat="1" applyFont="1" applyFill="1" applyBorder="1" applyAlignment="1">
      <alignment horizontal="right"/>
    </xf>
    <xf numFmtId="184" fontId="5" fillId="9" borderId="0" xfId="0" applyNumberFormat="1" applyFont="1" applyFill="1" applyBorder="1" applyAlignment="1">
      <alignment horizontal="right" vertical="center"/>
    </xf>
    <xf numFmtId="184" fontId="5" fillId="8" borderId="0" xfId="0" quotePrefix="1" applyNumberFormat="1" applyFont="1" applyFill="1" applyBorder="1" applyAlignment="1">
      <alignment horizontal="right" vertical="center"/>
    </xf>
    <xf numFmtId="3" fontId="5" fillId="8" borderId="7" xfId="0" quotePrefix="1" applyNumberFormat="1" applyFont="1" applyFill="1" applyBorder="1" applyAlignment="1">
      <alignment horizontal="right" vertical="center"/>
    </xf>
    <xf numFmtId="0" fontId="70" fillId="0" borderId="0" xfId="3" applyFont="1" applyAlignment="1"/>
    <xf numFmtId="2" fontId="71" fillId="0" borderId="0" xfId="3" applyNumberFormat="1" applyFont="1"/>
    <xf numFmtId="0" fontId="8" fillId="11" borderId="0" xfId="0" applyFont="1" applyFill="1"/>
    <xf numFmtId="0" fontId="4" fillId="11" borderId="0" xfId="0" applyFont="1" applyFill="1"/>
    <xf numFmtId="0" fontId="2" fillId="6" borderId="0" xfId="0" applyFont="1" applyFill="1" applyAlignment="1">
      <alignment horizontal="center"/>
    </xf>
    <xf numFmtId="0" fontId="2" fillId="6" borderId="3" xfId="0" applyFont="1" applyFill="1" applyBorder="1"/>
    <xf numFmtId="0" fontId="2" fillId="0" borderId="0" xfId="0" applyFont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 vertical="top"/>
    </xf>
    <xf numFmtId="184" fontId="5" fillId="7" borderId="6" xfId="0" applyNumberFormat="1" applyFont="1" applyFill="1" applyBorder="1" applyAlignment="1">
      <alignment horizontal="right"/>
    </xf>
    <xf numFmtId="184" fontId="5" fillId="3" borderId="6" xfId="0" applyNumberFormat="1" applyFont="1" applyFill="1" applyBorder="1" applyAlignment="1">
      <alignment horizontal="right"/>
    </xf>
    <xf numFmtId="184" fontId="5" fillId="7" borderId="6" xfId="0" applyNumberFormat="1" applyFont="1" applyFill="1" applyBorder="1" applyAlignment="1">
      <alignment horizontal="right" vertical="center"/>
    </xf>
    <xf numFmtId="184" fontId="5" fillId="3" borderId="5" xfId="0" applyNumberFormat="1" applyFont="1" applyFill="1" applyBorder="1" applyAlignment="1">
      <alignment horizontal="right" vertical="center"/>
    </xf>
    <xf numFmtId="0" fontId="8" fillId="0" borderId="8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8" fillId="6" borderId="8" xfId="0" applyFont="1" applyFill="1" applyBorder="1"/>
    <xf numFmtId="0" fontId="8" fillId="6" borderId="8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1" fillId="6" borderId="0" xfId="0" applyFont="1" applyFill="1" applyAlignment="1">
      <alignment horizontal="right"/>
    </xf>
    <xf numFmtId="0" fontId="5" fillId="7" borderId="18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5" fillId="7" borderId="19" xfId="0" applyFont="1" applyFill="1" applyBorder="1" applyAlignment="1">
      <alignment horizontal="left"/>
    </xf>
    <xf numFmtId="0" fontId="3" fillId="7" borderId="20" xfId="0" applyFont="1" applyFill="1" applyBorder="1" applyAlignment="1">
      <alignment horizontal="right"/>
    </xf>
    <xf numFmtId="0" fontId="3" fillId="7" borderId="19" xfId="0" applyFont="1" applyFill="1" applyBorder="1" applyAlignment="1">
      <alignment horizontal="right" vertical="top"/>
    </xf>
    <xf numFmtId="1" fontId="3" fillId="3" borderId="6" xfId="0" applyNumberFormat="1" applyFont="1" applyFill="1" applyBorder="1" applyAlignment="1">
      <alignment horizontal="left"/>
    </xf>
    <xf numFmtId="183" fontId="3" fillId="7" borderId="6" xfId="0" applyNumberFormat="1" applyFont="1" applyFill="1" applyBorder="1" applyAlignment="1">
      <alignment horizontal="right"/>
    </xf>
    <xf numFmtId="183" fontId="3" fillId="7" borderId="21" xfId="0" applyNumberFormat="1" applyFont="1" applyFill="1" applyBorder="1" applyAlignment="1">
      <alignment horizontal="right"/>
    </xf>
    <xf numFmtId="183" fontId="3" fillId="7" borderId="22" xfId="0" applyNumberFormat="1" applyFont="1" applyFill="1" applyBorder="1" applyAlignment="1">
      <alignment horizontal="right"/>
    </xf>
    <xf numFmtId="183" fontId="54" fillId="7" borderId="7" xfId="0" applyNumberFormat="1" applyFont="1" applyFill="1" applyBorder="1" applyAlignment="1">
      <alignment horizontal="right"/>
    </xf>
    <xf numFmtId="183" fontId="5" fillId="7" borderId="23" xfId="0" applyNumberFormat="1" applyFont="1" applyFill="1" applyBorder="1" applyAlignment="1">
      <alignment horizontal="right" vertical="center"/>
    </xf>
    <xf numFmtId="1" fontId="4" fillId="6" borderId="8" xfId="0" applyNumberFormat="1" applyFont="1" applyFill="1" applyBorder="1" applyAlignment="1">
      <alignment horizontal="left"/>
    </xf>
    <xf numFmtId="183" fontId="3" fillId="6" borderId="8" xfId="0" applyNumberFormat="1" applyFont="1" applyFill="1" applyBorder="1" applyAlignment="1">
      <alignment horizontal="right"/>
    </xf>
    <xf numFmtId="1" fontId="4" fillId="6" borderId="0" xfId="0" applyNumberFormat="1" applyFont="1" applyFill="1" applyBorder="1" applyAlignment="1">
      <alignment horizontal="left"/>
    </xf>
    <xf numFmtId="183" fontId="3" fillId="6" borderId="0" xfId="0" applyNumberFormat="1" applyFont="1" applyFill="1" applyBorder="1" applyAlignment="1">
      <alignment horizontal="right"/>
    </xf>
    <xf numFmtId="0" fontId="26" fillId="6" borderId="0" xfId="0" applyFont="1" applyFill="1"/>
    <xf numFmtId="0" fontId="4" fillId="6" borderId="0" xfId="0" applyFont="1" applyFill="1" applyAlignment="1">
      <alignment horizontal="right"/>
    </xf>
    <xf numFmtId="0" fontId="2" fillId="6" borderId="3" xfId="0" applyFont="1" applyFill="1" applyBorder="1" applyAlignment="1">
      <alignment vertical="top"/>
    </xf>
    <xf numFmtId="0" fontId="1" fillId="6" borderId="3" xfId="0" applyFont="1" applyFill="1" applyBorder="1" applyAlignment="1">
      <alignment horizontal="right"/>
    </xf>
    <xf numFmtId="0" fontId="5" fillId="7" borderId="0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0" fontId="5" fillId="7" borderId="3" xfId="0" applyFont="1" applyFill="1" applyBorder="1" applyAlignment="1">
      <alignment horizontal="right"/>
    </xf>
    <xf numFmtId="0" fontId="5" fillId="3" borderId="0" xfId="0" applyFont="1" applyFill="1" applyBorder="1" applyAlignment="1">
      <alignment horizontal="right" wrapText="1"/>
    </xf>
    <xf numFmtId="0" fontId="5" fillId="3" borderId="19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right" wrapText="1"/>
    </xf>
    <xf numFmtId="0" fontId="3" fillId="3" borderId="20" xfId="0" applyFont="1" applyFill="1" applyBorder="1" applyAlignment="1">
      <alignment horizontal="right"/>
    </xf>
    <xf numFmtId="0" fontId="3" fillId="3" borderId="20" xfId="0" applyFont="1" applyFill="1" applyBorder="1" applyAlignment="1">
      <alignment horizontal="right" vertical="top"/>
    </xf>
    <xf numFmtId="0" fontId="3" fillId="3" borderId="19" xfId="0" applyFont="1" applyFill="1" applyBorder="1" applyAlignment="1">
      <alignment horizontal="right" vertical="top"/>
    </xf>
    <xf numFmtId="183" fontId="3" fillId="7" borderId="4" xfId="0" quotePrefix="1" applyNumberFormat="1" applyFont="1" applyFill="1" applyBorder="1" applyAlignment="1">
      <alignment horizontal="right"/>
    </xf>
    <xf numFmtId="183" fontId="3" fillId="3" borderId="4" xfId="0" quotePrefix="1" applyNumberFormat="1" applyFont="1" applyFill="1" applyBorder="1" applyAlignment="1">
      <alignment horizontal="right"/>
    </xf>
    <xf numFmtId="183" fontId="3" fillId="3" borderId="24" xfId="0" quotePrefix="1" applyNumberFormat="1" applyFont="1" applyFill="1" applyBorder="1" applyAlignment="1">
      <alignment horizontal="right"/>
    </xf>
    <xf numFmtId="183" fontId="54" fillId="3" borderId="6" xfId="0" quotePrefix="1" applyNumberFormat="1" applyFont="1" applyFill="1" applyBorder="1" applyAlignment="1">
      <alignment horizontal="right"/>
    </xf>
    <xf numFmtId="183" fontId="54" fillId="7" borderId="4" xfId="0" quotePrefix="1" applyNumberFormat="1" applyFont="1" applyFill="1" applyBorder="1" applyAlignment="1">
      <alignment horizontal="right"/>
    </xf>
    <xf numFmtId="183" fontId="3" fillId="3" borderId="21" xfId="0" quotePrefix="1" applyNumberFormat="1" applyFont="1" applyFill="1" applyBorder="1" applyAlignment="1">
      <alignment horizontal="right"/>
    </xf>
    <xf numFmtId="183" fontId="54" fillId="3" borderId="4" xfId="0" applyNumberFormat="1" applyFont="1" applyFill="1" applyBorder="1" applyAlignment="1">
      <alignment horizontal="right"/>
    </xf>
    <xf numFmtId="183" fontId="54" fillId="7" borderId="6" xfId="0" quotePrefix="1" applyNumberFormat="1" applyFont="1" applyFill="1" applyBorder="1" applyAlignment="1">
      <alignment horizontal="right"/>
    </xf>
    <xf numFmtId="183" fontId="54" fillId="3" borderId="4" xfId="0" quotePrefix="1" applyNumberFormat="1" applyFont="1" applyFill="1" applyBorder="1" applyAlignment="1">
      <alignment horizontal="right"/>
    </xf>
    <xf numFmtId="183" fontId="5" fillId="7" borderId="6" xfId="0" quotePrefix="1" applyNumberFormat="1" applyFont="1" applyFill="1" applyBorder="1" applyAlignment="1">
      <alignment horizontal="right" vertical="center"/>
    </xf>
    <xf numFmtId="183" fontId="5" fillId="7" borderId="4" xfId="0" quotePrefix="1" applyNumberFormat="1" applyFont="1" applyFill="1" applyBorder="1" applyAlignment="1">
      <alignment horizontal="right" vertical="center"/>
    </xf>
    <xf numFmtId="183" fontId="5" fillId="3" borderId="25" xfId="0" quotePrefix="1" applyNumberFormat="1" applyFont="1" applyFill="1" applyBorder="1" applyAlignment="1">
      <alignment horizontal="right" vertical="center"/>
    </xf>
    <xf numFmtId="183" fontId="5" fillId="3" borderId="4" xfId="0" quotePrefix="1" applyNumberFormat="1" applyFont="1" applyFill="1" applyBorder="1" applyAlignment="1">
      <alignment horizontal="right" vertical="center"/>
    </xf>
    <xf numFmtId="183" fontId="5" fillId="3" borderId="4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vertical="center"/>
    </xf>
    <xf numFmtId="1" fontId="72" fillId="0" borderId="0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0" fontId="3" fillId="3" borderId="3" xfId="0" applyFont="1" applyFill="1" applyBorder="1" applyAlignment="1">
      <alignment horizontal="right" vertical="top" wrapText="1"/>
    </xf>
    <xf numFmtId="1" fontId="2" fillId="6" borderId="0" xfId="0" applyNumberFormat="1" applyFont="1" applyFill="1" applyBorder="1" applyAlignment="1">
      <alignment horizontal="left" vertical="center"/>
    </xf>
    <xf numFmtId="1" fontId="3" fillId="3" borderId="26" xfId="0" applyNumberFormat="1" applyFont="1" applyFill="1" applyBorder="1" applyAlignment="1">
      <alignment horizontal="left"/>
    </xf>
    <xf numFmtId="1" fontId="5" fillId="3" borderId="5" xfId="0" applyNumberFormat="1" applyFont="1" applyFill="1" applyBorder="1" applyAlignment="1">
      <alignment horizontal="left" vertical="center"/>
    </xf>
    <xf numFmtId="0" fontId="5" fillId="7" borderId="20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right" vertical="top"/>
    </xf>
    <xf numFmtId="0" fontId="4" fillId="7" borderId="20" xfId="0" applyFont="1" applyFill="1" applyBorder="1" applyAlignment="1">
      <alignment horizontal="right" vertical="top"/>
    </xf>
    <xf numFmtId="183" fontId="3" fillId="7" borderId="24" xfId="0" quotePrefix="1" applyNumberFormat="1" applyFont="1" applyFill="1" applyBorder="1" applyAlignment="1">
      <alignment horizontal="right"/>
    </xf>
    <xf numFmtId="183" fontId="3" fillId="7" borderId="21" xfId="0" quotePrefix="1" applyNumberFormat="1" applyFont="1" applyFill="1" applyBorder="1" applyAlignment="1">
      <alignment horizontal="right"/>
    </xf>
    <xf numFmtId="1" fontId="5" fillId="3" borderId="7" xfId="0" applyNumberFormat="1" applyFont="1" applyFill="1" applyBorder="1" applyAlignment="1">
      <alignment horizontal="left"/>
    </xf>
    <xf numFmtId="1" fontId="54" fillId="3" borderId="0" xfId="0" applyNumberFormat="1" applyFont="1" applyFill="1" applyBorder="1" applyAlignment="1">
      <alignment horizontal="left" vertical="center"/>
    </xf>
    <xf numFmtId="3" fontId="54" fillId="7" borderId="0" xfId="0" applyNumberFormat="1" applyFont="1" applyFill="1" applyBorder="1" applyAlignment="1">
      <alignment horizontal="right" vertical="center"/>
    </xf>
    <xf numFmtId="3" fontId="54" fillId="3" borderId="0" xfId="0" applyNumberFormat="1" applyFont="1" applyFill="1" applyBorder="1" applyAlignment="1">
      <alignment horizontal="right" vertical="center"/>
    </xf>
    <xf numFmtId="1" fontId="4" fillId="0" borderId="0" xfId="0" applyNumberFormat="1" applyFont="1" applyFill="1" applyBorder="1" applyAlignment="1">
      <alignment horizontal="left"/>
    </xf>
    <xf numFmtId="183" fontId="3" fillId="0" borderId="0" xfId="0" applyNumberFormat="1" applyFont="1" applyFill="1" applyBorder="1" applyAlignment="1">
      <alignment horizontal="right"/>
    </xf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3" fillId="3" borderId="4" xfId="0" applyNumberFormat="1" applyFont="1" applyFill="1" applyBorder="1" applyAlignment="1">
      <alignment horizontal="left"/>
    </xf>
    <xf numFmtId="0" fontId="3" fillId="3" borderId="7" xfId="0" applyNumberFormat="1" applyFont="1" applyFill="1" applyBorder="1" applyAlignment="1">
      <alignment horizontal="left"/>
    </xf>
    <xf numFmtId="0" fontId="5" fillId="3" borderId="7" xfId="0" applyNumberFormat="1" applyFont="1" applyFill="1" applyBorder="1" applyAlignment="1">
      <alignment horizontal="left"/>
    </xf>
    <xf numFmtId="1" fontId="4" fillId="0" borderId="8" xfId="0" applyNumberFormat="1" applyFont="1" applyFill="1" applyBorder="1" applyAlignment="1">
      <alignment horizontal="left"/>
    </xf>
    <xf numFmtId="183" fontId="3" fillId="0" borderId="8" xfId="0" applyNumberFormat="1" applyFont="1" applyFill="1" applyBorder="1" applyAlignment="1">
      <alignment horizontal="right"/>
    </xf>
    <xf numFmtId="3" fontId="54" fillId="7" borderId="7" xfId="0" applyNumberFormat="1" applyFont="1" applyFill="1" applyBorder="1" applyAlignment="1">
      <alignment horizontal="right" vertical="center"/>
    </xf>
    <xf numFmtId="3" fontId="54" fillId="3" borderId="7" xfId="0" applyNumberFormat="1" applyFont="1" applyFill="1" applyBorder="1" applyAlignment="1">
      <alignment horizontal="right" vertical="center"/>
    </xf>
    <xf numFmtId="0" fontId="73" fillId="0" borderId="0" xfId="0" applyFont="1" applyAlignment="1">
      <alignment vertical="center"/>
    </xf>
    <xf numFmtId="184" fontId="5" fillId="7" borderId="7" xfId="0" applyNumberFormat="1" applyFont="1" applyFill="1" applyBorder="1" applyAlignment="1">
      <alignment horizontal="right"/>
    </xf>
    <xf numFmtId="1" fontId="54" fillId="3" borderId="7" xfId="0" applyNumberFormat="1" applyFont="1" applyFill="1" applyBorder="1" applyAlignment="1">
      <alignment horizontal="left"/>
    </xf>
    <xf numFmtId="183" fontId="54" fillId="3" borderId="7" xfId="0" applyNumberFormat="1" applyFont="1" applyFill="1" applyBorder="1" applyAlignment="1">
      <alignment horizontal="right"/>
    </xf>
    <xf numFmtId="184" fontId="54" fillId="7" borderId="7" xfId="0" applyNumberFormat="1" applyFont="1" applyFill="1" applyBorder="1" applyAlignment="1">
      <alignment horizontal="right"/>
    </xf>
    <xf numFmtId="183" fontId="54" fillId="3" borderId="5" xfId="0" applyNumberFormat="1" applyFont="1" applyFill="1" applyBorder="1" applyAlignment="1">
      <alignment horizontal="right"/>
    </xf>
    <xf numFmtId="184" fontId="54" fillId="7" borderId="5" xfId="0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3" fillId="3" borderId="0" xfId="0" applyFont="1" applyFill="1" applyBorder="1" applyAlignment="1">
      <alignment horizontal="center" vertical="top"/>
    </xf>
    <xf numFmtId="4" fontId="3" fillId="7" borderId="6" xfId="0" applyNumberFormat="1" applyFont="1" applyFill="1" applyBorder="1" applyAlignment="1">
      <alignment horizontal="right"/>
    </xf>
    <xf numFmtId="0" fontId="3" fillId="3" borderId="6" xfId="0" applyNumberFormat="1" applyFont="1" applyFill="1" applyBorder="1" applyAlignment="1">
      <alignment horizontal="center"/>
    </xf>
    <xf numFmtId="4" fontId="5" fillId="7" borderId="6" xfId="0" applyNumberFormat="1" applyFont="1" applyFill="1" applyBorder="1" applyAlignment="1">
      <alignment horizontal="right" vertical="center"/>
    </xf>
    <xf numFmtId="0" fontId="5" fillId="3" borderId="6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183" fontId="3" fillId="6" borderId="8" xfId="0" applyNumberFormat="1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left"/>
    </xf>
    <xf numFmtId="183" fontId="3" fillId="0" borderId="8" xfId="0" applyNumberFormat="1" applyFont="1" applyBorder="1" applyAlignment="1">
      <alignment horizontal="right"/>
    </xf>
    <xf numFmtId="183" fontId="3" fillId="6" borderId="0" xfId="0" applyNumberFormat="1" applyFont="1" applyFill="1" applyBorder="1" applyAlignment="1">
      <alignment horizontal="center"/>
    </xf>
    <xf numFmtId="183" fontId="3" fillId="0" borderId="0" xfId="0" applyNumberFormat="1" applyFont="1" applyBorder="1" applyAlignment="1">
      <alignment horizontal="right"/>
    </xf>
    <xf numFmtId="183" fontId="3" fillId="0" borderId="0" xfId="0" applyNumberFormat="1" applyFont="1" applyFill="1" applyBorder="1" applyAlignment="1">
      <alignment horizontal="center"/>
    </xf>
    <xf numFmtId="183" fontId="53" fillId="7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/>
    </xf>
    <xf numFmtId="4" fontId="3" fillId="3" borderId="4" xfId="0" applyNumberFormat="1" applyFont="1" applyFill="1" applyBorder="1" applyAlignment="1">
      <alignment horizontal="right"/>
    </xf>
    <xf numFmtId="4" fontId="3" fillId="7" borderId="4" xfId="0" applyNumberFormat="1" applyFont="1" applyFill="1" applyBorder="1" applyAlignment="1">
      <alignment horizontal="right"/>
    </xf>
    <xf numFmtId="4" fontId="3" fillId="3" borderId="7" xfId="0" applyNumberFormat="1" applyFont="1" applyFill="1" applyBorder="1" applyAlignment="1">
      <alignment horizontal="right"/>
    </xf>
    <xf numFmtId="2" fontId="5" fillId="3" borderId="0" xfId="0" applyNumberFormat="1" applyFont="1" applyFill="1" applyBorder="1" applyAlignment="1">
      <alignment horizontal="right" vertical="center"/>
    </xf>
    <xf numFmtId="2" fontId="5" fillId="7" borderId="0" xfId="0" applyNumberFormat="1" applyFont="1" applyFill="1" applyBorder="1" applyAlignment="1">
      <alignment horizontal="right" vertical="center"/>
    </xf>
    <xf numFmtId="0" fontId="3" fillId="3" borderId="27" xfId="0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right" vertical="center"/>
    </xf>
    <xf numFmtId="0" fontId="3" fillId="3" borderId="27" xfId="0" applyFont="1" applyFill="1" applyBorder="1" applyAlignment="1">
      <alignment vertical="center"/>
    </xf>
    <xf numFmtId="0" fontId="3" fillId="7" borderId="27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horizontal="left"/>
    </xf>
    <xf numFmtId="0" fontId="1" fillId="0" borderId="0" xfId="0" applyFont="1" applyFill="1" applyBorder="1"/>
    <xf numFmtId="0" fontId="3" fillId="7" borderId="27" xfId="0" applyFont="1" applyFill="1" applyBorder="1" applyAlignment="1">
      <alignment horizontal="left" vertical="center"/>
    </xf>
    <xf numFmtId="1" fontId="3" fillId="7" borderId="6" xfId="0" applyNumberFormat="1" applyFont="1" applyFill="1" applyBorder="1" applyAlignment="1">
      <alignment horizontal="left"/>
    </xf>
    <xf numFmtId="1" fontId="3" fillId="7" borderId="7" xfId="0" applyNumberFormat="1" applyFont="1" applyFill="1" applyBorder="1" applyAlignment="1">
      <alignment horizontal="left"/>
    </xf>
    <xf numFmtId="1" fontId="5" fillId="7" borderId="5" xfId="0" applyNumberFormat="1" applyFont="1" applyFill="1" applyBorder="1" applyAlignment="1">
      <alignment horizontal="left" vertical="center"/>
    </xf>
    <xf numFmtId="1" fontId="3" fillId="6" borderId="0" xfId="0" applyNumberFormat="1" applyFont="1" applyFill="1" applyBorder="1" applyAlignment="1">
      <alignment horizontal="left"/>
    </xf>
    <xf numFmtId="0" fontId="0" fillId="0" borderId="0" xfId="0" applyNumberFormat="1"/>
    <xf numFmtId="184" fontId="53" fillId="3" borderId="0" xfId="0" applyNumberFormat="1" applyFont="1" applyFill="1" applyBorder="1" applyAlignment="1">
      <alignment horizontal="right" vertical="center"/>
    </xf>
    <xf numFmtId="183" fontId="5" fillId="7" borderId="5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top"/>
    </xf>
    <xf numFmtId="0" fontId="5" fillId="7" borderId="2" xfId="0" applyFont="1" applyFill="1" applyBorder="1" applyAlignment="1">
      <alignment horizontal="left"/>
    </xf>
    <xf numFmtId="0" fontId="3" fillId="3" borderId="2" xfId="0" applyFont="1" applyFill="1" applyBorder="1" applyAlignment="1"/>
    <xf numFmtId="0" fontId="4" fillId="7" borderId="0" xfId="0" applyFont="1" applyFill="1"/>
    <xf numFmtId="0" fontId="4" fillId="7" borderId="0" xfId="0" applyFont="1" applyFill="1" applyAlignment="1">
      <alignment horizontal="right"/>
    </xf>
    <xf numFmtId="0" fontId="3" fillId="7" borderId="2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 vertical="center"/>
    </xf>
    <xf numFmtId="0" fontId="4" fillId="7" borderId="0" xfId="0" applyFont="1" applyFill="1" applyBorder="1" applyAlignment="1">
      <alignment horizontal="right" vertical="center"/>
    </xf>
    <xf numFmtId="0" fontId="3" fillId="7" borderId="20" xfId="0" applyFont="1" applyFill="1" applyBorder="1" applyAlignment="1">
      <alignment horizontal="right" vertical="top"/>
    </xf>
    <xf numFmtId="0" fontId="4" fillId="7" borderId="3" xfId="0" applyFont="1" applyFill="1" applyBorder="1" applyAlignment="1">
      <alignment horizontal="right" vertical="top"/>
    </xf>
    <xf numFmtId="1" fontId="3" fillId="3" borderId="14" xfId="0" applyNumberFormat="1" applyFont="1" applyFill="1" applyBorder="1" applyAlignment="1">
      <alignment horizontal="left"/>
    </xf>
    <xf numFmtId="183" fontId="3" fillId="3" borderId="14" xfId="0" applyNumberFormat="1" applyFont="1" applyFill="1" applyBorder="1" applyAlignment="1">
      <alignment horizontal="right"/>
    </xf>
    <xf numFmtId="183" fontId="3" fillId="7" borderId="14" xfId="0" applyNumberFormat="1" applyFont="1" applyFill="1" applyBorder="1" applyAlignment="1">
      <alignment horizontal="right"/>
    </xf>
    <xf numFmtId="183" fontId="3" fillId="7" borderId="24" xfId="0" applyNumberFormat="1" applyFont="1" applyFill="1" applyBorder="1" applyAlignment="1">
      <alignment horizontal="right"/>
    </xf>
    <xf numFmtId="183" fontId="3" fillId="7" borderId="28" xfId="0" applyNumberFormat="1" applyFont="1" applyFill="1" applyBorder="1" applyAlignment="1">
      <alignment horizontal="right"/>
    </xf>
    <xf numFmtId="184" fontId="3" fillId="7" borderId="14" xfId="0" applyNumberFormat="1" applyFont="1" applyFill="1" applyBorder="1" applyAlignment="1">
      <alignment horizontal="right"/>
    </xf>
    <xf numFmtId="1" fontId="5" fillId="3" borderId="14" xfId="0" applyNumberFormat="1" applyFont="1" applyFill="1" applyBorder="1" applyAlignment="1">
      <alignment horizontal="left"/>
    </xf>
    <xf numFmtId="183" fontId="5" fillId="7" borderId="14" xfId="0" applyNumberFormat="1" applyFont="1" applyFill="1" applyBorder="1" applyAlignment="1">
      <alignment horizontal="right"/>
    </xf>
    <xf numFmtId="183" fontId="5" fillId="3" borderId="14" xfId="0" applyNumberFormat="1" applyFont="1" applyFill="1" applyBorder="1" applyAlignment="1">
      <alignment horizontal="right"/>
    </xf>
    <xf numFmtId="183" fontId="5" fillId="7" borderId="28" xfId="0" applyNumberFormat="1" applyFont="1" applyFill="1" applyBorder="1" applyAlignment="1">
      <alignment horizontal="right"/>
    </xf>
    <xf numFmtId="183" fontId="5" fillId="0" borderId="0" xfId="0" applyNumberFormat="1" applyFont="1" applyFill="1" applyBorder="1" applyAlignment="1">
      <alignment horizontal="right"/>
    </xf>
    <xf numFmtId="184" fontId="5" fillId="7" borderId="14" xfId="0" applyNumberFormat="1" applyFont="1" applyFill="1" applyBorder="1" applyAlignment="1">
      <alignment horizontal="right"/>
    </xf>
    <xf numFmtId="1" fontId="3" fillId="3" borderId="5" xfId="0" applyNumberFormat="1" applyFont="1" applyFill="1" applyBorder="1" applyAlignment="1">
      <alignment horizontal="left" vertical="center"/>
    </xf>
    <xf numFmtId="183" fontId="54" fillId="7" borderId="5" xfId="0" applyNumberFormat="1" applyFont="1" applyFill="1" applyBorder="1" applyAlignment="1">
      <alignment horizontal="right" vertical="center"/>
    </xf>
    <xf numFmtId="183" fontId="3" fillId="3" borderId="5" xfId="0" applyNumberFormat="1" applyFont="1" applyFill="1" applyBorder="1" applyAlignment="1">
      <alignment horizontal="right" vertical="center"/>
    </xf>
    <xf numFmtId="183" fontId="3" fillId="7" borderId="5" xfId="0" applyNumberFormat="1" applyFont="1" applyFill="1" applyBorder="1" applyAlignment="1">
      <alignment horizontal="right" vertical="center"/>
    </xf>
    <xf numFmtId="183" fontId="3" fillId="7" borderId="29" xfId="0" applyNumberFormat="1" applyFont="1" applyFill="1" applyBorder="1" applyAlignment="1">
      <alignment horizontal="right" vertical="center"/>
    </xf>
    <xf numFmtId="183" fontId="3" fillId="0" borderId="0" xfId="0" applyNumberFormat="1" applyFont="1" applyFill="1" applyBorder="1" applyAlignment="1">
      <alignment horizontal="right" vertical="center"/>
    </xf>
    <xf numFmtId="1" fontId="2" fillId="0" borderId="0" xfId="0" applyNumberFormat="1" applyFont="1" applyFill="1" applyBorder="1" applyAlignment="1">
      <alignment horizontal="left"/>
    </xf>
    <xf numFmtId="1" fontId="3" fillId="0" borderId="3" xfId="0" applyNumberFormat="1" applyFont="1" applyFill="1" applyBorder="1" applyAlignment="1">
      <alignment horizontal="left"/>
    </xf>
    <xf numFmtId="183" fontId="3" fillId="0" borderId="3" xfId="0" applyNumberFormat="1" applyFont="1" applyFill="1" applyBorder="1" applyAlignment="1">
      <alignment horizontal="right"/>
    </xf>
    <xf numFmtId="184" fontId="3" fillId="0" borderId="3" xfId="0" applyNumberFormat="1" applyFont="1" applyFill="1" applyBorder="1" applyAlignment="1">
      <alignment horizontal="right"/>
    </xf>
    <xf numFmtId="184" fontId="3" fillId="7" borderId="24" xfId="0" applyNumberFormat="1" applyFont="1" applyFill="1" applyBorder="1" applyAlignment="1">
      <alignment horizontal="right"/>
    </xf>
    <xf numFmtId="184" fontId="3" fillId="7" borderId="22" xfId="0" applyNumberFormat="1" applyFont="1" applyFill="1" applyBorder="1" applyAlignment="1">
      <alignment horizontal="right"/>
    </xf>
    <xf numFmtId="0" fontId="38" fillId="0" borderId="0" xfId="0" applyFont="1" applyBorder="1"/>
    <xf numFmtId="184" fontId="5" fillId="7" borderId="4" xfId="0" applyNumberFormat="1" applyFont="1" applyFill="1" applyBorder="1" applyAlignment="1">
      <alignment horizontal="right"/>
    </xf>
    <xf numFmtId="184" fontId="5" fillId="7" borderId="22" xfId="0" applyNumberFormat="1" applyFont="1" applyFill="1" applyBorder="1" applyAlignment="1">
      <alignment horizontal="right"/>
    </xf>
    <xf numFmtId="184" fontId="54" fillId="7" borderId="7" xfId="0" applyNumberFormat="1" applyFont="1" applyFill="1" applyBorder="1" applyAlignment="1">
      <alignment horizontal="right" vertical="center"/>
    </xf>
    <xf numFmtId="184" fontId="3" fillId="7" borderId="22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vertical="center"/>
    </xf>
    <xf numFmtId="182" fontId="0" fillId="0" borderId="0" xfId="0" applyNumberFormat="1" applyFill="1"/>
    <xf numFmtId="0" fontId="2" fillId="0" borderId="0" xfId="18" applyFont="1"/>
    <xf numFmtId="0" fontId="4" fillId="0" borderId="0" xfId="18" applyFont="1"/>
    <xf numFmtId="0" fontId="74" fillId="0" borderId="0" xfId="18"/>
    <xf numFmtId="0" fontId="76" fillId="0" borderId="0" xfId="18" applyFont="1"/>
    <xf numFmtId="0" fontId="4" fillId="0" borderId="13" xfId="18" applyFont="1" applyBorder="1"/>
    <xf numFmtId="0" fontId="74" fillId="0" borderId="13" xfId="18" applyBorder="1"/>
    <xf numFmtId="0" fontId="4" fillId="7" borderId="0" xfId="18" applyFont="1" applyFill="1" applyAlignment="1">
      <alignment horizontal="right"/>
    </xf>
    <xf numFmtId="0" fontId="4" fillId="3" borderId="0" xfId="18" applyFont="1" applyFill="1" applyAlignment="1">
      <alignment horizontal="right"/>
    </xf>
    <xf numFmtId="0" fontId="4" fillId="0" borderId="0" xfId="18" applyFont="1" applyFill="1" applyAlignment="1">
      <alignment horizontal="right"/>
    </xf>
    <xf numFmtId="184" fontId="23" fillId="3" borderId="0" xfId="18" applyNumberFormat="1" applyFont="1" applyFill="1" applyBorder="1" applyAlignment="1">
      <alignment horizontal="center"/>
    </xf>
    <xf numFmtId="184" fontId="23" fillId="7" borderId="0" xfId="18" applyNumberFormat="1" applyFont="1" applyFill="1" applyBorder="1" applyAlignment="1">
      <alignment horizontal="center"/>
    </xf>
    <xf numFmtId="184" fontId="23" fillId="0" borderId="0" xfId="18" applyNumberFormat="1" applyFont="1" applyFill="1" applyBorder="1" applyAlignment="1">
      <alignment horizontal="center"/>
    </xf>
    <xf numFmtId="2" fontId="74" fillId="0" borderId="0" xfId="18" applyNumberFormat="1"/>
    <xf numFmtId="183" fontId="74" fillId="0" borderId="0" xfId="18" applyNumberFormat="1" applyAlignment="1">
      <alignment horizontal="right"/>
    </xf>
    <xf numFmtId="0" fontId="74" fillId="0" borderId="0" xfId="18" applyAlignment="1">
      <alignment horizontal="right"/>
    </xf>
    <xf numFmtId="2" fontId="74" fillId="0" borderId="0" xfId="18" applyNumberFormat="1" applyAlignment="1">
      <alignment horizontal="right"/>
    </xf>
    <xf numFmtId="0" fontId="73" fillId="7" borderId="0" xfId="18" applyFont="1" applyFill="1" applyBorder="1" applyAlignment="1">
      <alignment horizontal="left"/>
    </xf>
    <xf numFmtId="0" fontId="4" fillId="7" borderId="0" xfId="18" applyFont="1" applyFill="1" applyBorder="1" applyAlignment="1">
      <alignment horizontal="right"/>
    </xf>
    <xf numFmtId="0" fontId="8" fillId="3" borderId="0" xfId="18" applyFont="1" applyFill="1" applyAlignment="1">
      <alignment horizontal="center"/>
    </xf>
    <xf numFmtId="0" fontId="8" fillId="7" borderId="0" xfId="18" applyFont="1" applyFill="1" applyAlignment="1">
      <alignment horizontal="center"/>
    </xf>
    <xf numFmtId="0" fontId="8" fillId="0" borderId="0" xfId="18" applyFont="1" applyFill="1" applyAlignment="1">
      <alignment horizontal="center"/>
    </xf>
    <xf numFmtId="0" fontId="73" fillId="3" borderId="0" xfId="18" applyFont="1" applyFill="1" applyAlignment="1">
      <alignment horizontal="center"/>
    </xf>
    <xf numFmtId="183" fontId="74" fillId="0" borderId="0" xfId="18" applyNumberFormat="1"/>
    <xf numFmtId="0" fontId="4" fillId="7" borderId="0" xfId="18" applyFont="1" applyFill="1" applyBorder="1"/>
    <xf numFmtId="0" fontId="4" fillId="3" borderId="0" xfId="18" applyFont="1" applyFill="1" applyAlignment="1">
      <alignment horizontal="center"/>
    </xf>
    <xf numFmtId="0" fontId="4" fillId="7" borderId="0" xfId="18" applyFont="1" applyFill="1" applyAlignment="1">
      <alignment horizontal="center"/>
    </xf>
    <xf numFmtId="0" fontId="4" fillId="0" borderId="0" xfId="18" applyFont="1" applyFill="1" applyAlignment="1">
      <alignment horizontal="center"/>
    </xf>
    <xf numFmtId="0" fontId="8" fillId="7" borderId="0" xfId="18" applyFont="1" applyFill="1" applyBorder="1"/>
    <xf numFmtId="0" fontId="4" fillId="3" borderId="0" xfId="18" applyFont="1" applyFill="1" applyBorder="1" applyAlignment="1">
      <alignment horizontal="center"/>
    </xf>
    <xf numFmtId="0" fontId="4" fillId="7" borderId="0" xfId="18" applyFont="1" applyFill="1" applyBorder="1" applyAlignment="1">
      <alignment horizontal="center"/>
    </xf>
    <xf numFmtId="0" fontId="4" fillId="0" borderId="0" xfId="18" applyFont="1" applyFill="1" applyBorder="1" applyAlignment="1">
      <alignment horizontal="center"/>
    </xf>
    <xf numFmtId="184" fontId="23" fillId="3" borderId="0" xfId="18" applyNumberFormat="1" applyFont="1" applyFill="1" applyBorder="1" applyAlignment="1">
      <alignment horizontal="center" vertical="top"/>
    </xf>
    <xf numFmtId="184" fontId="23" fillId="7" borderId="0" xfId="18" applyNumberFormat="1" applyFont="1" applyFill="1" applyBorder="1" applyAlignment="1">
      <alignment horizontal="center" vertical="top"/>
    </xf>
    <xf numFmtId="184" fontId="23" fillId="0" borderId="0" xfId="18" applyNumberFormat="1" applyFont="1" applyFill="1" applyBorder="1" applyAlignment="1">
      <alignment horizontal="center" vertical="top"/>
    </xf>
    <xf numFmtId="183" fontId="76" fillId="0" borderId="0" xfId="18" applyNumberFormat="1" applyFont="1"/>
    <xf numFmtId="0" fontId="8" fillId="7" borderId="3" xfId="18" applyFont="1" applyFill="1" applyBorder="1"/>
    <xf numFmtId="0" fontId="4" fillId="7" borderId="3" xfId="18" applyFont="1" applyFill="1" applyBorder="1"/>
    <xf numFmtId="0" fontId="4" fillId="3" borderId="3" xfId="18" applyFont="1" applyFill="1" applyBorder="1"/>
    <xf numFmtId="0" fontId="4" fillId="0" borderId="3" xfId="18" applyFont="1" applyFill="1" applyBorder="1"/>
    <xf numFmtId="0" fontId="23" fillId="7" borderId="3" xfId="18" applyFont="1" applyFill="1" applyBorder="1" applyAlignment="1">
      <alignment horizontal="center"/>
    </xf>
    <xf numFmtId="0" fontId="23" fillId="0" borderId="3" xfId="18" applyFont="1" applyFill="1" applyBorder="1" applyAlignment="1">
      <alignment horizontal="center"/>
    </xf>
    <xf numFmtId="0" fontId="8" fillId="7" borderId="6" xfId="18" applyFont="1" applyFill="1" applyBorder="1"/>
    <xf numFmtId="0" fontId="4" fillId="7" borderId="6" xfId="18" applyFont="1" applyFill="1" applyBorder="1"/>
    <xf numFmtId="183" fontId="8" fillId="3" borderId="4" xfId="18" applyNumberFormat="1" applyFont="1" applyFill="1" applyBorder="1" applyAlignment="1">
      <alignment horizontal="left"/>
    </xf>
    <xf numFmtId="183" fontId="8" fillId="7" borderId="4" xfId="18" applyNumberFormat="1" applyFont="1" applyFill="1" applyBorder="1" applyAlignment="1">
      <alignment horizontal="left"/>
    </xf>
    <xf numFmtId="183" fontId="8" fillId="0" borderId="4" xfId="18" applyNumberFormat="1" applyFont="1" applyFill="1" applyBorder="1" applyAlignment="1">
      <alignment horizontal="left"/>
    </xf>
    <xf numFmtId="184" fontId="8" fillId="3" borderId="4" xfId="18" applyNumberFormat="1" applyFont="1" applyFill="1" applyBorder="1" applyAlignment="1">
      <alignment horizontal="left"/>
    </xf>
    <xf numFmtId="184" fontId="8" fillId="7" borderId="4" xfId="18" applyNumberFormat="1" applyFont="1" applyFill="1" applyBorder="1" applyAlignment="1">
      <alignment horizontal="left"/>
    </xf>
    <xf numFmtId="184" fontId="8" fillId="0" borderId="4" xfId="18" applyNumberFormat="1" applyFont="1" applyFill="1" applyBorder="1" applyAlignment="1">
      <alignment horizontal="left"/>
    </xf>
    <xf numFmtId="3" fontId="73" fillId="3" borderId="4" xfId="18" applyNumberFormat="1" applyFont="1" applyFill="1" applyBorder="1" applyAlignment="1">
      <alignment horizontal="left"/>
    </xf>
    <xf numFmtId="0" fontId="4" fillId="7" borderId="7" xfId="18" applyFont="1" applyFill="1" applyBorder="1"/>
    <xf numFmtId="0" fontId="79" fillId="7" borderId="7" xfId="18" applyFont="1" applyFill="1" applyBorder="1"/>
    <xf numFmtId="183" fontId="4" fillId="3" borderId="7" xfId="18" applyNumberFormat="1" applyFont="1" applyFill="1" applyBorder="1"/>
    <xf numFmtId="183" fontId="4" fillId="7" borderId="7" xfId="18" applyNumberFormat="1" applyFont="1" applyFill="1" applyBorder="1"/>
    <xf numFmtId="183" fontId="4" fillId="0" borderId="7" xfId="18" applyNumberFormat="1" applyFont="1" applyFill="1" applyBorder="1"/>
    <xf numFmtId="184" fontId="4" fillId="3" borderId="7" xfId="18" applyNumberFormat="1" applyFont="1" applyFill="1" applyBorder="1"/>
    <xf numFmtId="184" fontId="4" fillId="7" borderId="7" xfId="18" applyNumberFormat="1" applyFont="1" applyFill="1" applyBorder="1"/>
    <xf numFmtId="184" fontId="4" fillId="0" borderId="7" xfId="18" applyNumberFormat="1" applyFont="1" applyFill="1" applyBorder="1"/>
    <xf numFmtId="3" fontId="26" fillId="3" borderId="7" xfId="18" applyNumberFormat="1" applyFont="1" applyFill="1" applyBorder="1"/>
    <xf numFmtId="0" fontId="75" fillId="0" borderId="0" xfId="18" applyFont="1"/>
    <xf numFmtId="0" fontId="8" fillId="7" borderId="7" xfId="18" applyFont="1" applyFill="1" applyBorder="1"/>
    <xf numFmtId="183" fontId="8" fillId="3" borderId="7" xfId="18" applyNumberFormat="1" applyFont="1" applyFill="1" applyBorder="1" applyAlignment="1">
      <alignment horizontal="left"/>
    </xf>
    <xf numFmtId="183" fontId="8" fillId="7" borderId="7" xfId="18" applyNumberFormat="1" applyFont="1" applyFill="1" applyBorder="1" applyAlignment="1">
      <alignment horizontal="left"/>
    </xf>
    <xf numFmtId="183" fontId="8" fillId="0" borderId="7" xfId="18" applyNumberFormat="1" applyFont="1" applyFill="1" applyBorder="1" applyAlignment="1">
      <alignment horizontal="left"/>
    </xf>
    <xf numFmtId="184" fontId="8" fillId="3" borderId="7" xfId="18" applyNumberFormat="1" applyFont="1" applyFill="1" applyBorder="1" applyAlignment="1">
      <alignment horizontal="left"/>
    </xf>
    <xf numFmtId="184" fontId="8" fillId="7" borderId="7" xfId="18" applyNumberFormat="1" applyFont="1" applyFill="1" applyBorder="1" applyAlignment="1">
      <alignment horizontal="left"/>
    </xf>
    <xf numFmtId="184" fontId="8" fillId="0" borderId="7" xfId="18" applyNumberFormat="1" applyFont="1" applyFill="1" applyBorder="1" applyAlignment="1">
      <alignment horizontal="left"/>
    </xf>
    <xf numFmtId="3" fontId="73" fillId="3" borderId="7" xfId="18" applyNumberFormat="1" applyFont="1" applyFill="1" applyBorder="1" applyAlignment="1">
      <alignment horizontal="left"/>
    </xf>
    <xf numFmtId="0" fontId="23" fillId="7" borderId="7" xfId="18" applyFont="1" applyFill="1" applyBorder="1"/>
    <xf numFmtId="0" fontId="18" fillId="7" borderId="7" xfId="18" applyFont="1" applyFill="1" applyBorder="1"/>
    <xf numFmtId="183" fontId="18" fillId="3" borderId="7" xfId="18" applyNumberFormat="1" applyFont="1" applyFill="1" applyBorder="1" applyAlignment="1">
      <alignment horizontal="center"/>
    </xf>
    <xf numFmtId="183" fontId="18" fillId="7" borderId="7" xfId="18" applyNumberFormat="1" applyFont="1" applyFill="1" applyBorder="1" applyAlignment="1">
      <alignment horizontal="center"/>
    </xf>
    <xf numFmtId="183" fontId="18" fillId="0" borderId="7" xfId="18" applyNumberFormat="1" applyFont="1" applyFill="1" applyBorder="1" applyAlignment="1">
      <alignment horizontal="center"/>
    </xf>
    <xf numFmtId="184" fontId="18" fillId="3" borderId="7" xfId="18" applyNumberFormat="1" applyFont="1" applyFill="1" applyBorder="1" applyAlignment="1">
      <alignment horizontal="center"/>
    </xf>
    <xf numFmtId="184" fontId="18" fillId="7" borderId="7" xfId="18" applyNumberFormat="1" applyFont="1" applyFill="1" applyBorder="1" applyAlignment="1">
      <alignment horizontal="center"/>
    </xf>
    <xf numFmtId="184" fontId="18" fillId="0" borderId="7" xfId="18" applyNumberFormat="1" applyFont="1" applyFill="1" applyBorder="1" applyAlignment="1">
      <alignment horizontal="center"/>
    </xf>
    <xf numFmtId="3" fontId="67" fillId="3" borderId="7" xfId="18" applyNumberFormat="1" applyFont="1" applyFill="1" applyBorder="1" applyAlignment="1">
      <alignment horizontal="center"/>
    </xf>
    <xf numFmtId="0" fontId="81" fillId="0" borderId="0" xfId="18" applyFont="1"/>
    <xf numFmtId="0" fontId="4" fillId="7" borderId="4" xfId="18" applyFont="1" applyFill="1" applyBorder="1"/>
    <xf numFmtId="183" fontId="4" fillId="3" borderId="4" xfId="18" applyNumberFormat="1" applyFont="1" applyFill="1" applyBorder="1"/>
    <xf numFmtId="183" fontId="4" fillId="7" borderId="4" xfId="18" applyNumberFormat="1" applyFont="1" applyFill="1" applyBorder="1"/>
    <xf numFmtId="183" fontId="4" fillId="0" borderId="4" xfId="18" applyNumberFormat="1" applyFont="1" applyFill="1" applyBorder="1"/>
    <xf numFmtId="184" fontId="4" fillId="3" borderId="4" xfId="18" applyNumberFormat="1" applyFont="1" applyFill="1" applyBorder="1"/>
    <xf numFmtId="184" fontId="4" fillId="7" borderId="4" xfId="18" applyNumberFormat="1" applyFont="1" applyFill="1" applyBorder="1"/>
    <xf numFmtId="184" fontId="4" fillId="0" borderId="4" xfId="18" applyNumberFormat="1" applyFont="1" applyFill="1" applyBorder="1"/>
    <xf numFmtId="3" fontId="26" fillId="3" borderId="4" xfId="18" applyNumberFormat="1" applyFont="1" applyFill="1" applyBorder="1"/>
    <xf numFmtId="0" fontId="8" fillId="7" borderId="7" xfId="18" applyFont="1" applyFill="1" applyBorder="1" applyAlignment="1">
      <alignment horizontal="left"/>
    </xf>
    <xf numFmtId="0" fontId="76" fillId="0" borderId="0" xfId="18" applyFont="1" applyAlignment="1">
      <alignment horizontal="left"/>
    </xf>
    <xf numFmtId="183" fontId="23" fillId="3" borderId="7" xfId="18" applyNumberFormat="1" applyFont="1" applyFill="1" applyBorder="1"/>
    <xf numFmtId="183" fontId="23" fillId="7" borderId="7" xfId="18" applyNumberFormat="1" applyFont="1" applyFill="1" applyBorder="1"/>
    <xf numFmtId="183" fontId="23" fillId="0" borderId="7" xfId="18" applyNumberFormat="1" applyFont="1" applyFill="1" applyBorder="1"/>
    <xf numFmtId="184" fontId="23" fillId="3" borderId="7" xfId="18" applyNumberFormat="1" applyFont="1" applyFill="1" applyBorder="1"/>
    <xf numFmtId="184" fontId="23" fillId="7" borderId="7" xfId="18" applyNumberFormat="1" applyFont="1" applyFill="1" applyBorder="1"/>
    <xf numFmtId="184" fontId="23" fillId="0" borderId="7" xfId="18" applyNumberFormat="1" applyFont="1" applyFill="1" applyBorder="1"/>
    <xf numFmtId="183" fontId="23" fillId="3" borderId="7" xfId="18" applyNumberFormat="1" applyFont="1" applyFill="1" applyBorder="1" applyAlignment="1">
      <alignment horizontal="right"/>
    </xf>
    <xf numFmtId="183" fontId="23" fillId="7" borderId="7" xfId="18" applyNumberFormat="1" applyFont="1" applyFill="1" applyBorder="1" applyAlignment="1">
      <alignment horizontal="right"/>
    </xf>
    <xf numFmtId="183" fontId="23" fillId="0" borderId="7" xfId="18" applyNumberFormat="1" applyFont="1" applyFill="1" applyBorder="1" applyAlignment="1">
      <alignment horizontal="right"/>
    </xf>
    <xf numFmtId="184" fontId="23" fillId="3" borderId="7" xfId="18" applyNumberFormat="1" applyFont="1" applyFill="1" applyBorder="1" applyAlignment="1">
      <alignment horizontal="right"/>
    </xf>
    <xf numFmtId="184" fontId="23" fillId="7" borderId="7" xfId="18" applyNumberFormat="1" applyFont="1" applyFill="1" applyBorder="1" applyAlignment="1">
      <alignment horizontal="right"/>
    </xf>
    <xf numFmtId="184" fontId="23" fillId="0" borderId="7" xfId="18" applyNumberFormat="1" applyFont="1" applyFill="1" applyBorder="1" applyAlignment="1">
      <alignment horizontal="right"/>
    </xf>
    <xf numFmtId="183" fontId="18" fillId="0" borderId="7" xfId="18" applyNumberFormat="1" applyFont="1" applyFill="1" applyBorder="1" applyAlignment="1">
      <alignment horizontal="right"/>
    </xf>
    <xf numFmtId="184" fontId="18" fillId="3" borderId="7" xfId="18" applyNumberFormat="1" applyFont="1" applyFill="1" applyBorder="1" applyAlignment="1">
      <alignment horizontal="right"/>
    </xf>
    <xf numFmtId="184" fontId="18" fillId="7" borderId="7" xfId="18" applyNumberFormat="1" applyFont="1" applyFill="1" applyBorder="1" applyAlignment="1">
      <alignment horizontal="right"/>
    </xf>
    <xf numFmtId="184" fontId="18" fillId="0" borderId="7" xfId="18" applyNumberFormat="1" applyFont="1" applyFill="1" applyBorder="1" applyAlignment="1">
      <alignment horizontal="right"/>
    </xf>
    <xf numFmtId="183" fontId="4" fillId="0" borderId="7" xfId="18" applyNumberFormat="1" applyFont="1" applyFill="1" applyBorder="1" applyAlignment="1">
      <alignment horizontal="center"/>
    </xf>
    <xf numFmtId="184" fontId="4" fillId="0" borderId="7" xfId="18" applyNumberFormat="1" applyFont="1" applyFill="1" applyBorder="1" applyAlignment="1">
      <alignment horizontal="center"/>
    </xf>
    <xf numFmtId="183" fontId="8" fillId="3" borderId="7" xfId="18" applyNumberFormat="1" applyFont="1" applyFill="1" applyBorder="1"/>
    <xf numFmtId="183" fontId="8" fillId="7" borderId="7" xfId="18" applyNumberFormat="1" applyFont="1" applyFill="1" applyBorder="1"/>
    <xf numFmtId="183" fontId="26" fillId="3" borderId="7" xfId="18" applyNumberFormat="1" applyFont="1" applyFill="1" applyBorder="1"/>
    <xf numFmtId="0" fontId="8" fillId="7" borderId="5" xfId="18" applyFont="1" applyFill="1" applyBorder="1"/>
    <xf numFmtId="0" fontId="23" fillId="7" borderId="5" xfId="18" applyFont="1" applyFill="1" applyBorder="1"/>
    <xf numFmtId="183" fontId="8" fillId="3" borderId="5" xfId="18" applyNumberFormat="1" applyFont="1" applyFill="1" applyBorder="1" applyAlignment="1">
      <alignment horizontal="left"/>
    </xf>
    <xf numFmtId="183" fontId="8" fillId="7" borderId="5" xfId="18" applyNumberFormat="1" applyFont="1" applyFill="1" applyBorder="1" applyAlignment="1">
      <alignment horizontal="left"/>
    </xf>
    <xf numFmtId="183" fontId="8" fillId="0" borderId="5" xfId="18" applyNumberFormat="1" applyFont="1" applyFill="1" applyBorder="1" applyAlignment="1">
      <alignment horizontal="left"/>
    </xf>
    <xf numFmtId="184" fontId="8" fillId="3" borderId="5" xfId="18" applyNumberFormat="1" applyFont="1" applyFill="1" applyBorder="1" applyAlignment="1">
      <alignment horizontal="left"/>
    </xf>
    <xf numFmtId="184" fontId="8" fillId="7" borderId="5" xfId="18" applyNumberFormat="1" applyFont="1" applyFill="1" applyBorder="1" applyAlignment="1">
      <alignment horizontal="left"/>
    </xf>
    <xf numFmtId="184" fontId="8" fillId="0" borderId="5" xfId="18" applyNumberFormat="1" applyFont="1" applyFill="1" applyBorder="1" applyAlignment="1">
      <alignment horizontal="left"/>
    </xf>
    <xf numFmtId="3" fontId="73" fillId="3" borderId="5" xfId="18" applyNumberFormat="1" applyFont="1" applyFill="1" applyBorder="1" applyAlignment="1">
      <alignment horizontal="left"/>
    </xf>
    <xf numFmtId="0" fontId="18" fillId="0" borderId="0" xfId="18" applyFont="1" applyBorder="1"/>
    <xf numFmtId="0" fontId="4" fillId="0" borderId="0" xfId="18" applyFont="1" applyBorder="1"/>
    <xf numFmtId="0" fontId="18" fillId="0" borderId="0" xfId="18" applyFont="1"/>
    <xf numFmtId="10" fontId="74" fillId="0" borderId="0" xfId="18" applyNumberFormat="1"/>
    <xf numFmtId="0" fontId="74" fillId="0" borderId="0" xfId="18" applyBorder="1"/>
    <xf numFmtId="0" fontId="83" fillId="0" borderId="0" xfId="18" applyFont="1"/>
    <xf numFmtId="0" fontId="4" fillId="0" borderId="0" xfId="19" applyFont="1"/>
    <xf numFmtId="0" fontId="2" fillId="0" borderId="0" xfId="19" applyFont="1"/>
    <xf numFmtId="0" fontId="74" fillId="0" borderId="0" xfId="19"/>
    <xf numFmtId="0" fontId="4" fillId="0" borderId="13" xfId="19" applyFont="1" applyBorder="1"/>
    <xf numFmtId="0" fontId="4" fillId="7" borderId="8" xfId="19" applyFont="1" applyFill="1" applyBorder="1" applyAlignment="1">
      <alignment horizontal="right"/>
    </xf>
    <xf numFmtId="0" fontId="4" fillId="3" borderId="8" xfId="19" applyFont="1" applyFill="1" applyBorder="1" applyAlignment="1">
      <alignment horizontal="right"/>
    </xf>
    <xf numFmtId="184" fontId="23" fillId="7" borderId="0" xfId="19" applyNumberFormat="1" applyFont="1" applyFill="1" applyBorder="1" applyAlignment="1">
      <alignment horizontal="center"/>
    </xf>
    <xf numFmtId="184" fontId="23" fillId="3" borderId="0" xfId="19" applyNumberFormat="1" applyFont="1" applyFill="1" applyBorder="1" applyAlignment="1">
      <alignment horizontal="center"/>
    </xf>
    <xf numFmtId="184" fontId="23" fillId="0" borderId="0" xfId="19" applyNumberFormat="1" applyFont="1" applyFill="1" applyBorder="1" applyAlignment="1">
      <alignment horizontal="center"/>
    </xf>
    <xf numFmtId="0" fontId="23" fillId="7" borderId="8" xfId="19" applyFont="1" applyFill="1" applyBorder="1" applyAlignment="1">
      <alignment horizontal="center"/>
    </xf>
    <xf numFmtId="0" fontId="23" fillId="0" borderId="8" xfId="19" applyFont="1" applyFill="1" applyBorder="1" applyAlignment="1">
      <alignment horizontal="center"/>
    </xf>
    <xf numFmtId="0" fontId="73" fillId="3" borderId="8" xfId="19" applyFont="1" applyFill="1" applyBorder="1" applyAlignment="1">
      <alignment horizontal="center"/>
    </xf>
    <xf numFmtId="0" fontId="73" fillId="7" borderId="0" xfId="19" applyFont="1" applyFill="1" applyBorder="1" applyAlignment="1">
      <alignment horizontal="left"/>
    </xf>
    <xf numFmtId="0" fontId="4" fillId="7" borderId="0" xfId="19" applyFont="1" applyFill="1" applyBorder="1" applyAlignment="1">
      <alignment horizontal="right"/>
    </xf>
    <xf numFmtId="0" fontId="8" fillId="3" borderId="0" xfId="19" applyFont="1" applyFill="1" applyBorder="1" applyAlignment="1">
      <alignment horizontal="center"/>
    </xf>
    <xf numFmtId="0" fontId="8" fillId="7" borderId="0" xfId="19" applyFont="1" applyFill="1" applyBorder="1" applyAlignment="1">
      <alignment horizontal="center"/>
    </xf>
    <xf numFmtId="0" fontId="8" fillId="0" borderId="0" xfId="19" applyFont="1" applyFill="1" applyBorder="1" applyAlignment="1">
      <alignment horizontal="center"/>
    </xf>
    <xf numFmtId="0" fontId="23" fillId="7" borderId="0" xfId="19" applyFont="1" applyFill="1" applyBorder="1" applyAlignment="1">
      <alignment horizontal="center"/>
    </xf>
    <xf numFmtId="0" fontId="23" fillId="0" borderId="0" xfId="19" applyFont="1" applyFill="1" applyBorder="1" applyAlignment="1">
      <alignment horizontal="center"/>
    </xf>
    <xf numFmtId="0" fontId="73" fillId="3" borderId="0" xfId="19" applyFont="1" applyFill="1" applyBorder="1" applyAlignment="1">
      <alignment horizontal="center"/>
    </xf>
    <xf numFmtId="0" fontId="4" fillId="3" borderId="0" xfId="19" applyFont="1" applyFill="1" applyBorder="1" applyAlignment="1">
      <alignment horizontal="center"/>
    </xf>
    <xf numFmtId="0" fontId="4" fillId="7" borderId="0" xfId="19" applyFont="1" applyFill="1" applyBorder="1" applyAlignment="1">
      <alignment horizontal="center"/>
    </xf>
    <xf numFmtId="184" fontId="23" fillId="7" borderId="0" xfId="19" applyNumberFormat="1" applyFont="1" applyFill="1" applyBorder="1" applyAlignment="1">
      <alignment horizontal="center" vertical="top"/>
    </xf>
    <xf numFmtId="184" fontId="23" fillId="3" borderId="0" xfId="19" applyNumberFormat="1" applyFont="1" applyFill="1" applyBorder="1" applyAlignment="1">
      <alignment horizontal="center" vertical="top"/>
    </xf>
    <xf numFmtId="184" fontId="23" fillId="0" borderId="0" xfId="19" applyNumberFormat="1" applyFont="1" applyFill="1" applyBorder="1" applyAlignment="1">
      <alignment horizontal="center" vertical="top"/>
    </xf>
    <xf numFmtId="0" fontId="73" fillId="7" borderId="3" xfId="19" applyFont="1" applyFill="1" applyBorder="1" applyAlignment="1">
      <alignment horizontal="left"/>
    </xf>
    <xf numFmtId="0" fontId="4" fillId="7" borderId="3" xfId="19" applyFont="1" applyFill="1" applyBorder="1"/>
    <xf numFmtId="0" fontId="4" fillId="3" borderId="3" xfId="19" applyFont="1" applyFill="1" applyBorder="1" applyAlignment="1">
      <alignment horizontal="center"/>
    </xf>
    <xf numFmtId="0" fontId="4" fillId="7" borderId="3" xfId="19" applyFont="1" applyFill="1" applyBorder="1" applyAlignment="1">
      <alignment horizontal="center"/>
    </xf>
    <xf numFmtId="184" fontId="23" fillId="7" borderId="3" xfId="19" applyNumberFormat="1" applyFont="1" applyFill="1" applyBorder="1" applyAlignment="1">
      <alignment horizontal="center" vertical="top"/>
    </xf>
    <xf numFmtId="184" fontId="23" fillId="3" borderId="3" xfId="19" applyNumberFormat="1" applyFont="1" applyFill="1" applyBorder="1" applyAlignment="1">
      <alignment horizontal="center" vertical="top"/>
    </xf>
    <xf numFmtId="184" fontId="23" fillId="0" borderId="3" xfId="19" applyNumberFormat="1" applyFont="1" applyFill="1" applyBorder="1" applyAlignment="1">
      <alignment horizontal="center" vertical="top"/>
    </xf>
    <xf numFmtId="0" fontId="23" fillId="7" borderId="3" xfId="19" applyFont="1" applyFill="1" applyBorder="1" applyAlignment="1">
      <alignment horizontal="center"/>
    </xf>
    <xf numFmtId="0" fontId="23" fillId="0" borderId="3" xfId="19" applyFont="1" applyFill="1" applyBorder="1" applyAlignment="1">
      <alignment horizontal="center"/>
    </xf>
    <xf numFmtId="0" fontId="8" fillId="7" borderId="4" xfId="19" applyFont="1" applyFill="1" applyBorder="1"/>
    <xf numFmtId="0" fontId="4" fillId="7" borderId="4" xfId="19" applyFont="1" applyFill="1" applyBorder="1"/>
    <xf numFmtId="183" fontId="4" fillId="3" borderId="4" xfId="19" applyNumberFormat="1" applyFont="1" applyFill="1" applyBorder="1" applyAlignment="1">
      <alignment horizontal="center"/>
    </xf>
    <xf numFmtId="183" fontId="4" fillId="7" borderId="4" xfId="19" applyNumberFormat="1" applyFont="1" applyFill="1" applyBorder="1" applyAlignment="1">
      <alignment horizontal="center"/>
    </xf>
    <xf numFmtId="183" fontId="4" fillId="0" borderId="4" xfId="19" applyNumberFormat="1" applyFont="1" applyFill="1" applyBorder="1" applyAlignment="1">
      <alignment horizontal="center"/>
    </xf>
    <xf numFmtId="184" fontId="4" fillId="3" borderId="4" xfId="19" applyNumberFormat="1" applyFont="1" applyFill="1" applyBorder="1" applyAlignment="1">
      <alignment horizontal="center"/>
    </xf>
    <xf numFmtId="184" fontId="4" fillId="7" borderId="4" xfId="19" applyNumberFormat="1" applyFont="1" applyFill="1" applyBorder="1" applyAlignment="1">
      <alignment horizontal="center"/>
    </xf>
    <xf numFmtId="184" fontId="4" fillId="0" borderId="4" xfId="19" applyNumberFormat="1" applyFont="1" applyFill="1" applyBorder="1" applyAlignment="1">
      <alignment horizontal="center"/>
    </xf>
    <xf numFmtId="0" fontId="4" fillId="7" borderId="7" xfId="19" applyFont="1" applyFill="1" applyBorder="1"/>
    <xf numFmtId="0" fontId="23" fillId="7" borderId="7" xfId="19" applyFont="1" applyFill="1" applyBorder="1"/>
    <xf numFmtId="183" fontId="23" fillId="3" borderId="7" xfId="19" applyNumberFormat="1" applyFont="1" applyFill="1" applyBorder="1" applyAlignment="1">
      <alignment horizontal="right"/>
    </xf>
    <xf numFmtId="183" fontId="23" fillId="7" borderId="7" xfId="19" applyNumberFormat="1" applyFont="1" applyFill="1" applyBorder="1" applyAlignment="1">
      <alignment horizontal="right"/>
    </xf>
    <xf numFmtId="183" fontId="23" fillId="0" borderId="7" xfId="19" applyNumberFormat="1" applyFont="1" applyFill="1" applyBorder="1" applyAlignment="1">
      <alignment horizontal="right"/>
    </xf>
    <xf numFmtId="184" fontId="23" fillId="3" borderId="7" xfId="19" applyNumberFormat="1" applyFont="1" applyFill="1" applyBorder="1" applyAlignment="1">
      <alignment horizontal="right"/>
    </xf>
    <xf numFmtId="184" fontId="23" fillId="7" borderId="7" xfId="19" applyNumberFormat="1" applyFont="1" applyFill="1" applyBorder="1" applyAlignment="1">
      <alignment horizontal="right"/>
    </xf>
    <xf numFmtId="184" fontId="23" fillId="0" borderId="7" xfId="19" applyNumberFormat="1" applyFont="1" applyFill="1" applyBorder="1" applyAlignment="1">
      <alignment horizontal="right"/>
    </xf>
    <xf numFmtId="183" fontId="4" fillId="3" borderId="7" xfId="19" applyNumberFormat="1" applyFont="1" applyFill="1" applyBorder="1"/>
    <xf numFmtId="183" fontId="4" fillId="7" borderId="7" xfId="19" applyNumberFormat="1" applyFont="1" applyFill="1" applyBorder="1"/>
    <xf numFmtId="183" fontId="4" fillId="0" borderId="7" xfId="19" applyNumberFormat="1" applyFont="1" applyFill="1" applyBorder="1"/>
    <xf numFmtId="184" fontId="4" fillId="3" borderId="7" xfId="19" applyNumberFormat="1" applyFont="1" applyFill="1" applyBorder="1"/>
    <xf numFmtId="184" fontId="4" fillId="7" borderId="7" xfId="19" applyNumberFormat="1" applyFont="1" applyFill="1" applyBorder="1"/>
    <xf numFmtId="184" fontId="4" fillId="0" borderId="7" xfId="19" applyNumberFormat="1" applyFont="1" applyFill="1" applyBorder="1"/>
    <xf numFmtId="3" fontId="26" fillId="3" borderId="7" xfId="19" applyNumberFormat="1" applyFont="1" applyFill="1" applyBorder="1"/>
    <xf numFmtId="0" fontId="8" fillId="7" borderId="7" xfId="19" applyFont="1" applyFill="1" applyBorder="1"/>
    <xf numFmtId="183" fontId="4" fillId="3" borderId="7" xfId="19" applyNumberFormat="1" applyFont="1" applyFill="1" applyBorder="1" applyAlignment="1">
      <alignment horizontal="center"/>
    </xf>
    <xf numFmtId="183" fontId="4" fillId="7" borderId="7" xfId="19" applyNumberFormat="1" applyFont="1" applyFill="1" applyBorder="1" applyAlignment="1">
      <alignment horizontal="center"/>
    </xf>
    <xf numFmtId="184" fontId="4" fillId="0" borderId="7" xfId="19" applyNumberFormat="1" applyFont="1" applyFill="1" applyBorder="1" applyAlignment="1">
      <alignment horizontal="center"/>
    </xf>
    <xf numFmtId="184" fontId="4" fillId="3" borderId="7" xfId="19" applyNumberFormat="1" applyFont="1" applyFill="1" applyBorder="1" applyAlignment="1">
      <alignment horizontal="center"/>
    </xf>
    <xf numFmtId="184" fontId="4" fillId="7" borderId="7" xfId="19" applyNumberFormat="1" applyFont="1" applyFill="1" applyBorder="1" applyAlignment="1">
      <alignment horizontal="center"/>
    </xf>
    <xf numFmtId="3" fontId="26" fillId="0" borderId="7" xfId="19" applyNumberFormat="1" applyFont="1" applyFill="1" applyBorder="1" applyAlignment="1">
      <alignment horizontal="center"/>
    </xf>
    <xf numFmtId="3" fontId="26" fillId="3" borderId="7" xfId="19" applyNumberFormat="1" applyFont="1" applyFill="1" applyBorder="1" applyAlignment="1">
      <alignment horizontal="center"/>
    </xf>
    <xf numFmtId="0" fontId="74" fillId="0" borderId="0" xfId="19" applyFill="1"/>
    <xf numFmtId="0" fontId="4" fillId="3" borderId="7" xfId="19" applyFont="1" applyFill="1" applyBorder="1"/>
    <xf numFmtId="0" fontId="4" fillId="0" borderId="7" xfId="19" applyFont="1" applyFill="1" applyBorder="1"/>
    <xf numFmtId="183" fontId="4" fillId="0" borderId="7" xfId="19" applyNumberFormat="1" applyFont="1" applyFill="1" applyBorder="1" applyAlignment="1">
      <alignment horizontal="center"/>
    </xf>
    <xf numFmtId="3" fontId="85" fillId="3" borderId="7" xfId="19" applyNumberFormat="1" applyFont="1" applyFill="1" applyBorder="1" applyAlignment="1">
      <alignment horizontal="right"/>
    </xf>
    <xf numFmtId="183" fontId="8" fillId="3" borderId="7" xfId="19" applyNumberFormat="1" applyFont="1" applyFill="1" applyBorder="1"/>
    <xf numFmtId="183" fontId="8" fillId="7" borderId="7" xfId="19" applyNumberFormat="1" applyFont="1" applyFill="1" applyBorder="1"/>
    <xf numFmtId="183" fontId="8" fillId="0" borderId="7" xfId="19" applyNumberFormat="1" applyFont="1" applyFill="1" applyBorder="1"/>
    <xf numFmtId="184" fontId="8" fillId="3" borderId="7" xfId="19" applyNumberFormat="1" applyFont="1" applyFill="1" applyBorder="1"/>
    <xf numFmtId="184" fontId="8" fillId="7" borderId="7" xfId="19" applyNumberFormat="1" applyFont="1" applyFill="1" applyBorder="1"/>
    <xf numFmtId="184" fontId="8" fillId="0" borderId="7" xfId="19" applyNumberFormat="1" applyFont="1" applyFill="1" applyBorder="1"/>
    <xf numFmtId="3" fontId="73" fillId="3" borderId="7" xfId="19" applyNumberFormat="1" applyFont="1" applyFill="1" applyBorder="1"/>
    <xf numFmtId="183" fontId="8" fillId="3" borderId="7" xfId="19" applyNumberFormat="1" applyFont="1" applyFill="1" applyBorder="1" applyAlignment="1">
      <alignment horizontal="left"/>
    </xf>
    <xf numFmtId="183" fontId="8" fillId="7" borderId="7" xfId="19" applyNumberFormat="1" applyFont="1" applyFill="1" applyBorder="1" applyAlignment="1">
      <alignment horizontal="left"/>
    </xf>
    <xf numFmtId="183" fontId="8" fillId="0" borderId="7" xfId="19" applyNumberFormat="1" applyFont="1" applyFill="1" applyBorder="1" applyAlignment="1">
      <alignment horizontal="left"/>
    </xf>
    <xf numFmtId="184" fontId="8" fillId="3" borderId="7" xfId="19" applyNumberFormat="1" applyFont="1" applyFill="1" applyBorder="1" applyAlignment="1">
      <alignment horizontal="left"/>
    </xf>
    <xf numFmtId="184" fontId="8" fillId="7" borderId="7" xfId="19" applyNumberFormat="1" applyFont="1" applyFill="1" applyBorder="1" applyAlignment="1">
      <alignment horizontal="left"/>
    </xf>
    <xf numFmtId="184" fontId="8" fillId="0" borderId="7" xfId="19" applyNumberFormat="1" applyFont="1" applyFill="1" applyBorder="1" applyAlignment="1">
      <alignment horizontal="left"/>
    </xf>
    <xf numFmtId="3" fontId="73" fillId="3" borderId="7" xfId="19" applyNumberFormat="1" applyFont="1" applyFill="1" applyBorder="1" applyAlignment="1">
      <alignment horizontal="left"/>
    </xf>
    <xf numFmtId="183" fontId="32" fillId="3" borderId="7" xfId="19" applyNumberFormat="1" applyFont="1" applyFill="1" applyBorder="1" applyAlignment="1">
      <alignment horizontal="center"/>
    </xf>
    <xf numFmtId="183" fontId="32" fillId="7" borderId="7" xfId="19" applyNumberFormat="1" applyFont="1" applyFill="1" applyBorder="1" applyAlignment="1">
      <alignment horizontal="center"/>
    </xf>
    <xf numFmtId="183" fontId="32" fillId="0" borderId="7" xfId="19" applyNumberFormat="1" applyFont="1" applyFill="1" applyBorder="1" applyAlignment="1">
      <alignment horizontal="center"/>
    </xf>
    <xf numFmtId="184" fontId="32" fillId="3" borderId="7" xfId="19" applyNumberFormat="1" applyFont="1" applyFill="1" applyBorder="1" applyAlignment="1">
      <alignment horizontal="center"/>
    </xf>
    <xf numFmtId="184" fontId="32" fillId="7" borderId="7" xfId="19" applyNumberFormat="1" applyFont="1" applyFill="1" applyBorder="1" applyAlignment="1">
      <alignment horizontal="center"/>
    </xf>
    <xf numFmtId="184" fontId="32" fillId="0" borderId="7" xfId="19" applyNumberFormat="1" applyFont="1" applyFill="1" applyBorder="1" applyAlignment="1">
      <alignment horizontal="center"/>
    </xf>
    <xf numFmtId="3" fontId="86" fillId="3" borderId="7" xfId="19" applyNumberFormat="1" applyFont="1" applyFill="1" applyBorder="1" applyAlignment="1">
      <alignment horizontal="center"/>
    </xf>
    <xf numFmtId="0" fontId="4" fillId="7" borderId="14" xfId="19" applyFont="1" applyFill="1" applyBorder="1"/>
    <xf numFmtId="0" fontId="23" fillId="7" borderId="14" xfId="19" applyFont="1" applyFill="1" applyBorder="1"/>
    <xf numFmtId="183" fontId="32" fillId="3" borderId="14" xfId="19" applyNumberFormat="1" applyFont="1" applyFill="1" applyBorder="1" applyAlignment="1">
      <alignment horizontal="center"/>
    </xf>
    <xf numFmtId="183" fontId="32" fillId="7" borderId="14" xfId="19" applyNumberFormat="1" applyFont="1" applyFill="1" applyBorder="1" applyAlignment="1">
      <alignment horizontal="center"/>
    </xf>
    <xf numFmtId="183" fontId="32" fillId="0" borderId="14" xfId="19" applyNumberFormat="1" applyFont="1" applyFill="1" applyBorder="1" applyAlignment="1">
      <alignment horizontal="center"/>
    </xf>
    <xf numFmtId="184" fontId="32" fillId="3" borderId="14" xfId="19" applyNumberFormat="1" applyFont="1" applyFill="1" applyBorder="1" applyAlignment="1">
      <alignment horizontal="center"/>
    </xf>
    <xf numFmtId="184" fontId="32" fillId="7" borderId="14" xfId="19" applyNumberFormat="1" applyFont="1" applyFill="1" applyBorder="1" applyAlignment="1">
      <alignment horizontal="center"/>
    </xf>
    <xf numFmtId="184" fontId="32" fillId="0" borderId="14" xfId="19" applyNumberFormat="1" applyFont="1" applyFill="1" applyBorder="1" applyAlignment="1">
      <alignment horizontal="center"/>
    </xf>
    <xf numFmtId="3" fontId="86" fillId="3" borderId="14" xfId="19" applyNumberFormat="1" applyFont="1" applyFill="1" applyBorder="1" applyAlignment="1">
      <alignment horizontal="center"/>
    </xf>
    <xf numFmtId="0" fontId="4" fillId="0" borderId="3" xfId="19" applyFont="1" applyBorder="1"/>
    <xf numFmtId="0" fontId="23" fillId="0" borderId="3" xfId="19" applyFont="1" applyBorder="1"/>
    <xf numFmtId="183" fontId="23" fillId="0" borderId="3" xfId="19" applyNumberFormat="1" applyFont="1" applyBorder="1" applyAlignment="1">
      <alignment horizontal="right"/>
    </xf>
    <xf numFmtId="183" fontId="23" fillId="0" borderId="3" xfId="19" applyNumberFormat="1" applyFont="1" applyFill="1" applyBorder="1" applyAlignment="1">
      <alignment horizontal="right"/>
    </xf>
    <xf numFmtId="184" fontId="23" fillId="0" borderId="3" xfId="19" applyNumberFormat="1" applyFont="1" applyFill="1" applyBorder="1" applyAlignment="1">
      <alignment horizontal="right"/>
    </xf>
    <xf numFmtId="184" fontId="23" fillId="0" borderId="3" xfId="19" applyNumberFormat="1" applyFont="1" applyBorder="1" applyAlignment="1">
      <alignment horizontal="right"/>
    </xf>
    <xf numFmtId="3" fontId="85" fillId="0" borderId="3" xfId="19" applyNumberFormat="1" applyFont="1" applyBorder="1" applyAlignment="1">
      <alignment horizontal="right"/>
    </xf>
    <xf numFmtId="0" fontId="4" fillId="0" borderId="0" xfId="19" applyFont="1" applyBorder="1"/>
    <xf numFmtId="0" fontId="23" fillId="0" borderId="0" xfId="19" applyFont="1" applyBorder="1"/>
    <xf numFmtId="183" fontId="23" fillId="0" borderId="0" xfId="19" applyNumberFormat="1" applyFont="1" applyBorder="1" applyAlignment="1">
      <alignment horizontal="right"/>
    </xf>
    <xf numFmtId="183" fontId="23" fillId="0" borderId="0" xfId="19" applyNumberFormat="1" applyFont="1" applyFill="1" applyBorder="1" applyAlignment="1">
      <alignment horizontal="right"/>
    </xf>
    <xf numFmtId="184" fontId="23" fillId="0" borderId="0" xfId="19" applyNumberFormat="1" applyFont="1" applyFill="1" applyBorder="1" applyAlignment="1">
      <alignment horizontal="right"/>
    </xf>
    <xf numFmtId="184" fontId="23" fillId="0" borderId="0" xfId="19" applyNumberFormat="1" applyFont="1" applyBorder="1" applyAlignment="1">
      <alignment horizontal="right"/>
    </xf>
    <xf numFmtId="3" fontId="85" fillId="0" borderId="0" xfId="19" applyNumberFormat="1" applyFont="1" applyBorder="1" applyAlignment="1">
      <alignment horizontal="right"/>
    </xf>
    <xf numFmtId="3" fontId="23" fillId="3" borderId="7" xfId="19" applyNumberFormat="1" applyFont="1" applyFill="1" applyBorder="1" applyAlignment="1">
      <alignment horizontal="right"/>
    </xf>
    <xf numFmtId="0" fontId="4" fillId="5" borderId="0" xfId="19" applyFont="1" applyFill="1"/>
    <xf numFmtId="3" fontId="4" fillId="3" borderId="7" xfId="19" applyNumberFormat="1" applyFont="1" applyFill="1" applyBorder="1"/>
    <xf numFmtId="183" fontId="4" fillId="3" borderId="7" xfId="19" applyNumberFormat="1" applyFont="1" applyFill="1" applyBorder="1" applyAlignment="1">
      <alignment horizontal="left"/>
    </xf>
    <xf numFmtId="183" fontId="23" fillId="3" borderId="7" xfId="19" applyNumberFormat="1" applyFont="1" applyFill="1" applyBorder="1" applyAlignment="1">
      <alignment horizontal="center"/>
    </xf>
    <xf numFmtId="183" fontId="23" fillId="3" borderId="14" xfId="19" applyNumberFormat="1" applyFont="1" applyFill="1" applyBorder="1" applyAlignment="1">
      <alignment horizontal="center"/>
    </xf>
    <xf numFmtId="0" fontId="4" fillId="0" borderId="0" xfId="19" applyFont="1" applyFill="1"/>
    <xf numFmtId="3" fontId="85" fillId="0" borderId="3" xfId="19" applyNumberFormat="1" applyFont="1" applyFill="1" applyBorder="1" applyAlignment="1">
      <alignment horizontal="right"/>
    </xf>
    <xf numFmtId="183" fontId="4" fillId="0" borderId="0" xfId="19" applyNumberFormat="1" applyFont="1" applyBorder="1"/>
    <xf numFmtId="183" fontId="4" fillId="0" borderId="0" xfId="19" applyNumberFormat="1" applyFont="1" applyFill="1" applyBorder="1"/>
    <xf numFmtId="184" fontId="4" fillId="0" borderId="0" xfId="19" applyNumberFormat="1" applyFont="1" applyFill="1" applyBorder="1"/>
    <xf numFmtId="184" fontId="4" fillId="0" borderId="0" xfId="19" applyNumberFormat="1" applyFont="1" applyBorder="1"/>
    <xf numFmtId="3" fontId="26" fillId="0" borderId="0" xfId="19" applyNumberFormat="1" applyFont="1" applyBorder="1"/>
    <xf numFmtId="183" fontId="8" fillId="3" borderId="4" xfId="19" applyNumberFormat="1" applyFont="1" applyFill="1" applyBorder="1" applyAlignment="1">
      <alignment horizontal="left"/>
    </xf>
    <xf numFmtId="183" fontId="8" fillId="7" borderId="4" xfId="19" applyNumberFormat="1" applyFont="1" applyFill="1" applyBorder="1" applyAlignment="1">
      <alignment horizontal="left"/>
    </xf>
    <xf numFmtId="183" fontId="8" fillId="0" borderId="4" xfId="19" applyNumberFormat="1" applyFont="1" applyFill="1" applyBorder="1" applyAlignment="1">
      <alignment horizontal="left"/>
    </xf>
    <xf numFmtId="184" fontId="8" fillId="3" borderId="4" xfId="19" applyNumberFormat="1" applyFont="1" applyFill="1" applyBorder="1" applyAlignment="1">
      <alignment horizontal="left"/>
    </xf>
    <xf numFmtId="184" fontId="8" fillId="7" borderId="4" xfId="19" applyNumberFormat="1" applyFont="1" applyFill="1" applyBorder="1" applyAlignment="1">
      <alignment horizontal="left"/>
    </xf>
    <xf numFmtId="184" fontId="8" fillId="0" borderId="4" xfId="19" applyNumberFormat="1" applyFont="1" applyFill="1" applyBorder="1" applyAlignment="1">
      <alignment horizontal="left"/>
    </xf>
    <xf numFmtId="3" fontId="73" fillId="3" borderId="4" xfId="19" applyNumberFormat="1" applyFont="1" applyFill="1" applyBorder="1" applyAlignment="1">
      <alignment horizontal="left"/>
    </xf>
    <xf numFmtId="183" fontId="4" fillId="3" borderId="14" xfId="19" applyNumberFormat="1" applyFont="1" applyFill="1" applyBorder="1" applyAlignment="1">
      <alignment horizontal="center"/>
    </xf>
    <xf numFmtId="183" fontId="4" fillId="7" borderId="14" xfId="19" applyNumberFormat="1" applyFont="1" applyFill="1" applyBorder="1" applyAlignment="1">
      <alignment horizontal="center"/>
    </xf>
    <xf numFmtId="183" fontId="4" fillId="0" borderId="14" xfId="19" applyNumberFormat="1" applyFont="1" applyFill="1" applyBorder="1" applyAlignment="1">
      <alignment horizontal="center"/>
    </xf>
    <xf numFmtId="184" fontId="4" fillId="3" borderId="14" xfId="19" applyNumberFormat="1" applyFont="1" applyFill="1" applyBorder="1" applyAlignment="1">
      <alignment horizontal="center"/>
    </xf>
    <xf numFmtId="184" fontId="4" fillId="7" borderId="14" xfId="19" applyNumberFormat="1" applyFont="1" applyFill="1" applyBorder="1" applyAlignment="1">
      <alignment horizontal="center"/>
    </xf>
    <xf numFmtId="184" fontId="4" fillId="0" borderId="14" xfId="19" applyNumberFormat="1" applyFont="1" applyFill="1" applyBorder="1" applyAlignment="1">
      <alignment horizontal="center"/>
    </xf>
    <xf numFmtId="3" fontId="26" fillId="3" borderId="14" xfId="19" applyNumberFormat="1" applyFont="1" applyFill="1" applyBorder="1" applyAlignment="1">
      <alignment horizontal="center"/>
    </xf>
    <xf numFmtId="183" fontId="4" fillId="0" borderId="13" xfId="19" applyNumberFormat="1" applyFont="1" applyBorder="1"/>
    <xf numFmtId="183" fontId="4" fillId="0" borderId="13" xfId="19" applyNumberFormat="1" applyFont="1" applyFill="1" applyBorder="1"/>
    <xf numFmtId="0" fontId="18" fillId="0" borderId="0" xfId="19" applyFont="1" applyBorder="1"/>
    <xf numFmtId="0" fontId="88" fillId="0" borderId="0" xfId="19" applyFont="1"/>
    <xf numFmtId="0" fontId="89" fillId="0" borderId="0" xfId="19" applyFont="1" applyFill="1"/>
    <xf numFmtId="49" fontId="4" fillId="0" borderId="0" xfId="19" applyNumberFormat="1" applyFont="1" applyBorder="1"/>
    <xf numFmtId="0" fontId="18" fillId="0" borderId="0" xfId="19" applyFont="1"/>
    <xf numFmtId="0" fontId="4" fillId="0" borderId="0" xfId="19" applyFont="1" applyFill="1" applyBorder="1"/>
    <xf numFmtId="0" fontId="88" fillId="0" borderId="0" xfId="19" applyFont="1" applyFill="1"/>
    <xf numFmtId="0" fontId="65" fillId="0" borderId="0" xfId="19" applyFont="1"/>
    <xf numFmtId="0" fontId="2" fillId="0" borderId="0" xfId="17" applyFont="1"/>
    <xf numFmtId="0" fontId="4" fillId="0" borderId="0" xfId="17" applyFont="1"/>
    <xf numFmtId="0" fontId="74" fillId="0" borderId="0" xfId="17"/>
    <xf numFmtId="0" fontId="76" fillId="0" borderId="0" xfId="17" applyFont="1"/>
    <xf numFmtId="0" fontId="4" fillId="0" borderId="13" xfId="17" applyFont="1" applyBorder="1"/>
    <xf numFmtId="0" fontId="74" fillId="0" borderId="13" xfId="17" applyBorder="1"/>
    <xf numFmtId="0" fontId="4" fillId="7" borderId="0" xfId="17" applyFont="1" applyFill="1" applyAlignment="1">
      <alignment horizontal="right"/>
    </xf>
    <xf numFmtId="0" fontId="4" fillId="3" borderId="0" xfId="17" applyFont="1" applyFill="1" applyAlignment="1">
      <alignment horizontal="right"/>
    </xf>
    <xf numFmtId="0" fontId="4" fillId="0" borderId="0" xfId="17" applyFont="1" applyFill="1" applyAlignment="1">
      <alignment horizontal="right"/>
    </xf>
    <xf numFmtId="184" fontId="23" fillId="3" borderId="0" xfId="17" applyNumberFormat="1" applyFont="1" applyFill="1" applyBorder="1" applyAlignment="1">
      <alignment horizontal="center"/>
    </xf>
    <xf numFmtId="184" fontId="23" fillId="7" borderId="0" xfId="17" applyNumberFormat="1" applyFont="1" applyFill="1" applyBorder="1" applyAlignment="1">
      <alignment horizontal="center"/>
    </xf>
    <xf numFmtId="184" fontId="23" fillId="0" borderId="0" xfId="17" applyNumberFormat="1" applyFont="1" applyFill="1" applyBorder="1" applyAlignment="1">
      <alignment horizontal="center"/>
    </xf>
    <xf numFmtId="0" fontId="74" fillId="0" borderId="0" xfId="17" applyAlignment="1">
      <alignment horizontal="right"/>
    </xf>
    <xf numFmtId="2" fontId="74" fillId="0" borderId="0" xfId="17" applyNumberFormat="1"/>
    <xf numFmtId="183" fontId="74" fillId="0" borderId="0" xfId="17" applyNumberFormat="1" applyAlignment="1">
      <alignment horizontal="right"/>
    </xf>
    <xf numFmtId="2" fontId="74" fillId="0" borderId="0" xfId="17" applyNumberFormat="1" applyAlignment="1">
      <alignment horizontal="right"/>
    </xf>
    <xf numFmtId="0" fontId="73" fillId="7" borderId="0" xfId="17" applyFont="1" applyFill="1" applyBorder="1" applyAlignment="1">
      <alignment horizontal="left"/>
    </xf>
    <xf numFmtId="0" fontId="4" fillId="7" borderId="0" xfId="17" applyFont="1" applyFill="1" applyBorder="1" applyAlignment="1">
      <alignment horizontal="right"/>
    </xf>
    <xf numFmtId="0" fontId="8" fillId="3" borderId="0" xfId="17" applyFont="1" applyFill="1" applyAlignment="1">
      <alignment horizontal="center"/>
    </xf>
    <xf numFmtId="0" fontId="8" fillId="7" borderId="0" xfId="17" applyFont="1" applyFill="1" applyAlignment="1">
      <alignment horizontal="center"/>
    </xf>
    <xf numFmtId="0" fontId="8" fillId="0" borderId="0" xfId="17" applyFont="1" applyFill="1" applyAlignment="1">
      <alignment horizontal="center"/>
    </xf>
    <xf numFmtId="0" fontId="73" fillId="3" borderId="0" xfId="17" applyFont="1" applyFill="1" applyAlignment="1">
      <alignment horizontal="center"/>
    </xf>
    <xf numFmtId="183" fontId="74" fillId="0" borderId="0" xfId="17" applyNumberFormat="1"/>
    <xf numFmtId="0" fontId="4" fillId="7" borderId="0" xfId="17" applyFont="1" applyFill="1" applyBorder="1"/>
    <xf numFmtId="0" fontId="4" fillId="3" borderId="0" xfId="17" applyFont="1" applyFill="1" applyAlignment="1">
      <alignment horizontal="center"/>
    </xf>
    <xf numFmtId="0" fontId="4" fillId="7" borderId="0" xfId="17" applyFont="1" applyFill="1" applyAlignment="1">
      <alignment horizontal="center"/>
    </xf>
    <xf numFmtId="0" fontId="4" fillId="0" borderId="0" xfId="17" applyFont="1" applyFill="1" applyAlignment="1">
      <alignment horizontal="center"/>
    </xf>
    <xf numFmtId="0" fontId="8" fillId="7" borderId="0" xfId="17" applyFont="1" applyFill="1" applyBorder="1"/>
    <xf numFmtId="0" fontId="4" fillId="3" borderId="0" xfId="17" applyFont="1" applyFill="1" applyBorder="1" applyAlignment="1">
      <alignment horizontal="center"/>
    </xf>
    <xf numFmtId="0" fontId="4" fillId="7" borderId="0" xfId="17" applyFont="1" applyFill="1" applyBorder="1" applyAlignment="1">
      <alignment horizontal="center"/>
    </xf>
    <xf numFmtId="0" fontId="4" fillId="0" borderId="0" xfId="17" applyFont="1" applyFill="1" applyBorder="1" applyAlignment="1">
      <alignment horizontal="center"/>
    </xf>
    <xf numFmtId="184" fontId="23" fillId="3" borderId="0" xfId="17" applyNumberFormat="1" applyFont="1" applyFill="1" applyBorder="1" applyAlignment="1">
      <alignment horizontal="center" vertical="top"/>
    </xf>
    <xf numFmtId="184" fontId="23" fillId="7" borderId="0" xfId="17" applyNumberFormat="1" applyFont="1" applyFill="1" applyBorder="1" applyAlignment="1">
      <alignment horizontal="center" vertical="top"/>
    </xf>
    <xf numFmtId="184" fontId="23" fillId="0" borderId="0" xfId="17" applyNumberFormat="1" applyFont="1" applyFill="1" applyBorder="1" applyAlignment="1">
      <alignment horizontal="center" vertical="top"/>
    </xf>
    <xf numFmtId="183" fontId="76" fillId="0" borderId="0" xfId="17" applyNumberFormat="1" applyFont="1"/>
    <xf numFmtId="0" fontId="8" fillId="7" borderId="3" xfId="17" applyFont="1" applyFill="1" applyBorder="1"/>
    <xf numFmtId="0" fontId="4" fillId="7" borderId="3" xfId="17" applyFont="1" applyFill="1" applyBorder="1"/>
    <xf numFmtId="0" fontId="4" fillId="3" borderId="3" xfId="17" applyFont="1" applyFill="1" applyBorder="1"/>
    <xf numFmtId="0" fontId="4" fillId="0" borderId="3" xfId="17" applyFont="1" applyFill="1" applyBorder="1"/>
    <xf numFmtId="0" fontId="23" fillId="7" borderId="3" xfId="17" applyFont="1" applyFill="1" applyBorder="1" applyAlignment="1">
      <alignment horizontal="center"/>
    </xf>
    <xf numFmtId="0" fontId="23" fillId="0" borderId="3" xfId="17" applyFont="1" applyFill="1" applyBorder="1" applyAlignment="1">
      <alignment horizontal="center"/>
    </xf>
    <xf numFmtId="0" fontId="8" fillId="7" borderId="6" xfId="17" applyFont="1" applyFill="1" applyBorder="1"/>
    <xf numFmtId="0" fontId="4" fillId="7" borderId="6" xfId="17" applyFont="1" applyFill="1" applyBorder="1"/>
    <xf numFmtId="183" fontId="8" fillId="3" borderId="6" xfId="17" applyNumberFormat="1" applyFont="1" applyFill="1" applyBorder="1" applyAlignment="1">
      <alignment horizontal="left"/>
    </xf>
    <xf numFmtId="183" fontId="8" fillId="7" borderId="6" xfId="17" applyNumberFormat="1" applyFont="1" applyFill="1" applyBorder="1" applyAlignment="1">
      <alignment horizontal="left"/>
    </xf>
    <xf numFmtId="183" fontId="8" fillId="0" borderId="6" xfId="17" applyNumberFormat="1" applyFont="1" applyFill="1" applyBorder="1" applyAlignment="1">
      <alignment horizontal="left"/>
    </xf>
    <xf numFmtId="184" fontId="8" fillId="3" borderId="6" xfId="17" applyNumberFormat="1" applyFont="1" applyFill="1" applyBorder="1" applyAlignment="1">
      <alignment horizontal="left"/>
    </xf>
    <xf numFmtId="184" fontId="8" fillId="7" borderId="6" xfId="17" applyNumberFormat="1" applyFont="1" applyFill="1" applyBorder="1" applyAlignment="1">
      <alignment horizontal="left"/>
    </xf>
    <xf numFmtId="184" fontId="8" fillId="0" borderId="6" xfId="17" applyNumberFormat="1" applyFont="1" applyFill="1" applyBorder="1" applyAlignment="1">
      <alignment horizontal="left"/>
    </xf>
    <xf numFmtId="3" fontId="73" fillId="3" borderId="6" xfId="17" applyNumberFormat="1" applyFont="1" applyFill="1" applyBorder="1" applyAlignment="1">
      <alignment horizontal="left"/>
    </xf>
    <xf numFmtId="0" fontId="8" fillId="7" borderId="7" xfId="17" applyFont="1" applyFill="1" applyBorder="1"/>
    <xf numFmtId="0" fontId="4" fillId="7" borderId="7" xfId="17" applyFont="1" applyFill="1" applyBorder="1"/>
    <xf numFmtId="183" fontId="18" fillId="3" borderId="7" xfId="17" applyNumberFormat="1" applyFont="1" applyFill="1" applyBorder="1" applyAlignment="1">
      <alignment horizontal="center"/>
    </xf>
    <xf numFmtId="183" fontId="18" fillId="7" borderId="7" xfId="17" applyNumberFormat="1" applyFont="1" applyFill="1" applyBorder="1" applyAlignment="1">
      <alignment horizontal="center"/>
    </xf>
    <xf numFmtId="183" fontId="18" fillId="0" borderId="7" xfId="17" applyNumberFormat="1" applyFont="1" applyFill="1" applyBorder="1" applyAlignment="1">
      <alignment horizontal="center"/>
    </xf>
    <xf numFmtId="184" fontId="18" fillId="3" borderId="7" xfId="17" applyNumberFormat="1" applyFont="1" applyFill="1" applyBorder="1" applyAlignment="1">
      <alignment horizontal="center"/>
    </xf>
    <xf numFmtId="184" fontId="18" fillId="7" borderId="7" xfId="17" applyNumberFormat="1" applyFont="1" applyFill="1" applyBorder="1" applyAlignment="1">
      <alignment horizontal="center"/>
    </xf>
    <xf numFmtId="184" fontId="18" fillId="0" borderId="7" xfId="17" applyNumberFormat="1" applyFont="1" applyFill="1" applyBorder="1" applyAlignment="1">
      <alignment horizontal="center"/>
    </xf>
    <xf numFmtId="3" fontId="67" fillId="3" borderId="7" xfId="17" applyNumberFormat="1" applyFont="1" applyFill="1" applyBorder="1" applyAlignment="1">
      <alignment horizontal="center"/>
    </xf>
    <xf numFmtId="0" fontId="79" fillId="7" borderId="7" xfId="17" applyFont="1" applyFill="1" applyBorder="1"/>
    <xf numFmtId="183" fontId="4" fillId="3" borderId="7" xfId="17" applyNumberFormat="1" applyFont="1" applyFill="1" applyBorder="1"/>
    <xf numFmtId="183" fontId="4" fillId="7" borderId="7" xfId="17" applyNumberFormat="1" applyFont="1" applyFill="1" applyBorder="1"/>
    <xf numFmtId="183" fontId="4" fillId="0" borderId="7" xfId="17" applyNumberFormat="1" applyFont="1" applyFill="1" applyBorder="1"/>
    <xf numFmtId="184" fontId="4" fillId="3" borderId="7" xfId="17" applyNumberFormat="1" applyFont="1" applyFill="1" applyBorder="1"/>
    <xf numFmtId="184" fontId="4" fillId="7" borderId="7" xfId="17" applyNumberFormat="1" applyFont="1" applyFill="1" applyBorder="1"/>
    <xf numFmtId="184" fontId="4" fillId="0" borderId="7" xfId="17" applyNumberFormat="1" applyFont="1" applyFill="1" applyBorder="1"/>
    <xf numFmtId="3" fontId="26" fillId="3" borderId="7" xfId="17" applyNumberFormat="1" applyFont="1" applyFill="1" applyBorder="1"/>
    <xf numFmtId="2" fontId="75" fillId="0" borderId="0" xfId="17" applyNumberFormat="1" applyFont="1"/>
    <xf numFmtId="0" fontId="75" fillId="0" borderId="0" xfId="17" applyFont="1"/>
    <xf numFmtId="183" fontId="8" fillId="3" borderId="7" xfId="17" applyNumberFormat="1" applyFont="1" applyFill="1" applyBorder="1" applyAlignment="1">
      <alignment horizontal="left"/>
    </xf>
    <xf numFmtId="183" fontId="8" fillId="7" borderId="7" xfId="17" applyNumberFormat="1" applyFont="1" applyFill="1" applyBorder="1" applyAlignment="1">
      <alignment horizontal="left"/>
    </xf>
    <xf numFmtId="183" fontId="8" fillId="0" borderId="7" xfId="17" applyNumberFormat="1" applyFont="1" applyFill="1" applyBorder="1" applyAlignment="1">
      <alignment horizontal="left"/>
    </xf>
    <xf numFmtId="184" fontId="8" fillId="3" borderId="7" xfId="17" applyNumberFormat="1" applyFont="1" applyFill="1" applyBorder="1" applyAlignment="1">
      <alignment horizontal="left"/>
    </xf>
    <xf numFmtId="184" fontId="8" fillId="7" borderId="7" xfId="17" applyNumberFormat="1" applyFont="1" applyFill="1" applyBorder="1" applyAlignment="1">
      <alignment horizontal="left"/>
    </xf>
    <xf numFmtId="184" fontId="8" fillId="0" borderId="7" xfId="17" applyNumberFormat="1" applyFont="1" applyFill="1" applyBorder="1" applyAlignment="1">
      <alignment horizontal="left"/>
    </xf>
    <xf numFmtId="3" fontId="73" fillId="3" borderId="7" xfId="17" applyNumberFormat="1" applyFont="1" applyFill="1" applyBorder="1" applyAlignment="1">
      <alignment horizontal="left"/>
    </xf>
    <xf numFmtId="0" fontId="23" fillId="7" borderId="7" xfId="17" applyFont="1" applyFill="1" applyBorder="1"/>
    <xf numFmtId="183" fontId="23" fillId="3" borderId="7" xfId="17" applyNumberFormat="1" applyFont="1" applyFill="1" applyBorder="1" applyAlignment="1">
      <alignment horizontal="right"/>
    </xf>
    <xf numFmtId="183" fontId="23" fillId="7" borderId="7" xfId="17" applyNumberFormat="1" applyFont="1" applyFill="1" applyBorder="1" applyAlignment="1">
      <alignment horizontal="right"/>
    </xf>
    <xf numFmtId="183" fontId="23" fillId="0" borderId="7" xfId="17" applyNumberFormat="1" applyFont="1" applyFill="1" applyBorder="1" applyAlignment="1">
      <alignment horizontal="right"/>
    </xf>
    <xf numFmtId="184" fontId="23" fillId="3" borderId="7" xfId="17" applyNumberFormat="1" applyFont="1" applyFill="1" applyBorder="1" applyAlignment="1">
      <alignment horizontal="right"/>
    </xf>
    <xf numFmtId="184" fontId="23" fillId="7" borderId="7" xfId="17" applyNumberFormat="1" applyFont="1" applyFill="1" applyBorder="1" applyAlignment="1">
      <alignment horizontal="right"/>
    </xf>
    <xf numFmtId="184" fontId="23" fillId="0" borderId="7" xfId="17" applyNumberFormat="1" applyFont="1" applyFill="1" applyBorder="1" applyAlignment="1">
      <alignment horizontal="right"/>
    </xf>
    <xf numFmtId="183" fontId="4" fillId="3" borderId="7" xfId="17" applyNumberFormat="1" applyFont="1" applyFill="1" applyBorder="1" applyAlignment="1">
      <alignment horizontal="center"/>
    </xf>
    <xf numFmtId="183" fontId="4" fillId="7" borderId="7" xfId="17" applyNumberFormat="1" applyFont="1" applyFill="1" applyBorder="1" applyAlignment="1">
      <alignment horizontal="center"/>
    </xf>
    <xf numFmtId="183" fontId="4" fillId="0" borderId="7" xfId="17" applyNumberFormat="1" applyFont="1" applyFill="1" applyBorder="1" applyAlignment="1">
      <alignment horizontal="center"/>
    </xf>
    <xf numFmtId="184" fontId="4" fillId="3" borderId="7" xfId="17" applyNumberFormat="1" applyFont="1" applyFill="1" applyBorder="1" applyAlignment="1">
      <alignment horizontal="center"/>
    </xf>
    <xf numFmtId="184" fontId="4" fillId="7" borderId="7" xfId="17" applyNumberFormat="1" applyFont="1" applyFill="1" applyBorder="1" applyAlignment="1">
      <alignment horizontal="center"/>
    </xf>
    <xf numFmtId="184" fontId="4" fillId="0" borderId="7" xfId="17" applyNumberFormat="1" applyFont="1" applyFill="1" applyBorder="1" applyAlignment="1">
      <alignment horizontal="center"/>
    </xf>
    <xf numFmtId="3" fontId="26" fillId="3" borderId="7" xfId="17" applyNumberFormat="1" applyFont="1" applyFill="1" applyBorder="1" applyAlignment="1">
      <alignment horizontal="center"/>
    </xf>
    <xf numFmtId="0" fontId="4" fillId="7" borderId="4" xfId="17" applyFont="1" applyFill="1" applyBorder="1"/>
    <xf numFmtId="183" fontId="4" fillId="3" borderId="4" xfId="17" applyNumberFormat="1" applyFont="1" applyFill="1" applyBorder="1"/>
    <xf numFmtId="183" fontId="4" fillId="7" borderId="4" xfId="17" applyNumberFormat="1" applyFont="1" applyFill="1" applyBorder="1"/>
    <xf numFmtId="183" fontId="4" fillId="0" borderId="4" xfId="17" applyNumberFormat="1" applyFont="1" applyFill="1" applyBorder="1"/>
    <xf numFmtId="184" fontId="4" fillId="3" borderId="4" xfId="17" applyNumberFormat="1" applyFont="1" applyFill="1" applyBorder="1"/>
    <xf numFmtId="184" fontId="4" fillId="7" borderId="4" xfId="17" applyNumberFormat="1" applyFont="1" applyFill="1" applyBorder="1"/>
    <xf numFmtId="184" fontId="4" fillId="0" borderId="4" xfId="17" applyNumberFormat="1" applyFont="1" applyFill="1" applyBorder="1"/>
    <xf numFmtId="3" fontId="26" fillId="3" borderId="4" xfId="17" applyNumberFormat="1" applyFont="1" applyFill="1" applyBorder="1"/>
    <xf numFmtId="183" fontId="23" fillId="3" borderId="7" xfId="17" applyNumberFormat="1" applyFont="1" applyFill="1" applyBorder="1"/>
    <xf numFmtId="183" fontId="23" fillId="7" borderId="7" xfId="17" applyNumberFormat="1" applyFont="1" applyFill="1" applyBorder="1"/>
    <xf numFmtId="183" fontId="23" fillId="0" borderId="7" xfId="17" applyNumberFormat="1" applyFont="1" applyFill="1" applyBorder="1"/>
    <xf numFmtId="184" fontId="23" fillId="3" borderId="7" xfId="17" applyNumberFormat="1" applyFont="1" applyFill="1" applyBorder="1"/>
    <xf numFmtId="184" fontId="23" fillId="7" borderId="7" xfId="17" applyNumberFormat="1" applyFont="1" applyFill="1" applyBorder="1"/>
    <xf numFmtId="184" fontId="23" fillId="0" borderId="7" xfId="17" applyNumberFormat="1" applyFont="1" applyFill="1" applyBorder="1"/>
    <xf numFmtId="0" fontId="74" fillId="0" borderId="0" xfId="17" applyFill="1"/>
    <xf numFmtId="183" fontId="8" fillId="3" borderId="7" xfId="17" applyNumberFormat="1" applyFont="1" applyFill="1" applyBorder="1"/>
    <xf numFmtId="183" fontId="8" fillId="7" borderId="7" xfId="17" applyNumberFormat="1" applyFont="1" applyFill="1" applyBorder="1"/>
    <xf numFmtId="3" fontId="73" fillId="3" borderId="7" xfId="17" applyNumberFormat="1" applyFont="1" applyFill="1" applyBorder="1"/>
    <xf numFmtId="0" fontId="8" fillId="7" borderId="5" xfId="17" applyFont="1" applyFill="1" applyBorder="1"/>
    <xf numFmtId="0" fontId="23" fillId="7" borderId="5" xfId="17" applyFont="1" applyFill="1" applyBorder="1"/>
    <xf numFmtId="183" fontId="8" fillId="3" borderId="5" xfId="17" applyNumberFormat="1" applyFont="1" applyFill="1" applyBorder="1" applyAlignment="1">
      <alignment horizontal="left"/>
    </xf>
    <xf numFmtId="183" fontId="8" fillId="7" borderId="5" xfId="17" applyNumberFormat="1" applyFont="1" applyFill="1" applyBorder="1" applyAlignment="1">
      <alignment horizontal="left"/>
    </xf>
    <xf numFmtId="183" fontId="8" fillId="0" borderId="5" xfId="17" applyNumberFormat="1" applyFont="1" applyFill="1" applyBorder="1" applyAlignment="1">
      <alignment horizontal="left"/>
    </xf>
    <xf numFmtId="184" fontId="8" fillId="3" borderId="5" xfId="17" applyNumberFormat="1" applyFont="1" applyFill="1" applyBorder="1" applyAlignment="1">
      <alignment horizontal="left"/>
    </xf>
    <xf numFmtId="184" fontId="8" fillId="7" borderId="5" xfId="17" applyNumberFormat="1" applyFont="1" applyFill="1" applyBorder="1" applyAlignment="1">
      <alignment horizontal="left"/>
    </xf>
    <xf numFmtId="184" fontId="8" fillId="0" borderId="5" xfId="17" applyNumberFormat="1" applyFont="1" applyFill="1" applyBorder="1" applyAlignment="1">
      <alignment horizontal="left"/>
    </xf>
    <xf numFmtId="3" fontId="73" fillId="3" borderId="5" xfId="17" applyNumberFormat="1" applyFont="1" applyFill="1" applyBorder="1" applyAlignment="1">
      <alignment horizontal="left"/>
    </xf>
    <xf numFmtId="0" fontId="18" fillId="0" borderId="0" xfId="17" applyFont="1" applyBorder="1"/>
    <xf numFmtId="0" fontId="4" fillId="0" borderId="0" xfId="17" applyFont="1" applyBorder="1"/>
    <xf numFmtId="10" fontId="74" fillId="0" borderId="0" xfId="17" applyNumberFormat="1"/>
    <xf numFmtId="183" fontId="4" fillId="0" borderId="0" xfId="17" applyNumberFormat="1" applyFont="1"/>
    <xf numFmtId="0" fontId="5" fillId="3" borderId="20" xfId="0" applyFont="1" applyFill="1" applyBorder="1" applyAlignment="1">
      <alignment horizontal="left"/>
    </xf>
    <xf numFmtId="0" fontId="5" fillId="12" borderId="20" xfId="0" applyFont="1" applyFill="1" applyBorder="1" applyAlignment="1">
      <alignment horizontal="left" vertical="top"/>
    </xf>
    <xf numFmtId="0" fontId="3" fillId="12" borderId="0" xfId="0" applyFont="1" applyFill="1" applyBorder="1" applyAlignment="1">
      <alignment horizontal="right" vertical="top"/>
    </xf>
    <xf numFmtId="0" fontId="3" fillId="12" borderId="0" xfId="0" applyFont="1" applyFill="1" applyBorder="1" applyAlignment="1">
      <alignment horizontal="right"/>
    </xf>
    <xf numFmtId="0" fontId="5" fillId="3" borderId="20" xfId="0" applyFont="1" applyFill="1" applyBorder="1" applyAlignment="1">
      <alignment horizontal="left" vertical="top"/>
    </xf>
    <xf numFmtId="0" fontId="5" fillId="7" borderId="0" xfId="0" applyFont="1" applyFill="1" applyBorder="1" applyAlignment="1">
      <alignment horizontal="left" vertical="top"/>
    </xf>
    <xf numFmtId="0" fontId="3" fillId="3" borderId="2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7" borderId="0" xfId="0" quotePrefix="1" applyFont="1" applyFill="1" applyBorder="1" applyAlignment="1">
      <alignment horizontal="right" vertical="center"/>
    </xf>
    <xf numFmtId="0" fontId="18" fillId="7" borderId="0" xfId="0" applyFont="1" applyFill="1" applyBorder="1" applyAlignment="1">
      <alignment horizontal="right" vertical="center"/>
    </xf>
    <xf numFmtId="0" fontId="18" fillId="3" borderId="0" xfId="0" applyFont="1" applyFill="1" applyBorder="1" applyAlignment="1">
      <alignment horizontal="right" vertical="center"/>
    </xf>
    <xf numFmtId="0" fontId="4" fillId="7" borderId="0" xfId="0" applyFont="1" applyFill="1" applyAlignment="1">
      <alignment vertical="center"/>
    </xf>
    <xf numFmtId="0" fontId="18" fillId="3" borderId="20" xfId="0" applyFont="1" applyFill="1" applyBorder="1" applyAlignment="1">
      <alignment horizontal="left" vertical="center"/>
    </xf>
    <xf numFmtId="0" fontId="3" fillId="3" borderId="20" xfId="0" applyFont="1" applyFill="1" applyBorder="1" applyAlignment="1">
      <alignment horizontal="right" vertical="center"/>
    </xf>
    <xf numFmtId="3" fontId="3" fillId="7" borderId="26" xfId="0" applyNumberFormat="1" applyFont="1" applyFill="1" applyBorder="1" applyAlignment="1">
      <alignment horizontal="right"/>
    </xf>
    <xf numFmtId="184" fontId="3" fillId="3" borderId="30" xfId="0" applyNumberFormat="1" applyFont="1" applyFill="1" applyBorder="1" applyAlignment="1">
      <alignment horizontal="right"/>
    </xf>
    <xf numFmtId="184" fontId="3" fillId="7" borderId="26" xfId="0" applyNumberFormat="1" applyFont="1" applyFill="1" applyBorder="1" applyAlignment="1">
      <alignment horizontal="right"/>
    </xf>
    <xf numFmtId="184" fontId="3" fillId="3" borderId="26" xfId="0" applyNumberFormat="1" applyFont="1" applyFill="1" applyBorder="1" applyAlignment="1">
      <alignment horizontal="right"/>
    </xf>
    <xf numFmtId="184" fontId="3" fillId="7" borderId="31" xfId="0" applyNumberFormat="1" applyFont="1" applyFill="1" applyBorder="1" applyAlignment="1">
      <alignment horizontal="right"/>
    </xf>
    <xf numFmtId="184" fontId="3" fillId="7" borderId="32" xfId="0" applyNumberFormat="1" applyFont="1" applyFill="1" applyBorder="1" applyAlignment="1">
      <alignment horizontal="right"/>
    </xf>
    <xf numFmtId="184" fontId="5" fillId="3" borderId="33" xfId="0" applyNumberFormat="1" applyFont="1" applyFill="1" applyBorder="1" applyAlignment="1">
      <alignment horizontal="right" vertical="center"/>
    </xf>
    <xf numFmtId="184" fontId="5" fillId="7" borderId="26" xfId="0" applyNumberFormat="1" applyFont="1" applyFill="1" applyBorder="1" applyAlignment="1">
      <alignment horizontal="right" vertical="center"/>
    </xf>
    <xf numFmtId="184" fontId="5" fillId="3" borderId="26" xfId="0" applyNumberFormat="1" applyFont="1" applyFill="1" applyBorder="1" applyAlignment="1">
      <alignment horizontal="right" vertical="center"/>
    </xf>
    <xf numFmtId="184" fontId="5" fillId="7" borderId="34" xfId="0" applyNumberFormat="1" applyFont="1" applyFill="1" applyBorder="1" applyAlignment="1">
      <alignment horizontal="right" vertical="center"/>
    </xf>
    <xf numFmtId="184" fontId="5" fillId="3" borderId="29" xfId="0" applyNumberFormat="1" applyFont="1" applyFill="1" applyBorder="1" applyAlignment="1">
      <alignment horizontal="right" vertical="center"/>
    </xf>
    <xf numFmtId="0" fontId="4" fillId="0" borderId="0" xfId="0" quotePrefix="1" applyFont="1" applyAlignment="1"/>
    <xf numFmtId="0" fontId="33" fillId="10" borderId="0" xfId="0" applyFont="1" applyFill="1"/>
    <xf numFmtId="0" fontId="2" fillId="0" borderId="0" xfId="13" applyFont="1" applyAlignment="1">
      <alignment horizontal="left"/>
    </xf>
    <xf numFmtId="0" fontId="30" fillId="0" borderId="0" xfId="13" applyAlignment="1">
      <alignment horizontal="center"/>
    </xf>
    <xf numFmtId="0" fontId="30" fillId="0" borderId="0" xfId="13"/>
    <xf numFmtId="0" fontId="32" fillId="5" borderId="0" xfId="13" applyFont="1" applyFill="1" applyAlignment="1">
      <alignment horizontal="center" wrapText="1" shrinkToFit="1"/>
    </xf>
    <xf numFmtId="0" fontId="32" fillId="0" borderId="3" xfId="13" applyFont="1" applyBorder="1" applyAlignment="1">
      <alignment horizontal="center" wrapText="1" shrinkToFit="1"/>
    </xf>
    <xf numFmtId="0" fontId="30" fillId="0" borderId="3" xfId="13" applyBorder="1" applyAlignment="1">
      <alignment horizontal="center"/>
    </xf>
    <xf numFmtId="0" fontId="30" fillId="0" borderId="3" xfId="13" applyBorder="1"/>
    <xf numFmtId="0" fontId="4" fillId="0" borderId="3" xfId="13" quotePrefix="1" applyFont="1" applyFill="1" applyBorder="1" applyAlignment="1">
      <alignment horizontal="center"/>
    </xf>
    <xf numFmtId="0" fontId="30" fillId="0" borderId="0" xfId="13" applyFill="1"/>
    <xf numFmtId="2" fontId="30" fillId="0" borderId="27" xfId="13" applyNumberFormat="1" applyBorder="1" applyAlignment="1">
      <alignment horizontal="center"/>
    </xf>
    <xf numFmtId="0" fontId="4" fillId="0" borderId="27" xfId="13" applyFont="1" applyFill="1" applyBorder="1" applyAlignment="1">
      <alignment horizontal="center"/>
    </xf>
    <xf numFmtId="2" fontId="4" fillId="13" borderId="3" xfId="13" applyNumberFormat="1" applyFont="1" applyFill="1" applyBorder="1" applyAlignment="1">
      <alignment horizontal="center"/>
    </xf>
    <xf numFmtId="2" fontId="4" fillId="0" borderId="3" xfId="13" applyNumberFormat="1" applyFont="1" applyFill="1" applyBorder="1" applyAlignment="1">
      <alignment horizontal="center"/>
    </xf>
    <xf numFmtId="2" fontId="4" fillId="0" borderId="3" xfId="13" applyNumberFormat="1" applyFont="1" applyBorder="1" applyAlignment="1">
      <alignment horizontal="center"/>
    </xf>
    <xf numFmtId="0" fontId="30" fillId="0" borderId="3" xfId="13" applyFill="1" applyBorder="1" applyAlignment="1">
      <alignment horizontal="center"/>
    </xf>
    <xf numFmtId="0" fontId="4" fillId="0" borderId="27" xfId="13" quotePrefix="1" applyFont="1" applyFill="1" applyBorder="1" applyAlignment="1">
      <alignment horizontal="center"/>
    </xf>
    <xf numFmtId="2" fontId="4" fillId="0" borderId="27" xfId="13" applyNumberFormat="1" applyFont="1" applyBorder="1" applyAlignment="1">
      <alignment horizontal="center"/>
    </xf>
    <xf numFmtId="2" fontId="30" fillId="0" borderId="3" xfId="13" applyNumberFormat="1" applyBorder="1" applyAlignment="1">
      <alignment horizontal="center"/>
    </xf>
    <xf numFmtId="0" fontId="4" fillId="0" borderId="3" xfId="13" applyFont="1" applyFill="1" applyBorder="1" applyAlignment="1">
      <alignment horizontal="center"/>
    </xf>
    <xf numFmtId="0" fontId="8" fillId="0" borderId="3" xfId="13" applyFont="1" applyFill="1" applyBorder="1" applyAlignment="1">
      <alignment horizontal="center"/>
    </xf>
    <xf numFmtId="0" fontId="4" fillId="13" borderId="3" xfId="13" quotePrefix="1" applyFont="1" applyFill="1" applyBorder="1" applyAlignment="1">
      <alignment horizontal="center"/>
    </xf>
    <xf numFmtId="2" fontId="30" fillId="0" borderId="3" xfId="13" applyNumberFormat="1" applyFill="1" applyBorder="1" applyAlignment="1">
      <alignment horizontal="center"/>
    </xf>
    <xf numFmtId="2" fontId="4" fillId="0" borderId="27" xfId="13" applyNumberFormat="1" applyFont="1" applyFill="1" applyBorder="1" applyAlignment="1">
      <alignment horizontal="center"/>
    </xf>
    <xf numFmtId="2" fontId="30" fillId="0" borderId="3" xfId="13" quotePrefix="1" applyNumberFormat="1" applyFill="1" applyBorder="1" applyAlignment="1">
      <alignment horizontal="center"/>
    </xf>
    <xf numFmtId="0" fontId="4" fillId="0" borderId="3" xfId="13" applyFont="1" applyBorder="1" applyAlignment="1">
      <alignment horizontal="center"/>
    </xf>
    <xf numFmtId="2" fontId="4" fillId="0" borderId="3" xfId="13" quotePrefix="1" applyNumberFormat="1" applyFont="1" applyBorder="1" applyAlignment="1">
      <alignment horizontal="center"/>
    </xf>
    <xf numFmtId="0" fontId="4" fillId="13" borderId="27" xfId="13" applyFont="1" applyFill="1" applyBorder="1" applyAlignment="1">
      <alignment horizontal="center"/>
    </xf>
    <xf numFmtId="0" fontId="4" fillId="13" borderId="3" xfId="13" applyFont="1" applyFill="1" applyBorder="1" applyAlignment="1">
      <alignment horizontal="center"/>
    </xf>
    <xf numFmtId="2" fontId="30" fillId="0" borderId="27" xfId="13" applyNumberFormat="1" applyFill="1" applyBorder="1" applyAlignment="1">
      <alignment horizontal="center"/>
    </xf>
    <xf numFmtId="0" fontId="73" fillId="13" borderId="27" xfId="13" quotePrefix="1" applyFont="1" applyFill="1" applyBorder="1" applyAlignment="1">
      <alignment horizontal="center"/>
    </xf>
    <xf numFmtId="0" fontId="4" fillId="0" borderId="0" xfId="13" quotePrefix="1" applyFont="1" applyFill="1" applyBorder="1" applyAlignment="1">
      <alignment horizontal="center"/>
    </xf>
    <xf numFmtId="0" fontId="8" fillId="0" borderId="0" xfId="13" quotePrefix="1" applyFont="1" applyFill="1" applyBorder="1" applyAlignment="1">
      <alignment horizontal="center"/>
    </xf>
    <xf numFmtId="2" fontId="30" fillId="0" borderId="0" xfId="13" quotePrefix="1" applyNumberFormat="1" applyFill="1" applyBorder="1" applyAlignment="1">
      <alignment horizontal="center"/>
    </xf>
    <xf numFmtId="0" fontId="4" fillId="0" borderId="0" xfId="13" applyFont="1" applyFill="1" applyBorder="1" applyAlignment="1">
      <alignment horizontal="center"/>
    </xf>
    <xf numFmtId="0" fontId="85" fillId="0" borderId="0" xfId="13" applyFont="1"/>
    <xf numFmtId="2" fontId="30" fillId="0" borderId="0" xfId="13" applyNumberFormat="1" applyBorder="1" applyAlignment="1">
      <alignment horizontal="center"/>
    </xf>
    <xf numFmtId="0" fontId="30" fillId="0" borderId="0" xfId="13" applyBorder="1"/>
    <xf numFmtId="0" fontId="30" fillId="13" borderId="3" xfId="13" applyFill="1" applyBorder="1"/>
    <xf numFmtId="0" fontId="23" fillId="0" borderId="0" xfId="13" applyFont="1" applyAlignment="1">
      <alignment horizontal="left"/>
    </xf>
    <xf numFmtId="0" fontId="30" fillId="0" borderId="27" xfId="13" quotePrefix="1" applyBorder="1" applyAlignment="1">
      <alignment horizontal="center"/>
    </xf>
    <xf numFmtId="0" fontId="85" fillId="0" borderId="0" xfId="13" applyFont="1" applyAlignment="1">
      <alignment horizontal="left"/>
    </xf>
    <xf numFmtId="0" fontId="30" fillId="0" borderId="27" xfId="13" applyBorder="1" applyAlignment="1">
      <alignment horizontal="center"/>
    </xf>
    <xf numFmtId="0" fontId="32" fillId="0" borderId="0" xfId="13" applyFont="1" applyAlignment="1">
      <alignment horizontal="left"/>
    </xf>
    <xf numFmtId="0" fontId="30" fillId="0" borderId="0" xfId="13" applyBorder="1" applyAlignment="1">
      <alignment horizontal="center"/>
    </xf>
    <xf numFmtId="0" fontId="35" fillId="0" borderId="0" xfId="13" applyFont="1" applyAlignment="1">
      <alignment horizontal="center"/>
    </xf>
    <xf numFmtId="0" fontId="35" fillId="0" borderId="0" xfId="13" applyFont="1"/>
    <xf numFmtId="0" fontId="34" fillId="0" borderId="0" xfId="13" applyFont="1" applyAlignment="1">
      <alignment horizontal="center"/>
    </xf>
    <xf numFmtId="0" fontId="36" fillId="0" borderId="0" xfId="13" applyFont="1" applyFill="1" applyAlignment="1">
      <alignment horizontal="center"/>
    </xf>
    <xf numFmtId="0" fontId="36" fillId="0" borderId="0" xfId="13" applyFont="1" applyAlignment="1">
      <alignment horizontal="center"/>
    </xf>
    <xf numFmtId="0" fontId="32" fillId="0" borderId="0" xfId="13" applyFont="1" applyFill="1" applyAlignment="1">
      <alignment horizontal="left" wrapText="1" shrinkToFit="1"/>
    </xf>
    <xf numFmtId="0" fontId="23" fillId="0" borderId="0" xfId="13" applyFont="1"/>
    <xf numFmtId="0" fontId="35" fillId="0" borderId="3" xfId="13" applyFont="1" applyBorder="1"/>
    <xf numFmtId="0" fontId="34" fillId="0" borderId="3" xfId="13" applyFont="1" applyBorder="1" applyAlignment="1">
      <alignment horizontal="center" wrapText="1" shrinkToFit="1"/>
    </xf>
    <xf numFmtId="2" fontId="35" fillId="0" borderId="3" xfId="13" applyNumberFormat="1" applyFont="1" applyFill="1" applyBorder="1" applyAlignment="1">
      <alignment horizontal="center"/>
    </xf>
    <xf numFmtId="2" fontId="35" fillId="0" borderId="3" xfId="13" applyNumberFormat="1" applyFont="1" applyBorder="1" applyAlignment="1">
      <alignment horizontal="center"/>
    </xf>
    <xf numFmtId="0" fontId="35" fillId="0" borderId="3" xfId="13" quotePrefix="1" applyFont="1" applyBorder="1" applyAlignment="1">
      <alignment horizontal="center"/>
    </xf>
    <xf numFmtId="0" fontId="35" fillId="0" borderId="3" xfId="13" applyFont="1" applyBorder="1" applyAlignment="1">
      <alignment horizontal="center"/>
    </xf>
    <xf numFmtId="2" fontId="35" fillId="0" borderId="27" xfId="13" applyNumberFormat="1" applyFont="1" applyFill="1" applyBorder="1" applyAlignment="1">
      <alignment horizontal="center"/>
    </xf>
    <xf numFmtId="2" fontId="35" fillId="0" borderId="27" xfId="13" applyNumberFormat="1" applyFont="1" applyBorder="1" applyAlignment="1">
      <alignment horizontal="center"/>
    </xf>
    <xf numFmtId="0" fontId="35" fillId="0" borderId="27" xfId="13" applyFont="1" applyBorder="1" applyAlignment="1">
      <alignment horizontal="center"/>
    </xf>
    <xf numFmtId="0" fontId="35" fillId="0" borderId="27" xfId="13" quotePrefix="1" applyFont="1" applyFill="1" applyBorder="1" applyAlignment="1">
      <alignment horizontal="center"/>
    </xf>
    <xf numFmtId="0" fontId="35" fillId="0" borderId="27" xfId="13" applyFont="1" applyFill="1" applyBorder="1" applyAlignment="1">
      <alignment horizontal="center"/>
    </xf>
    <xf numFmtId="0" fontId="35" fillId="0" borderId="27" xfId="13" quotePrefix="1" applyFont="1" applyBorder="1" applyAlignment="1">
      <alignment horizontal="center"/>
    </xf>
    <xf numFmtId="2" fontId="35" fillId="0" borderId="27" xfId="13" quotePrefix="1" applyNumberFormat="1" applyFont="1" applyFill="1" applyBorder="1" applyAlignment="1">
      <alignment horizontal="center"/>
    </xf>
    <xf numFmtId="2" fontId="35" fillId="0" borderId="2" xfId="13" applyNumberFormat="1" applyFont="1" applyFill="1" applyBorder="1" applyAlignment="1">
      <alignment horizontal="center"/>
    </xf>
    <xf numFmtId="0" fontId="35" fillId="0" borderId="3" xfId="13" applyFont="1" applyFill="1" applyBorder="1" applyAlignment="1">
      <alignment horizontal="center"/>
    </xf>
    <xf numFmtId="2" fontId="35" fillId="0" borderId="27" xfId="13" quotePrefix="1" applyNumberFormat="1" applyFont="1" applyBorder="1" applyAlignment="1">
      <alignment horizontal="center"/>
    </xf>
    <xf numFmtId="2" fontId="35" fillId="0" borderId="0" xfId="13" applyNumberFormat="1" applyFont="1" applyFill="1" applyAlignment="1">
      <alignment horizontal="center"/>
    </xf>
    <xf numFmtId="0" fontId="35" fillId="0" borderId="3" xfId="13" quotePrefix="1" applyFont="1" applyFill="1" applyBorder="1" applyAlignment="1">
      <alignment horizontal="center"/>
    </xf>
    <xf numFmtId="0" fontId="42" fillId="0" borderId="0" xfId="13" applyFont="1" applyFill="1" applyAlignment="1">
      <alignment horizontal="center"/>
    </xf>
    <xf numFmtId="0" fontId="35" fillId="0" borderId="0" xfId="13" applyFont="1" applyFill="1"/>
    <xf numFmtId="0" fontId="35" fillId="0" borderId="0" xfId="13" applyFont="1" applyFill="1" applyAlignment="1">
      <alignment horizontal="center"/>
    </xf>
    <xf numFmtId="3" fontId="65" fillId="3" borderId="4" xfId="0" applyNumberFormat="1" applyFont="1" applyFill="1" applyBorder="1" applyAlignment="1">
      <alignment horizontal="right" vertical="center"/>
    </xf>
    <xf numFmtId="0" fontId="8" fillId="0" borderId="0" xfId="14" applyFont="1"/>
    <xf numFmtId="0" fontId="30" fillId="0" borderId="0" xfId="14"/>
    <xf numFmtId="0" fontId="88" fillId="0" borderId="0" xfId="14" applyFont="1"/>
    <xf numFmtId="0" fontId="4" fillId="0" borderId="0" xfId="14" applyFont="1"/>
    <xf numFmtId="0" fontId="4" fillId="0" borderId="0" xfId="14" quotePrefix="1" applyFont="1"/>
    <xf numFmtId="0" fontId="88" fillId="6" borderId="0" xfId="14" applyFont="1" applyFill="1" applyBorder="1"/>
    <xf numFmtId="0" fontId="4" fillId="6" borderId="0" xfId="14" applyFont="1" applyFill="1" applyBorder="1"/>
    <xf numFmtId="0" fontId="18" fillId="0" borderId="0" xfId="14" applyFont="1" applyFill="1" applyBorder="1"/>
    <xf numFmtId="0" fontId="32" fillId="3" borderId="0" xfId="14" applyFont="1" applyFill="1"/>
    <xf numFmtId="0" fontId="30" fillId="3" borderId="0" xfId="14" applyFill="1"/>
    <xf numFmtId="0" fontId="32" fillId="0" borderId="0" xfId="14" applyFont="1" applyAlignment="1">
      <alignment horizontal="right" wrapText="1"/>
    </xf>
    <xf numFmtId="0" fontId="32" fillId="0" borderId="0" xfId="14" applyFont="1" applyAlignment="1">
      <alignment horizontal="center" wrapText="1"/>
    </xf>
    <xf numFmtId="0" fontId="90" fillId="0" borderId="0" xfId="14" applyFont="1" applyAlignment="1">
      <alignment horizontal="center"/>
    </xf>
    <xf numFmtId="3" fontId="90" fillId="0" borderId="0" xfId="14" applyNumberFormat="1" applyFont="1"/>
    <xf numFmtId="184" fontId="91" fillId="0" borderId="0" xfId="14" applyNumberFormat="1" applyFont="1" applyAlignment="1">
      <alignment horizontal="center" wrapText="1"/>
    </xf>
    <xf numFmtId="4" fontId="50" fillId="0" borderId="0" xfId="14" applyNumberFormat="1" applyFont="1" applyAlignment="1">
      <alignment wrapText="1"/>
    </xf>
    <xf numFmtId="4" fontId="91" fillId="0" borderId="0" xfId="14" applyNumberFormat="1" applyFont="1" applyAlignment="1">
      <alignment horizontal="center" wrapText="1"/>
    </xf>
    <xf numFmtId="3" fontId="91" fillId="0" borderId="0" xfId="14" applyNumberFormat="1" applyFont="1" applyAlignment="1">
      <alignment wrapText="1"/>
    </xf>
    <xf numFmtId="0" fontId="23" fillId="0" borderId="0" xfId="14" applyFont="1" applyAlignment="1">
      <alignment horizontal="center"/>
    </xf>
    <xf numFmtId="3" fontId="23" fillId="0" borderId="0" xfId="14" applyNumberFormat="1" applyFont="1"/>
    <xf numFmtId="0" fontId="23" fillId="3" borderId="0" xfId="14" applyFont="1" applyFill="1"/>
    <xf numFmtId="3" fontId="92" fillId="0" borderId="0" xfId="14" applyNumberFormat="1" applyFont="1" applyAlignment="1">
      <alignment wrapText="1"/>
    </xf>
    <xf numFmtId="3" fontId="90" fillId="0" borderId="0" xfId="14" applyNumberFormat="1" applyFont="1" applyAlignment="1">
      <alignment horizontal="right"/>
    </xf>
    <xf numFmtId="0" fontId="8" fillId="0" borderId="0" xfId="14" applyFont="1" applyAlignment="1">
      <alignment wrapText="1"/>
    </xf>
    <xf numFmtId="0" fontId="93" fillId="3" borderId="35" xfId="14" applyFont="1" applyFill="1" applyBorder="1" applyAlignment="1">
      <alignment horizontal="left" vertical="top" wrapText="1"/>
    </xf>
    <xf numFmtId="184" fontId="30" fillId="0" borderId="0" xfId="14" applyNumberFormat="1" applyAlignment="1">
      <alignment horizontal="right"/>
    </xf>
    <xf numFmtId="184" fontId="26" fillId="0" borderId="0" xfId="14" applyNumberFormat="1" applyFont="1" applyFill="1" applyAlignment="1">
      <alignment horizontal="right"/>
    </xf>
    <xf numFmtId="184" fontId="8" fillId="0" borderId="0" xfId="14" applyNumberFormat="1" applyFont="1" applyAlignment="1">
      <alignment horizontal="right"/>
    </xf>
    <xf numFmtId="0" fontId="94" fillId="0" borderId="0" xfId="14" applyNumberFormat="1" applyFont="1" applyFill="1" applyBorder="1" applyAlignment="1">
      <alignment horizontal="left" vertical="top"/>
    </xf>
    <xf numFmtId="0" fontId="93" fillId="3" borderId="35" xfId="14" applyFont="1" applyFill="1" applyBorder="1" applyAlignment="1">
      <alignment horizontal="left" vertical="top"/>
    </xf>
    <xf numFmtId="3" fontId="30" fillId="0" borderId="0" xfId="14" applyNumberFormat="1" applyAlignment="1">
      <alignment horizontal="right"/>
    </xf>
    <xf numFmtId="184" fontId="30" fillId="0" borderId="0" xfId="14" applyNumberFormat="1"/>
    <xf numFmtId="0" fontId="93" fillId="3" borderId="36" xfId="14" applyFont="1" applyFill="1" applyBorder="1" applyAlignment="1">
      <alignment horizontal="left" vertical="top" wrapText="1"/>
    </xf>
    <xf numFmtId="184" fontId="8" fillId="0" borderId="0" xfId="14" applyNumberFormat="1" applyFont="1"/>
    <xf numFmtId="0" fontId="93" fillId="4" borderId="9" xfId="14" applyFont="1" applyFill="1" applyBorder="1" applyAlignment="1">
      <alignment horizontal="left" vertical="top"/>
    </xf>
    <xf numFmtId="0" fontId="30" fillId="0" borderId="0" xfId="15"/>
    <xf numFmtId="0" fontId="32" fillId="0" borderId="0" xfId="15" applyFont="1"/>
    <xf numFmtId="0" fontId="8" fillId="0" borderId="0" xfId="15" applyFont="1"/>
    <xf numFmtId="0" fontId="18" fillId="0" borderId="0" xfId="15" applyFont="1" applyAlignment="1">
      <alignment horizontal="center"/>
    </xf>
    <xf numFmtId="0" fontId="90" fillId="0" borderId="0" xfId="15" applyFont="1" applyAlignment="1">
      <alignment horizontal="center"/>
    </xf>
    <xf numFmtId="0" fontId="90" fillId="0" borderId="0" xfId="15" applyFont="1"/>
    <xf numFmtId="0" fontId="95" fillId="0" borderId="0" xfId="15" applyFont="1"/>
    <xf numFmtId="0" fontId="96" fillId="0" borderId="0" xfId="15" applyFont="1" applyAlignment="1">
      <alignment horizontal="center"/>
    </xf>
    <xf numFmtId="0" fontId="30" fillId="13" borderId="0" xfId="15" applyFont="1" applyFill="1"/>
    <xf numFmtId="0" fontId="97" fillId="13" borderId="0" xfId="15" applyFont="1" applyFill="1"/>
    <xf numFmtId="0" fontId="39" fillId="13" borderId="0" xfId="15" applyFont="1" applyFill="1" applyAlignment="1">
      <alignment horizontal="center" wrapText="1"/>
    </xf>
    <xf numFmtId="3" fontId="18" fillId="0" borderId="0" xfId="15" applyNumberFormat="1" applyFont="1"/>
    <xf numFmtId="3" fontId="39" fillId="0" borderId="0" xfId="15" applyNumberFormat="1" applyFont="1"/>
    <xf numFmtId="10" fontId="18" fillId="0" borderId="0" xfId="15" applyNumberFormat="1" applyFont="1" applyAlignment="1">
      <alignment horizontal="center"/>
    </xf>
    <xf numFmtId="0" fontId="85" fillId="0" borderId="0" xfId="15" applyFont="1"/>
    <xf numFmtId="3" fontId="67" fillId="0" borderId="0" xfId="15" applyNumberFormat="1" applyFont="1"/>
    <xf numFmtId="3" fontId="98" fillId="0" borderId="0" xfId="15" applyNumberFormat="1" applyFont="1"/>
    <xf numFmtId="10" fontId="67" fillId="0" borderId="0" xfId="15" applyNumberFormat="1" applyFont="1" applyAlignment="1">
      <alignment horizontal="center"/>
    </xf>
    <xf numFmtId="3" fontId="67" fillId="0" borderId="0" xfId="15" applyNumberFormat="1" applyFont="1" applyAlignment="1">
      <alignment horizontal="center"/>
    </xf>
    <xf numFmtId="10" fontId="67" fillId="0" borderId="0" xfId="15" applyNumberFormat="1" applyFont="1"/>
    <xf numFmtId="3" fontId="18" fillId="0" borderId="0" xfId="15" applyNumberFormat="1" applyFont="1" applyAlignment="1">
      <alignment horizontal="right"/>
    </xf>
    <xf numFmtId="3" fontId="18" fillId="0" borderId="0" xfId="15" applyNumberFormat="1" applyFont="1" applyFill="1"/>
    <xf numFmtId="10" fontId="18" fillId="0" borderId="0" xfId="15" applyNumberFormat="1" applyFont="1"/>
    <xf numFmtId="0" fontId="23" fillId="0" borderId="0" xfId="15" quotePrefix="1" applyFont="1"/>
    <xf numFmtId="0" fontId="23" fillId="0" borderId="0" xfId="15" applyFont="1"/>
    <xf numFmtId="0" fontId="90" fillId="0" borderId="0" xfId="15" quotePrefix="1" applyFont="1"/>
    <xf numFmtId="0" fontId="30" fillId="0" borderId="0" xfId="15" applyFont="1"/>
    <xf numFmtId="0" fontId="97" fillId="0" borderId="0" xfId="15" applyFont="1"/>
    <xf numFmtId="0" fontId="99" fillId="0" borderId="0" xfId="15" applyFont="1" applyAlignment="1">
      <alignment horizontal="center"/>
    </xf>
    <xf numFmtId="0" fontId="90" fillId="0" borderId="0" xfId="15" applyFont="1" applyAlignment="1">
      <alignment vertical="center"/>
    </xf>
    <xf numFmtId="0" fontId="100" fillId="0" borderId="37" xfId="15" applyFont="1" applyBorder="1"/>
    <xf numFmtId="0" fontId="30" fillId="0" borderId="38" xfId="15" applyFont="1" applyBorder="1"/>
    <xf numFmtId="0" fontId="30" fillId="0" borderId="38" xfId="15" applyFont="1" applyBorder="1" applyAlignment="1">
      <alignment horizontal="center"/>
    </xf>
    <xf numFmtId="0" fontId="30" fillId="0" borderId="39" xfId="15" applyFont="1" applyBorder="1" applyAlignment="1">
      <alignment horizontal="center"/>
    </xf>
    <xf numFmtId="0" fontId="30" fillId="0" borderId="9" xfId="15" applyFont="1" applyBorder="1" applyAlignment="1">
      <alignment horizontal="center"/>
    </xf>
    <xf numFmtId="0" fontId="97" fillId="0" borderId="9" xfId="15" applyFont="1" applyBorder="1" applyAlignment="1">
      <alignment horizontal="center"/>
    </xf>
    <xf numFmtId="0" fontId="100" fillId="0" borderId="1" xfId="15" applyFont="1" applyBorder="1"/>
    <xf numFmtId="0" fontId="30" fillId="0" borderId="0" xfId="15" applyFont="1" applyBorder="1" applyAlignment="1">
      <alignment horizontal="center"/>
    </xf>
    <xf numFmtId="0" fontId="30" fillId="0" borderId="40" xfId="15" applyBorder="1"/>
    <xf numFmtId="0" fontId="101" fillId="0" borderId="41" xfId="15" applyFont="1" applyBorder="1"/>
    <xf numFmtId="0" fontId="97" fillId="0" borderId="42" xfId="15" applyFont="1" applyBorder="1"/>
    <xf numFmtId="0" fontId="97" fillId="0" borderId="42" xfId="15" applyFont="1" applyBorder="1" applyAlignment="1">
      <alignment horizontal="center"/>
    </xf>
    <xf numFmtId="0" fontId="97" fillId="0" borderId="39" xfId="15" applyFont="1" applyBorder="1" applyAlignment="1">
      <alignment horizontal="center"/>
    </xf>
    <xf numFmtId="0" fontId="30" fillId="0" borderId="0" xfId="15" applyAlignment="1">
      <alignment horizontal="center"/>
    </xf>
    <xf numFmtId="0" fontId="102" fillId="13" borderId="0" xfId="15" applyFont="1" applyFill="1" applyAlignment="1">
      <alignment horizontal="center" wrapText="1"/>
    </xf>
    <xf numFmtId="1" fontId="46" fillId="0" borderId="0" xfId="15" applyNumberFormat="1" applyFont="1"/>
    <xf numFmtId="1" fontId="102" fillId="0" borderId="0" xfId="15" applyNumberFormat="1" applyFont="1"/>
    <xf numFmtId="10" fontId="46" fillId="0" borderId="0" xfId="15" applyNumberFormat="1" applyFont="1" applyAlignment="1">
      <alignment horizontal="center"/>
    </xf>
    <xf numFmtId="1" fontId="67" fillId="0" borderId="0" xfId="15" applyNumberFormat="1" applyFont="1"/>
    <xf numFmtId="1" fontId="98" fillId="0" borderId="0" xfId="15" applyNumberFormat="1" applyFont="1"/>
    <xf numFmtId="1" fontId="67" fillId="0" borderId="0" xfId="15" applyNumberFormat="1" applyFont="1" applyAlignment="1">
      <alignment horizontal="center"/>
    </xf>
    <xf numFmtId="3" fontId="4" fillId="0" borderId="0" xfId="15" applyNumberFormat="1" applyFont="1" applyFill="1"/>
    <xf numFmtId="0" fontId="8" fillId="0" borderId="0" xfId="0" applyFont="1" applyFill="1"/>
    <xf numFmtId="0" fontId="65" fillId="13" borderId="3" xfId="13" quotePrefix="1" applyFont="1" applyFill="1" applyBorder="1" applyAlignment="1">
      <alignment horizontal="center"/>
    </xf>
    <xf numFmtId="0" fontId="69" fillId="3" borderId="15" xfId="0" applyFont="1" applyFill="1" applyBorder="1" applyAlignment="1">
      <alignment vertical="center"/>
    </xf>
    <xf numFmtId="4" fontId="69" fillId="7" borderId="15" xfId="0" applyNumberFormat="1" applyFont="1" applyFill="1" applyBorder="1" applyAlignment="1">
      <alignment vertical="center"/>
    </xf>
    <xf numFmtId="4" fontId="69" fillId="3" borderId="15" xfId="0" applyNumberFormat="1" applyFont="1" applyFill="1" applyBorder="1" applyAlignment="1">
      <alignment vertical="center"/>
    </xf>
    <xf numFmtId="184" fontId="104" fillId="3" borderId="15" xfId="0" applyNumberFormat="1" applyFont="1" applyFill="1" applyBorder="1" applyAlignment="1">
      <alignment horizontal="right" vertical="center"/>
    </xf>
    <xf numFmtId="0" fontId="62" fillId="0" borderId="0" xfId="0" applyFont="1" applyAlignment="1">
      <alignment vertical="top"/>
    </xf>
    <xf numFmtId="0" fontId="2" fillId="0" borderId="3" xfId="0" applyFont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2" fillId="0" borderId="0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2" fillId="6" borderId="3" xfId="0" applyFont="1" applyFill="1" applyBorder="1" applyAlignment="1">
      <alignment vertical="top" wrapText="1"/>
    </xf>
    <xf numFmtId="3" fontId="2" fillId="0" borderId="3" xfId="0" applyNumberFormat="1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3" fillId="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7" borderId="2" xfId="0" applyFont="1" applyFill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2" fillId="0" borderId="0" xfId="0" applyFont="1" applyBorder="1" applyAlignment="1">
      <alignment horizontal="left" vertical="top" wrapText="1"/>
    </xf>
    <xf numFmtId="0" fontId="38" fillId="0" borderId="0" xfId="0" applyFont="1" applyAlignment="1">
      <alignment wrapText="1"/>
    </xf>
    <xf numFmtId="0" fontId="4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6" borderId="0" xfId="0" applyFont="1" applyFill="1" applyAlignment="1">
      <alignment vertical="top" wrapText="1"/>
    </xf>
    <xf numFmtId="0" fontId="8" fillId="5" borderId="0" xfId="19" applyFont="1" applyFill="1" applyAlignment="1">
      <alignment horizontal="center" textRotation="180" wrapText="1"/>
    </xf>
    <xf numFmtId="0" fontId="4" fillId="5" borderId="0" xfId="19" applyFont="1" applyFill="1" applyAlignment="1">
      <alignment horizontal="center"/>
    </xf>
    <xf numFmtId="0" fontId="8" fillId="2" borderId="0" xfId="19" applyFont="1" applyFill="1" applyAlignment="1">
      <alignment horizontal="center" vertical="center" textRotation="180"/>
    </xf>
    <xf numFmtId="0" fontId="74" fillId="0" borderId="0" xfId="19" applyAlignment="1">
      <alignment vertical="center"/>
    </xf>
    <xf numFmtId="0" fontId="2" fillId="0" borderId="3" xfId="0" applyFont="1" applyFill="1" applyBorder="1" applyAlignment="1">
      <alignment vertical="top" wrapText="1"/>
    </xf>
    <xf numFmtId="0" fontId="0" fillId="0" borderId="3" xfId="0" applyFill="1" applyBorder="1" applyAlignment="1">
      <alignment wrapText="1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0" fillId="0" borderId="2" xfId="0" applyBorder="1" applyAlignment="1"/>
    <xf numFmtId="0" fontId="22" fillId="0" borderId="0" xfId="0" applyFont="1" applyBorder="1" applyAlignment="1">
      <alignment wrapText="1"/>
    </xf>
    <xf numFmtId="0" fontId="2" fillId="0" borderId="0" xfId="0" applyFont="1" applyAlignment="1">
      <alignment wrapText="1"/>
    </xf>
    <xf numFmtId="0" fontId="22" fillId="0" borderId="0" xfId="0" applyFont="1" applyBorder="1" applyAlignment="1">
      <alignment vertical="top" wrapText="1"/>
    </xf>
    <xf numFmtId="3" fontId="2" fillId="6" borderId="3" xfId="0" applyNumberFormat="1" applyFont="1" applyFill="1" applyBorder="1" applyAlignment="1">
      <alignment horizontal="left" vertical="top" wrapText="1"/>
    </xf>
  </cellXfs>
  <cellStyles count="21">
    <cellStyle name="Normal_KV_liste T1" xfId="1" xr:uid="{E66C3331-C819-EA46-AC18-F7B43E71A481}"/>
    <cellStyle name="Normal_KV_liste T10" xfId="2" xr:uid="{8E6D5CB4-D83F-AC44-84EB-FCCB2021CBDD}"/>
    <cellStyle name="Normal_KV_liste T11" xfId="3" xr:uid="{1DCC7E30-9702-A349-8763-895BCCA82E04}"/>
    <cellStyle name="Normal_KV_liste T2" xfId="4" xr:uid="{3F58A91F-6DEA-1E45-8B06-3B7F2B40391D}"/>
    <cellStyle name="Normal_KV_liste T3" xfId="5" xr:uid="{739B5797-C1DE-F84D-BF8C-9AFD878BE6FD}"/>
    <cellStyle name="Normal_KV_liste T4" xfId="6" xr:uid="{ABC98121-FC3D-044D-A65B-A6917E44F977}"/>
    <cellStyle name="Normal_KV_liste T5" xfId="7" xr:uid="{C98D59EC-F8F0-914D-8E64-F1100A4500F5}"/>
    <cellStyle name="Normal_KV_liste T6" xfId="8" xr:uid="{9FD03D08-15FE-5549-B831-5803CC2CCA1F}"/>
    <cellStyle name="Normal_KV_liste T7" xfId="9" xr:uid="{9E6F731F-58B3-334E-8952-4F385FC477AD}"/>
    <cellStyle name="Normal_KV_liste T8" xfId="10" xr:uid="{811718F4-DEA1-0147-92EA-A9E4F35C1C1C}"/>
    <cellStyle name="Normal_KV_liste T9" xfId="11" xr:uid="{74510976-91FE-414B-B42F-89E29244D750}"/>
    <cellStyle name="Normal_KV_T_2006_all_220807_d_sans liaisons" xfId="12" xr:uid="{B4EB9E17-83D8-9145-93A4-E5EEBD67C747}"/>
    <cellStyle name="Normal_KV0_6 annexe B_fd" xfId="13" xr:uid="{CEF9E50B-4DE6-AB4F-AC2F-2482151075DB}"/>
    <cellStyle name="Normal_KV0_6 annexe I_fd" xfId="14" xr:uid="{5D108857-29F7-384E-B444-7E3425C0BFE6}"/>
    <cellStyle name="Normal_KV0_6 annexe J_fd" xfId="15" xr:uid="{2184A4B3-2563-594D-821F-A45479C98D5D}"/>
    <cellStyle name="Normal_KV5_Aufsichtsdaten_2004_formate_310505" xfId="16" xr:uid="{F99DFB28-FCB6-7C4D-9A58-B91BD86784C0}"/>
    <cellStyle name="Normal_KV906" xfId="17" xr:uid="{1775AEB6-E6C5-AF4F-8E4D-25EAFF7F4F89}"/>
    <cellStyle name="Normal_KV907" xfId="18" xr:uid="{A20C3281-6A21-EE47-A44D-3B46A13677EF}"/>
    <cellStyle name="Normal_KV908" xfId="19" xr:uid="{8FE60F97-91CF-064C-9C5A-7289491F4EED}"/>
    <cellStyle name="Normal_modif EF1_112_d_241104" xfId="20" xr:uid="{833123C6-460E-CE4D-9D76-50E3F262B269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Anzahl Ärzte mit Praxistätigkeit und Apotheken 1985 – 2000 (Daten 1999)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'909d'!$D$5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'909d'!$D$8:$D$34</c:f>
              <c:numCache>
                <c:formatCode>#,##0</c:formatCode>
                <c:ptCount val="27"/>
                <c:pt idx="0">
                  <c:v>2146</c:v>
                </c:pt>
                <c:pt idx="1">
                  <c:v>1442</c:v>
                </c:pt>
                <c:pt idx="2">
                  <c:v>337</c:v>
                </c:pt>
                <c:pt idx="3">
                  <c:v>23</c:v>
                </c:pt>
                <c:pt idx="4">
                  <c:v>106</c:v>
                </c:pt>
                <c:pt idx="5">
                  <c:v>17</c:v>
                </c:pt>
                <c:pt idx="6">
                  <c:v>29</c:v>
                </c:pt>
                <c:pt idx="7">
                  <c:v>27</c:v>
                </c:pt>
                <c:pt idx="8">
                  <c:v>130</c:v>
                </c:pt>
                <c:pt idx="9">
                  <c:v>275</c:v>
                </c:pt>
                <c:pt idx="10">
                  <c:v>247</c:v>
                </c:pt>
                <c:pt idx="11">
                  <c:v>595</c:v>
                </c:pt>
                <c:pt idx="12">
                  <c:v>368</c:v>
                </c:pt>
                <c:pt idx="13">
                  <c:v>89</c:v>
                </c:pt>
                <c:pt idx="14">
                  <c:v>59</c:v>
                </c:pt>
                <c:pt idx="15">
                  <c:v>12</c:v>
                </c:pt>
                <c:pt idx="16">
                  <c:v>471</c:v>
                </c:pt>
                <c:pt idx="17">
                  <c:v>198</c:v>
                </c:pt>
                <c:pt idx="18">
                  <c:v>585</c:v>
                </c:pt>
                <c:pt idx="19">
                  <c:v>185</c:v>
                </c:pt>
                <c:pt idx="20">
                  <c:v>487</c:v>
                </c:pt>
                <c:pt idx="21">
                  <c:v>1235</c:v>
                </c:pt>
                <c:pt idx="22">
                  <c:v>342</c:v>
                </c:pt>
                <c:pt idx="23">
                  <c:v>260</c:v>
                </c:pt>
                <c:pt idx="24">
                  <c:v>1198</c:v>
                </c:pt>
                <c:pt idx="25">
                  <c:v>75</c:v>
                </c:pt>
                <c:pt idx="26">
                  <c:v>10938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6-0D43-B05D-42186805F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927056"/>
        <c:axId val="1"/>
      </c:lineChart>
      <c:lineChart>
        <c:grouping val="standard"/>
        <c:varyColors val="0"/>
        <c:ser>
          <c:idx val="0"/>
          <c:order val="1"/>
          <c:tx>
            <c:strRef>
              <c:f>'909d'!$H$5</c:f>
              <c:strCache>
                <c:ptCount val="1"/>
                <c:pt idx="0">
                  <c:v>Anzahl Apotheken (rechte Skala)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'909d'!$H$8:$H$34</c:f>
              <c:numCache>
                <c:formatCode>#,##0</c:formatCode>
                <c:ptCount val="27"/>
                <c:pt idx="0">
                  <c:v>221</c:v>
                </c:pt>
                <c:pt idx="1">
                  <c:v>187</c:v>
                </c:pt>
                <c:pt idx="2">
                  <c:v>34</c:v>
                </c:pt>
                <c:pt idx="3">
                  <c:v>2</c:v>
                </c:pt>
                <c:pt idx="4">
                  <c:v>12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13</c:v>
                </c:pt>
                <c:pt idx="9">
                  <c:v>65</c:v>
                </c:pt>
                <c:pt idx="10">
                  <c:v>26</c:v>
                </c:pt>
                <c:pt idx="11">
                  <c:v>69</c:v>
                </c:pt>
                <c:pt idx="12">
                  <c:v>40</c:v>
                </c:pt>
                <c:pt idx="13">
                  <c:v>13</c:v>
                </c:pt>
                <c:pt idx="14">
                  <c:v>6</c:v>
                </c:pt>
                <c:pt idx="15">
                  <c:v>1</c:v>
                </c:pt>
                <c:pt idx="16">
                  <c:v>49</c:v>
                </c:pt>
                <c:pt idx="17">
                  <c:v>39</c:v>
                </c:pt>
                <c:pt idx="18">
                  <c:v>109</c:v>
                </c:pt>
                <c:pt idx="19">
                  <c:v>23</c:v>
                </c:pt>
                <c:pt idx="20">
                  <c:v>178</c:v>
                </c:pt>
                <c:pt idx="21">
                  <c:v>240</c:v>
                </c:pt>
                <c:pt idx="22">
                  <c:v>110</c:v>
                </c:pt>
                <c:pt idx="23">
                  <c:v>57</c:v>
                </c:pt>
                <c:pt idx="24">
                  <c:v>171</c:v>
                </c:pt>
                <c:pt idx="25">
                  <c:v>19</c:v>
                </c:pt>
                <c:pt idx="26">
                  <c:v>1692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6-0D43-B05D-42186805F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6219270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62192705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55 Helvetica Roman"/>
              <a:ea typeface="55 Helvetica Roman"/>
              <a:cs typeface="55 Helvetica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&amp;B</c:oddHeader>
      <c:oddFooter>Page &amp;S</c:oddFooter>
    </c:headerFooter>
    <c:pageMargins b="0.984251969" l="0.78740157499999996" r="0.78740157499999996" t="0.984251969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Anzahl Ärzte mit Praxistätigkeit und Apotheken 1985 – 2000 (Daten 1999)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'909d'!$D$5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'909d'!$D$8:$D$34</c:f>
              <c:numCache>
                <c:formatCode>#,##0</c:formatCode>
                <c:ptCount val="27"/>
                <c:pt idx="0">
                  <c:v>2146</c:v>
                </c:pt>
                <c:pt idx="1">
                  <c:v>1442</c:v>
                </c:pt>
                <c:pt idx="2">
                  <c:v>337</c:v>
                </c:pt>
                <c:pt idx="3">
                  <c:v>23</c:v>
                </c:pt>
                <c:pt idx="4">
                  <c:v>106</c:v>
                </c:pt>
                <c:pt idx="5">
                  <c:v>17</c:v>
                </c:pt>
                <c:pt idx="6">
                  <c:v>29</c:v>
                </c:pt>
                <c:pt idx="7">
                  <c:v>27</c:v>
                </c:pt>
                <c:pt idx="8">
                  <c:v>130</c:v>
                </c:pt>
                <c:pt idx="9">
                  <c:v>275</c:v>
                </c:pt>
                <c:pt idx="10">
                  <c:v>247</c:v>
                </c:pt>
                <c:pt idx="11">
                  <c:v>595</c:v>
                </c:pt>
                <c:pt idx="12">
                  <c:v>368</c:v>
                </c:pt>
                <c:pt idx="13">
                  <c:v>89</c:v>
                </c:pt>
                <c:pt idx="14">
                  <c:v>59</c:v>
                </c:pt>
                <c:pt idx="15">
                  <c:v>12</c:v>
                </c:pt>
                <c:pt idx="16">
                  <c:v>471</c:v>
                </c:pt>
                <c:pt idx="17">
                  <c:v>198</c:v>
                </c:pt>
                <c:pt idx="18">
                  <c:v>585</c:v>
                </c:pt>
                <c:pt idx="19">
                  <c:v>185</c:v>
                </c:pt>
                <c:pt idx="20">
                  <c:v>487</c:v>
                </c:pt>
                <c:pt idx="21">
                  <c:v>1235</c:v>
                </c:pt>
                <c:pt idx="22">
                  <c:v>342</c:v>
                </c:pt>
                <c:pt idx="23">
                  <c:v>260</c:v>
                </c:pt>
                <c:pt idx="24">
                  <c:v>1198</c:v>
                </c:pt>
                <c:pt idx="25">
                  <c:v>75</c:v>
                </c:pt>
                <c:pt idx="26">
                  <c:v>10938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D-134C-AB7E-87FE1BFE6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706512"/>
        <c:axId val="1"/>
      </c:lineChart>
      <c:lineChart>
        <c:grouping val="standard"/>
        <c:varyColors val="0"/>
        <c:ser>
          <c:idx val="0"/>
          <c:order val="1"/>
          <c:tx>
            <c:strRef>
              <c:f>'909d'!$H$5</c:f>
              <c:strCache>
                <c:ptCount val="1"/>
                <c:pt idx="0">
                  <c:v>Anzahl Apotheken (rechte Skala)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'909d'!$H$8:$H$34</c:f>
              <c:numCache>
                <c:formatCode>#,##0</c:formatCode>
                <c:ptCount val="27"/>
                <c:pt idx="0">
                  <c:v>221</c:v>
                </c:pt>
                <c:pt idx="1">
                  <c:v>187</c:v>
                </c:pt>
                <c:pt idx="2">
                  <c:v>34</c:v>
                </c:pt>
                <c:pt idx="3">
                  <c:v>2</c:v>
                </c:pt>
                <c:pt idx="4">
                  <c:v>12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13</c:v>
                </c:pt>
                <c:pt idx="9">
                  <c:v>65</c:v>
                </c:pt>
                <c:pt idx="10">
                  <c:v>26</c:v>
                </c:pt>
                <c:pt idx="11">
                  <c:v>69</c:v>
                </c:pt>
                <c:pt idx="12">
                  <c:v>40</c:v>
                </c:pt>
                <c:pt idx="13">
                  <c:v>13</c:v>
                </c:pt>
                <c:pt idx="14">
                  <c:v>6</c:v>
                </c:pt>
                <c:pt idx="15">
                  <c:v>1</c:v>
                </c:pt>
                <c:pt idx="16">
                  <c:v>49</c:v>
                </c:pt>
                <c:pt idx="17">
                  <c:v>39</c:v>
                </c:pt>
                <c:pt idx="18">
                  <c:v>109</c:v>
                </c:pt>
                <c:pt idx="19">
                  <c:v>23</c:v>
                </c:pt>
                <c:pt idx="20">
                  <c:v>178</c:v>
                </c:pt>
                <c:pt idx="21">
                  <c:v>240</c:v>
                </c:pt>
                <c:pt idx="22">
                  <c:v>110</c:v>
                </c:pt>
                <c:pt idx="23">
                  <c:v>57</c:v>
                </c:pt>
                <c:pt idx="24">
                  <c:v>171</c:v>
                </c:pt>
                <c:pt idx="25">
                  <c:v>19</c:v>
                </c:pt>
                <c:pt idx="26">
                  <c:v>1692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D-134C-AB7E-87FE1BFE6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6217065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25"/>
        <c:tickMarkSkip val="1"/>
        <c:noMultiLvlLbl val="0"/>
      </c:catAx>
      <c:valAx>
        <c:axId val="1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621706512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55 Helvetica Roman"/>
              <a:ea typeface="55 Helvetica Roman"/>
              <a:cs typeface="55 Helvetica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2</xdr:row>
      <xdr:rowOff>317500</xdr:rowOff>
    </xdr:from>
    <xdr:to>
      <xdr:col>8</xdr:col>
      <xdr:colOff>317500</xdr:colOff>
      <xdr:row>8</xdr:row>
      <xdr:rowOff>63500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50875B55-61BD-BA45-90CF-F0EF923F5DC4}"/>
            </a:ext>
          </a:extLst>
        </xdr:cNvPr>
        <xdr:cNvSpPr>
          <a:spLocks noChangeArrowheads="1"/>
        </xdr:cNvSpPr>
      </xdr:nvSpPr>
      <xdr:spPr bwMode="auto">
        <a:xfrm>
          <a:off x="4051300" y="850900"/>
          <a:ext cx="2616200" cy="1193800"/>
        </a:xfrm>
        <a:prstGeom prst="wedgeRectCallout">
          <a:avLst>
            <a:gd name="adj1" fmla="val -103625"/>
            <a:gd name="adj2" fmla="val 132171"/>
          </a:avLst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55 Helvetica Roman" charset="0"/>
            </a:rPr>
            <a:t>La partie tableaux sous forme Excel n'est disponible qu'en allemand.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55 Helvetica Roman" charset="0"/>
            </a:rPr>
            <a:t>La version </a:t>
          </a:r>
          <a:r>
            <a:rPr lang="de-DE" sz="1000" b="1" i="0" u="none" strike="noStrike" baseline="0">
              <a:solidFill>
                <a:srgbClr val="000000"/>
              </a:solidFill>
              <a:latin typeface="55 Helvetica Roman" charset="0"/>
            </a:rPr>
            <a:t>française</a:t>
          </a:r>
          <a:r>
            <a:rPr lang="de-DE" sz="1000" b="0" i="0" u="none" strike="noStrike" baseline="0">
              <a:solidFill>
                <a:srgbClr val="000000"/>
              </a:solidFill>
              <a:latin typeface="55 Helvetica Roman" charset="0"/>
            </a:rPr>
            <a:t> est disponible dans la version complète 2006 sous forme PDF publiée ultérieurement (~janvier 2008). Il est aussi possible de se référer à la publication PDF 2005 contenant tous les tableaux en français .</a:t>
          </a:r>
        </a:p>
      </xdr:txBody>
    </xdr:sp>
    <xdr:clientData/>
  </xdr:twoCellAnchor>
  <xdr:twoCellAnchor>
    <xdr:from>
      <xdr:col>0</xdr:col>
      <xdr:colOff>292100</xdr:colOff>
      <xdr:row>69</xdr:row>
      <xdr:rowOff>114300</xdr:rowOff>
    </xdr:from>
    <xdr:to>
      <xdr:col>2</xdr:col>
      <xdr:colOff>622300</xdr:colOff>
      <xdr:row>72</xdr:row>
      <xdr:rowOff>139700</xdr:rowOff>
    </xdr:to>
    <xdr:pic>
      <xdr:nvPicPr>
        <xdr:cNvPr id="6147" name="Picture 3">
          <a:extLst>
            <a:ext uri="{FF2B5EF4-FFF2-40B4-BE49-F238E27FC236}">
              <a16:creationId xmlns:a16="http://schemas.microsoft.com/office/drawing/2014/main" id="{31C296E7-85B3-1737-70EB-984D60CEF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3576300"/>
          <a:ext cx="20193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51</xdr:row>
      <xdr:rowOff>0</xdr:rowOff>
    </xdr:from>
    <xdr:to>
      <xdr:col>11</xdr:col>
      <xdr:colOff>0</xdr:colOff>
      <xdr:row>51</xdr:row>
      <xdr:rowOff>0</xdr:rowOff>
    </xdr:to>
    <xdr:graphicFrame macro="">
      <xdr:nvGraphicFramePr>
        <xdr:cNvPr id="11265" name="Diagramm 1">
          <a:extLst>
            <a:ext uri="{FF2B5EF4-FFF2-40B4-BE49-F238E27FC236}">
              <a16:creationId xmlns:a16="http://schemas.microsoft.com/office/drawing/2014/main" id="{31ABCED7-93A5-59F7-485B-BDF0C3BD6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12700</xdr:colOff>
      <xdr:row>51</xdr:row>
      <xdr:rowOff>0</xdr:rowOff>
    </xdr:from>
    <xdr:to>
      <xdr:col>22</xdr:col>
      <xdr:colOff>0</xdr:colOff>
      <xdr:row>51</xdr:row>
      <xdr:rowOff>0</xdr:rowOff>
    </xdr:to>
    <xdr:graphicFrame macro="">
      <xdr:nvGraphicFramePr>
        <xdr:cNvPr id="11266" name="Diagramm 2">
          <a:extLst>
            <a:ext uri="{FF2B5EF4-FFF2-40B4-BE49-F238E27FC236}">
              <a16:creationId xmlns:a16="http://schemas.microsoft.com/office/drawing/2014/main" id="{D287711C-7580-2D99-D2CD-799DC0A19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B464-411D-CA46-BBCF-FD850DABB5A8}">
  <sheetPr>
    <pageSetUpPr fitToPage="1"/>
  </sheetPr>
  <dimension ref="A1:M73"/>
  <sheetViews>
    <sheetView tabSelected="1" zoomScale="75" workbookViewId="0">
      <selection activeCell="A3" sqref="A3"/>
    </sheetView>
  </sheetViews>
  <sheetFormatPr baseColWidth="10" defaultColWidth="11.3984375" defaultRowHeight="13"/>
  <cols>
    <col min="1" max="1" width="14.796875" style="2" customWidth="1"/>
    <col min="2" max="2" width="11.796875" style="2" customWidth="1"/>
    <col min="3" max="3" width="12.3984375" style="2" customWidth="1"/>
    <col min="4" max="6" width="11.796875" style="2" customWidth="1"/>
    <col min="7" max="7" width="13.796875" style="2" customWidth="1"/>
    <col min="8" max="9" width="11.796875" style="2" customWidth="1"/>
    <col min="10" max="11" width="9.796875" style="2" customWidth="1"/>
    <col min="12" max="16384" width="11.3984375" style="2"/>
  </cols>
  <sheetData>
    <row r="1" spans="1:13" s="1" customFormat="1" ht="12" customHeight="1">
      <c r="A1"/>
      <c r="B1"/>
      <c r="C1"/>
      <c r="D1"/>
      <c r="E1"/>
      <c r="F1"/>
      <c r="G1"/>
      <c r="H1"/>
      <c r="I1"/>
    </row>
    <row r="2" spans="1:13" ht="30.75" customHeight="1">
      <c r="A2" s="5" t="s">
        <v>729</v>
      </c>
      <c r="B2"/>
      <c r="C2"/>
      <c r="D2"/>
      <c r="E2"/>
      <c r="F2"/>
      <c r="G2"/>
      <c r="H2"/>
      <c r="I2"/>
    </row>
    <row r="3" spans="1:13" ht="27" customHeight="1">
      <c r="A3" s="6"/>
      <c r="B3"/>
      <c r="C3"/>
      <c r="D3"/>
      <c r="E3"/>
      <c r="F3"/>
      <c r="G3"/>
      <c r="H3"/>
      <c r="I3"/>
    </row>
    <row r="4" spans="1:13" ht="15" customHeight="1">
      <c r="A4" s="7" t="s">
        <v>683</v>
      </c>
      <c r="B4"/>
      <c r="C4"/>
      <c r="D4"/>
      <c r="E4"/>
      <c r="F4"/>
      <c r="G4"/>
      <c r="H4"/>
      <c r="I4"/>
    </row>
    <row r="5" spans="1:13" ht="17.25" customHeight="1">
      <c r="A5"/>
      <c r="B5"/>
      <c r="C5"/>
      <c r="D5"/>
      <c r="E5"/>
      <c r="F5"/>
      <c r="G5"/>
      <c r="H5"/>
      <c r="I5"/>
    </row>
    <row r="6" spans="1:13" ht="15.75" customHeight="1">
      <c r="B6"/>
      <c r="C6"/>
      <c r="D6"/>
      <c r="E6"/>
      <c r="F6"/>
      <c r="G6"/>
      <c r="H6"/>
      <c r="I6"/>
      <c r="J6" s="8"/>
    </row>
    <row r="7" spans="1:13" ht="9.75" customHeight="1">
      <c r="A7"/>
      <c r="B7"/>
      <c r="C7"/>
      <c r="D7"/>
      <c r="E7"/>
      <c r="F7"/>
      <c r="G7"/>
      <c r="H7"/>
      <c r="I7"/>
      <c r="J7" s="8"/>
    </row>
    <row r="8" spans="1:13" ht="31.5" customHeight="1">
      <c r="A8" s="21" t="s">
        <v>461</v>
      </c>
      <c r="B8"/>
      <c r="C8"/>
      <c r="D8"/>
      <c r="E8"/>
      <c r="F8"/>
      <c r="G8"/>
      <c r="H8"/>
      <c r="I8"/>
    </row>
    <row r="9" spans="1:13" ht="11.25" customHeight="1">
      <c r="B9"/>
      <c r="C9"/>
      <c r="D9"/>
      <c r="E9"/>
      <c r="F9"/>
      <c r="G9"/>
      <c r="H9"/>
      <c r="I9"/>
      <c r="K9" s="9"/>
      <c r="L9" s="9"/>
      <c r="M9" s="9"/>
    </row>
    <row r="10" spans="1:13" ht="20" customHeight="1">
      <c r="A10"/>
      <c r="B10"/>
      <c r="C10"/>
      <c r="D10"/>
      <c r="E10"/>
      <c r="F10"/>
      <c r="G10"/>
      <c r="H10"/>
      <c r="I10"/>
    </row>
    <row r="11" spans="1:13" ht="20" customHeight="1">
      <c r="A11" s="7" t="s">
        <v>455</v>
      </c>
      <c r="B11"/>
      <c r="C11"/>
      <c r="D11"/>
      <c r="E11"/>
      <c r="F11"/>
      <c r="G11" s="20" t="s">
        <v>458</v>
      </c>
      <c r="H11" s="19"/>
      <c r="I11"/>
    </row>
    <row r="12" spans="1:13" ht="20" customHeight="1">
      <c r="A12"/>
      <c r="B12"/>
      <c r="C12"/>
      <c r="D12"/>
      <c r="E12"/>
      <c r="F12"/>
      <c r="G12"/>
      <c r="H12"/>
      <c r="I12"/>
    </row>
    <row r="13" spans="1:13" ht="20.25" customHeight="1">
      <c r="A13"/>
      <c r="B13"/>
      <c r="C13"/>
      <c r="D13"/>
      <c r="E13"/>
      <c r="I13"/>
    </row>
    <row r="14" spans="1:13" ht="26.25" customHeight="1">
      <c r="A14" s="10" t="s">
        <v>1244</v>
      </c>
      <c r="B14" s="11"/>
      <c r="C14" s="11"/>
      <c r="D14" s="12"/>
      <c r="E14" s="12"/>
      <c r="G14" s="45" t="s">
        <v>497</v>
      </c>
      <c r="H14" s="11"/>
      <c r="I14"/>
    </row>
    <row r="15" spans="1:13" s="4" customFormat="1" ht="8.25" customHeight="1">
      <c r="A15" s="28"/>
      <c r="B15" s="25"/>
      <c r="C15" s="25"/>
      <c r="G15" s="29"/>
      <c r="H15" s="25"/>
      <c r="I15" s="25"/>
    </row>
    <row r="16" spans="1:13" ht="15" customHeight="1">
      <c r="A16" s="30" t="s">
        <v>682</v>
      </c>
      <c r="B16"/>
      <c r="C16"/>
      <c r="D16"/>
      <c r="E16"/>
      <c r="F16"/>
      <c r="G16"/>
      <c r="H16"/>
      <c r="I16"/>
    </row>
    <row r="17" spans="1:13" s="4" customFormat="1" ht="5.25" customHeight="1">
      <c r="A17" s="25"/>
      <c r="B17" s="25"/>
      <c r="C17" s="25"/>
      <c r="D17" s="25"/>
      <c r="E17" s="25"/>
      <c r="F17" s="25"/>
      <c r="G17" s="25"/>
      <c r="H17" s="25"/>
      <c r="I17" s="25"/>
    </row>
    <row r="18" spans="1:13" ht="17.25" customHeight="1">
      <c r="A18" s="46" t="s">
        <v>2178</v>
      </c>
      <c r="B18" s="31"/>
      <c r="C18" s="47"/>
      <c r="D18" s="48"/>
      <c r="E18" s="46" t="s">
        <v>1246</v>
      </c>
      <c r="F18" s="31"/>
      <c r="G18" s="31"/>
      <c r="H18" s="4"/>
      <c r="I18" s="738"/>
      <c r="J18" s="4"/>
      <c r="K18" s="4"/>
    </row>
    <row r="19" spans="1:13" ht="15" customHeight="1">
      <c r="A19" s="46" t="s">
        <v>91</v>
      </c>
      <c r="B19" s="31"/>
      <c r="C19" s="31"/>
      <c r="D19" s="37"/>
      <c r="E19" s="46" t="s">
        <v>1247</v>
      </c>
      <c r="F19" s="31"/>
      <c r="G19" s="31"/>
      <c r="H19" s="4"/>
      <c r="I19" s="739"/>
      <c r="J19" s="4"/>
      <c r="K19" s="4"/>
    </row>
    <row r="20" spans="1:13" ht="15" customHeight="1">
      <c r="A20" s="46" t="s">
        <v>968</v>
      </c>
      <c r="B20" s="32"/>
      <c r="C20" s="32"/>
      <c r="D20" s="38"/>
      <c r="E20" s="46" t="s">
        <v>2411</v>
      </c>
      <c r="F20" s="31"/>
      <c r="G20" s="31"/>
      <c r="H20" s="4"/>
      <c r="I20" s="739"/>
      <c r="J20" s="4"/>
      <c r="K20" s="4"/>
    </row>
    <row r="21" spans="1:13">
      <c r="A21" s="46" t="s">
        <v>969</v>
      </c>
      <c r="B21" s="31"/>
      <c r="C21" s="32"/>
      <c r="D21" s="38"/>
      <c r="E21" s="46" t="s">
        <v>2322</v>
      </c>
      <c r="F21" s="32"/>
      <c r="G21" s="32"/>
      <c r="H21" s="4"/>
      <c r="I21" s="739"/>
      <c r="J21" s="4"/>
      <c r="K21" s="4"/>
    </row>
    <row r="22" spans="1:13">
      <c r="A22" s="46" t="s">
        <v>1449</v>
      </c>
      <c r="B22" s="31"/>
      <c r="C22" s="32"/>
      <c r="D22" s="38"/>
      <c r="E22" s="46" t="s">
        <v>514</v>
      </c>
      <c r="F22" s="32"/>
      <c r="G22" s="32"/>
      <c r="H22" s="4"/>
    </row>
    <row r="23" spans="1:13">
      <c r="A23" s="46" t="s">
        <v>1450</v>
      </c>
      <c r="B23" s="31"/>
      <c r="C23" s="32"/>
      <c r="D23" s="38"/>
      <c r="E23" s="46" t="s">
        <v>523</v>
      </c>
      <c r="F23" s="32"/>
      <c r="G23" s="32"/>
      <c r="H23" s="4"/>
    </row>
    <row r="24" spans="1:13">
      <c r="A24" s="46" t="s">
        <v>1708</v>
      </c>
      <c r="B24" s="31"/>
      <c r="C24" s="32"/>
      <c r="D24" s="38"/>
      <c r="E24" s="46" t="s">
        <v>1686</v>
      </c>
      <c r="F24" s="46"/>
      <c r="G24" s="32"/>
      <c r="H24" s="4"/>
    </row>
    <row r="25" spans="1:13">
      <c r="A25" s="46" t="s">
        <v>2330</v>
      </c>
      <c r="B25" s="31"/>
      <c r="C25" s="32"/>
      <c r="D25" s="38"/>
      <c r="E25" s="46" t="s">
        <v>2268</v>
      </c>
      <c r="F25" s="32"/>
      <c r="G25" s="32"/>
      <c r="H25" s="4"/>
    </row>
    <row r="26" spans="1:13">
      <c r="A26" s="46" t="s">
        <v>1241</v>
      </c>
      <c r="B26" s="31"/>
      <c r="C26" s="32"/>
      <c r="D26" s="38"/>
      <c r="E26" s="46" t="s">
        <v>415</v>
      </c>
      <c r="F26" s="32"/>
      <c r="G26" s="32"/>
      <c r="H26" s="4"/>
    </row>
    <row r="27" spans="1:13">
      <c r="A27" s="46" t="s">
        <v>1522</v>
      </c>
      <c r="B27" s="31"/>
      <c r="C27" s="46"/>
      <c r="D27" s="38"/>
      <c r="E27" s="46" t="s">
        <v>2176</v>
      </c>
      <c r="F27" s="32"/>
      <c r="G27" s="32"/>
      <c r="H27" s="4"/>
    </row>
    <row r="28" spans="1:13" ht="16">
      <c r="A28" s="14"/>
      <c r="B28" s="23"/>
      <c r="C28" s="13"/>
      <c r="I28" s="42" t="s">
        <v>405</v>
      </c>
      <c r="J28" s="43"/>
      <c r="K28" s="43"/>
    </row>
    <row r="29" spans="1:13" ht="16">
      <c r="A29" s="14"/>
      <c r="I29" s="42" t="s">
        <v>462</v>
      </c>
      <c r="J29" s="44"/>
      <c r="K29" s="43"/>
      <c r="L29" s="4"/>
      <c r="M29" s="4"/>
    </row>
    <row r="30" spans="1:13" ht="16">
      <c r="A30" s="14"/>
      <c r="B30" s="13"/>
      <c r="C30" s="13"/>
      <c r="F30" s="4"/>
    </row>
    <row r="31" spans="1:13" ht="16">
      <c r="A31" s="14"/>
      <c r="I31" s="18" t="s">
        <v>2175</v>
      </c>
      <c r="J31" s="12"/>
      <c r="K31" s="12"/>
    </row>
    <row r="32" spans="1:13" ht="15">
      <c r="A32" s="49" t="s">
        <v>728</v>
      </c>
      <c r="B32" s="22"/>
      <c r="C32" s="4"/>
      <c r="D32" s="4"/>
      <c r="E32" s="4"/>
      <c r="F32" s="4"/>
      <c r="G32" s="1688"/>
    </row>
    <row r="33" spans="1:11">
      <c r="A33" s="27" t="s">
        <v>662</v>
      </c>
      <c r="B33" s="24"/>
      <c r="D33" s="27" t="s">
        <v>2412</v>
      </c>
      <c r="E33" s="27"/>
      <c r="G33" s="27" t="s">
        <v>499</v>
      </c>
      <c r="H33" s="27"/>
      <c r="I33" s="4"/>
      <c r="J33" s="740"/>
      <c r="K33" s="33"/>
    </row>
    <row r="34" spans="1:11">
      <c r="A34" s="27" t="s">
        <v>1240</v>
      </c>
      <c r="B34" s="24"/>
      <c r="D34" s="27" t="s">
        <v>1149</v>
      </c>
      <c r="E34" s="24"/>
      <c r="G34" s="27"/>
      <c r="H34" s="27"/>
      <c r="I34" s="4"/>
      <c r="J34" s="4"/>
      <c r="K34" s="4"/>
    </row>
    <row r="35" spans="1:11">
      <c r="A35" s="27" t="s">
        <v>186</v>
      </c>
      <c r="B35" s="24"/>
      <c r="D35" s="27" t="s">
        <v>152</v>
      </c>
      <c r="E35" s="24"/>
      <c r="G35" s="27"/>
      <c r="H35" s="27"/>
      <c r="I35" s="4"/>
      <c r="J35" s="4"/>
      <c r="K35" s="4"/>
    </row>
    <row r="36" spans="1:11">
      <c r="A36" s="34"/>
      <c r="B36" s="33"/>
      <c r="C36" s="4"/>
      <c r="D36" s="34"/>
      <c r="E36" s="33"/>
      <c r="G36" s="34"/>
      <c r="H36" s="33"/>
      <c r="I36" s="4"/>
      <c r="J36" s="4"/>
      <c r="K36" s="4"/>
    </row>
    <row r="37" spans="1:11" ht="16">
      <c r="A37" s="14"/>
    </row>
    <row r="38" spans="1:11" ht="16">
      <c r="A38" s="14"/>
      <c r="B38" s="36" t="s">
        <v>684</v>
      </c>
      <c r="C38" s="39" t="s">
        <v>459</v>
      </c>
      <c r="J38" s="26"/>
    </row>
    <row r="39" spans="1:11" ht="16">
      <c r="A39" s="15"/>
      <c r="B39" s="13"/>
      <c r="C39" s="13"/>
    </row>
    <row r="40" spans="1:11" ht="16">
      <c r="A40" s="734" t="s">
        <v>685</v>
      </c>
      <c r="B40" s="735" t="s">
        <v>1508</v>
      </c>
      <c r="C40" s="736" t="s">
        <v>705</v>
      </c>
      <c r="D40" s="737"/>
      <c r="E40" s="737"/>
      <c r="F40" s="737"/>
      <c r="G40" s="737"/>
      <c r="H40" s="737"/>
      <c r="I40" s="737"/>
      <c r="J40" s="737"/>
      <c r="K40" s="35"/>
    </row>
    <row r="41" spans="1:11" ht="16">
      <c r="A41" s="734" t="s">
        <v>686</v>
      </c>
      <c r="B41" s="735" t="s">
        <v>679</v>
      </c>
      <c r="C41" s="736" t="s">
        <v>687</v>
      </c>
      <c r="D41" s="737"/>
      <c r="E41" s="737"/>
      <c r="F41" s="737"/>
      <c r="G41" s="737"/>
      <c r="H41" s="737"/>
      <c r="I41" s="737"/>
      <c r="J41" s="737"/>
      <c r="K41" s="35"/>
    </row>
    <row r="42" spans="1:11" ht="16">
      <c r="A42" s="734" t="s">
        <v>688</v>
      </c>
      <c r="B42" s="735" t="s">
        <v>1504</v>
      </c>
      <c r="C42" s="736" t="s">
        <v>689</v>
      </c>
      <c r="D42" s="737"/>
      <c r="E42" s="737"/>
      <c r="F42" s="737"/>
      <c r="G42" s="737"/>
      <c r="H42" s="737"/>
      <c r="I42" s="737"/>
      <c r="J42" s="737"/>
      <c r="K42" s="35"/>
    </row>
    <row r="43" spans="1:11" ht="16">
      <c r="A43" s="734" t="s">
        <v>690</v>
      </c>
      <c r="B43" s="735" t="s">
        <v>704</v>
      </c>
      <c r="C43" s="736" t="s">
        <v>691</v>
      </c>
      <c r="D43" s="737"/>
      <c r="E43" s="737"/>
      <c r="F43" s="737"/>
      <c r="G43" s="737"/>
      <c r="H43" s="737"/>
      <c r="I43" s="737"/>
      <c r="J43" s="737"/>
      <c r="K43" s="35"/>
    </row>
    <row r="44" spans="1:11" ht="16">
      <c r="A44" s="734" t="s">
        <v>692</v>
      </c>
      <c r="B44" s="790" t="s">
        <v>463</v>
      </c>
      <c r="C44" s="736" t="s">
        <v>693</v>
      </c>
      <c r="D44" s="737"/>
      <c r="E44" s="737"/>
      <c r="F44" s="737"/>
      <c r="G44" s="737"/>
      <c r="H44" s="737"/>
      <c r="I44" s="737"/>
      <c r="J44" s="737"/>
      <c r="K44" s="35"/>
    </row>
    <row r="45" spans="1:11" ht="16">
      <c r="A45" s="734" t="s">
        <v>694</v>
      </c>
      <c r="B45" s="735" t="s">
        <v>695</v>
      </c>
      <c r="C45" s="736" t="s">
        <v>696</v>
      </c>
      <c r="D45" s="737"/>
      <c r="E45" s="737"/>
      <c r="F45" s="737"/>
      <c r="G45" s="737"/>
      <c r="H45" s="737"/>
      <c r="I45" s="737"/>
      <c r="J45" s="737"/>
      <c r="K45" s="35"/>
    </row>
    <row r="46" spans="1:11" ht="16">
      <c r="A46" s="734" t="s">
        <v>697</v>
      </c>
      <c r="B46" s="735" t="s">
        <v>1414</v>
      </c>
      <c r="C46" s="736" t="s">
        <v>701</v>
      </c>
      <c r="D46" s="737"/>
      <c r="E46" s="737"/>
      <c r="F46" s="737"/>
      <c r="G46" s="737"/>
      <c r="H46" s="737"/>
      <c r="I46" s="737"/>
      <c r="J46" s="737"/>
      <c r="K46" s="35"/>
    </row>
    <row r="47" spans="1:11" ht="16">
      <c r="A47" s="734" t="s">
        <v>698</v>
      </c>
      <c r="B47" s="735" t="s">
        <v>1507</v>
      </c>
      <c r="C47" s="736" t="s">
        <v>460</v>
      </c>
      <c r="D47" s="737"/>
      <c r="E47" s="737"/>
      <c r="F47" s="737"/>
      <c r="G47" s="737"/>
      <c r="H47" s="737"/>
      <c r="I47" s="737"/>
      <c r="J47" s="737"/>
      <c r="K47" s="35"/>
    </row>
    <row r="48" spans="1:11" ht="16">
      <c r="A48" s="734" t="s">
        <v>699</v>
      </c>
      <c r="B48" s="735" t="s">
        <v>454</v>
      </c>
      <c r="C48" s="736" t="s">
        <v>700</v>
      </c>
      <c r="D48" s="737"/>
      <c r="E48" s="737"/>
      <c r="F48" s="737"/>
      <c r="G48" s="737"/>
      <c r="H48" s="737"/>
      <c r="I48" s="737"/>
      <c r="J48" s="1527"/>
      <c r="K48" s="35"/>
    </row>
    <row r="49" spans="1:11" ht="16">
      <c r="A49" s="734" t="s">
        <v>464</v>
      </c>
      <c r="B49" s="735" t="s">
        <v>465</v>
      </c>
      <c r="C49" s="736" t="s">
        <v>466</v>
      </c>
      <c r="D49" s="737"/>
      <c r="E49" s="737"/>
      <c r="F49" s="737"/>
      <c r="G49" s="737"/>
      <c r="H49" s="737"/>
      <c r="I49" s="737"/>
      <c r="J49" s="737"/>
      <c r="K49" s="35"/>
    </row>
    <row r="50" spans="1:11" ht="16">
      <c r="A50" s="734" t="s">
        <v>1505</v>
      </c>
      <c r="B50" s="735" t="s">
        <v>2331</v>
      </c>
      <c r="C50" s="736" t="s">
        <v>1506</v>
      </c>
      <c r="D50" s="737"/>
      <c r="E50" s="737"/>
      <c r="F50" s="737"/>
      <c r="G50" s="737"/>
      <c r="H50" s="737"/>
      <c r="I50" s="737"/>
      <c r="J50" s="737"/>
      <c r="K50" s="35"/>
    </row>
    <row r="51" spans="1:11" ht="14">
      <c r="A51" s="768" t="s">
        <v>702</v>
      </c>
      <c r="B51" s="769" t="s">
        <v>2179</v>
      </c>
      <c r="C51" s="769"/>
      <c r="D51" s="769"/>
      <c r="E51" s="737"/>
      <c r="F51" s="737"/>
      <c r="G51" s="737"/>
      <c r="H51" s="737"/>
      <c r="I51" s="737"/>
      <c r="J51" s="737"/>
      <c r="K51" s="35"/>
    </row>
    <row r="52" spans="1:11" ht="14">
      <c r="A52" s="768" t="s">
        <v>1502</v>
      </c>
      <c r="B52" s="769" t="s">
        <v>2332</v>
      </c>
      <c r="C52" s="769"/>
      <c r="D52" s="769"/>
      <c r="E52" s="737"/>
      <c r="F52" s="737"/>
      <c r="G52" s="737"/>
      <c r="H52" s="737"/>
      <c r="I52" s="737"/>
      <c r="J52" s="737"/>
      <c r="K52" s="35"/>
    </row>
    <row r="53" spans="1:11" ht="14">
      <c r="A53" s="768" t="s">
        <v>2173</v>
      </c>
      <c r="B53" s="769" t="s">
        <v>2177</v>
      </c>
      <c r="C53" s="769"/>
      <c r="D53" s="769"/>
      <c r="E53" s="737"/>
      <c r="F53" s="737"/>
      <c r="G53" s="737"/>
      <c r="H53" s="737"/>
      <c r="I53" s="737"/>
      <c r="J53" s="737"/>
      <c r="K53" s="35"/>
    </row>
    <row r="54" spans="1:11" ht="14">
      <c r="A54" s="768" t="s">
        <v>2174</v>
      </c>
      <c r="B54" s="769" t="s">
        <v>1389</v>
      </c>
      <c r="C54" s="769"/>
      <c r="D54" s="769"/>
      <c r="E54" s="737"/>
      <c r="F54" s="737"/>
      <c r="G54" s="737"/>
      <c r="H54" s="737"/>
      <c r="I54" s="737"/>
      <c r="J54" s="737"/>
      <c r="K54" s="35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</row>
    <row r="58" spans="1:11" ht="14.25" customHeight="1">
      <c r="A58" s="890" t="s">
        <v>1150</v>
      </c>
      <c r="B58"/>
      <c r="C58"/>
      <c r="D58"/>
      <c r="E58"/>
      <c r="F58"/>
      <c r="G58"/>
      <c r="H58"/>
      <c r="I58"/>
    </row>
    <row r="59" spans="1:11" ht="14.25" customHeight="1">
      <c r="A59" s="13"/>
      <c r="B59"/>
      <c r="C59"/>
      <c r="D59"/>
      <c r="E59"/>
      <c r="F59"/>
      <c r="G59"/>
      <c r="H59"/>
      <c r="I59"/>
    </row>
    <row r="60" spans="1:11" ht="18" customHeight="1">
      <c r="A60" s="1" t="s">
        <v>451</v>
      </c>
      <c r="B60"/>
      <c r="C60"/>
      <c r="D60"/>
      <c r="E60"/>
      <c r="F60"/>
      <c r="G60"/>
      <c r="H60"/>
      <c r="I60"/>
    </row>
    <row r="61" spans="1:11" ht="12.75" customHeight="1">
      <c r="A61" s="1"/>
      <c r="B61"/>
      <c r="C61"/>
      <c r="D61"/>
      <c r="E61"/>
      <c r="F61"/>
      <c r="G61"/>
      <c r="H61"/>
      <c r="I61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</row>
    <row r="64" spans="1:11" ht="16">
      <c r="A64" s="17" t="s">
        <v>456</v>
      </c>
    </row>
    <row r="65" spans="1:10" ht="10.5" customHeight="1">
      <c r="A65" s="17"/>
    </row>
    <row r="66" spans="1:10" ht="16">
      <c r="A66" s="40" t="s">
        <v>457</v>
      </c>
    </row>
    <row r="67" spans="1:10" ht="16">
      <c r="A67" s="40" t="s">
        <v>1501</v>
      </c>
    </row>
    <row r="68" spans="1:10" ht="16">
      <c r="A68" s="40" t="s">
        <v>681</v>
      </c>
    </row>
    <row r="73" spans="1:10">
      <c r="J73" s="770" t="s">
        <v>1239</v>
      </c>
    </row>
  </sheetData>
  <phoneticPr fontId="0" type="noConversion"/>
  <pageMargins left="0.47244094488188981" right="0.35433070866141736" top="0.33" bottom="0.28000000000000003" header="0.26" footer="0.19"/>
  <pageSetup paperSize="9" scale="7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1F39-0A80-C449-8306-4C80B5A77390}">
  <sheetPr>
    <pageSetUpPr fitToPage="1"/>
  </sheetPr>
  <dimension ref="A1:M80"/>
  <sheetViews>
    <sheetView workbookViewId="0">
      <selection activeCell="E68" sqref="E68"/>
    </sheetView>
  </sheetViews>
  <sheetFormatPr baseColWidth="10" defaultColWidth="11.3984375" defaultRowHeight="13"/>
  <cols>
    <col min="1" max="1" width="11.3984375" style="1530"/>
    <col min="2" max="2" width="10.19921875" style="1529" customWidth="1"/>
    <col min="3" max="3" width="4.3984375" style="1530" customWidth="1"/>
    <col min="4" max="4" width="11.3984375" style="1530"/>
    <col min="5" max="5" width="11.3984375" style="1529"/>
    <col min="6" max="7" width="11.3984375" style="1530"/>
    <col min="8" max="8" width="3.59765625" style="1530" customWidth="1"/>
    <col min="9" max="9" width="11.3984375" style="1530"/>
    <col min="10" max="10" width="3.796875" style="1530" customWidth="1"/>
    <col min="11" max="11" width="11.3984375" style="1530"/>
    <col min="12" max="12" width="3.796875" style="1530" customWidth="1"/>
    <col min="13" max="16384" width="11.3984375" style="1530"/>
  </cols>
  <sheetData>
    <row r="1" spans="1:13" ht="16">
      <c r="A1" s="1528" t="s">
        <v>406</v>
      </c>
    </row>
    <row r="2" spans="1:13" ht="18" customHeight="1"/>
    <row r="3" spans="1:13" ht="30" customHeight="1">
      <c r="A3" s="1531" t="s">
        <v>1509</v>
      </c>
      <c r="B3" s="1531" t="s">
        <v>407</v>
      </c>
      <c r="C3" s="1529"/>
      <c r="D3" s="1531" t="str">
        <f>A3</f>
        <v>Publikation 2005</v>
      </c>
      <c r="E3" s="1531" t="str">
        <f>B3</f>
        <v>Publikation 2006</v>
      </c>
      <c r="G3" s="1531" t="str">
        <f>E3</f>
        <v>Publikation 2006</v>
      </c>
      <c r="H3" s="1531"/>
      <c r="I3" s="1531" t="str">
        <f>D3</f>
        <v>Publikation 2005</v>
      </c>
      <c r="K3" s="1531" t="str">
        <f>G3</f>
        <v>Publikation 2006</v>
      </c>
      <c r="L3" s="1531"/>
      <c r="M3" s="1531" t="str">
        <f>I3</f>
        <v>Publikation 2005</v>
      </c>
    </row>
    <row r="4" spans="1:13" ht="13.5" customHeight="1">
      <c r="A4" s="1532"/>
      <c r="B4" s="1532"/>
      <c r="D4" s="1533"/>
      <c r="E4" s="1533"/>
      <c r="G4" s="1534"/>
      <c r="H4" s="1534"/>
      <c r="I4" s="1534"/>
      <c r="K4" s="1534"/>
      <c r="L4" s="1534"/>
      <c r="M4" s="1534"/>
    </row>
    <row r="5" spans="1:13">
      <c r="A5" s="1535">
        <v>1.01</v>
      </c>
      <c r="B5" s="1535">
        <v>1.01</v>
      </c>
      <c r="C5" s="1536"/>
      <c r="D5" s="1537">
        <v>7.01</v>
      </c>
      <c r="E5" s="1538">
        <v>7.01</v>
      </c>
      <c r="G5" s="1539">
        <v>1.01</v>
      </c>
      <c r="H5" s="1540"/>
      <c r="I5" s="1541">
        <v>1.01</v>
      </c>
      <c r="K5" s="1538">
        <v>7.01</v>
      </c>
      <c r="L5" s="1542"/>
      <c r="M5" s="1535">
        <v>7.01</v>
      </c>
    </row>
    <row r="6" spans="1:13">
      <c r="A6" s="1535">
        <v>1.02</v>
      </c>
      <c r="B6" s="1543">
        <v>1.02</v>
      </c>
      <c r="C6" s="1536"/>
      <c r="D6" s="1537">
        <v>7.02</v>
      </c>
      <c r="E6" s="1538">
        <v>7.02</v>
      </c>
      <c r="G6" s="1544">
        <v>1.02</v>
      </c>
      <c r="H6" s="1540"/>
      <c r="I6" s="1541">
        <v>1.02</v>
      </c>
      <c r="K6" s="1538">
        <v>7.02</v>
      </c>
      <c r="L6" s="1542"/>
      <c r="M6" s="1535">
        <v>7.02</v>
      </c>
    </row>
    <row r="7" spans="1:13">
      <c r="A7" s="1535">
        <v>1.03</v>
      </c>
      <c r="B7" s="1543">
        <v>1.03</v>
      </c>
      <c r="C7" s="1536"/>
      <c r="D7" s="1545">
        <v>7.03</v>
      </c>
      <c r="E7" s="1538">
        <v>7.03</v>
      </c>
      <c r="G7" s="1544">
        <v>1.03</v>
      </c>
      <c r="H7" s="1540"/>
      <c r="I7" s="1541">
        <v>1.03</v>
      </c>
      <c r="K7" s="1538">
        <v>7.03</v>
      </c>
      <c r="L7" s="1542"/>
      <c r="M7" s="1535">
        <v>7.03</v>
      </c>
    </row>
    <row r="8" spans="1:13">
      <c r="A8" s="1535">
        <v>1.04</v>
      </c>
      <c r="B8" s="1543">
        <v>1.04</v>
      </c>
      <c r="C8" s="1536"/>
      <c r="D8" s="1535">
        <v>7.04</v>
      </c>
      <c r="E8" s="1543">
        <v>7.04</v>
      </c>
      <c r="G8" s="1544">
        <v>1.04</v>
      </c>
      <c r="H8" s="1540"/>
      <c r="I8" s="1541">
        <v>1.04</v>
      </c>
      <c r="K8" s="1538">
        <v>7.04</v>
      </c>
      <c r="L8" s="1542"/>
      <c r="M8" s="1535">
        <v>7.04</v>
      </c>
    </row>
    <row r="9" spans="1:13">
      <c r="A9" s="1535">
        <v>1.05</v>
      </c>
      <c r="B9" s="1543">
        <v>1.05</v>
      </c>
      <c r="C9" s="1536"/>
      <c r="D9" s="1546">
        <v>7.05</v>
      </c>
      <c r="E9" s="1538">
        <v>7.05</v>
      </c>
      <c r="G9" s="1544">
        <v>1.05</v>
      </c>
      <c r="H9" s="1540"/>
      <c r="I9" s="1541">
        <v>1.05</v>
      </c>
      <c r="K9" s="1538">
        <v>7.05</v>
      </c>
      <c r="L9" s="1547"/>
      <c r="M9" s="1535">
        <v>7.05</v>
      </c>
    </row>
    <row r="10" spans="1:13">
      <c r="A10" s="1535">
        <v>1.06</v>
      </c>
      <c r="B10" s="1543">
        <v>1.06</v>
      </c>
      <c r="C10" s="1536"/>
      <c r="D10" s="1546">
        <v>8.01</v>
      </c>
      <c r="E10" s="1538">
        <v>8.01</v>
      </c>
      <c r="G10" s="1544">
        <v>1.06</v>
      </c>
      <c r="H10" s="1540"/>
      <c r="I10" s="1541">
        <v>1.06</v>
      </c>
      <c r="K10" s="1548">
        <v>8.01</v>
      </c>
      <c r="L10" s="1549"/>
      <c r="M10" s="1535">
        <v>8.01</v>
      </c>
    </row>
    <row r="11" spans="1:13">
      <c r="A11" s="1535">
        <v>1.07</v>
      </c>
      <c r="B11" s="1543">
        <v>1.07</v>
      </c>
      <c r="C11" s="1536"/>
      <c r="D11" s="1546">
        <v>8.02</v>
      </c>
      <c r="E11" s="1538">
        <v>8.02</v>
      </c>
      <c r="G11" s="1544">
        <v>1.07</v>
      </c>
      <c r="H11" s="1540"/>
      <c r="I11" s="1541">
        <v>1.07</v>
      </c>
      <c r="K11" s="1535">
        <v>8.02</v>
      </c>
      <c r="L11" s="1549"/>
      <c r="M11" s="1535">
        <v>8.02</v>
      </c>
    </row>
    <row r="12" spans="1:13">
      <c r="A12" s="1535">
        <v>1.08</v>
      </c>
      <c r="B12" s="1543">
        <v>1.08</v>
      </c>
      <c r="C12" s="1536"/>
      <c r="D12" s="1535">
        <v>8.0299999999999994</v>
      </c>
      <c r="E12" s="1538">
        <v>8.0299999999999994</v>
      </c>
      <c r="G12" s="1544">
        <v>1.08</v>
      </c>
      <c r="H12" s="1540"/>
      <c r="I12" s="1541">
        <v>1.08</v>
      </c>
      <c r="K12" s="1535">
        <v>8.0299999999999994</v>
      </c>
      <c r="L12" s="1549"/>
      <c r="M12" s="1535">
        <v>8.0299999999999994</v>
      </c>
    </row>
    <row r="13" spans="1:13">
      <c r="A13" s="1545">
        <v>1.0900000000000001</v>
      </c>
      <c r="B13" s="1538">
        <v>1.0900000000000001</v>
      </c>
      <c r="C13" s="1536"/>
      <c r="D13" s="1535">
        <v>8.0399999999999991</v>
      </c>
      <c r="E13" s="1538">
        <v>8.0399999999999991</v>
      </c>
      <c r="G13" s="1550">
        <v>1.0900000000000001</v>
      </c>
      <c r="H13" s="1540"/>
      <c r="I13" s="1541">
        <v>1.0900000000000001</v>
      </c>
      <c r="K13" s="1548">
        <v>8.0399999999999991</v>
      </c>
      <c r="L13" s="1549"/>
      <c r="M13" s="1535">
        <v>8.0399999999999991</v>
      </c>
    </row>
    <row r="14" spans="1:13">
      <c r="A14" s="1545">
        <v>1.1000000000000001</v>
      </c>
      <c r="B14" s="1543" t="s">
        <v>408</v>
      </c>
      <c r="C14" s="1536"/>
      <c r="D14" s="1535">
        <v>8.0500000000000007</v>
      </c>
      <c r="E14" s="1538">
        <v>8.0500000000000007</v>
      </c>
      <c r="G14" s="1550">
        <v>1.1000000000000001</v>
      </c>
      <c r="H14" s="1540"/>
      <c r="I14" s="1541">
        <v>1.1000000000000001</v>
      </c>
      <c r="K14" s="1535">
        <v>8.0500000000000007</v>
      </c>
      <c r="L14" s="1549"/>
      <c r="M14" s="1535">
        <v>8.0500000000000007</v>
      </c>
    </row>
    <row r="15" spans="1:13">
      <c r="A15" s="1545">
        <v>1.1100000000000001</v>
      </c>
      <c r="B15" s="1543">
        <v>1.1100000000000001</v>
      </c>
      <c r="C15" s="1536"/>
      <c r="D15" s="1535">
        <v>8.06</v>
      </c>
      <c r="E15" s="1538">
        <v>8.06</v>
      </c>
      <c r="G15" s="1550">
        <v>1.1100000000000001</v>
      </c>
      <c r="H15" s="1540"/>
      <c r="I15" s="1541">
        <v>1.1100000000000001</v>
      </c>
      <c r="K15" s="1535">
        <v>8.06</v>
      </c>
      <c r="L15" s="1549"/>
      <c r="M15" s="1535">
        <v>8.06</v>
      </c>
    </row>
    <row r="16" spans="1:13">
      <c r="A16" s="1545">
        <v>1.1200000000000001</v>
      </c>
      <c r="B16" s="1538">
        <v>1.1200000000000001</v>
      </c>
      <c r="C16" s="1536"/>
      <c r="D16" s="1535">
        <v>8.07</v>
      </c>
      <c r="E16" s="1538">
        <v>8.07</v>
      </c>
      <c r="G16" s="1550">
        <v>1.1200000000000001</v>
      </c>
      <c r="H16" s="1540"/>
      <c r="I16" s="1541">
        <v>1.1200000000000001</v>
      </c>
      <c r="K16" s="1548">
        <v>8.07</v>
      </c>
      <c r="L16" s="1549"/>
      <c r="M16" s="1535">
        <v>8.07</v>
      </c>
    </row>
    <row r="17" spans="1:13">
      <c r="A17" s="1545">
        <v>1.1299999999999999</v>
      </c>
      <c r="B17" s="1538">
        <v>1.1299999999999999</v>
      </c>
      <c r="C17" s="1536"/>
      <c r="D17" s="1535">
        <v>8.08</v>
      </c>
      <c r="E17" s="1538">
        <v>8.08</v>
      </c>
      <c r="G17" s="1550">
        <v>1.1299999999999999</v>
      </c>
      <c r="H17" s="1540"/>
      <c r="I17" s="1541">
        <v>1.1299999999999999</v>
      </c>
      <c r="K17" s="1548">
        <v>8.08</v>
      </c>
      <c r="L17" s="1549"/>
      <c r="M17" s="1535">
        <v>8.08</v>
      </c>
    </row>
    <row r="18" spans="1:13">
      <c r="A18" s="1545">
        <v>2.0099999999999998</v>
      </c>
      <c r="B18" s="1538">
        <v>2.0099999999999998</v>
      </c>
      <c r="C18" s="1536"/>
      <c r="D18" s="1535">
        <v>8.09</v>
      </c>
      <c r="E18" s="1546">
        <v>8.09</v>
      </c>
      <c r="G18" s="1538">
        <v>2.0099999999999998</v>
      </c>
      <c r="H18" s="1540"/>
      <c r="I18" s="1541">
        <v>2.0099999999999998</v>
      </c>
      <c r="K18" s="1535">
        <v>8.09</v>
      </c>
      <c r="L18" s="1549"/>
      <c r="M18" s="1535">
        <v>8.09</v>
      </c>
    </row>
    <row r="19" spans="1:13">
      <c r="A19" s="1545">
        <v>2.02</v>
      </c>
      <c r="B19" s="1538">
        <v>2.02</v>
      </c>
      <c r="C19" s="1536"/>
      <c r="D19" s="1535" t="s">
        <v>1512</v>
      </c>
      <c r="E19" s="1546" t="s">
        <v>1512</v>
      </c>
      <c r="G19" s="1538">
        <v>2.02</v>
      </c>
      <c r="H19" s="1540"/>
      <c r="I19" s="1541">
        <v>2.02</v>
      </c>
      <c r="K19" s="1535" t="s">
        <v>1512</v>
      </c>
      <c r="L19" s="1549"/>
      <c r="M19" s="1535" t="s">
        <v>1512</v>
      </c>
    </row>
    <row r="20" spans="1:13">
      <c r="A20" s="1545">
        <v>2.0299999999999998</v>
      </c>
      <c r="B20" s="1538">
        <v>2.0299999999999998</v>
      </c>
      <c r="C20" s="1536"/>
      <c r="D20" s="1535" t="s">
        <v>1513</v>
      </c>
      <c r="E20" s="1546" t="s">
        <v>1513</v>
      </c>
      <c r="G20" s="1538">
        <v>2.0299999999999998</v>
      </c>
      <c r="H20" s="1540"/>
      <c r="I20" s="1541">
        <v>2.0299999999999998</v>
      </c>
      <c r="K20" s="1535" t="s">
        <v>1513</v>
      </c>
      <c r="L20" s="1549"/>
      <c r="M20" s="1546" t="s">
        <v>1513</v>
      </c>
    </row>
    <row r="21" spans="1:13">
      <c r="A21" s="1545">
        <v>2.04</v>
      </c>
      <c r="B21" s="1538">
        <v>2.04</v>
      </c>
      <c r="C21" s="1536"/>
      <c r="D21" s="1535">
        <v>8.1199999999999992</v>
      </c>
      <c r="E21" s="1540">
        <v>8.1199999999999992</v>
      </c>
      <c r="G21" s="1538">
        <v>2.04</v>
      </c>
      <c r="H21" s="1540" t="s">
        <v>315</v>
      </c>
      <c r="I21" s="1541">
        <v>2.04</v>
      </c>
      <c r="K21" s="1538">
        <v>8.1199999999999992</v>
      </c>
      <c r="L21" s="1542"/>
      <c r="M21" s="1535">
        <v>8.1199999999999992</v>
      </c>
    </row>
    <row r="22" spans="1:13">
      <c r="A22" s="1545">
        <v>2.0499999999999998</v>
      </c>
      <c r="B22" s="1538">
        <v>2.0499999999999998</v>
      </c>
      <c r="C22" s="1536"/>
      <c r="D22" s="1540">
        <v>9.01</v>
      </c>
      <c r="E22" s="1540">
        <v>9.01</v>
      </c>
      <c r="G22" s="1538">
        <v>2.0499999999999998</v>
      </c>
      <c r="H22" s="1540" t="s">
        <v>315</v>
      </c>
      <c r="I22" s="1541">
        <v>2.0499999999999998</v>
      </c>
      <c r="K22" s="1535">
        <v>9.01</v>
      </c>
      <c r="L22" s="1549"/>
      <c r="M22" s="1546">
        <v>9.01</v>
      </c>
    </row>
    <row r="23" spans="1:13">
      <c r="A23" s="1545">
        <v>2.06</v>
      </c>
      <c r="B23" s="1538">
        <v>2.06</v>
      </c>
      <c r="C23" s="1536"/>
      <c r="D23" s="1540">
        <v>9.02</v>
      </c>
      <c r="E23" s="1540">
        <v>9.02</v>
      </c>
      <c r="G23" s="1538">
        <v>2.06</v>
      </c>
      <c r="H23" s="1540"/>
      <c r="I23" s="1541">
        <v>2.06</v>
      </c>
      <c r="K23" s="1535">
        <v>9.02</v>
      </c>
      <c r="L23" s="1549"/>
      <c r="M23" s="1535">
        <v>9.02</v>
      </c>
    </row>
    <row r="24" spans="1:13">
      <c r="A24" s="1545">
        <v>2.0699999999999998</v>
      </c>
      <c r="B24" s="1538">
        <v>2.0699999999999998</v>
      </c>
      <c r="C24" s="1536"/>
      <c r="D24" s="1540">
        <v>9.0299999999999994</v>
      </c>
      <c r="E24" s="1540">
        <v>9.0299999999999994</v>
      </c>
      <c r="G24" s="1538">
        <v>2.0699999999999998</v>
      </c>
      <c r="H24" s="1540" t="s">
        <v>315</v>
      </c>
      <c r="I24" s="1541">
        <v>2.0699999999999998</v>
      </c>
      <c r="K24" s="1535">
        <v>9.0299999999999994</v>
      </c>
      <c r="L24" s="1549"/>
      <c r="M24" s="1535">
        <v>9.0299999999999994</v>
      </c>
    </row>
    <row r="25" spans="1:13">
      <c r="A25" s="1545">
        <v>2.08</v>
      </c>
      <c r="B25" s="1543">
        <v>2.08</v>
      </c>
      <c r="C25" s="1536"/>
      <c r="D25" s="1535">
        <v>9.0399999999999991</v>
      </c>
      <c r="E25" s="1535">
        <v>9.0399999999999991</v>
      </c>
      <c r="G25" s="1538">
        <v>2.08</v>
      </c>
      <c r="H25" s="1540" t="s">
        <v>315</v>
      </c>
      <c r="I25" s="1541">
        <v>2.08</v>
      </c>
      <c r="K25" s="1535">
        <v>9.0399999999999991</v>
      </c>
      <c r="L25" s="1549"/>
      <c r="M25" s="1535">
        <v>9.0399999999999991</v>
      </c>
    </row>
    <row r="26" spans="1:13">
      <c r="A26" s="1545">
        <v>2.09</v>
      </c>
      <c r="B26" s="1538">
        <v>2.09</v>
      </c>
      <c r="C26" s="1536"/>
      <c r="D26" s="1535">
        <v>9.0500000000000007</v>
      </c>
      <c r="E26" s="1535">
        <v>9.0500000000000007</v>
      </c>
      <c r="G26" s="1538">
        <v>2.09</v>
      </c>
      <c r="H26" s="1540"/>
      <c r="I26" s="1541">
        <v>2.09</v>
      </c>
      <c r="K26" s="1535">
        <v>9.0500000000000007</v>
      </c>
      <c r="L26" s="1549"/>
      <c r="M26" s="1535">
        <v>9.0500000000000007</v>
      </c>
    </row>
    <row r="27" spans="1:13">
      <c r="A27" s="1545" t="s">
        <v>486</v>
      </c>
      <c r="B27" s="1550" t="s">
        <v>486</v>
      </c>
      <c r="C27" s="1536"/>
      <c r="D27" s="1546">
        <v>9.06</v>
      </c>
      <c r="E27" s="1546">
        <v>9.06</v>
      </c>
      <c r="G27" s="1538" t="s">
        <v>486</v>
      </c>
      <c r="H27" s="1540" t="s">
        <v>315</v>
      </c>
      <c r="I27" s="1541" t="s">
        <v>486</v>
      </c>
      <c r="K27" s="1535">
        <v>9.06</v>
      </c>
      <c r="L27" s="1549"/>
      <c r="M27" s="1535">
        <v>9.06</v>
      </c>
    </row>
    <row r="28" spans="1:13">
      <c r="A28" s="1545">
        <v>2.11</v>
      </c>
      <c r="B28" s="1550">
        <v>2.11</v>
      </c>
      <c r="C28" s="1536"/>
      <c r="D28" s="1546">
        <v>9.07</v>
      </c>
      <c r="E28" s="1546">
        <v>9.07</v>
      </c>
      <c r="G28" s="1538">
        <v>2.11</v>
      </c>
      <c r="H28" s="1540"/>
      <c r="I28" s="1541">
        <v>2.11</v>
      </c>
      <c r="K28" s="1535">
        <v>9.07</v>
      </c>
      <c r="L28" s="1549"/>
      <c r="M28" s="1535">
        <v>9.07</v>
      </c>
    </row>
    <row r="29" spans="1:13">
      <c r="A29" s="1545">
        <v>2.12</v>
      </c>
      <c r="B29" s="1544">
        <v>2.12</v>
      </c>
      <c r="C29" s="1536"/>
      <c r="D29" s="1535">
        <v>9.08</v>
      </c>
      <c r="E29" s="1538">
        <v>9.08</v>
      </c>
      <c r="G29" s="1538">
        <v>2.12</v>
      </c>
      <c r="H29" s="1540" t="s">
        <v>315</v>
      </c>
      <c r="I29" s="1541">
        <v>2.12</v>
      </c>
      <c r="K29" s="1548">
        <v>9.08</v>
      </c>
      <c r="L29" s="1549"/>
      <c r="M29" s="1535">
        <v>9.08</v>
      </c>
    </row>
    <row r="30" spans="1:13">
      <c r="A30" s="1545">
        <v>2.13</v>
      </c>
      <c r="B30" s="1550">
        <v>2.13</v>
      </c>
      <c r="C30" s="1536"/>
      <c r="D30" s="1535">
        <v>9.09</v>
      </c>
      <c r="E30" s="1546">
        <v>9.09</v>
      </c>
      <c r="G30" s="1538">
        <v>2.13</v>
      </c>
      <c r="H30" s="1540" t="s">
        <v>315</v>
      </c>
      <c r="I30" s="1541">
        <v>2.13</v>
      </c>
      <c r="K30" s="1535">
        <v>9.09</v>
      </c>
      <c r="L30" s="1549" t="s">
        <v>315</v>
      </c>
      <c r="M30" s="1535">
        <v>9.09</v>
      </c>
    </row>
    <row r="31" spans="1:13">
      <c r="A31" s="1545">
        <v>2.14</v>
      </c>
      <c r="B31" s="1544">
        <v>2.14</v>
      </c>
      <c r="C31" s="1536"/>
      <c r="D31" s="1535" t="s">
        <v>475</v>
      </c>
      <c r="E31" s="1546" t="s">
        <v>475</v>
      </c>
      <c r="G31" s="1538">
        <v>2.14</v>
      </c>
      <c r="H31" s="1540"/>
      <c r="I31" s="1541">
        <v>2.14</v>
      </c>
      <c r="K31" s="1535" t="s">
        <v>475</v>
      </c>
      <c r="L31" s="1549"/>
      <c r="M31" s="1535" t="s">
        <v>475</v>
      </c>
    </row>
    <row r="32" spans="1:13">
      <c r="A32" s="1545">
        <v>2.15</v>
      </c>
      <c r="B32" s="1544">
        <v>2.15</v>
      </c>
      <c r="C32" s="1536"/>
      <c r="D32" s="1535">
        <v>9.11</v>
      </c>
      <c r="E32" s="1546">
        <v>9.11</v>
      </c>
      <c r="G32" s="1538">
        <v>2.15</v>
      </c>
      <c r="H32" s="1540"/>
      <c r="I32" s="1541">
        <v>2.15</v>
      </c>
      <c r="K32" s="1548">
        <v>9.11</v>
      </c>
      <c r="L32" s="1549"/>
      <c r="M32" s="1535">
        <v>9.11</v>
      </c>
    </row>
    <row r="33" spans="1:13">
      <c r="A33" s="1545">
        <v>2.16</v>
      </c>
      <c r="B33" s="1544">
        <v>2.16</v>
      </c>
      <c r="C33" s="1536"/>
      <c r="D33" s="1535">
        <v>9.1199999999999992</v>
      </c>
      <c r="E33" s="1546">
        <v>9.1199999999999992</v>
      </c>
      <c r="G33" s="1538">
        <v>2.16</v>
      </c>
      <c r="H33" s="1540"/>
      <c r="I33" s="1541">
        <v>2.16</v>
      </c>
      <c r="K33" s="1535">
        <v>9.1199999999999992</v>
      </c>
      <c r="L33" s="1549"/>
      <c r="M33" s="1535">
        <v>9.1199999999999992</v>
      </c>
    </row>
    <row r="34" spans="1:13">
      <c r="A34" s="1545">
        <v>2.17</v>
      </c>
      <c r="B34" s="1544">
        <v>2.17</v>
      </c>
      <c r="C34" s="1536"/>
      <c r="D34" s="1535">
        <v>9.1300000000000008</v>
      </c>
      <c r="E34" s="1546">
        <v>9.1300000000000008</v>
      </c>
      <c r="G34" s="1538">
        <v>2.17</v>
      </c>
      <c r="H34" s="1540"/>
      <c r="I34" s="1541">
        <v>2.17</v>
      </c>
      <c r="K34" s="1548">
        <v>9.1300000000000008</v>
      </c>
      <c r="L34" s="1549"/>
      <c r="M34" s="1535">
        <v>9.1300000000000008</v>
      </c>
    </row>
    <row r="35" spans="1:13">
      <c r="A35" s="1545">
        <v>2.1800000000000002</v>
      </c>
      <c r="B35" s="1544">
        <v>2.1800000000000002</v>
      </c>
      <c r="C35" s="1536"/>
      <c r="D35" s="1535">
        <v>9.14</v>
      </c>
      <c r="E35" s="1546">
        <v>9.14</v>
      </c>
      <c r="G35" s="1538">
        <v>2.1800000000000002</v>
      </c>
      <c r="H35" s="1540"/>
      <c r="I35" s="1541">
        <v>2.1800000000000002</v>
      </c>
      <c r="K35" s="1535">
        <v>9.14</v>
      </c>
      <c r="L35" s="1549"/>
      <c r="M35" s="1535">
        <v>9.14</v>
      </c>
    </row>
    <row r="36" spans="1:13">
      <c r="A36" s="1545">
        <v>2.19</v>
      </c>
      <c r="B36" s="1550">
        <v>2.19</v>
      </c>
      <c r="C36" s="1536"/>
      <c r="D36" s="1535">
        <v>9.15</v>
      </c>
      <c r="E36" s="1546">
        <v>9.15</v>
      </c>
      <c r="G36" s="1538">
        <v>2.19</v>
      </c>
      <c r="H36" s="1540"/>
      <c r="I36" s="1541">
        <v>2.19</v>
      </c>
      <c r="K36" s="1535">
        <v>9.15</v>
      </c>
      <c r="L36" s="1551"/>
      <c r="M36" s="1535">
        <v>9.15</v>
      </c>
    </row>
    <row r="37" spans="1:13">
      <c r="A37" s="1545" t="s">
        <v>1511</v>
      </c>
      <c r="B37" s="1550" t="s">
        <v>1511</v>
      </c>
      <c r="C37" s="1536"/>
      <c r="D37" s="1535">
        <v>9.16</v>
      </c>
      <c r="E37" s="1546">
        <v>9.16</v>
      </c>
      <c r="G37" s="1543" t="s">
        <v>1511</v>
      </c>
      <c r="H37" s="1540"/>
      <c r="I37" s="1541" t="s">
        <v>1511</v>
      </c>
      <c r="K37" s="1535">
        <v>9.16</v>
      </c>
      <c r="L37" s="1549"/>
      <c r="M37" s="1535">
        <v>9.16</v>
      </c>
    </row>
    <row r="38" spans="1:13">
      <c r="A38" s="1535">
        <v>2.21</v>
      </c>
      <c r="B38" s="1543">
        <v>2.21</v>
      </c>
      <c r="C38" s="1536"/>
      <c r="D38" s="1535">
        <v>9.17</v>
      </c>
      <c r="E38" s="1546">
        <v>9.17</v>
      </c>
      <c r="G38" s="1538">
        <v>2.21</v>
      </c>
      <c r="H38" s="1540"/>
      <c r="I38" s="1541">
        <v>2.21</v>
      </c>
      <c r="K38" s="1535">
        <v>9.17</v>
      </c>
      <c r="L38" s="1551"/>
      <c r="M38" s="1535">
        <v>9.17</v>
      </c>
    </row>
    <row r="39" spans="1:13">
      <c r="A39" s="1535">
        <v>2.2200000000000002</v>
      </c>
      <c r="B39" s="1543">
        <v>2.2200000000000002</v>
      </c>
      <c r="C39" s="1536"/>
      <c r="D39" s="1535">
        <v>9.18</v>
      </c>
      <c r="E39" s="1546">
        <v>9.18</v>
      </c>
      <c r="G39" s="1538">
        <v>2.2200000000000002</v>
      </c>
      <c r="H39" s="1540"/>
      <c r="I39" s="1541">
        <v>2.2200000000000002</v>
      </c>
      <c r="K39" s="1535">
        <v>9.18</v>
      </c>
      <c r="L39" s="1551"/>
      <c r="M39" s="1535">
        <v>9.18</v>
      </c>
    </row>
    <row r="40" spans="1:13">
      <c r="A40" s="1535">
        <v>2.23</v>
      </c>
      <c r="B40" s="1543">
        <v>2.23</v>
      </c>
      <c r="C40" s="1536"/>
      <c r="D40" s="1535">
        <v>9.19</v>
      </c>
      <c r="E40" s="1535">
        <v>9.19</v>
      </c>
      <c r="G40" s="1538">
        <v>2.23</v>
      </c>
      <c r="H40" s="1540"/>
      <c r="I40" s="1541">
        <v>2.23</v>
      </c>
      <c r="K40" s="1535">
        <v>9.19</v>
      </c>
      <c r="L40" s="1551"/>
      <c r="M40" s="1535">
        <v>9.19</v>
      </c>
    </row>
    <row r="41" spans="1:13">
      <c r="A41" s="1535">
        <v>3.01</v>
      </c>
      <c r="B41" s="1543">
        <v>3.01</v>
      </c>
      <c r="C41" s="1536"/>
      <c r="D41" s="1535" t="s">
        <v>1516</v>
      </c>
      <c r="E41" s="1546" t="s">
        <v>1516</v>
      </c>
      <c r="G41" s="1538">
        <v>3.01</v>
      </c>
      <c r="H41" s="1552"/>
      <c r="I41" s="1541">
        <v>3.01</v>
      </c>
      <c r="K41" s="1535" t="s">
        <v>1516</v>
      </c>
      <c r="L41" s="1551"/>
      <c r="M41" s="1546" t="s">
        <v>1516</v>
      </c>
    </row>
    <row r="42" spans="1:13">
      <c r="A42" s="1535">
        <v>3.02</v>
      </c>
      <c r="B42" s="1543">
        <v>3.02</v>
      </c>
      <c r="C42" s="1536"/>
      <c r="D42" s="1535" t="s">
        <v>680</v>
      </c>
      <c r="E42" s="1535" t="s">
        <v>680</v>
      </c>
      <c r="G42" s="1538">
        <v>3.02</v>
      </c>
      <c r="H42" s="1552" t="s">
        <v>315</v>
      </c>
      <c r="I42" s="1541">
        <v>3.02</v>
      </c>
      <c r="K42" s="1548" t="s">
        <v>680</v>
      </c>
      <c r="L42" s="1549"/>
      <c r="M42" s="1535" t="s">
        <v>680</v>
      </c>
    </row>
    <row r="43" spans="1:13">
      <c r="A43" s="1545">
        <v>3.03</v>
      </c>
      <c r="B43" s="1538">
        <v>3.03</v>
      </c>
      <c r="C43" s="1536"/>
      <c r="D43" s="1535" t="s">
        <v>1515</v>
      </c>
      <c r="E43" s="1535" t="s">
        <v>1515</v>
      </c>
      <c r="G43" s="1538">
        <v>3.03</v>
      </c>
      <c r="H43" s="1552" t="s">
        <v>315</v>
      </c>
      <c r="I43" s="1541">
        <v>3.03</v>
      </c>
      <c r="K43" s="1535" t="s">
        <v>1515</v>
      </c>
      <c r="L43" s="1549"/>
      <c r="M43" s="1535" t="s">
        <v>1515</v>
      </c>
    </row>
    <row r="44" spans="1:13">
      <c r="A44" s="1545">
        <v>3.04</v>
      </c>
      <c r="B44" s="1538">
        <v>3.04</v>
      </c>
      <c r="C44" s="1536"/>
      <c r="D44" s="1535" t="s">
        <v>1415</v>
      </c>
      <c r="E44" s="1535" t="s">
        <v>1415</v>
      </c>
      <c r="G44" s="1538">
        <v>3.04</v>
      </c>
      <c r="H44" s="1552" t="s">
        <v>315</v>
      </c>
      <c r="I44" s="1541">
        <v>3.04</v>
      </c>
      <c r="K44" s="1535" t="s">
        <v>1415</v>
      </c>
      <c r="L44" s="1551"/>
      <c r="M44" s="1535" t="s">
        <v>1415</v>
      </c>
    </row>
    <row r="45" spans="1:13">
      <c r="A45" s="1546">
        <v>3.05</v>
      </c>
      <c r="B45" s="1543">
        <v>3.05</v>
      </c>
      <c r="C45" s="1536"/>
      <c r="D45" s="1535" t="s">
        <v>1416</v>
      </c>
      <c r="E45" s="1535" t="s">
        <v>1416</v>
      </c>
      <c r="G45" s="1538">
        <v>3.05</v>
      </c>
      <c r="H45" s="1552" t="s">
        <v>315</v>
      </c>
      <c r="I45" s="1541">
        <v>3.05</v>
      </c>
      <c r="K45" s="1535" t="s">
        <v>1416</v>
      </c>
      <c r="L45" s="1551"/>
      <c r="M45" s="1535" t="s">
        <v>1416</v>
      </c>
    </row>
    <row r="46" spans="1:13">
      <c r="A46" s="1535">
        <v>3.06</v>
      </c>
      <c r="B46" s="1543">
        <v>3.06</v>
      </c>
      <c r="C46" s="1536"/>
      <c r="D46" s="1535" t="s">
        <v>1417</v>
      </c>
      <c r="E46" s="1535" t="s">
        <v>1417</v>
      </c>
      <c r="G46" s="1538">
        <v>3.06</v>
      </c>
      <c r="H46" s="1552" t="s">
        <v>315</v>
      </c>
      <c r="I46" s="1541">
        <v>3.06</v>
      </c>
      <c r="K46" s="1535" t="s">
        <v>1417</v>
      </c>
      <c r="L46" s="1551"/>
      <c r="M46" s="1535" t="s">
        <v>1417</v>
      </c>
    </row>
    <row r="47" spans="1:13">
      <c r="A47" s="1545">
        <v>3.07</v>
      </c>
      <c r="B47" s="1544">
        <v>3.07</v>
      </c>
      <c r="C47" s="1536"/>
      <c r="D47" s="1535">
        <v>11.01</v>
      </c>
      <c r="E47" s="1535">
        <v>11.01</v>
      </c>
      <c r="G47" s="1538">
        <v>3.07</v>
      </c>
      <c r="H47" s="1552" t="s">
        <v>315</v>
      </c>
      <c r="I47" s="1541">
        <v>3.07</v>
      </c>
      <c r="K47" s="1535">
        <v>11.01</v>
      </c>
      <c r="L47" s="1549"/>
      <c r="M47" s="1535">
        <v>11.01</v>
      </c>
    </row>
    <row r="48" spans="1:13">
      <c r="A48" s="1545">
        <v>3.08</v>
      </c>
      <c r="B48" s="1538">
        <v>3.08</v>
      </c>
      <c r="C48" s="1536"/>
      <c r="D48" s="1535">
        <v>11.02</v>
      </c>
      <c r="E48" s="1535">
        <v>11.02</v>
      </c>
      <c r="G48" s="1538">
        <v>3.08</v>
      </c>
      <c r="H48" s="1552" t="s">
        <v>315</v>
      </c>
      <c r="I48" s="1553">
        <v>3.08</v>
      </c>
      <c r="K48" s="1535">
        <v>11.02</v>
      </c>
      <c r="L48" s="1549"/>
      <c r="M48" s="1535">
        <v>11.02</v>
      </c>
    </row>
    <row r="49" spans="1:13">
      <c r="A49" s="1545">
        <v>3.09</v>
      </c>
      <c r="B49" s="1538">
        <v>3.09</v>
      </c>
      <c r="C49" s="1536"/>
      <c r="D49" s="1535">
        <v>11.03</v>
      </c>
      <c r="E49" s="1535">
        <v>11.03</v>
      </c>
      <c r="G49" s="1554">
        <v>3.09</v>
      </c>
      <c r="H49" s="1552"/>
      <c r="I49" s="1541">
        <v>3.09</v>
      </c>
      <c r="K49" s="1535">
        <v>11.03</v>
      </c>
      <c r="L49" s="1549"/>
      <c r="M49" s="1535">
        <v>11.03</v>
      </c>
    </row>
    <row r="50" spans="1:13">
      <c r="A50" s="1535" t="s">
        <v>703</v>
      </c>
      <c r="B50" s="1538" t="s">
        <v>703</v>
      </c>
      <c r="C50" s="1536"/>
      <c r="D50" s="1546">
        <v>11.04</v>
      </c>
      <c r="E50" s="1535">
        <v>11.04</v>
      </c>
      <c r="G50" s="1535" t="s">
        <v>703</v>
      </c>
      <c r="H50" s="1546"/>
      <c r="I50" s="1535" t="s">
        <v>703</v>
      </c>
      <c r="K50" s="1535">
        <v>11.04</v>
      </c>
      <c r="L50" s="1549"/>
      <c r="M50" s="1535">
        <v>11.04</v>
      </c>
    </row>
    <row r="51" spans="1:13">
      <c r="A51" s="1546">
        <v>3.11</v>
      </c>
      <c r="B51" s="1535">
        <v>3.11</v>
      </c>
      <c r="C51" s="1536"/>
      <c r="D51" s="1546">
        <v>11.05</v>
      </c>
      <c r="E51" s="1535">
        <v>11.05</v>
      </c>
      <c r="G51" s="1555">
        <v>3.11</v>
      </c>
      <c r="H51" s="1546"/>
      <c r="I51" s="1546">
        <v>3.11</v>
      </c>
      <c r="K51" s="1535">
        <v>11.05</v>
      </c>
      <c r="L51" s="1549"/>
      <c r="M51" s="1535">
        <v>11.05</v>
      </c>
    </row>
    <row r="52" spans="1:13">
      <c r="A52" s="1535">
        <v>3.12</v>
      </c>
      <c r="B52" s="1535">
        <v>3.12</v>
      </c>
      <c r="C52" s="1536"/>
      <c r="D52" s="1535">
        <v>11.06</v>
      </c>
      <c r="E52" s="1535">
        <v>11.06</v>
      </c>
      <c r="G52" s="1546">
        <v>3.12</v>
      </c>
      <c r="H52" s="1546"/>
      <c r="I52" s="1535">
        <v>3.12</v>
      </c>
      <c r="K52" s="1535">
        <v>11.06</v>
      </c>
      <c r="L52" s="1549"/>
      <c r="M52" s="1535">
        <v>11.06</v>
      </c>
    </row>
    <row r="53" spans="1:13">
      <c r="A53" s="1546">
        <v>4.01</v>
      </c>
      <c r="B53" s="1535">
        <v>4.01</v>
      </c>
      <c r="C53" s="1536"/>
      <c r="D53" s="1535">
        <v>11.07</v>
      </c>
      <c r="E53" s="1535">
        <v>11.07</v>
      </c>
      <c r="G53" s="1546">
        <v>4.01</v>
      </c>
      <c r="H53" s="1552"/>
      <c r="I53" s="1535">
        <v>4.01</v>
      </c>
      <c r="K53" s="1535">
        <v>11.07</v>
      </c>
      <c r="L53" s="1549"/>
      <c r="M53" s="1535">
        <v>11.07</v>
      </c>
    </row>
    <row r="54" spans="1:13">
      <c r="A54" s="1545">
        <v>4.0199999999999996</v>
      </c>
      <c r="B54" s="1541">
        <v>4.0199999999999996</v>
      </c>
      <c r="C54" s="1536"/>
      <c r="D54" s="1535">
        <v>11.08</v>
      </c>
      <c r="E54" s="1535">
        <v>11.08</v>
      </c>
      <c r="G54" s="1538">
        <v>4.0199999999999996</v>
      </c>
      <c r="H54" s="1552" t="s">
        <v>315</v>
      </c>
      <c r="I54" s="1535">
        <v>4.0199999999999996</v>
      </c>
      <c r="K54" s="1535">
        <v>11.08</v>
      </c>
      <c r="L54" s="1549" t="s">
        <v>315</v>
      </c>
      <c r="M54" s="1535">
        <v>11.08</v>
      </c>
    </row>
    <row r="55" spans="1:13">
      <c r="A55" s="1545">
        <v>4.03</v>
      </c>
      <c r="B55" s="1546">
        <v>4.03</v>
      </c>
      <c r="C55" s="1536"/>
      <c r="D55" s="1535">
        <v>11.09</v>
      </c>
      <c r="E55" s="1535">
        <v>11.09</v>
      </c>
      <c r="G55" s="1538">
        <v>4.03</v>
      </c>
      <c r="H55" s="1552"/>
      <c r="I55" s="1535">
        <v>4.03</v>
      </c>
      <c r="K55" s="1535">
        <v>11.09</v>
      </c>
      <c r="L55" s="1549"/>
      <c r="M55" s="1535">
        <v>11.09</v>
      </c>
    </row>
    <row r="56" spans="1:13">
      <c r="A56" s="1546">
        <v>4.04</v>
      </c>
      <c r="B56" s="1535">
        <v>4.04</v>
      </c>
      <c r="C56" s="1536"/>
      <c r="D56" s="1535" t="s">
        <v>1514</v>
      </c>
      <c r="E56" s="1535" t="s">
        <v>1514</v>
      </c>
      <c r="G56" s="1538">
        <v>4.04</v>
      </c>
      <c r="H56" s="1552" t="s">
        <v>315</v>
      </c>
      <c r="I56" s="1535">
        <v>4.04</v>
      </c>
      <c r="K56" s="1535" t="s">
        <v>1514</v>
      </c>
      <c r="L56" s="1549" t="s">
        <v>315</v>
      </c>
      <c r="M56" s="1535" t="s">
        <v>1514</v>
      </c>
    </row>
    <row r="57" spans="1:13">
      <c r="A57" s="1546">
        <v>4.05</v>
      </c>
      <c r="B57" s="1535">
        <v>4.05</v>
      </c>
      <c r="C57" s="1536"/>
      <c r="D57" s="1535">
        <v>11.11</v>
      </c>
      <c r="E57" s="1546">
        <v>11.11</v>
      </c>
      <c r="G57" s="1538">
        <v>4.05</v>
      </c>
      <c r="H57" s="1552" t="s">
        <v>315</v>
      </c>
      <c r="I57" s="1535">
        <v>4.05</v>
      </c>
      <c r="K57" s="1535">
        <v>11.11</v>
      </c>
      <c r="L57" s="1551"/>
      <c r="M57" s="1535">
        <v>11.11</v>
      </c>
    </row>
    <row r="58" spans="1:13">
      <c r="A58" s="1546">
        <v>4.0599999999999996</v>
      </c>
      <c r="B58" s="1535">
        <v>4.0599999999999996</v>
      </c>
      <c r="C58" s="1536"/>
      <c r="D58" s="1535">
        <v>11.12</v>
      </c>
      <c r="E58" s="1535">
        <v>11.12</v>
      </c>
      <c r="G58" s="1538">
        <v>4.0599999999999996</v>
      </c>
      <c r="H58" s="1552" t="s">
        <v>315</v>
      </c>
      <c r="I58" s="1535">
        <v>4.0599999999999996</v>
      </c>
      <c r="K58" s="1535">
        <v>11.12</v>
      </c>
      <c r="L58" s="1551"/>
      <c r="M58" s="1535">
        <v>11.12</v>
      </c>
    </row>
    <row r="59" spans="1:13">
      <c r="A59" s="1545">
        <v>4.07</v>
      </c>
      <c r="B59" s="1546">
        <v>4.07</v>
      </c>
      <c r="C59" s="1536"/>
      <c r="D59" s="1535">
        <v>11.13</v>
      </c>
      <c r="E59" s="1535">
        <v>11.13</v>
      </c>
      <c r="G59" s="1538">
        <v>4.07</v>
      </c>
      <c r="H59" s="1552"/>
      <c r="I59" s="1535">
        <v>4.07</v>
      </c>
      <c r="K59" s="1689">
        <v>11.13</v>
      </c>
      <c r="L59" s="1551"/>
      <c r="M59" s="1546">
        <v>11.13</v>
      </c>
    </row>
    <row r="60" spans="1:13">
      <c r="A60" s="1545">
        <v>4.08</v>
      </c>
      <c r="B60" s="1546">
        <v>4.08</v>
      </c>
      <c r="C60" s="1536"/>
      <c r="D60" s="1535">
        <v>11.14</v>
      </c>
      <c r="E60" s="1535">
        <v>11.14</v>
      </c>
      <c r="G60" s="1538">
        <v>4.08</v>
      </c>
      <c r="H60" s="1552" t="s">
        <v>315</v>
      </c>
      <c r="I60" s="1535">
        <v>4.08</v>
      </c>
      <c r="K60" s="1535">
        <v>11.14</v>
      </c>
      <c r="L60" s="1549" t="s">
        <v>315</v>
      </c>
      <c r="M60" s="1546">
        <v>11.14</v>
      </c>
    </row>
    <row r="61" spans="1:13">
      <c r="A61" s="1545">
        <v>4.09</v>
      </c>
      <c r="B61" s="1538">
        <v>4.09</v>
      </c>
      <c r="C61" s="1536"/>
      <c r="D61" s="1535">
        <v>11.15</v>
      </c>
      <c r="E61" s="1535">
        <v>11.15</v>
      </c>
      <c r="G61" s="1538">
        <v>4.09</v>
      </c>
      <c r="H61" s="1552" t="s">
        <v>315</v>
      </c>
      <c r="I61" s="1535">
        <v>4.09</v>
      </c>
      <c r="K61" s="1535">
        <v>11.15</v>
      </c>
      <c r="L61" s="1551"/>
      <c r="M61" s="1546">
        <v>11.15</v>
      </c>
    </row>
    <row r="62" spans="1:13">
      <c r="A62" s="1545">
        <v>4.0999999999999996</v>
      </c>
      <c r="B62" s="1543" t="s">
        <v>1510</v>
      </c>
      <c r="C62" s="1536"/>
      <c r="D62" s="1535">
        <v>11.16</v>
      </c>
      <c r="E62" s="1535">
        <v>11.16</v>
      </c>
      <c r="G62" s="1550">
        <v>4.0999999999999996</v>
      </c>
      <c r="H62" s="1552" t="s">
        <v>315</v>
      </c>
      <c r="I62" s="1535">
        <v>4.0999999999999996</v>
      </c>
      <c r="K62" s="1535">
        <v>11.16</v>
      </c>
      <c r="L62" s="1549" t="s">
        <v>315</v>
      </c>
      <c r="M62" s="1546">
        <v>11.16</v>
      </c>
    </row>
    <row r="63" spans="1:13">
      <c r="A63" s="1545">
        <v>4.1100000000000003</v>
      </c>
      <c r="B63" s="1538">
        <v>4.1100000000000003</v>
      </c>
      <c r="C63" s="1536"/>
      <c r="D63" s="1535">
        <v>11.17</v>
      </c>
      <c r="E63" s="1535">
        <v>11.17</v>
      </c>
      <c r="G63" s="1550">
        <v>4.1100000000000003</v>
      </c>
      <c r="H63" s="1552" t="s">
        <v>315</v>
      </c>
      <c r="I63" s="1550">
        <v>4.1100000000000003</v>
      </c>
      <c r="K63" s="1535">
        <v>11.17</v>
      </c>
      <c r="L63" s="1551"/>
      <c r="M63" s="1546">
        <v>11.17</v>
      </c>
    </row>
    <row r="64" spans="1:13">
      <c r="A64" s="1545">
        <v>5.01</v>
      </c>
      <c r="B64" s="1538">
        <v>5.01</v>
      </c>
      <c r="C64" s="1536"/>
      <c r="D64" s="1535">
        <v>11.18</v>
      </c>
      <c r="E64" s="1535">
        <v>11.18</v>
      </c>
      <c r="G64" s="1548">
        <v>5.01</v>
      </c>
      <c r="H64" s="1546"/>
      <c r="I64" s="1535">
        <v>5.01</v>
      </c>
      <c r="K64" s="1543">
        <v>11.18</v>
      </c>
      <c r="L64" s="1556"/>
      <c r="M64" s="1538">
        <v>11.18</v>
      </c>
    </row>
    <row r="65" spans="1:13">
      <c r="A65" s="1545">
        <v>5.0199999999999996</v>
      </c>
      <c r="B65" s="1538">
        <v>5.0199999999999996</v>
      </c>
      <c r="C65" s="1536"/>
      <c r="D65" s="1543" t="s">
        <v>1412</v>
      </c>
      <c r="E65" s="1538">
        <v>11.19</v>
      </c>
      <c r="G65" s="1535">
        <v>5.0199999999999996</v>
      </c>
      <c r="H65" s="1546"/>
      <c r="I65" s="1535">
        <v>5.0199999999999996</v>
      </c>
      <c r="K65" s="1557">
        <v>11.19</v>
      </c>
      <c r="L65" s="1556"/>
      <c r="M65" s="1543" t="s">
        <v>1412</v>
      </c>
    </row>
    <row r="66" spans="1:13">
      <c r="A66" s="1545">
        <v>5.03</v>
      </c>
      <c r="B66" s="1538">
        <v>5.03</v>
      </c>
      <c r="C66" s="1536"/>
      <c r="D66" s="1558"/>
      <c r="E66" s="1558"/>
      <c r="G66" s="1554">
        <v>5.03</v>
      </c>
      <c r="H66" s="1546"/>
      <c r="I66" s="1538">
        <v>5.03</v>
      </c>
    </row>
    <row r="67" spans="1:13">
      <c r="A67" s="1545">
        <v>5.04</v>
      </c>
      <c r="B67" s="1538">
        <v>5.04</v>
      </c>
      <c r="C67" s="1536"/>
      <c r="D67" s="1558"/>
      <c r="E67" s="1558"/>
      <c r="G67" s="1538">
        <v>5.04</v>
      </c>
      <c r="H67" s="1546"/>
      <c r="I67" s="1538">
        <v>5.04</v>
      </c>
    </row>
    <row r="68" spans="1:13">
      <c r="A68" s="1545">
        <v>6.01</v>
      </c>
      <c r="B68" s="1538">
        <v>6.01</v>
      </c>
      <c r="C68" s="1536"/>
      <c r="D68" s="1558"/>
      <c r="E68" s="1558"/>
      <c r="G68" s="1554">
        <v>6.01</v>
      </c>
      <c r="H68" s="1546"/>
      <c r="I68" s="1535">
        <v>6.01</v>
      </c>
      <c r="K68" s="1559"/>
      <c r="L68" s="1560"/>
      <c r="M68" s="1561"/>
    </row>
    <row r="69" spans="1:13">
      <c r="A69" s="1545">
        <v>6.02</v>
      </c>
      <c r="B69" s="1538">
        <v>6.02</v>
      </c>
      <c r="C69" s="1536"/>
      <c r="D69" s="1558"/>
      <c r="E69" s="1558"/>
      <c r="G69" s="1538">
        <v>6.02</v>
      </c>
      <c r="H69" s="1546"/>
      <c r="I69" s="1535">
        <v>6.02</v>
      </c>
      <c r="K69" s="1562" t="s">
        <v>409</v>
      </c>
    </row>
    <row r="70" spans="1:13">
      <c r="A70" s="1537">
        <v>6.03</v>
      </c>
      <c r="B70" s="1538">
        <v>6.03</v>
      </c>
      <c r="D70" s="1561"/>
      <c r="E70" s="1558"/>
      <c r="G70" s="1554">
        <v>6.03</v>
      </c>
      <c r="H70" s="1546"/>
      <c r="I70" s="1535">
        <v>6.03</v>
      </c>
    </row>
    <row r="71" spans="1:13">
      <c r="A71" s="1537">
        <v>6.04</v>
      </c>
      <c r="B71" s="1538">
        <v>6.04</v>
      </c>
      <c r="D71" s="1561"/>
      <c r="E71" s="1561"/>
      <c r="G71" s="1538">
        <v>6.04</v>
      </c>
      <c r="H71" s="1546"/>
      <c r="I71" s="1535">
        <v>6.04</v>
      </c>
    </row>
    <row r="72" spans="1:13">
      <c r="A72" s="1537">
        <v>6.05</v>
      </c>
      <c r="B72" s="1538">
        <v>6.05</v>
      </c>
      <c r="D72" s="1558"/>
      <c r="E72" s="1558"/>
      <c r="G72" s="1538">
        <v>6.05</v>
      </c>
      <c r="H72" s="1546"/>
      <c r="I72" s="1535">
        <v>6.05</v>
      </c>
    </row>
    <row r="73" spans="1:13">
      <c r="A73" s="1545">
        <v>6.06</v>
      </c>
      <c r="B73" s="1546">
        <v>6.06</v>
      </c>
      <c r="D73" s="1558"/>
      <c r="E73" s="1558"/>
      <c r="G73" s="1538">
        <v>6.06</v>
      </c>
      <c r="H73" s="1538"/>
      <c r="I73" s="1543">
        <v>6.06</v>
      </c>
    </row>
    <row r="74" spans="1:13">
      <c r="A74" s="1563"/>
      <c r="B74" s="1561"/>
      <c r="D74" s="1558"/>
      <c r="E74" s="1558"/>
      <c r="G74" s="1564"/>
      <c r="H74" s="1564"/>
      <c r="I74" s="1564"/>
    </row>
    <row r="75" spans="1:13">
      <c r="A75" s="1563"/>
      <c r="B75" s="1561"/>
      <c r="L75" s="1561"/>
      <c r="M75" s="1558"/>
    </row>
    <row r="76" spans="1:13">
      <c r="A76" s="1545"/>
      <c r="B76" s="1561"/>
      <c r="K76" s="1562"/>
    </row>
    <row r="77" spans="1:13">
      <c r="A77" s="1565"/>
      <c r="B77" s="1566" t="s">
        <v>500</v>
      </c>
      <c r="F77" s="1567" t="s">
        <v>1412</v>
      </c>
      <c r="G77" s="1568" t="s">
        <v>410</v>
      </c>
      <c r="J77" s="1569" t="s">
        <v>315</v>
      </c>
      <c r="K77" s="1568" t="s">
        <v>411</v>
      </c>
    </row>
    <row r="78" spans="1:13">
      <c r="A78" s="1565"/>
      <c r="B78" s="1570" t="s">
        <v>412</v>
      </c>
    </row>
    <row r="79" spans="1:13" ht="7.5" customHeight="1"/>
    <row r="80" spans="1:13">
      <c r="A80" s="1566" t="s">
        <v>413</v>
      </c>
      <c r="G80" s="1571"/>
      <c r="H80" s="1571"/>
    </row>
  </sheetData>
  <phoneticPr fontId="30" type="noConversion"/>
  <pageMargins left="0.56999999999999995" right="0.46" top="0.31" bottom="0.33" header="0.22" footer="0.21"/>
  <pageSetup paperSize="9" scale="7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6F73-95B5-5742-867A-5FDEB9FFD3E9}">
  <sheetPr>
    <pageSetUpPr fitToPage="1"/>
  </sheetPr>
  <dimension ref="A1:O188"/>
  <sheetViews>
    <sheetView workbookViewId="0">
      <selection activeCell="A188" sqref="A188"/>
    </sheetView>
  </sheetViews>
  <sheetFormatPr baseColWidth="10" defaultColWidth="11.3984375" defaultRowHeight="11"/>
  <cols>
    <col min="1" max="1" width="11.3984375" style="1573"/>
    <col min="2" max="2" width="11.19921875" style="1572" customWidth="1"/>
    <col min="3" max="3" width="10.19921875" style="1572" customWidth="1"/>
    <col min="4" max="6" width="11.3984375" style="1572"/>
    <col min="7" max="7" width="10.796875" style="1572" customWidth="1"/>
    <col min="8" max="9" width="9.796875" style="1573" customWidth="1"/>
    <col min="10" max="11" width="11.3984375" style="1573"/>
    <col min="12" max="13" width="11.3984375" style="1572"/>
    <col min="14" max="16384" width="11.3984375" style="1573"/>
  </cols>
  <sheetData>
    <row r="1" spans="1:13" ht="16">
      <c r="A1" s="1528" t="s">
        <v>1503</v>
      </c>
    </row>
    <row r="2" spans="1:13" ht="12.75" customHeight="1">
      <c r="E2" s="1574"/>
      <c r="F2" s="1574"/>
    </row>
    <row r="3" spans="1:13" ht="16">
      <c r="A3" s="1528" t="s">
        <v>414</v>
      </c>
      <c r="E3" s="1574"/>
      <c r="F3" s="1574"/>
    </row>
    <row r="4" spans="1:13" ht="15" customHeight="1">
      <c r="B4" s="1574"/>
      <c r="C4" s="1574"/>
      <c r="D4" s="1575"/>
      <c r="E4" s="1575"/>
      <c r="F4" s="1575"/>
      <c r="G4" s="1575"/>
      <c r="J4" s="1576"/>
      <c r="K4" s="1576"/>
      <c r="L4" s="1574"/>
      <c r="M4" s="1574"/>
    </row>
    <row r="5" spans="1:13" s="1578" customFormat="1" ht="28.5" customHeight="1">
      <c r="A5" s="1531" t="s">
        <v>407</v>
      </c>
      <c r="B5" s="1531" t="s">
        <v>1509</v>
      </c>
      <c r="C5" s="1531" t="s">
        <v>1562</v>
      </c>
      <c r="D5" s="1531" t="s">
        <v>1561</v>
      </c>
      <c r="E5" s="1531" t="s">
        <v>1560</v>
      </c>
      <c r="F5" s="1531" t="s">
        <v>1521</v>
      </c>
      <c r="G5" s="1531" t="s">
        <v>488</v>
      </c>
      <c r="H5" s="1531" t="s">
        <v>1520</v>
      </c>
      <c r="I5" s="1531" t="s">
        <v>1519</v>
      </c>
      <c r="J5" s="1531" t="s">
        <v>1518</v>
      </c>
      <c r="K5" s="1531" t="s">
        <v>1517</v>
      </c>
      <c r="L5" s="1577"/>
      <c r="M5" s="1577"/>
    </row>
    <row r="6" spans="1:13" ht="14.25" customHeight="1">
      <c r="A6" s="1579"/>
      <c r="B6" s="1579"/>
      <c r="C6" s="1579"/>
      <c r="D6" s="1579"/>
      <c r="E6" s="1579"/>
      <c r="F6" s="1580"/>
      <c r="G6" s="1580"/>
      <c r="H6" s="1580"/>
      <c r="I6" s="1580"/>
      <c r="J6" s="1580"/>
      <c r="K6" s="1580"/>
      <c r="L6" s="1573"/>
      <c r="M6" s="1573"/>
    </row>
    <row r="7" spans="1:13">
      <c r="A7" s="1581">
        <v>1.01</v>
      </c>
      <c r="B7" s="1581">
        <v>1.01</v>
      </c>
      <c r="C7" s="1581">
        <v>1.43</v>
      </c>
      <c r="D7" s="1581">
        <v>1.43</v>
      </c>
      <c r="E7" s="1581">
        <v>1.43</v>
      </c>
      <c r="F7" s="1581">
        <v>1.43</v>
      </c>
      <c r="G7" s="1582" t="s">
        <v>1412</v>
      </c>
      <c r="H7" s="1583" t="s">
        <v>1412</v>
      </c>
      <c r="I7" s="1583" t="s">
        <v>1412</v>
      </c>
      <c r="J7" s="1583" t="s">
        <v>1412</v>
      </c>
      <c r="K7" s="1583" t="s">
        <v>1412</v>
      </c>
      <c r="L7" s="1573"/>
      <c r="M7" s="1573"/>
    </row>
    <row r="8" spans="1:13">
      <c r="A8" s="1581">
        <v>1.02</v>
      </c>
      <c r="B8" s="1581">
        <v>1.02</v>
      </c>
      <c r="C8" s="1581">
        <v>1.27</v>
      </c>
      <c r="D8" s="1581">
        <v>1.27</v>
      </c>
      <c r="E8" s="1581">
        <v>1.27</v>
      </c>
      <c r="F8" s="1581">
        <v>1.27</v>
      </c>
      <c r="G8" s="1582">
        <v>1.27</v>
      </c>
      <c r="H8" s="1584" t="s">
        <v>1608</v>
      </c>
      <c r="I8" s="1584" t="s">
        <v>1608</v>
      </c>
      <c r="J8" s="1584" t="s">
        <v>1608</v>
      </c>
      <c r="K8" s="1584" t="s">
        <v>1608</v>
      </c>
      <c r="L8" s="1573"/>
      <c r="M8" s="1573"/>
    </row>
    <row r="9" spans="1:13">
      <c r="A9" s="1581">
        <v>1.03</v>
      </c>
      <c r="B9" s="1581">
        <v>1.03</v>
      </c>
      <c r="C9" s="1581">
        <v>1.28</v>
      </c>
      <c r="D9" s="1581">
        <v>1.28</v>
      </c>
      <c r="E9" s="1581">
        <v>1.28</v>
      </c>
      <c r="F9" s="1581">
        <v>1.28</v>
      </c>
      <c r="G9" s="1582">
        <v>1.28</v>
      </c>
      <c r="H9" s="1584" t="s">
        <v>1609</v>
      </c>
      <c r="I9" s="1584" t="s">
        <v>1609</v>
      </c>
      <c r="J9" s="1584" t="s">
        <v>1609</v>
      </c>
      <c r="K9" s="1584" t="s">
        <v>1609</v>
      </c>
      <c r="L9" s="1573"/>
      <c r="M9" s="1573"/>
    </row>
    <row r="10" spans="1:13">
      <c r="A10" s="1585">
        <v>1.04</v>
      </c>
      <c r="B10" s="1585">
        <v>1.04</v>
      </c>
      <c r="C10" s="1585">
        <v>1.29</v>
      </c>
      <c r="D10" s="1585">
        <v>1.29</v>
      </c>
      <c r="E10" s="1585">
        <v>1.29</v>
      </c>
      <c r="F10" s="1585">
        <v>1.29</v>
      </c>
      <c r="G10" s="1586">
        <v>1.29</v>
      </c>
      <c r="H10" s="1587" t="s">
        <v>1610</v>
      </c>
      <c r="I10" s="1587" t="s">
        <v>1610</v>
      </c>
      <c r="J10" s="1587" t="s">
        <v>1610</v>
      </c>
      <c r="K10" s="1587" t="s">
        <v>1610</v>
      </c>
      <c r="L10" s="1573"/>
      <c r="M10" s="1573"/>
    </row>
    <row r="11" spans="1:13">
      <c r="A11" s="1585">
        <v>1.05</v>
      </c>
      <c r="B11" s="1585">
        <v>1.05</v>
      </c>
      <c r="C11" s="1585">
        <v>1.3</v>
      </c>
      <c r="D11" s="1585">
        <v>1.3</v>
      </c>
      <c r="E11" s="1585">
        <v>1.3</v>
      </c>
      <c r="F11" s="1585">
        <v>1.3</v>
      </c>
      <c r="G11" s="1586">
        <v>1.3</v>
      </c>
      <c r="H11" s="1587" t="s">
        <v>1611</v>
      </c>
      <c r="I11" s="1587" t="s">
        <v>1611</v>
      </c>
      <c r="J11" s="1587" t="s">
        <v>1611</v>
      </c>
      <c r="K11" s="1587" t="s">
        <v>1611</v>
      </c>
      <c r="L11" s="1573"/>
      <c r="M11" s="1573"/>
    </row>
    <row r="12" spans="1:13">
      <c r="A12" s="1585">
        <v>1.06</v>
      </c>
      <c r="B12" s="1585">
        <v>1.06</v>
      </c>
      <c r="C12" s="1585">
        <v>1.31</v>
      </c>
      <c r="D12" s="1585">
        <v>1.31</v>
      </c>
      <c r="E12" s="1585">
        <v>1.31</v>
      </c>
      <c r="F12" s="1585">
        <v>1.31</v>
      </c>
      <c r="G12" s="1586">
        <v>1.31</v>
      </c>
      <c r="H12" s="1587" t="s">
        <v>1612</v>
      </c>
      <c r="I12" s="1587" t="s">
        <v>1612</v>
      </c>
      <c r="J12" s="1587" t="s">
        <v>1612</v>
      </c>
      <c r="K12" s="1587" t="s">
        <v>1612</v>
      </c>
      <c r="L12" s="1573"/>
      <c r="M12" s="1573"/>
    </row>
    <row r="13" spans="1:13">
      <c r="A13" s="1585">
        <v>1.07</v>
      </c>
      <c r="B13" s="1585">
        <v>1.07</v>
      </c>
      <c r="C13" s="1588" t="s">
        <v>1413</v>
      </c>
      <c r="D13" s="1589">
        <v>7.06</v>
      </c>
      <c r="E13" s="1589">
        <v>7.06</v>
      </c>
      <c r="F13" s="1589" t="s">
        <v>1412</v>
      </c>
      <c r="G13" s="1589" t="s">
        <v>1412</v>
      </c>
      <c r="H13" s="1589" t="s">
        <v>1412</v>
      </c>
      <c r="I13" s="1589" t="s">
        <v>1412</v>
      </c>
      <c r="J13" s="1589" t="s">
        <v>1412</v>
      </c>
      <c r="K13" s="1589" t="s">
        <v>1412</v>
      </c>
      <c r="L13" s="1573"/>
      <c r="M13" s="1573"/>
    </row>
    <row r="14" spans="1:13">
      <c r="A14" s="1585">
        <v>1.08</v>
      </c>
      <c r="B14" s="1585">
        <v>1.08</v>
      </c>
      <c r="C14" s="1585">
        <v>1.25</v>
      </c>
      <c r="D14" s="1585">
        <v>1.25</v>
      </c>
      <c r="E14" s="1585">
        <v>1.25</v>
      </c>
      <c r="F14" s="1585">
        <v>1.25</v>
      </c>
      <c r="G14" s="1586">
        <v>1.25</v>
      </c>
      <c r="H14" s="1590" t="s">
        <v>1412</v>
      </c>
      <c r="I14" s="1590" t="s">
        <v>1412</v>
      </c>
      <c r="J14" s="1590" t="s">
        <v>1412</v>
      </c>
      <c r="K14" s="1590" t="s">
        <v>1412</v>
      </c>
      <c r="L14" s="1573"/>
      <c r="M14" s="1573"/>
    </row>
    <row r="15" spans="1:13">
      <c r="A15" s="1585">
        <v>1.0900000000000001</v>
      </c>
      <c r="B15" s="1585">
        <v>1.0900000000000001</v>
      </c>
      <c r="C15" s="1585">
        <v>1.26</v>
      </c>
      <c r="D15" s="1585">
        <v>1.26</v>
      </c>
      <c r="E15" s="1585">
        <v>1.26</v>
      </c>
      <c r="F15" s="1585">
        <v>1.26</v>
      </c>
      <c r="G15" s="1586">
        <v>1.26</v>
      </c>
      <c r="H15" s="1590" t="s">
        <v>1412</v>
      </c>
      <c r="I15" s="1590" t="s">
        <v>1412</v>
      </c>
      <c r="J15" s="1590" t="s">
        <v>1412</v>
      </c>
      <c r="K15" s="1590" t="s">
        <v>1412</v>
      </c>
      <c r="L15" s="1573"/>
      <c r="M15" s="1573"/>
    </row>
    <row r="16" spans="1:13">
      <c r="A16" s="1585">
        <v>1.1000000000000001</v>
      </c>
      <c r="B16" s="1585">
        <v>1.1000000000000001</v>
      </c>
      <c r="C16" s="1585">
        <v>1.23</v>
      </c>
      <c r="D16" s="1585">
        <v>1.23</v>
      </c>
      <c r="E16" s="1585">
        <v>1.23</v>
      </c>
      <c r="F16" s="1585">
        <v>1.23</v>
      </c>
      <c r="G16" s="1586">
        <v>1.23</v>
      </c>
      <c r="H16" s="1590" t="s">
        <v>1412</v>
      </c>
      <c r="I16" s="1590" t="s">
        <v>1412</v>
      </c>
      <c r="J16" s="1590" t="s">
        <v>1412</v>
      </c>
      <c r="K16" s="1590" t="s">
        <v>1412</v>
      </c>
      <c r="L16" s="1573"/>
      <c r="M16" s="1573"/>
    </row>
    <row r="17" spans="1:13">
      <c r="A17" s="1585">
        <v>1.1100000000000001</v>
      </c>
      <c r="B17" s="1585">
        <v>1.1100000000000001</v>
      </c>
      <c r="C17" s="1585">
        <v>1.24</v>
      </c>
      <c r="D17" s="1585">
        <v>1.24</v>
      </c>
      <c r="E17" s="1585">
        <v>1.24</v>
      </c>
      <c r="F17" s="1585">
        <v>1.24</v>
      </c>
      <c r="G17" s="1586">
        <v>1.24</v>
      </c>
      <c r="H17" s="1590" t="s">
        <v>1412</v>
      </c>
      <c r="I17" s="1590" t="s">
        <v>1412</v>
      </c>
      <c r="J17" s="1590" t="s">
        <v>1412</v>
      </c>
      <c r="K17" s="1590" t="s">
        <v>1412</v>
      </c>
      <c r="L17" s="1573"/>
      <c r="M17" s="1573"/>
    </row>
    <row r="18" spans="1:13">
      <c r="A18" s="1585">
        <v>1.1200000000000001</v>
      </c>
      <c r="B18" s="1585">
        <v>1.1200000000000001</v>
      </c>
      <c r="C18" s="1585">
        <v>1.32</v>
      </c>
      <c r="D18" s="1585">
        <v>1.32</v>
      </c>
      <c r="E18" s="1585">
        <v>1.32</v>
      </c>
      <c r="F18" s="1585">
        <v>1.32</v>
      </c>
      <c r="G18" s="1586">
        <v>1.32</v>
      </c>
      <c r="H18" s="1587" t="s">
        <v>1606</v>
      </c>
      <c r="I18" s="1587" t="s">
        <v>1606</v>
      </c>
      <c r="J18" s="1587" t="s">
        <v>1606</v>
      </c>
      <c r="K18" s="1587" t="s">
        <v>1606</v>
      </c>
      <c r="L18" s="1573"/>
      <c r="M18" s="1573"/>
    </row>
    <row r="19" spans="1:13">
      <c r="A19" s="1585">
        <v>1.1299999999999999</v>
      </c>
      <c r="B19" s="1585">
        <v>1.1299999999999999</v>
      </c>
      <c r="C19" s="1585">
        <v>1.33</v>
      </c>
      <c r="D19" s="1585">
        <v>1.33</v>
      </c>
      <c r="E19" s="1585">
        <v>1.33</v>
      </c>
      <c r="F19" s="1585">
        <v>1.33</v>
      </c>
      <c r="G19" s="1586">
        <v>1.33</v>
      </c>
      <c r="H19" s="1590" t="s">
        <v>1412</v>
      </c>
      <c r="I19" s="1590" t="s">
        <v>1412</v>
      </c>
      <c r="J19" s="1590" t="s">
        <v>1412</v>
      </c>
      <c r="K19" s="1590" t="s">
        <v>1412</v>
      </c>
      <c r="L19" s="1573"/>
      <c r="M19" s="1573"/>
    </row>
    <row r="20" spans="1:13">
      <c r="A20" s="1585">
        <v>2.0099999999999998</v>
      </c>
      <c r="B20" s="1585">
        <v>2.0099999999999998</v>
      </c>
      <c r="C20" s="1585">
        <v>1.19</v>
      </c>
      <c r="D20" s="1585">
        <v>1.19</v>
      </c>
      <c r="E20" s="1585">
        <v>1.19</v>
      </c>
      <c r="F20" s="1585">
        <v>1.19</v>
      </c>
      <c r="G20" s="1586">
        <v>1.19</v>
      </c>
      <c r="H20" s="1590" t="s">
        <v>1412</v>
      </c>
      <c r="I20" s="1590" t="s">
        <v>1412</v>
      </c>
      <c r="J20" s="1590" t="s">
        <v>1412</v>
      </c>
      <c r="K20" s="1590" t="s">
        <v>1412</v>
      </c>
      <c r="L20" s="1573"/>
      <c r="M20" s="1573"/>
    </row>
    <row r="21" spans="1:13">
      <c r="A21" s="1585">
        <v>2.02</v>
      </c>
      <c r="B21" s="1585">
        <v>2.02</v>
      </c>
      <c r="C21" s="1585">
        <v>1.2</v>
      </c>
      <c r="D21" s="1585">
        <v>1.2</v>
      </c>
      <c r="E21" s="1585">
        <v>1.2</v>
      </c>
      <c r="F21" s="1585">
        <v>1.2</v>
      </c>
      <c r="G21" s="1586">
        <v>1.2</v>
      </c>
      <c r="H21" s="1590" t="s">
        <v>1412</v>
      </c>
      <c r="I21" s="1590" t="s">
        <v>1412</v>
      </c>
      <c r="J21" s="1590" t="s">
        <v>1412</v>
      </c>
      <c r="K21" s="1590" t="s">
        <v>1412</v>
      </c>
      <c r="L21" s="1573"/>
      <c r="M21" s="1573"/>
    </row>
    <row r="22" spans="1:13">
      <c r="A22" s="1585">
        <v>2.0299999999999998</v>
      </c>
      <c r="B22" s="1585">
        <v>2.0299999999999998</v>
      </c>
      <c r="C22" s="1588">
        <v>1.51</v>
      </c>
      <c r="D22" s="1589" t="s">
        <v>1412</v>
      </c>
      <c r="E22" s="1589" t="s">
        <v>1412</v>
      </c>
      <c r="F22" s="1589" t="s">
        <v>1412</v>
      </c>
      <c r="G22" s="1589" t="s">
        <v>1412</v>
      </c>
      <c r="H22" s="1589" t="s">
        <v>1412</v>
      </c>
      <c r="I22" s="1589" t="s">
        <v>1412</v>
      </c>
      <c r="J22" s="1589" t="s">
        <v>1412</v>
      </c>
      <c r="K22" s="1589" t="s">
        <v>1412</v>
      </c>
      <c r="L22" s="1573"/>
      <c r="M22" s="1573"/>
    </row>
    <row r="23" spans="1:13">
      <c r="A23" s="1588">
        <v>2.04</v>
      </c>
      <c r="B23" s="1588">
        <v>2.04</v>
      </c>
      <c r="C23" s="1589">
        <v>2.04</v>
      </c>
      <c r="D23" s="1589">
        <v>2.04</v>
      </c>
      <c r="E23" s="1589">
        <v>2.04</v>
      </c>
      <c r="F23" s="1589">
        <v>2.04</v>
      </c>
      <c r="G23" s="1587">
        <v>2.04</v>
      </c>
      <c r="H23" s="1587" t="s">
        <v>470</v>
      </c>
      <c r="I23" s="1587" t="s">
        <v>470</v>
      </c>
      <c r="J23" s="1587" t="s">
        <v>1412</v>
      </c>
      <c r="K23" s="1587" t="s">
        <v>1412</v>
      </c>
      <c r="L23" s="1573"/>
      <c r="M23" s="1573"/>
    </row>
    <row r="24" spans="1:13">
      <c r="A24" s="1585">
        <v>2.0499999999999998</v>
      </c>
      <c r="B24" s="1585">
        <v>2.0499999999999998</v>
      </c>
      <c r="C24" s="1589">
        <v>2.0499999999999998</v>
      </c>
      <c r="D24" s="1589">
        <v>2.0499999999999998</v>
      </c>
      <c r="E24" s="1589">
        <v>2.0499999999999998</v>
      </c>
      <c r="F24" s="1589">
        <v>2.0499999999999998</v>
      </c>
      <c r="G24" s="1587">
        <v>2.0499999999999998</v>
      </c>
      <c r="H24" s="1587" t="s">
        <v>482</v>
      </c>
      <c r="I24" s="1587" t="s">
        <v>482</v>
      </c>
      <c r="J24" s="1587" t="s">
        <v>1412</v>
      </c>
      <c r="K24" s="1587" t="s">
        <v>1412</v>
      </c>
      <c r="L24" s="1573"/>
      <c r="M24" s="1573"/>
    </row>
    <row r="25" spans="1:13">
      <c r="A25" s="1589">
        <v>2.06</v>
      </c>
      <c r="B25" s="1589">
        <v>2.06</v>
      </c>
      <c r="C25" s="1589">
        <v>2.06</v>
      </c>
      <c r="D25" s="1589">
        <v>2.06</v>
      </c>
      <c r="E25" s="1589">
        <v>2.06</v>
      </c>
      <c r="F25" s="1589">
        <v>2.06</v>
      </c>
      <c r="G25" s="1587">
        <v>2.06</v>
      </c>
      <c r="H25" s="1587" t="s">
        <v>473</v>
      </c>
      <c r="I25" s="1587" t="s">
        <v>473</v>
      </c>
      <c r="J25" s="1587" t="s">
        <v>1412</v>
      </c>
      <c r="K25" s="1587" t="s">
        <v>1412</v>
      </c>
      <c r="L25" s="1573"/>
      <c r="M25" s="1573"/>
    </row>
    <row r="26" spans="1:13">
      <c r="A26" s="1589">
        <v>2.0699999999999998</v>
      </c>
      <c r="B26" s="1589">
        <v>2.0699999999999998</v>
      </c>
      <c r="C26" s="1589">
        <v>2.0699999999999998</v>
      </c>
      <c r="D26" s="1589">
        <v>2.0699999999999998</v>
      </c>
      <c r="E26" s="1589">
        <v>2.0699999999999998</v>
      </c>
      <c r="F26" s="1589">
        <v>2.0699999999999998</v>
      </c>
      <c r="G26" s="1587">
        <v>2.0699999999999998</v>
      </c>
      <c r="H26" s="1587" t="s">
        <v>476</v>
      </c>
      <c r="I26" s="1587" t="s">
        <v>476</v>
      </c>
      <c r="J26" s="1587" t="s">
        <v>470</v>
      </c>
      <c r="K26" s="1587" t="s">
        <v>1412</v>
      </c>
      <c r="L26" s="1573"/>
      <c r="M26" s="1573"/>
    </row>
    <row r="27" spans="1:13">
      <c r="A27" s="1589">
        <v>2.08</v>
      </c>
      <c r="B27" s="1589">
        <v>2.08</v>
      </c>
      <c r="C27" s="1589">
        <v>2.08</v>
      </c>
      <c r="D27" s="1589">
        <v>2.08</v>
      </c>
      <c r="E27" s="1589">
        <v>2.08</v>
      </c>
      <c r="F27" s="1589">
        <v>2.08</v>
      </c>
      <c r="G27" s="1587">
        <v>2.08</v>
      </c>
      <c r="H27" s="1587" t="s">
        <v>483</v>
      </c>
      <c r="I27" s="1587" t="s">
        <v>483</v>
      </c>
      <c r="J27" s="1587" t="s">
        <v>482</v>
      </c>
      <c r="K27" s="1587" t="s">
        <v>1412</v>
      </c>
      <c r="L27" s="1573"/>
      <c r="M27" s="1573"/>
    </row>
    <row r="28" spans="1:13">
      <c r="A28" s="1589">
        <v>2.09</v>
      </c>
      <c r="B28" s="1589">
        <v>2.09</v>
      </c>
      <c r="C28" s="1589">
        <v>2.09</v>
      </c>
      <c r="D28" s="1589">
        <v>2.09</v>
      </c>
      <c r="E28" s="1589">
        <v>2.09</v>
      </c>
      <c r="F28" s="1589">
        <v>2.09</v>
      </c>
      <c r="G28" s="1587">
        <v>2.09</v>
      </c>
      <c r="H28" s="1587" t="s">
        <v>485</v>
      </c>
      <c r="I28" s="1587" t="s">
        <v>1412</v>
      </c>
      <c r="J28" s="1587" t="s">
        <v>1412</v>
      </c>
      <c r="K28" s="1587" t="s">
        <v>1412</v>
      </c>
      <c r="L28" s="1573"/>
      <c r="M28" s="1573"/>
    </row>
    <row r="29" spans="1:13">
      <c r="A29" s="1589" t="s">
        <v>486</v>
      </c>
      <c r="B29" s="1589" t="s">
        <v>486</v>
      </c>
      <c r="C29" s="1591" t="s">
        <v>486</v>
      </c>
      <c r="D29" s="1591" t="s">
        <v>486</v>
      </c>
      <c r="E29" s="1591" t="s">
        <v>486</v>
      </c>
      <c r="F29" s="1591" t="s">
        <v>486</v>
      </c>
      <c r="G29" s="1586" t="s">
        <v>1412</v>
      </c>
      <c r="H29" s="1590" t="s">
        <v>1412</v>
      </c>
      <c r="I29" s="1590" t="s">
        <v>1412</v>
      </c>
      <c r="J29" s="1590" t="s">
        <v>1412</v>
      </c>
      <c r="K29" s="1590" t="s">
        <v>1412</v>
      </c>
      <c r="L29" s="1573"/>
      <c r="M29" s="1573"/>
    </row>
    <row r="30" spans="1:13">
      <c r="A30" s="1589">
        <v>2.11</v>
      </c>
      <c r="B30" s="1589">
        <v>2.11</v>
      </c>
      <c r="C30" s="1585">
        <v>2.11</v>
      </c>
      <c r="D30" s="1585">
        <v>2.11</v>
      </c>
      <c r="E30" s="1585">
        <v>2.11</v>
      </c>
      <c r="F30" s="1585">
        <v>2.11</v>
      </c>
      <c r="G30" s="1586" t="s">
        <v>1412</v>
      </c>
      <c r="H30" s="1590" t="s">
        <v>1412</v>
      </c>
      <c r="I30" s="1590" t="s">
        <v>1412</v>
      </c>
      <c r="J30" s="1590" t="s">
        <v>1412</v>
      </c>
      <c r="K30" s="1590" t="s">
        <v>1412</v>
      </c>
      <c r="L30" s="1573"/>
      <c r="M30" s="1573"/>
    </row>
    <row r="31" spans="1:13">
      <c r="A31" s="1589">
        <v>2.12</v>
      </c>
      <c r="B31" s="1589">
        <v>2.12</v>
      </c>
      <c r="C31" s="1585">
        <v>2.12</v>
      </c>
      <c r="D31" s="1585" t="s">
        <v>1412</v>
      </c>
      <c r="E31" s="1585" t="s">
        <v>1412</v>
      </c>
      <c r="F31" s="1585" t="s">
        <v>1412</v>
      </c>
      <c r="G31" s="1585" t="s">
        <v>1412</v>
      </c>
      <c r="H31" s="1585" t="s">
        <v>1412</v>
      </c>
      <c r="I31" s="1585" t="s">
        <v>1412</v>
      </c>
      <c r="J31" s="1585" t="s">
        <v>1412</v>
      </c>
      <c r="K31" s="1585" t="s">
        <v>1412</v>
      </c>
      <c r="L31" s="1573"/>
      <c r="M31" s="1573"/>
    </row>
    <row r="32" spans="1:13">
      <c r="A32" s="1591">
        <v>2.13</v>
      </c>
      <c r="B32" s="1591">
        <v>2.13</v>
      </c>
      <c r="C32" s="1585">
        <v>2.13</v>
      </c>
      <c r="D32" s="1585" t="s">
        <v>1412</v>
      </c>
      <c r="E32" s="1585" t="s">
        <v>1412</v>
      </c>
      <c r="F32" s="1585" t="s">
        <v>1412</v>
      </c>
      <c r="G32" s="1585" t="s">
        <v>1412</v>
      </c>
      <c r="H32" s="1585" t="s">
        <v>1412</v>
      </c>
      <c r="I32" s="1585" t="s">
        <v>1412</v>
      </c>
      <c r="J32" s="1585" t="s">
        <v>1412</v>
      </c>
      <c r="K32" s="1585" t="s">
        <v>1412</v>
      </c>
      <c r="L32" s="1573"/>
      <c r="M32" s="1573"/>
    </row>
    <row r="33" spans="1:13">
      <c r="A33" s="1585">
        <v>2.14</v>
      </c>
      <c r="B33" s="1585">
        <v>2.14</v>
      </c>
      <c r="C33" s="1585">
        <v>1.1299999999999999</v>
      </c>
      <c r="D33" s="1585">
        <v>1.1299999999999999</v>
      </c>
      <c r="E33" s="1585">
        <v>1.1299999999999999</v>
      </c>
      <c r="F33" s="1585">
        <v>1.1299999999999999</v>
      </c>
      <c r="G33" s="1586">
        <v>1.1299999999999999</v>
      </c>
      <c r="H33" s="1587" t="s">
        <v>1594</v>
      </c>
      <c r="I33" s="1587" t="s">
        <v>1594</v>
      </c>
      <c r="J33" s="1587" t="s">
        <v>1594</v>
      </c>
      <c r="K33" s="1587" t="s">
        <v>1594</v>
      </c>
      <c r="L33" s="1573"/>
      <c r="M33" s="1573"/>
    </row>
    <row r="34" spans="1:13">
      <c r="A34" s="1585">
        <v>2.15</v>
      </c>
      <c r="B34" s="1585">
        <v>2.15</v>
      </c>
      <c r="C34" s="1585">
        <v>1.1399999999999999</v>
      </c>
      <c r="D34" s="1585">
        <v>1.1399999999999999</v>
      </c>
      <c r="E34" s="1585">
        <v>1.1399999999999999</v>
      </c>
      <c r="F34" s="1585">
        <v>1.1399999999999999</v>
      </c>
      <c r="G34" s="1586">
        <v>1.1399999999999999</v>
      </c>
      <c r="H34" s="1587" t="s">
        <v>1596</v>
      </c>
      <c r="I34" s="1587" t="s">
        <v>1596</v>
      </c>
      <c r="J34" s="1587" t="s">
        <v>1596</v>
      </c>
      <c r="K34" s="1587" t="s">
        <v>1596</v>
      </c>
      <c r="L34" s="1573"/>
      <c r="M34" s="1573"/>
    </row>
    <row r="35" spans="1:13">
      <c r="A35" s="1585">
        <v>2.16</v>
      </c>
      <c r="B35" s="1585">
        <v>2.16</v>
      </c>
      <c r="C35" s="1585">
        <v>1.1499999999999999</v>
      </c>
      <c r="D35" s="1585">
        <v>1.1499999999999999</v>
      </c>
      <c r="E35" s="1585">
        <v>1.1499999999999999</v>
      </c>
      <c r="F35" s="1585">
        <v>1.1499999999999999</v>
      </c>
      <c r="G35" s="1586">
        <v>1.1499999999999999</v>
      </c>
      <c r="H35" s="1587" t="s">
        <v>1598</v>
      </c>
      <c r="I35" s="1587" t="s">
        <v>1598</v>
      </c>
      <c r="J35" s="1587" t="s">
        <v>1598</v>
      </c>
      <c r="K35" s="1587" t="s">
        <v>1598</v>
      </c>
      <c r="L35" s="1573"/>
      <c r="M35" s="1573"/>
    </row>
    <row r="36" spans="1:13">
      <c r="A36" s="1585">
        <v>2.17</v>
      </c>
      <c r="B36" s="1585">
        <v>2.17</v>
      </c>
      <c r="C36" s="1585">
        <v>1.1599999999999999</v>
      </c>
      <c r="D36" s="1585">
        <v>1.1599999999999999</v>
      </c>
      <c r="E36" s="1585">
        <v>1.1599999999999999</v>
      </c>
      <c r="F36" s="1585">
        <v>1.1599999999999999</v>
      </c>
      <c r="G36" s="1586">
        <v>1.1599999999999999</v>
      </c>
      <c r="H36" s="1587" t="s">
        <v>1599</v>
      </c>
      <c r="I36" s="1587" t="s">
        <v>1599</v>
      </c>
      <c r="J36" s="1587" t="s">
        <v>1599</v>
      </c>
      <c r="K36" s="1587" t="s">
        <v>1599</v>
      </c>
      <c r="L36" s="1573"/>
      <c r="M36" s="1573"/>
    </row>
    <row r="37" spans="1:13">
      <c r="A37" s="1585">
        <v>2.1800000000000002</v>
      </c>
      <c r="B37" s="1585">
        <v>2.1800000000000002</v>
      </c>
      <c r="C37" s="1585">
        <v>1.17</v>
      </c>
      <c r="D37" s="1585">
        <v>1.17</v>
      </c>
      <c r="E37" s="1585">
        <v>1.17</v>
      </c>
      <c r="F37" s="1585">
        <v>1.17</v>
      </c>
      <c r="G37" s="1586">
        <v>1.17</v>
      </c>
      <c r="H37" s="1587" t="s">
        <v>1600</v>
      </c>
      <c r="I37" s="1587" t="s">
        <v>1600</v>
      </c>
      <c r="J37" s="1587" t="s">
        <v>1600</v>
      </c>
      <c r="K37" s="1587" t="s">
        <v>1600</v>
      </c>
      <c r="L37" s="1573"/>
      <c r="M37" s="1573"/>
    </row>
    <row r="38" spans="1:13">
      <c r="A38" s="1585">
        <v>2.19</v>
      </c>
      <c r="B38" s="1585">
        <v>2.19</v>
      </c>
      <c r="C38" s="1585">
        <v>1.18</v>
      </c>
      <c r="D38" s="1585">
        <v>1.18</v>
      </c>
      <c r="E38" s="1585">
        <v>1.18</v>
      </c>
      <c r="F38" s="1585">
        <v>1.18</v>
      </c>
      <c r="G38" s="1586">
        <v>1.18</v>
      </c>
      <c r="H38" s="1587" t="s">
        <v>1601</v>
      </c>
      <c r="I38" s="1587" t="s">
        <v>1601</v>
      </c>
      <c r="J38" s="1587" t="s">
        <v>1601</v>
      </c>
      <c r="K38" s="1587" t="s">
        <v>1601</v>
      </c>
      <c r="L38" s="1573"/>
      <c r="M38" s="1573"/>
    </row>
    <row r="39" spans="1:13">
      <c r="A39" s="1585" t="s">
        <v>1511</v>
      </c>
      <c r="B39" s="1585" t="s">
        <v>1511</v>
      </c>
      <c r="C39" s="1585">
        <v>1.21</v>
      </c>
      <c r="D39" s="1585">
        <v>1.21</v>
      </c>
      <c r="E39" s="1585">
        <v>1.21</v>
      </c>
      <c r="F39" s="1585">
        <v>1.21</v>
      </c>
      <c r="G39" s="1586">
        <v>1.21</v>
      </c>
      <c r="H39" s="1590" t="s">
        <v>1412</v>
      </c>
      <c r="I39" s="1590" t="s">
        <v>1412</v>
      </c>
      <c r="J39" s="1590" t="s">
        <v>1412</v>
      </c>
      <c r="K39" s="1590" t="s">
        <v>1412</v>
      </c>
      <c r="L39" s="1573"/>
      <c r="M39" s="1573"/>
    </row>
    <row r="40" spans="1:13">
      <c r="A40" s="1585">
        <v>2.21</v>
      </c>
      <c r="B40" s="1585">
        <v>2.21</v>
      </c>
      <c r="C40" s="1585">
        <v>1.22</v>
      </c>
      <c r="D40" s="1585">
        <v>1.22</v>
      </c>
      <c r="E40" s="1585">
        <v>1.22</v>
      </c>
      <c r="F40" s="1585">
        <v>1.22</v>
      </c>
      <c r="G40" s="1586">
        <v>1.22</v>
      </c>
      <c r="H40" s="1590" t="s">
        <v>1412</v>
      </c>
      <c r="I40" s="1590" t="s">
        <v>1412</v>
      </c>
      <c r="J40" s="1590" t="s">
        <v>1412</v>
      </c>
      <c r="K40" s="1590" t="s">
        <v>1412</v>
      </c>
      <c r="L40" s="1573"/>
      <c r="M40" s="1573"/>
    </row>
    <row r="41" spans="1:13">
      <c r="A41" s="1585">
        <v>2.2200000000000002</v>
      </c>
      <c r="B41" s="1585">
        <v>2.2200000000000002</v>
      </c>
      <c r="C41" s="1585">
        <v>1.39</v>
      </c>
      <c r="D41" s="1585">
        <v>1.39</v>
      </c>
      <c r="E41" s="1585">
        <v>1.39</v>
      </c>
      <c r="F41" s="1585">
        <v>1.39</v>
      </c>
      <c r="G41" s="1586" t="s">
        <v>1412</v>
      </c>
      <c r="H41" s="1587" t="s">
        <v>1595</v>
      </c>
      <c r="I41" s="1587" t="s">
        <v>1595</v>
      </c>
      <c r="J41" s="1587" t="s">
        <v>1595</v>
      </c>
      <c r="K41" s="1587" t="s">
        <v>1595</v>
      </c>
      <c r="L41" s="1573"/>
      <c r="M41" s="1573"/>
    </row>
    <row r="42" spans="1:13">
      <c r="A42" s="1585">
        <v>2.23</v>
      </c>
      <c r="B42" s="1585">
        <v>2.23</v>
      </c>
      <c r="C42" s="1585">
        <v>1.4</v>
      </c>
      <c r="D42" s="1585">
        <v>1.4</v>
      </c>
      <c r="E42" s="1585">
        <v>1.4</v>
      </c>
      <c r="F42" s="1585">
        <v>1.4</v>
      </c>
      <c r="G42" s="1586" t="s">
        <v>1412</v>
      </c>
      <c r="H42" s="1587" t="s">
        <v>1597</v>
      </c>
      <c r="I42" s="1587" t="s">
        <v>1597</v>
      </c>
      <c r="J42" s="1587" t="s">
        <v>1597</v>
      </c>
      <c r="K42" s="1587" t="s">
        <v>1597</v>
      </c>
      <c r="L42" s="1573"/>
      <c r="M42" s="1573"/>
    </row>
    <row r="43" spans="1:13">
      <c r="A43" s="1585">
        <v>3.01</v>
      </c>
      <c r="B43" s="1585">
        <v>3.01</v>
      </c>
      <c r="C43" s="1585" t="s">
        <v>1412</v>
      </c>
      <c r="D43" s="1585" t="s">
        <v>1412</v>
      </c>
      <c r="E43" s="1585" t="s">
        <v>1412</v>
      </c>
      <c r="F43" s="1585" t="s">
        <v>1412</v>
      </c>
      <c r="G43" s="1585" t="s">
        <v>1412</v>
      </c>
      <c r="H43" s="1585" t="s">
        <v>1412</v>
      </c>
      <c r="I43" s="1585" t="s">
        <v>1412</v>
      </c>
      <c r="J43" s="1585" t="s">
        <v>1412</v>
      </c>
      <c r="K43" s="1585" t="s">
        <v>1412</v>
      </c>
      <c r="L43" s="1573"/>
      <c r="M43" s="1573"/>
    </row>
    <row r="44" spans="1:13">
      <c r="A44" s="1589">
        <v>3.02</v>
      </c>
      <c r="B44" s="1589">
        <v>3.02</v>
      </c>
      <c r="C44" s="1588" t="s">
        <v>491</v>
      </c>
      <c r="D44" s="1588" t="s">
        <v>491</v>
      </c>
      <c r="E44" s="1588" t="s">
        <v>491</v>
      </c>
      <c r="F44" s="1589" t="s">
        <v>1412</v>
      </c>
      <c r="G44" s="1589" t="s">
        <v>1412</v>
      </c>
      <c r="H44" s="1589" t="s">
        <v>1412</v>
      </c>
      <c r="I44" s="1589" t="s">
        <v>1412</v>
      </c>
      <c r="J44" s="1589" t="s">
        <v>1412</v>
      </c>
      <c r="K44" s="1589" t="s">
        <v>1412</v>
      </c>
      <c r="L44" s="1573"/>
      <c r="M44" s="1573"/>
    </row>
    <row r="45" spans="1:13">
      <c r="A45" s="1589">
        <v>3.03</v>
      </c>
      <c r="B45" s="1589">
        <v>3.03</v>
      </c>
      <c r="C45" s="1588" t="s">
        <v>492</v>
      </c>
      <c r="D45" s="1588" t="s">
        <v>492</v>
      </c>
      <c r="E45" s="1588" t="s">
        <v>492</v>
      </c>
      <c r="F45" s="1589" t="s">
        <v>1412</v>
      </c>
      <c r="G45" s="1589" t="s">
        <v>1412</v>
      </c>
      <c r="H45" s="1589" t="s">
        <v>1412</v>
      </c>
      <c r="I45" s="1589" t="s">
        <v>1412</v>
      </c>
      <c r="J45" s="1589" t="s">
        <v>1412</v>
      </c>
      <c r="K45" s="1589" t="s">
        <v>1412</v>
      </c>
      <c r="L45" s="1573"/>
      <c r="M45" s="1573"/>
    </row>
    <row r="46" spans="1:13">
      <c r="A46" s="1589">
        <v>3.04</v>
      </c>
      <c r="B46" s="1589">
        <v>3.04</v>
      </c>
      <c r="C46" s="1588" t="s">
        <v>493</v>
      </c>
      <c r="D46" s="1588" t="s">
        <v>493</v>
      </c>
      <c r="E46" s="1588" t="s">
        <v>493</v>
      </c>
      <c r="F46" s="1589" t="s">
        <v>1412</v>
      </c>
      <c r="G46" s="1589" t="s">
        <v>1412</v>
      </c>
      <c r="H46" s="1589" t="s">
        <v>1412</v>
      </c>
      <c r="I46" s="1589" t="s">
        <v>1412</v>
      </c>
      <c r="J46" s="1589" t="s">
        <v>1412</v>
      </c>
      <c r="K46" s="1589" t="s">
        <v>1412</v>
      </c>
      <c r="L46" s="1573"/>
      <c r="M46" s="1573"/>
    </row>
    <row r="47" spans="1:13">
      <c r="A47" s="1585">
        <v>3.05</v>
      </c>
      <c r="B47" s="1585">
        <v>3.05</v>
      </c>
      <c r="C47" s="1589">
        <v>3.07</v>
      </c>
      <c r="D47" s="1589">
        <v>3.07</v>
      </c>
      <c r="E47" s="1589">
        <v>3.07</v>
      </c>
      <c r="F47" s="1589">
        <v>3.07</v>
      </c>
      <c r="G47" s="1587" t="s">
        <v>1412</v>
      </c>
      <c r="H47" s="1590" t="s">
        <v>1412</v>
      </c>
      <c r="I47" s="1590" t="s">
        <v>1412</v>
      </c>
      <c r="J47" s="1590" t="s">
        <v>1412</v>
      </c>
      <c r="K47" s="1590" t="s">
        <v>1412</v>
      </c>
      <c r="L47" s="1573"/>
      <c r="M47" s="1573"/>
    </row>
    <row r="48" spans="1:13">
      <c r="A48" s="1585">
        <v>3.06</v>
      </c>
      <c r="B48" s="1585">
        <v>3.06</v>
      </c>
      <c r="C48" s="1589">
        <v>3.08</v>
      </c>
      <c r="D48" s="1589">
        <v>3.08</v>
      </c>
      <c r="E48" s="1589">
        <v>3.08</v>
      </c>
      <c r="F48" s="1589">
        <v>3.08</v>
      </c>
      <c r="G48" s="1587" t="s">
        <v>1412</v>
      </c>
      <c r="H48" s="1590" t="s">
        <v>1412</v>
      </c>
      <c r="I48" s="1590" t="s">
        <v>1412</v>
      </c>
      <c r="J48" s="1590" t="s">
        <v>1412</v>
      </c>
      <c r="K48" s="1590" t="s">
        <v>1412</v>
      </c>
      <c r="L48" s="1573"/>
      <c r="M48" s="1573"/>
    </row>
    <row r="49" spans="1:13">
      <c r="A49" s="1592">
        <v>3.07</v>
      </c>
      <c r="B49" s="1592">
        <v>3.07</v>
      </c>
      <c r="C49" s="1589">
        <v>3.09</v>
      </c>
      <c r="D49" s="1589">
        <v>3.09</v>
      </c>
      <c r="E49" s="1589">
        <v>3.09</v>
      </c>
      <c r="F49" s="1589">
        <v>3.09</v>
      </c>
      <c r="G49" s="1587" t="s">
        <v>1412</v>
      </c>
      <c r="H49" s="1590" t="s">
        <v>1412</v>
      </c>
      <c r="I49" s="1590" t="s">
        <v>1412</v>
      </c>
      <c r="J49" s="1590" t="s">
        <v>1412</v>
      </c>
      <c r="K49" s="1590" t="s">
        <v>1412</v>
      </c>
      <c r="L49" s="1573"/>
      <c r="M49" s="1573"/>
    </row>
    <row r="50" spans="1:13">
      <c r="A50" s="1588">
        <v>3.08</v>
      </c>
      <c r="B50" s="1588">
        <v>3.08</v>
      </c>
      <c r="C50" s="1588" t="s">
        <v>703</v>
      </c>
      <c r="D50" s="1589" t="s">
        <v>1412</v>
      </c>
      <c r="E50" s="1589" t="s">
        <v>1412</v>
      </c>
      <c r="F50" s="1589" t="s">
        <v>1412</v>
      </c>
      <c r="G50" s="1589" t="s">
        <v>1412</v>
      </c>
      <c r="H50" s="1589" t="s">
        <v>1412</v>
      </c>
      <c r="I50" s="1589" t="s">
        <v>1412</v>
      </c>
      <c r="J50" s="1589" t="s">
        <v>1412</v>
      </c>
      <c r="K50" s="1589" t="s">
        <v>1412</v>
      </c>
      <c r="L50" s="1573"/>
      <c r="M50" s="1573"/>
    </row>
    <row r="51" spans="1:13">
      <c r="A51" s="1585">
        <v>3.09</v>
      </c>
      <c r="B51" s="1585">
        <v>3.09</v>
      </c>
      <c r="C51" s="1585">
        <v>1.0900000000000001</v>
      </c>
      <c r="D51" s="1585">
        <v>1.0900000000000001</v>
      </c>
      <c r="E51" s="1585">
        <v>1.0900000000000001</v>
      </c>
      <c r="F51" s="1585">
        <v>1.0900000000000001</v>
      </c>
      <c r="G51" s="1586">
        <v>1.0900000000000001</v>
      </c>
      <c r="H51" s="1587" t="s">
        <v>1590</v>
      </c>
      <c r="I51" s="1587" t="s">
        <v>1590</v>
      </c>
      <c r="J51" s="1587" t="s">
        <v>1590</v>
      </c>
      <c r="K51" s="1587" t="s">
        <v>1590</v>
      </c>
      <c r="L51" s="1573"/>
      <c r="M51" s="1573"/>
    </row>
    <row r="52" spans="1:13">
      <c r="A52" s="1585" t="s">
        <v>703</v>
      </c>
      <c r="B52" s="1585" t="s">
        <v>703</v>
      </c>
      <c r="C52" s="1585">
        <v>1.1100000000000001</v>
      </c>
      <c r="D52" s="1585">
        <v>1.1100000000000001</v>
      </c>
      <c r="E52" s="1585">
        <v>1.1100000000000001</v>
      </c>
      <c r="F52" s="1585">
        <v>1.1100000000000001</v>
      </c>
      <c r="G52" s="1586">
        <v>1.1100000000000001</v>
      </c>
      <c r="H52" s="1587" t="s">
        <v>1591</v>
      </c>
      <c r="I52" s="1587" t="s">
        <v>1591</v>
      </c>
      <c r="J52" s="1587" t="s">
        <v>1591</v>
      </c>
      <c r="K52" s="1587" t="s">
        <v>1591</v>
      </c>
      <c r="L52" s="1573"/>
      <c r="M52" s="1573"/>
    </row>
    <row r="53" spans="1:13">
      <c r="A53" s="1581">
        <v>3.11</v>
      </c>
      <c r="B53" s="1581">
        <v>3.11</v>
      </c>
      <c r="C53" s="1585">
        <v>1.1200000000000001</v>
      </c>
      <c r="D53" s="1585">
        <v>1.1200000000000001</v>
      </c>
      <c r="E53" s="1585">
        <v>1.1200000000000001</v>
      </c>
      <c r="F53" s="1585">
        <v>1.1200000000000001</v>
      </c>
      <c r="G53" s="1586">
        <v>1.1200000000000001</v>
      </c>
      <c r="H53" s="1587" t="s">
        <v>1593</v>
      </c>
      <c r="I53" s="1587" t="s">
        <v>1593</v>
      </c>
      <c r="J53" s="1587" t="s">
        <v>1593</v>
      </c>
      <c r="K53" s="1587" t="s">
        <v>1593</v>
      </c>
      <c r="L53" s="1573"/>
      <c r="M53" s="1573"/>
    </row>
    <row r="54" spans="1:13">
      <c r="A54" s="1585">
        <v>3.12</v>
      </c>
      <c r="B54" s="1585">
        <v>3.12</v>
      </c>
      <c r="C54" s="1585">
        <v>1.1000000000000001</v>
      </c>
      <c r="D54" s="1585">
        <v>1.1000000000000001</v>
      </c>
      <c r="E54" s="1585">
        <v>1.1000000000000001</v>
      </c>
      <c r="F54" s="1585">
        <v>1.1000000000000001</v>
      </c>
      <c r="G54" s="1586">
        <v>1.1000000000000001</v>
      </c>
      <c r="H54" s="1587" t="s">
        <v>1592</v>
      </c>
      <c r="I54" s="1587" t="s">
        <v>1592</v>
      </c>
      <c r="J54" s="1587" t="s">
        <v>1592</v>
      </c>
      <c r="K54" s="1587" t="s">
        <v>1592</v>
      </c>
      <c r="L54" s="1573"/>
      <c r="M54" s="1573"/>
    </row>
    <row r="55" spans="1:13">
      <c r="A55" s="1589">
        <v>4.01</v>
      </c>
      <c r="B55" s="1589">
        <v>4.01</v>
      </c>
      <c r="C55" s="1589">
        <v>4.01</v>
      </c>
      <c r="D55" s="1589">
        <v>4.01</v>
      </c>
      <c r="E55" s="1589">
        <v>4.01</v>
      </c>
      <c r="F55" s="1589">
        <v>4.01</v>
      </c>
      <c r="G55" s="1587">
        <v>4.01</v>
      </c>
      <c r="H55" s="1587" t="s">
        <v>676</v>
      </c>
      <c r="I55" s="1587" t="s">
        <v>676</v>
      </c>
      <c r="J55" s="1587" t="s">
        <v>1412</v>
      </c>
      <c r="K55" s="1587" t="s">
        <v>1412</v>
      </c>
      <c r="L55" s="1573"/>
      <c r="M55" s="1573"/>
    </row>
    <row r="56" spans="1:13">
      <c r="A56" s="1589">
        <v>4.0199999999999996</v>
      </c>
      <c r="B56" s="1589">
        <v>4.0199999999999996</v>
      </c>
      <c r="C56" s="1589">
        <v>4.0199999999999996</v>
      </c>
      <c r="D56" s="1589">
        <v>4.0199999999999996</v>
      </c>
      <c r="E56" s="1589">
        <v>4.0199999999999996</v>
      </c>
      <c r="F56" s="1589">
        <v>4.0199999999999996</v>
      </c>
      <c r="G56" s="1587">
        <v>4.0199999999999996</v>
      </c>
      <c r="H56" s="1587" t="s">
        <v>708</v>
      </c>
      <c r="I56" s="1587" t="s">
        <v>708</v>
      </c>
      <c r="J56" s="1587" t="s">
        <v>707</v>
      </c>
      <c r="K56" s="1587" t="s">
        <v>707</v>
      </c>
      <c r="L56" s="1573"/>
      <c r="M56" s="1573"/>
    </row>
    <row r="57" spans="1:13">
      <c r="A57" s="1589">
        <v>4.03</v>
      </c>
      <c r="B57" s="1589">
        <v>4.03</v>
      </c>
      <c r="C57" s="1589">
        <v>4.03</v>
      </c>
      <c r="D57" s="1589">
        <v>4.03</v>
      </c>
      <c r="E57" s="1589">
        <v>4.03</v>
      </c>
      <c r="F57" s="1589">
        <v>4.03</v>
      </c>
      <c r="G57" s="1587">
        <v>4.03</v>
      </c>
      <c r="H57" s="1590" t="s">
        <v>1412</v>
      </c>
      <c r="I57" s="1590" t="s">
        <v>1412</v>
      </c>
      <c r="J57" s="1590" t="s">
        <v>1412</v>
      </c>
      <c r="K57" s="1590" t="s">
        <v>1412</v>
      </c>
      <c r="L57" s="1573"/>
      <c r="M57" s="1573"/>
    </row>
    <row r="58" spans="1:13">
      <c r="A58" s="1589">
        <v>4.04</v>
      </c>
      <c r="B58" s="1589">
        <v>4.04</v>
      </c>
      <c r="C58" s="1589">
        <v>4.04</v>
      </c>
      <c r="D58" s="1589">
        <v>4.04</v>
      </c>
      <c r="E58" s="1589">
        <v>4.04</v>
      </c>
      <c r="F58" s="1589">
        <v>4.04</v>
      </c>
      <c r="G58" s="1587">
        <v>4.04</v>
      </c>
      <c r="H58" s="1587" t="s">
        <v>712</v>
      </c>
      <c r="I58" s="1587" t="s">
        <v>712</v>
      </c>
      <c r="J58" s="1587" t="s">
        <v>711</v>
      </c>
      <c r="K58" s="1587" t="s">
        <v>711</v>
      </c>
      <c r="L58" s="1573"/>
      <c r="M58" s="1573"/>
    </row>
    <row r="59" spans="1:13">
      <c r="A59" s="1589">
        <v>4.05</v>
      </c>
      <c r="B59" s="1589">
        <v>4.05</v>
      </c>
      <c r="C59" s="1589">
        <v>4.05</v>
      </c>
      <c r="D59" s="1589">
        <v>4.05</v>
      </c>
      <c r="E59" s="1589">
        <v>4.05</v>
      </c>
      <c r="F59" s="1589">
        <v>4.05</v>
      </c>
      <c r="G59" s="1587">
        <v>4.05</v>
      </c>
      <c r="H59" s="1587" t="s">
        <v>713</v>
      </c>
      <c r="I59" s="1587" t="s">
        <v>713</v>
      </c>
      <c r="J59" s="1587" t="s">
        <v>712</v>
      </c>
      <c r="K59" s="1587" t="s">
        <v>712</v>
      </c>
      <c r="L59" s="1573"/>
      <c r="M59" s="1573"/>
    </row>
    <row r="60" spans="1:13">
      <c r="A60" s="1588">
        <v>4.0599999999999996</v>
      </c>
      <c r="B60" s="1588">
        <v>4.0599999999999996</v>
      </c>
      <c r="C60" s="1589">
        <v>4.0599999999999996</v>
      </c>
      <c r="D60" s="1589">
        <v>4.0599999999999996</v>
      </c>
      <c r="E60" s="1589">
        <v>4.0599999999999996</v>
      </c>
      <c r="F60" s="1589">
        <v>4.0599999999999996</v>
      </c>
      <c r="G60" s="1587">
        <v>4.0599999999999996</v>
      </c>
      <c r="H60" s="1587" t="s">
        <v>714</v>
      </c>
      <c r="I60" s="1587" t="s">
        <v>714</v>
      </c>
      <c r="J60" s="1587" t="s">
        <v>713</v>
      </c>
      <c r="K60" s="1587" t="s">
        <v>713</v>
      </c>
      <c r="L60" s="1573"/>
      <c r="M60" s="1573"/>
    </row>
    <row r="61" spans="1:13">
      <c r="A61" s="1588">
        <v>4.07</v>
      </c>
      <c r="B61" s="1588">
        <v>4.07</v>
      </c>
      <c r="C61" s="1589">
        <v>4.07</v>
      </c>
      <c r="D61" s="1589">
        <v>4.07</v>
      </c>
      <c r="E61" s="1589">
        <v>4.07</v>
      </c>
      <c r="F61" s="1589">
        <v>4.07</v>
      </c>
      <c r="G61" s="1587">
        <v>4.07</v>
      </c>
      <c r="H61" s="1587" t="s">
        <v>675</v>
      </c>
      <c r="I61" s="1587" t="s">
        <v>675</v>
      </c>
      <c r="J61" s="1587" t="s">
        <v>1412</v>
      </c>
      <c r="K61" s="1587" t="s">
        <v>1412</v>
      </c>
      <c r="L61" s="1573"/>
      <c r="M61" s="1573"/>
    </row>
    <row r="62" spans="1:13">
      <c r="A62" s="1588">
        <v>4.08</v>
      </c>
      <c r="B62" s="1588">
        <v>4.08</v>
      </c>
      <c r="C62" s="1589">
        <v>4.08</v>
      </c>
      <c r="D62" s="1589">
        <v>4.08</v>
      </c>
      <c r="E62" s="1589">
        <v>4.08</v>
      </c>
      <c r="F62" s="1589">
        <v>4.08</v>
      </c>
      <c r="G62" s="1587">
        <v>4.08</v>
      </c>
      <c r="H62" s="1587" t="s">
        <v>678</v>
      </c>
      <c r="I62" s="1587" t="s">
        <v>678</v>
      </c>
      <c r="J62" s="1587" t="s">
        <v>677</v>
      </c>
      <c r="K62" s="1587" t="s">
        <v>677</v>
      </c>
      <c r="L62" s="1573"/>
      <c r="M62" s="1573"/>
    </row>
    <row r="63" spans="1:13">
      <c r="A63" s="1588">
        <v>4.09</v>
      </c>
      <c r="B63" s="1588">
        <v>4.09</v>
      </c>
      <c r="C63" s="1589">
        <v>4.09</v>
      </c>
      <c r="D63" s="1589">
        <v>4.09</v>
      </c>
      <c r="E63" s="1589">
        <v>4.09</v>
      </c>
      <c r="F63" s="1589">
        <v>4.09</v>
      </c>
      <c r="G63" s="1587">
        <v>4.09</v>
      </c>
      <c r="H63" s="1587" t="s">
        <v>706</v>
      </c>
      <c r="I63" s="1587" t="s">
        <v>706</v>
      </c>
      <c r="J63" s="1587" t="s">
        <v>678</v>
      </c>
      <c r="K63" s="1587" t="s">
        <v>678</v>
      </c>
      <c r="L63" s="1573"/>
      <c r="M63" s="1573"/>
    </row>
    <row r="64" spans="1:13">
      <c r="A64" s="1588" t="s">
        <v>1510</v>
      </c>
      <c r="B64" s="1588" t="s">
        <v>1510</v>
      </c>
      <c r="C64" s="1585">
        <v>4.0999999999999996</v>
      </c>
      <c r="D64" s="1585">
        <v>4.0999999999999996</v>
      </c>
      <c r="E64" s="1585">
        <v>4.0999999999999996</v>
      </c>
      <c r="F64" s="1585">
        <v>4.0999999999999996</v>
      </c>
      <c r="G64" s="1586">
        <v>4.0999999999999996</v>
      </c>
      <c r="H64" s="1587" t="s">
        <v>707</v>
      </c>
      <c r="I64" s="1587" t="s">
        <v>707</v>
      </c>
      <c r="J64" s="1587" t="s">
        <v>706</v>
      </c>
      <c r="K64" s="1587" t="s">
        <v>706</v>
      </c>
      <c r="L64" s="1573"/>
      <c r="M64" s="1573"/>
    </row>
    <row r="65" spans="1:13">
      <c r="A65" s="1589">
        <v>4.1100000000000003</v>
      </c>
      <c r="B65" s="1589">
        <v>4.1100000000000003</v>
      </c>
      <c r="C65" s="1585">
        <v>4.13</v>
      </c>
      <c r="D65" s="1585">
        <v>4.13</v>
      </c>
      <c r="E65" s="1585">
        <v>4.13</v>
      </c>
      <c r="F65" s="1585" t="s">
        <v>1412</v>
      </c>
      <c r="G65" s="1585" t="s">
        <v>1412</v>
      </c>
      <c r="H65" s="1585" t="s">
        <v>1412</v>
      </c>
      <c r="I65" s="1585" t="s">
        <v>1412</v>
      </c>
      <c r="J65" s="1585" t="s">
        <v>1412</v>
      </c>
      <c r="K65" s="1585" t="s">
        <v>1412</v>
      </c>
      <c r="L65" s="1573"/>
      <c r="M65" s="1573"/>
    </row>
    <row r="66" spans="1:13">
      <c r="A66" s="1589">
        <v>5.01</v>
      </c>
      <c r="B66" s="1589">
        <v>5.01</v>
      </c>
      <c r="C66" s="1589">
        <v>5.01</v>
      </c>
      <c r="D66" s="1589">
        <v>5.01</v>
      </c>
      <c r="E66" s="1589">
        <v>5.01</v>
      </c>
      <c r="F66" s="1589">
        <v>5.0199999999999996</v>
      </c>
      <c r="G66" s="1587" t="s">
        <v>494</v>
      </c>
      <c r="H66" s="1590" t="s">
        <v>1412</v>
      </c>
      <c r="I66" s="1590" t="s">
        <v>1412</v>
      </c>
      <c r="J66" s="1590" t="s">
        <v>1412</v>
      </c>
      <c r="K66" s="1590" t="s">
        <v>1412</v>
      </c>
      <c r="L66" s="1573"/>
      <c r="M66" s="1573"/>
    </row>
    <row r="67" spans="1:13">
      <c r="A67" s="1589">
        <v>5.0199999999999996</v>
      </c>
      <c r="B67" s="1589">
        <v>5.0199999999999996</v>
      </c>
      <c r="C67" s="1589">
        <v>5.0199999999999996</v>
      </c>
      <c r="D67" s="1589">
        <v>5.0199999999999996</v>
      </c>
      <c r="E67" s="1589">
        <v>5.0199999999999996</v>
      </c>
      <c r="F67" s="1589">
        <v>5.01</v>
      </c>
      <c r="G67" s="1590" t="s">
        <v>495</v>
      </c>
      <c r="H67" s="1587" t="s">
        <v>1412</v>
      </c>
      <c r="I67" s="1587" t="s">
        <v>1412</v>
      </c>
      <c r="J67" s="1587" t="s">
        <v>1412</v>
      </c>
      <c r="K67" s="1587" t="s">
        <v>1412</v>
      </c>
      <c r="L67" s="1573"/>
      <c r="M67" s="1573"/>
    </row>
    <row r="68" spans="1:13">
      <c r="A68" s="1589">
        <v>5.03</v>
      </c>
      <c r="B68" s="1589">
        <v>5.03</v>
      </c>
      <c r="C68" s="1589">
        <v>5.03</v>
      </c>
      <c r="D68" s="1589">
        <v>5.03</v>
      </c>
      <c r="E68" s="1589">
        <v>5.03</v>
      </c>
      <c r="F68" s="1589" t="s">
        <v>1412</v>
      </c>
      <c r="G68" s="1589" t="s">
        <v>1412</v>
      </c>
      <c r="H68" s="1589" t="s">
        <v>1412</v>
      </c>
      <c r="I68" s="1589" t="s">
        <v>1412</v>
      </c>
      <c r="J68" s="1589" t="s">
        <v>1412</v>
      </c>
      <c r="K68" s="1589" t="s">
        <v>1412</v>
      </c>
      <c r="L68" s="1573"/>
      <c r="M68" s="1573"/>
    </row>
    <row r="69" spans="1:13">
      <c r="A69" s="1589">
        <v>5.04</v>
      </c>
      <c r="B69" s="1589">
        <v>5.04</v>
      </c>
      <c r="C69" s="1589">
        <v>5.04</v>
      </c>
      <c r="D69" s="1589">
        <v>5.04</v>
      </c>
      <c r="E69" s="1589">
        <v>5.04</v>
      </c>
      <c r="F69" s="1589" t="s">
        <v>1412</v>
      </c>
      <c r="G69" s="1589" t="s">
        <v>1412</v>
      </c>
      <c r="H69" s="1589" t="s">
        <v>1412</v>
      </c>
      <c r="I69" s="1589" t="s">
        <v>1412</v>
      </c>
      <c r="J69" s="1589" t="s">
        <v>1412</v>
      </c>
      <c r="K69" s="1589" t="s">
        <v>1412</v>
      </c>
      <c r="L69" s="1573"/>
      <c r="M69" s="1573"/>
    </row>
    <row r="70" spans="1:13">
      <c r="A70" s="1589">
        <v>6.01</v>
      </c>
      <c r="B70" s="1589">
        <v>6.01</v>
      </c>
      <c r="C70" s="1589">
        <v>6.01</v>
      </c>
      <c r="D70" s="1589">
        <v>6.01</v>
      </c>
      <c r="E70" s="1589">
        <v>6.01</v>
      </c>
      <c r="F70" s="1589">
        <v>6.01</v>
      </c>
      <c r="G70" s="1587">
        <v>6.01</v>
      </c>
      <c r="H70" s="1587" t="s">
        <v>1613</v>
      </c>
      <c r="I70" s="1587" t="s">
        <v>1613</v>
      </c>
      <c r="J70" s="1587" t="s">
        <v>1613</v>
      </c>
      <c r="K70" s="1587" t="s">
        <v>1613</v>
      </c>
      <c r="L70" s="1573"/>
      <c r="M70" s="1573"/>
    </row>
    <row r="71" spans="1:13">
      <c r="A71" s="1589">
        <v>6.02</v>
      </c>
      <c r="B71" s="1589">
        <v>6.02</v>
      </c>
      <c r="C71" s="1589">
        <v>6.02</v>
      </c>
      <c r="D71" s="1589">
        <v>6.02</v>
      </c>
      <c r="E71" s="1589">
        <v>6.02</v>
      </c>
      <c r="F71" s="1589">
        <v>6.02</v>
      </c>
      <c r="G71" s="1587">
        <v>6.02</v>
      </c>
      <c r="H71" s="1587" t="s">
        <v>665</v>
      </c>
      <c r="I71" s="1587" t="s">
        <v>665</v>
      </c>
      <c r="J71" s="1587" t="s">
        <v>665</v>
      </c>
      <c r="K71" s="1587" t="s">
        <v>665</v>
      </c>
      <c r="L71" s="1573"/>
      <c r="M71" s="1573"/>
    </row>
    <row r="72" spans="1:13">
      <c r="A72" s="1589">
        <v>6.03</v>
      </c>
      <c r="B72" s="1589">
        <v>6.03</v>
      </c>
      <c r="C72" s="1589">
        <v>6.03</v>
      </c>
      <c r="D72" s="1589">
        <v>6.03</v>
      </c>
      <c r="E72" s="1589">
        <v>6.03</v>
      </c>
      <c r="F72" s="1589">
        <v>6.03</v>
      </c>
      <c r="G72" s="1587">
        <v>6.03</v>
      </c>
      <c r="H72" s="1587" t="s">
        <v>1614</v>
      </c>
      <c r="I72" s="1587" t="s">
        <v>1614</v>
      </c>
      <c r="J72" s="1587" t="s">
        <v>1614</v>
      </c>
      <c r="K72" s="1587" t="s">
        <v>1614</v>
      </c>
      <c r="L72" s="1573"/>
      <c r="M72" s="1573"/>
    </row>
    <row r="73" spans="1:13">
      <c r="A73" s="1585">
        <v>6.04</v>
      </c>
      <c r="B73" s="1585">
        <v>6.04</v>
      </c>
      <c r="C73" s="1589">
        <v>6.04</v>
      </c>
      <c r="D73" s="1589">
        <v>6.04</v>
      </c>
      <c r="E73" s="1589">
        <v>6.04</v>
      </c>
      <c r="F73" s="1589">
        <v>6.04</v>
      </c>
      <c r="G73" s="1587">
        <v>6.04</v>
      </c>
      <c r="H73" s="1587" t="s">
        <v>667</v>
      </c>
      <c r="I73" s="1587" t="s">
        <v>667</v>
      </c>
      <c r="J73" s="1587" t="s">
        <v>667</v>
      </c>
      <c r="K73" s="1587" t="s">
        <v>667</v>
      </c>
      <c r="L73" s="1573"/>
      <c r="M73" s="1573"/>
    </row>
    <row r="74" spans="1:13">
      <c r="A74" s="1585">
        <v>6.05</v>
      </c>
      <c r="B74" s="1585">
        <v>6.05</v>
      </c>
      <c r="C74" s="1589">
        <v>6.05</v>
      </c>
      <c r="D74" s="1589">
        <v>6.05</v>
      </c>
      <c r="E74" s="1589">
        <v>6.05</v>
      </c>
      <c r="F74" s="1589">
        <v>6.05</v>
      </c>
      <c r="G74" s="1587">
        <v>6.05</v>
      </c>
      <c r="H74" s="1587" t="s">
        <v>668</v>
      </c>
      <c r="I74" s="1587" t="s">
        <v>668</v>
      </c>
      <c r="J74" s="1587" t="s">
        <v>668</v>
      </c>
      <c r="K74" s="1587" t="s">
        <v>668</v>
      </c>
      <c r="L74" s="1573"/>
      <c r="M74" s="1573"/>
    </row>
    <row r="75" spans="1:13">
      <c r="A75" s="1581">
        <v>6.06</v>
      </c>
      <c r="B75" s="1581">
        <v>6.06</v>
      </c>
      <c r="C75" s="1589">
        <v>6.06</v>
      </c>
      <c r="D75" s="1589">
        <v>6.06</v>
      </c>
      <c r="E75" s="1589">
        <v>6.06</v>
      </c>
      <c r="F75" s="1589">
        <v>6.06</v>
      </c>
      <c r="G75" s="1587">
        <v>6.06</v>
      </c>
      <c r="H75" s="1587" t="s">
        <v>669</v>
      </c>
      <c r="I75" s="1587" t="s">
        <v>669</v>
      </c>
      <c r="J75" s="1587" t="s">
        <v>669</v>
      </c>
      <c r="K75" s="1587" t="s">
        <v>669</v>
      </c>
      <c r="L75" s="1573"/>
      <c r="M75" s="1573"/>
    </row>
    <row r="76" spans="1:13">
      <c r="A76" s="1585">
        <v>7.01</v>
      </c>
      <c r="B76" s="1585">
        <v>7.01</v>
      </c>
      <c r="C76" s="1589">
        <v>7.01</v>
      </c>
      <c r="D76" s="1589">
        <v>7.01</v>
      </c>
      <c r="E76" s="1589">
        <v>7.01</v>
      </c>
      <c r="F76" s="1589">
        <v>7.01</v>
      </c>
      <c r="G76" s="1587">
        <v>7.01</v>
      </c>
      <c r="H76" s="1587" t="s">
        <v>670</v>
      </c>
      <c r="I76" s="1587" t="s">
        <v>670</v>
      </c>
      <c r="J76" s="1587" t="s">
        <v>670</v>
      </c>
      <c r="K76" s="1587" t="s">
        <v>670</v>
      </c>
      <c r="L76" s="1573"/>
      <c r="M76" s="1573"/>
    </row>
    <row r="77" spans="1:13">
      <c r="A77" s="1589">
        <v>7.02</v>
      </c>
      <c r="B77" s="1589">
        <v>7.02</v>
      </c>
      <c r="C77" s="1589">
        <v>7.02</v>
      </c>
      <c r="D77" s="1589">
        <v>7.02</v>
      </c>
      <c r="E77" s="1589">
        <v>7.02</v>
      </c>
      <c r="F77" s="1589">
        <v>7.02</v>
      </c>
      <c r="G77" s="1587">
        <v>7.02</v>
      </c>
      <c r="H77" s="1587" t="s">
        <v>671</v>
      </c>
      <c r="I77" s="1587" t="s">
        <v>671</v>
      </c>
      <c r="J77" s="1587" t="s">
        <v>671</v>
      </c>
      <c r="K77" s="1587" t="s">
        <v>671</v>
      </c>
      <c r="L77" s="1573"/>
      <c r="M77" s="1573"/>
    </row>
    <row r="78" spans="1:13">
      <c r="A78" s="1589">
        <v>7.03</v>
      </c>
      <c r="B78" s="1589">
        <v>7.03</v>
      </c>
      <c r="C78" s="1589">
        <v>7.03</v>
      </c>
      <c r="D78" s="1589">
        <v>7.03</v>
      </c>
      <c r="E78" s="1589">
        <v>7.03</v>
      </c>
      <c r="F78" s="1589">
        <v>7.03</v>
      </c>
      <c r="G78" s="1587">
        <v>7.03</v>
      </c>
      <c r="H78" s="1587" t="s">
        <v>672</v>
      </c>
      <c r="I78" s="1587" t="s">
        <v>672</v>
      </c>
      <c r="J78" s="1587" t="s">
        <v>672</v>
      </c>
      <c r="K78" s="1587" t="s">
        <v>672</v>
      </c>
      <c r="L78" s="1573"/>
      <c r="M78" s="1573"/>
    </row>
    <row r="79" spans="1:13">
      <c r="A79" s="1589">
        <v>7.04</v>
      </c>
      <c r="B79" s="1589">
        <v>7.04</v>
      </c>
      <c r="C79" s="1593">
        <v>7.04</v>
      </c>
      <c r="D79" s="1593">
        <v>7.04</v>
      </c>
      <c r="E79" s="1593">
        <v>7.04</v>
      </c>
      <c r="F79" s="1593">
        <v>7.04</v>
      </c>
      <c r="G79" s="1584">
        <v>7.04</v>
      </c>
      <c r="H79" s="1584" t="s">
        <v>673</v>
      </c>
      <c r="I79" s="1584" t="s">
        <v>673</v>
      </c>
      <c r="J79" s="1584" t="s">
        <v>673</v>
      </c>
      <c r="K79" s="1584" t="s">
        <v>673</v>
      </c>
      <c r="L79" s="1573"/>
      <c r="M79" s="1573"/>
    </row>
    <row r="80" spans="1:13">
      <c r="A80" s="1589">
        <v>7.05</v>
      </c>
      <c r="B80" s="1589">
        <v>7.05</v>
      </c>
      <c r="C80" s="1593">
        <v>7.05</v>
      </c>
      <c r="D80" s="1593">
        <v>7.05</v>
      </c>
      <c r="E80" s="1593">
        <v>7.05</v>
      </c>
      <c r="F80" s="1593">
        <v>7.05</v>
      </c>
      <c r="G80" s="1584">
        <v>7.05</v>
      </c>
      <c r="H80" s="1584" t="s">
        <v>674</v>
      </c>
      <c r="I80" s="1584" t="s">
        <v>674</v>
      </c>
      <c r="J80" s="1584" t="s">
        <v>674</v>
      </c>
      <c r="K80" s="1584" t="s">
        <v>674</v>
      </c>
      <c r="L80" s="1573"/>
      <c r="M80" s="1573"/>
    </row>
    <row r="81" spans="1:13">
      <c r="A81" s="1589">
        <v>8.01</v>
      </c>
      <c r="B81" s="1589">
        <v>8.01</v>
      </c>
      <c r="C81" s="1581">
        <v>8.01</v>
      </c>
      <c r="D81" s="1581">
        <v>8.01</v>
      </c>
      <c r="E81" s="1581">
        <v>8.01</v>
      </c>
      <c r="F81" s="1581">
        <v>8.01</v>
      </c>
      <c r="G81" s="1582">
        <v>8.01</v>
      </c>
      <c r="H81" s="1584" t="s">
        <v>1563</v>
      </c>
      <c r="I81" s="1584" t="s">
        <v>1563</v>
      </c>
      <c r="J81" s="1584" t="s">
        <v>1563</v>
      </c>
      <c r="K81" s="1584" t="s">
        <v>1563</v>
      </c>
      <c r="L81" s="1573"/>
      <c r="M81" s="1573"/>
    </row>
    <row r="82" spans="1:13">
      <c r="A82" s="1585">
        <v>8.02</v>
      </c>
      <c r="B82" s="1585">
        <v>8.02</v>
      </c>
      <c r="C82" s="1581">
        <v>1.01</v>
      </c>
      <c r="D82" s="1581">
        <v>1.01</v>
      </c>
      <c r="E82" s="1581">
        <v>1.01</v>
      </c>
      <c r="F82" s="1581">
        <v>1.01</v>
      </c>
      <c r="G82" s="1582">
        <v>1.01</v>
      </c>
      <c r="H82" s="1583" t="s">
        <v>1412</v>
      </c>
      <c r="I82" s="1583" t="s">
        <v>1412</v>
      </c>
      <c r="J82" s="1583" t="s">
        <v>1412</v>
      </c>
      <c r="K82" s="1583" t="s">
        <v>1412</v>
      </c>
      <c r="L82" s="1573"/>
      <c r="M82" s="1573"/>
    </row>
    <row r="83" spans="1:13">
      <c r="A83" s="1589">
        <v>8.0299999999999994</v>
      </c>
      <c r="B83" s="1589">
        <v>8.0299999999999994</v>
      </c>
      <c r="C83" s="1581">
        <v>8.0299999999999994</v>
      </c>
      <c r="D83" s="1581">
        <v>8.0299999999999994</v>
      </c>
      <c r="E83" s="1581">
        <v>8.0299999999999994</v>
      </c>
      <c r="F83" s="1581">
        <v>8.0299999999999994</v>
      </c>
      <c r="G83" s="1582">
        <v>8.0299999999999994</v>
      </c>
      <c r="H83" s="1584" t="s">
        <v>1568</v>
      </c>
      <c r="I83" s="1584" t="s">
        <v>1568</v>
      </c>
      <c r="J83" s="1584" t="s">
        <v>1568</v>
      </c>
      <c r="K83" s="1584" t="s">
        <v>1568</v>
      </c>
      <c r="L83" s="1573"/>
      <c r="M83" s="1573"/>
    </row>
    <row r="84" spans="1:13">
      <c r="A84" s="1589">
        <v>8.0399999999999991</v>
      </c>
      <c r="B84" s="1589">
        <v>8.0399999999999991</v>
      </c>
      <c r="C84" s="1585">
        <v>8.0399999999999991</v>
      </c>
      <c r="D84" s="1585">
        <v>8.0399999999999991</v>
      </c>
      <c r="E84" s="1585">
        <v>8.0399999999999991</v>
      </c>
      <c r="F84" s="1585">
        <v>8.0399999999999991</v>
      </c>
      <c r="G84" s="1586">
        <v>8.0399999999999991</v>
      </c>
      <c r="H84" s="1587" t="s">
        <v>1570</v>
      </c>
      <c r="I84" s="1587" t="s">
        <v>1570</v>
      </c>
      <c r="J84" s="1584" t="s">
        <v>1570</v>
      </c>
      <c r="K84" s="1584" t="s">
        <v>1570</v>
      </c>
      <c r="L84" s="1573"/>
      <c r="M84" s="1573"/>
    </row>
    <row r="85" spans="1:13">
      <c r="A85" s="1589">
        <v>8.0500000000000007</v>
      </c>
      <c r="B85" s="1589">
        <v>8.0500000000000007</v>
      </c>
      <c r="C85" s="1585">
        <v>8.0500000000000007</v>
      </c>
      <c r="D85" s="1585">
        <v>8.0500000000000007</v>
      </c>
      <c r="E85" s="1585">
        <v>8.0500000000000007</v>
      </c>
      <c r="F85" s="1585">
        <v>8.0500000000000007</v>
      </c>
      <c r="G85" s="1586">
        <v>8.0500000000000007</v>
      </c>
      <c r="H85" s="1587" t="s">
        <v>1572</v>
      </c>
      <c r="I85" s="1587" t="s">
        <v>1572</v>
      </c>
      <c r="J85" s="1587" t="s">
        <v>1572</v>
      </c>
      <c r="K85" s="1587" t="s">
        <v>1572</v>
      </c>
      <c r="L85" s="1573"/>
      <c r="M85" s="1573"/>
    </row>
    <row r="86" spans="1:13">
      <c r="A86" s="1589">
        <v>8.06</v>
      </c>
      <c r="B86" s="1589">
        <v>8.06</v>
      </c>
      <c r="C86" s="1585">
        <v>8.06</v>
      </c>
      <c r="D86" s="1585">
        <v>8.06</v>
      </c>
      <c r="E86" s="1585">
        <v>8.06</v>
      </c>
      <c r="F86" s="1585">
        <v>8.06</v>
      </c>
      <c r="G86" s="1586">
        <v>8.06</v>
      </c>
      <c r="H86" s="1587" t="s">
        <v>1573</v>
      </c>
      <c r="I86" s="1587" t="s">
        <v>1573</v>
      </c>
      <c r="J86" s="1587" t="s">
        <v>1573</v>
      </c>
      <c r="K86" s="1587" t="s">
        <v>1573</v>
      </c>
      <c r="L86" s="1573"/>
      <c r="M86" s="1573"/>
    </row>
    <row r="87" spans="1:13">
      <c r="A87" s="1589">
        <v>8.07</v>
      </c>
      <c r="B87" s="1589">
        <v>8.07</v>
      </c>
      <c r="C87" s="1585">
        <v>8.07</v>
      </c>
      <c r="D87" s="1585">
        <v>8.07</v>
      </c>
      <c r="E87" s="1585">
        <v>8.07</v>
      </c>
      <c r="F87" s="1585">
        <v>8.07</v>
      </c>
      <c r="G87" s="1586">
        <v>8.07</v>
      </c>
      <c r="H87" s="1587" t="s">
        <v>1576</v>
      </c>
      <c r="I87" s="1587" t="s">
        <v>1576</v>
      </c>
      <c r="J87" s="1587" t="s">
        <v>1576</v>
      </c>
      <c r="K87" s="1587" t="s">
        <v>1576</v>
      </c>
      <c r="L87" s="1573"/>
      <c r="M87" s="1573"/>
    </row>
    <row r="88" spans="1:13">
      <c r="A88" s="1593">
        <v>8.08</v>
      </c>
      <c r="B88" s="1593">
        <v>8.08</v>
      </c>
      <c r="C88" s="1585">
        <v>8.08</v>
      </c>
      <c r="D88" s="1585">
        <v>8.08</v>
      </c>
      <c r="E88" s="1585">
        <v>8.08</v>
      </c>
      <c r="F88" s="1585">
        <v>8.08</v>
      </c>
      <c r="G88" s="1586">
        <v>8.08</v>
      </c>
      <c r="H88" s="1587" t="s">
        <v>1580</v>
      </c>
      <c r="I88" s="1587" t="s">
        <v>1580</v>
      </c>
      <c r="J88" s="1587" t="s">
        <v>1580</v>
      </c>
      <c r="K88" s="1587" t="s">
        <v>1580</v>
      </c>
      <c r="L88" s="1573"/>
      <c r="M88" s="1573"/>
    </row>
    <row r="89" spans="1:13">
      <c r="A89" s="1593">
        <v>8.09</v>
      </c>
      <c r="B89" s="1593">
        <v>8.09</v>
      </c>
      <c r="C89" s="1585">
        <v>8.09</v>
      </c>
      <c r="D89" s="1585">
        <v>8.09</v>
      </c>
      <c r="E89" s="1585">
        <v>8.09</v>
      </c>
      <c r="F89" s="1585">
        <v>8.09</v>
      </c>
      <c r="G89" s="1586">
        <v>8.09</v>
      </c>
      <c r="H89" s="1587" t="s">
        <v>1578</v>
      </c>
      <c r="I89" s="1587" t="s">
        <v>1578</v>
      </c>
      <c r="J89" s="1587" t="s">
        <v>1578</v>
      </c>
      <c r="K89" s="1587" t="s">
        <v>1578</v>
      </c>
      <c r="L89" s="1573"/>
      <c r="M89" s="1573"/>
    </row>
    <row r="90" spans="1:13">
      <c r="A90" s="1593" t="s">
        <v>1512</v>
      </c>
      <c r="B90" s="1593" t="s">
        <v>1512</v>
      </c>
      <c r="C90" s="1585">
        <v>8.1</v>
      </c>
      <c r="D90" s="1585">
        <v>8.1</v>
      </c>
      <c r="E90" s="1585">
        <v>8.1</v>
      </c>
      <c r="F90" s="1585">
        <v>8.1</v>
      </c>
      <c r="G90" s="1586">
        <v>8.1</v>
      </c>
      <c r="H90" s="1587" t="s">
        <v>1579</v>
      </c>
      <c r="I90" s="1587" t="s">
        <v>1579</v>
      </c>
      <c r="J90" s="1587" t="s">
        <v>1579</v>
      </c>
      <c r="K90" s="1587" t="s">
        <v>1579</v>
      </c>
      <c r="L90" s="1573"/>
      <c r="M90" s="1573"/>
    </row>
    <row r="91" spans="1:13">
      <c r="A91" s="1593" t="s">
        <v>1513</v>
      </c>
      <c r="B91" s="1593" t="s">
        <v>1513</v>
      </c>
      <c r="C91" s="1585">
        <v>8.11</v>
      </c>
      <c r="D91" s="1585">
        <v>8.11</v>
      </c>
      <c r="E91" s="1585" t="s">
        <v>1412</v>
      </c>
      <c r="F91" s="1585" t="s">
        <v>1412</v>
      </c>
      <c r="G91" s="1585" t="s">
        <v>1412</v>
      </c>
      <c r="H91" s="1585" t="s">
        <v>1412</v>
      </c>
      <c r="I91" s="1585" t="s">
        <v>1412</v>
      </c>
      <c r="J91" s="1585" t="s">
        <v>1412</v>
      </c>
      <c r="K91" s="1585" t="s">
        <v>1412</v>
      </c>
      <c r="L91" s="1573"/>
      <c r="M91" s="1573"/>
    </row>
    <row r="92" spans="1:13">
      <c r="A92" s="1593">
        <v>8.1199999999999992</v>
      </c>
      <c r="B92" s="1593">
        <v>8.1199999999999992</v>
      </c>
      <c r="C92" s="1585">
        <v>8.02</v>
      </c>
      <c r="D92" s="1585">
        <v>8.1199999999999992</v>
      </c>
      <c r="E92" s="1585" t="s">
        <v>1412</v>
      </c>
      <c r="F92" s="1585" t="s">
        <v>1412</v>
      </c>
      <c r="G92" s="1585" t="s">
        <v>1412</v>
      </c>
      <c r="H92" s="1585" t="s">
        <v>1412</v>
      </c>
      <c r="I92" s="1585" t="s">
        <v>1412</v>
      </c>
      <c r="J92" s="1585" t="s">
        <v>1412</v>
      </c>
      <c r="K92" s="1585" t="s">
        <v>1412</v>
      </c>
      <c r="L92" s="1573"/>
      <c r="M92" s="1573"/>
    </row>
    <row r="93" spans="1:13">
      <c r="A93" s="1585">
        <v>9.01</v>
      </c>
      <c r="B93" s="1585">
        <v>9.01</v>
      </c>
      <c r="C93" s="1585">
        <v>9.01</v>
      </c>
      <c r="D93" s="1585">
        <v>9.01</v>
      </c>
      <c r="E93" s="1585" t="s">
        <v>1412</v>
      </c>
      <c r="F93" s="1585" t="s">
        <v>1412</v>
      </c>
      <c r="G93" s="1585" t="s">
        <v>1412</v>
      </c>
      <c r="H93" s="1590" t="s">
        <v>1412</v>
      </c>
      <c r="I93" s="1590" t="s">
        <v>1412</v>
      </c>
      <c r="J93" s="1590" t="s">
        <v>1412</v>
      </c>
      <c r="K93" s="1590" t="s">
        <v>1412</v>
      </c>
      <c r="L93" s="1573"/>
      <c r="M93" s="1573"/>
    </row>
    <row r="94" spans="1:13">
      <c r="A94" s="1585">
        <v>9.02</v>
      </c>
      <c r="B94" s="1585">
        <v>9.02</v>
      </c>
      <c r="C94" s="1585">
        <v>9.02</v>
      </c>
      <c r="D94" s="1585">
        <v>9.02</v>
      </c>
      <c r="E94" s="1585">
        <v>9.02</v>
      </c>
      <c r="F94" s="1585">
        <v>9.02</v>
      </c>
      <c r="G94" s="1586">
        <v>9.02</v>
      </c>
      <c r="H94" s="1590" t="s">
        <v>1412</v>
      </c>
      <c r="I94" s="1590" t="s">
        <v>1412</v>
      </c>
      <c r="J94" s="1590" t="s">
        <v>1412</v>
      </c>
      <c r="K94" s="1590" t="s">
        <v>1412</v>
      </c>
      <c r="L94" s="1573"/>
      <c r="M94" s="1573"/>
    </row>
    <row r="95" spans="1:13">
      <c r="A95" s="1585">
        <v>9.0299999999999994</v>
      </c>
      <c r="B95" s="1585">
        <v>9.0299999999999994</v>
      </c>
      <c r="C95" s="1585">
        <v>9.0299999999999994</v>
      </c>
      <c r="D95" s="1585">
        <v>9.0299999999999994</v>
      </c>
      <c r="E95" s="1585">
        <v>9.0299999999999994</v>
      </c>
      <c r="F95" s="1585">
        <v>9.0299999999999994</v>
      </c>
      <c r="G95" s="1586">
        <v>9.0299999999999994</v>
      </c>
      <c r="H95" s="1590" t="s">
        <v>1412</v>
      </c>
      <c r="I95" s="1590" t="s">
        <v>1412</v>
      </c>
      <c r="J95" s="1590" t="s">
        <v>1412</v>
      </c>
      <c r="K95" s="1590" t="s">
        <v>1412</v>
      </c>
      <c r="L95" s="1573"/>
      <c r="M95" s="1573"/>
    </row>
    <row r="96" spans="1:13">
      <c r="A96" s="1585">
        <v>9.0399999999999991</v>
      </c>
      <c r="B96" s="1585">
        <v>9.0399999999999991</v>
      </c>
      <c r="C96" s="1585">
        <v>9.0399999999999991</v>
      </c>
      <c r="D96" s="1585">
        <v>9.0399999999999991</v>
      </c>
      <c r="E96" s="1585">
        <v>9.0399999999999991</v>
      </c>
      <c r="F96" s="1585">
        <v>9.0399999999999991</v>
      </c>
      <c r="G96" s="1594" t="s">
        <v>1412</v>
      </c>
      <c r="H96" s="1590" t="s">
        <v>1412</v>
      </c>
      <c r="I96" s="1590" t="s">
        <v>1412</v>
      </c>
      <c r="J96" s="1590" t="s">
        <v>1412</v>
      </c>
      <c r="K96" s="1590" t="s">
        <v>1412</v>
      </c>
      <c r="L96" s="1573"/>
      <c r="M96" s="1573"/>
    </row>
    <row r="97" spans="1:13">
      <c r="A97" s="1585">
        <v>9.0500000000000007</v>
      </c>
      <c r="B97" s="1585">
        <v>9.0500000000000007</v>
      </c>
      <c r="C97" s="1585">
        <v>9.0500000000000007</v>
      </c>
      <c r="D97" s="1585">
        <v>9.0500000000000007</v>
      </c>
      <c r="E97" s="1585">
        <v>9.0500000000000007</v>
      </c>
      <c r="F97" s="1585">
        <v>9.0500000000000007</v>
      </c>
      <c r="G97" s="1594" t="s">
        <v>1412</v>
      </c>
      <c r="H97" s="1590" t="s">
        <v>1412</v>
      </c>
      <c r="I97" s="1590" t="s">
        <v>1412</v>
      </c>
      <c r="J97" s="1590" t="s">
        <v>1412</v>
      </c>
      <c r="K97" s="1590" t="s">
        <v>1412</v>
      </c>
      <c r="L97" s="1573"/>
      <c r="M97" s="1573"/>
    </row>
    <row r="98" spans="1:13">
      <c r="A98" s="1585">
        <v>9.06</v>
      </c>
      <c r="B98" s="1585">
        <v>9.06</v>
      </c>
      <c r="C98" s="1585">
        <v>9.06</v>
      </c>
      <c r="D98" s="1585">
        <v>9.06</v>
      </c>
      <c r="E98" s="1585">
        <v>9.06</v>
      </c>
      <c r="F98" s="1585">
        <v>9.06</v>
      </c>
      <c r="G98" s="1586" t="s">
        <v>1412</v>
      </c>
      <c r="H98" s="1587" t="s">
        <v>1412</v>
      </c>
      <c r="I98" s="1587" t="s">
        <v>1412</v>
      </c>
      <c r="J98" s="1587" t="s">
        <v>1412</v>
      </c>
      <c r="K98" s="1587" t="s">
        <v>1412</v>
      </c>
      <c r="L98" s="1573"/>
      <c r="M98" s="1573"/>
    </row>
    <row r="99" spans="1:13">
      <c r="A99" s="1585">
        <v>9.07</v>
      </c>
      <c r="B99" s="1585">
        <v>9.07</v>
      </c>
      <c r="C99" s="1588">
        <v>9.2100000000000009</v>
      </c>
      <c r="D99" s="1589" t="s">
        <v>1412</v>
      </c>
      <c r="E99" s="1589" t="s">
        <v>1412</v>
      </c>
      <c r="F99" s="1589" t="s">
        <v>1412</v>
      </c>
      <c r="G99" s="1589" t="s">
        <v>1412</v>
      </c>
      <c r="H99" s="1589" t="s">
        <v>1412</v>
      </c>
      <c r="I99" s="1589" t="s">
        <v>1412</v>
      </c>
      <c r="J99" s="1589" t="s">
        <v>1412</v>
      </c>
      <c r="K99" s="1589" t="s">
        <v>1412</v>
      </c>
      <c r="L99" s="1573"/>
      <c r="M99" s="1573"/>
    </row>
    <row r="100" spans="1:13">
      <c r="A100" s="1585">
        <v>9.08</v>
      </c>
      <c r="B100" s="1585">
        <v>9.08</v>
      </c>
      <c r="C100" s="1585">
        <v>9.08</v>
      </c>
      <c r="D100" s="1585">
        <v>9.08</v>
      </c>
      <c r="E100" s="1585">
        <v>9.08</v>
      </c>
      <c r="F100" s="1585">
        <v>9.08</v>
      </c>
      <c r="G100" s="1586" t="s">
        <v>1412</v>
      </c>
      <c r="H100" s="1587" t="s">
        <v>1412</v>
      </c>
      <c r="I100" s="1587" t="s">
        <v>1412</v>
      </c>
      <c r="J100" s="1587" t="s">
        <v>1412</v>
      </c>
      <c r="K100" s="1587" t="s">
        <v>1412</v>
      </c>
      <c r="L100" s="1573"/>
      <c r="M100" s="1573"/>
    </row>
    <row r="101" spans="1:13">
      <c r="A101" s="1585">
        <v>9.09</v>
      </c>
      <c r="B101" s="1585">
        <v>9.09</v>
      </c>
      <c r="C101" s="1585">
        <v>9.09</v>
      </c>
      <c r="D101" s="1585">
        <v>9.09</v>
      </c>
      <c r="E101" s="1585">
        <v>9.09</v>
      </c>
      <c r="F101" s="1585">
        <v>9.09</v>
      </c>
      <c r="G101" s="1586">
        <v>9.09</v>
      </c>
      <c r="H101" s="1587" t="s">
        <v>496</v>
      </c>
      <c r="I101" s="1587" t="s">
        <v>496</v>
      </c>
      <c r="J101" s="1587" t="s">
        <v>496</v>
      </c>
      <c r="K101" s="1587" t="s">
        <v>1411</v>
      </c>
      <c r="L101" s="1573"/>
      <c r="M101" s="1573"/>
    </row>
    <row r="102" spans="1:13">
      <c r="A102" s="1585" t="s">
        <v>475</v>
      </c>
      <c r="B102" s="1585" t="s">
        <v>475</v>
      </c>
      <c r="C102" s="1591" t="s">
        <v>475</v>
      </c>
      <c r="D102" s="1585">
        <v>9.09</v>
      </c>
      <c r="E102" s="1585">
        <v>9.09</v>
      </c>
      <c r="F102" s="1591" t="s">
        <v>475</v>
      </c>
      <c r="G102" s="1586">
        <v>9.08</v>
      </c>
      <c r="H102" s="1587" t="s">
        <v>477</v>
      </c>
      <c r="I102" s="1587" t="s">
        <v>474</v>
      </c>
      <c r="J102" s="1587" t="s">
        <v>474</v>
      </c>
      <c r="K102" s="1587" t="s">
        <v>473</v>
      </c>
      <c r="L102" s="1573"/>
      <c r="M102" s="1573"/>
    </row>
    <row r="103" spans="1:13">
      <c r="A103" s="1585">
        <v>9.11</v>
      </c>
      <c r="B103" s="1585">
        <v>9.11</v>
      </c>
      <c r="C103" s="1585">
        <v>9.11</v>
      </c>
      <c r="D103" s="1585">
        <v>9.11</v>
      </c>
      <c r="E103" s="1585">
        <v>9.11</v>
      </c>
      <c r="F103" s="1585">
        <v>9.11</v>
      </c>
      <c r="G103" s="1586">
        <v>9.11</v>
      </c>
      <c r="H103" s="1590" t="s">
        <v>1412</v>
      </c>
      <c r="I103" s="1590" t="s">
        <v>1412</v>
      </c>
      <c r="J103" s="1590" t="s">
        <v>1412</v>
      </c>
      <c r="K103" s="1590" t="s">
        <v>1412</v>
      </c>
      <c r="L103" s="1573"/>
      <c r="M103" s="1573"/>
    </row>
    <row r="104" spans="1:13">
      <c r="A104" s="1585">
        <v>9.1199999999999992</v>
      </c>
      <c r="B104" s="1585">
        <v>9.1199999999999992</v>
      </c>
      <c r="C104" s="1585">
        <v>9.1199999999999992</v>
      </c>
      <c r="D104" s="1585">
        <v>9.1199999999999992</v>
      </c>
      <c r="E104" s="1585">
        <v>9.1199999999999992</v>
      </c>
      <c r="F104" s="1585">
        <v>9.1199999999999992</v>
      </c>
      <c r="G104" s="1586">
        <v>9.0399999999999991</v>
      </c>
      <c r="H104" s="1587" t="s">
        <v>722</v>
      </c>
      <c r="I104" s="1587" t="s">
        <v>722</v>
      </c>
      <c r="J104" s="1587" t="s">
        <v>722</v>
      </c>
      <c r="K104" s="1587" t="s">
        <v>721</v>
      </c>
      <c r="L104" s="1573"/>
      <c r="M104" s="1573"/>
    </row>
    <row r="105" spans="1:13">
      <c r="A105" s="1585">
        <v>9.1300000000000008</v>
      </c>
      <c r="B105" s="1585">
        <v>9.1300000000000008</v>
      </c>
      <c r="C105" s="1585">
        <v>9.1300000000000008</v>
      </c>
      <c r="D105" s="1585">
        <v>9.1300000000000008</v>
      </c>
      <c r="E105" s="1585">
        <v>9.1300000000000008</v>
      </c>
      <c r="F105" s="1585">
        <v>9.1300000000000008</v>
      </c>
      <c r="G105" s="1586">
        <v>9.0500000000000007</v>
      </c>
      <c r="H105" s="1587" t="s">
        <v>724</v>
      </c>
      <c r="I105" s="1587" t="s">
        <v>724</v>
      </c>
      <c r="J105" s="1587" t="s">
        <v>724</v>
      </c>
      <c r="K105" s="1587" t="s">
        <v>723</v>
      </c>
      <c r="L105" s="1573"/>
      <c r="M105" s="1573"/>
    </row>
    <row r="106" spans="1:13">
      <c r="A106" s="1585">
        <v>9.14</v>
      </c>
      <c r="B106" s="1585">
        <v>9.14</v>
      </c>
      <c r="C106" s="1585">
        <v>9.14</v>
      </c>
      <c r="D106" s="1585">
        <v>9.14</v>
      </c>
      <c r="E106" s="1585">
        <v>9.14</v>
      </c>
      <c r="F106" s="1585">
        <v>9.14</v>
      </c>
      <c r="G106" s="1586">
        <v>9.06</v>
      </c>
      <c r="H106" s="1587" t="s">
        <v>720</v>
      </c>
      <c r="I106" s="1587" t="s">
        <v>720</v>
      </c>
      <c r="J106" s="1587" t="s">
        <v>720</v>
      </c>
      <c r="K106" s="1587" t="s">
        <v>719</v>
      </c>
      <c r="L106" s="1573"/>
      <c r="M106" s="1573"/>
    </row>
    <row r="107" spans="1:13">
      <c r="A107" s="1585">
        <v>9.15</v>
      </c>
      <c r="B107" s="1585">
        <v>9.15</v>
      </c>
      <c r="C107" s="1585">
        <v>1.41</v>
      </c>
      <c r="D107" s="1585" t="s">
        <v>1412</v>
      </c>
      <c r="E107" s="1585" t="s">
        <v>1412</v>
      </c>
      <c r="F107" s="1585" t="s">
        <v>1412</v>
      </c>
      <c r="G107" s="1585" t="s">
        <v>1412</v>
      </c>
      <c r="H107" s="1585" t="s">
        <v>1412</v>
      </c>
      <c r="I107" s="1585" t="s">
        <v>1412</v>
      </c>
      <c r="J107" s="1585" t="s">
        <v>1412</v>
      </c>
      <c r="K107" s="1585" t="s">
        <v>1412</v>
      </c>
      <c r="L107" s="1573"/>
      <c r="M107" s="1573"/>
    </row>
    <row r="108" spans="1:13">
      <c r="A108" s="1585">
        <v>9.16</v>
      </c>
      <c r="B108" s="1585">
        <v>9.16</v>
      </c>
      <c r="C108" s="1585">
        <v>9.16</v>
      </c>
      <c r="D108" s="1585">
        <v>9.16</v>
      </c>
      <c r="E108" s="1585">
        <v>9.16</v>
      </c>
      <c r="F108" s="1585">
        <v>9.16</v>
      </c>
      <c r="G108" s="1586">
        <v>9.1</v>
      </c>
      <c r="H108" s="1587" t="s">
        <v>477</v>
      </c>
      <c r="I108" s="1587" t="s">
        <v>477</v>
      </c>
      <c r="J108" s="1587" t="s">
        <v>477</v>
      </c>
      <c r="K108" s="1587" t="s">
        <v>476</v>
      </c>
      <c r="L108" s="1573"/>
      <c r="M108" s="1573"/>
    </row>
    <row r="109" spans="1:13">
      <c r="A109" s="1585">
        <v>9.17</v>
      </c>
      <c r="B109" s="1585">
        <v>9.17</v>
      </c>
      <c r="C109" s="1585">
        <v>9.17</v>
      </c>
      <c r="D109" s="1585">
        <v>9.17</v>
      </c>
      <c r="E109" s="1585">
        <v>9.17</v>
      </c>
      <c r="F109" s="1585">
        <v>9.17</v>
      </c>
      <c r="G109" s="1594" t="s">
        <v>1412</v>
      </c>
      <c r="H109" s="1590" t="s">
        <v>1412</v>
      </c>
      <c r="I109" s="1590" t="s">
        <v>1412</v>
      </c>
      <c r="J109" s="1590" t="s">
        <v>1412</v>
      </c>
      <c r="K109" s="1590" t="s">
        <v>1412</v>
      </c>
      <c r="L109" s="1573"/>
      <c r="M109" s="1573"/>
    </row>
    <row r="110" spans="1:13">
      <c r="A110" s="1585">
        <v>9.18</v>
      </c>
      <c r="B110" s="1585">
        <v>9.18</v>
      </c>
      <c r="C110" s="1585">
        <v>9.18</v>
      </c>
      <c r="D110" s="1585">
        <v>9.18</v>
      </c>
      <c r="E110" s="1585">
        <v>9.18</v>
      </c>
      <c r="F110" s="1585">
        <v>9.18</v>
      </c>
      <c r="G110" s="1594" t="s">
        <v>1412</v>
      </c>
      <c r="H110" s="1590" t="s">
        <v>1412</v>
      </c>
      <c r="I110" s="1590" t="s">
        <v>1412</v>
      </c>
      <c r="J110" s="1590" t="s">
        <v>1412</v>
      </c>
      <c r="K110" s="1590" t="s">
        <v>1412</v>
      </c>
      <c r="L110" s="1573"/>
      <c r="M110" s="1573"/>
    </row>
    <row r="111" spans="1:13">
      <c r="A111" s="1585">
        <v>9.19</v>
      </c>
      <c r="B111" s="1585">
        <v>9.19</v>
      </c>
      <c r="C111" s="1585">
        <v>9.19</v>
      </c>
      <c r="D111" s="1585">
        <v>9.19</v>
      </c>
      <c r="E111" s="1585">
        <v>9.01</v>
      </c>
      <c r="F111" s="1585">
        <v>9.01</v>
      </c>
      <c r="G111" s="1586">
        <v>9.01</v>
      </c>
      <c r="H111" s="1590" t="s">
        <v>1412</v>
      </c>
      <c r="I111" s="1590" t="s">
        <v>1412</v>
      </c>
      <c r="J111" s="1590" t="s">
        <v>1412</v>
      </c>
      <c r="K111" s="1590" t="s">
        <v>1412</v>
      </c>
      <c r="L111" s="1573"/>
      <c r="M111" s="1573"/>
    </row>
    <row r="112" spans="1:13">
      <c r="A112" s="1585" t="s">
        <v>1516</v>
      </c>
      <c r="B112" s="1585" t="s">
        <v>1516</v>
      </c>
      <c r="C112" s="1585">
        <v>9.1999999999999993</v>
      </c>
      <c r="D112" s="1585">
        <v>9.1999999999999993</v>
      </c>
      <c r="E112" s="1585" t="s">
        <v>1412</v>
      </c>
      <c r="F112" s="1585" t="s">
        <v>1412</v>
      </c>
      <c r="G112" s="1585" t="s">
        <v>1412</v>
      </c>
      <c r="H112" s="1585" t="s">
        <v>1412</v>
      </c>
      <c r="I112" s="1585" t="s">
        <v>1412</v>
      </c>
      <c r="J112" s="1585" t="s">
        <v>1412</v>
      </c>
      <c r="K112" s="1585" t="s">
        <v>1412</v>
      </c>
      <c r="L112" s="1573"/>
      <c r="M112" s="1573"/>
    </row>
    <row r="113" spans="1:13">
      <c r="A113" s="1585" t="s">
        <v>680</v>
      </c>
      <c r="B113" s="1585" t="s">
        <v>680</v>
      </c>
      <c r="C113" s="1585">
        <v>1.08</v>
      </c>
      <c r="D113" s="1585">
        <v>1.08</v>
      </c>
      <c r="E113" s="1585">
        <v>1.08</v>
      </c>
      <c r="F113" s="1585">
        <v>1.08</v>
      </c>
      <c r="G113" s="1586">
        <v>1.08</v>
      </c>
      <c r="H113" s="1587" t="s">
        <v>1605</v>
      </c>
      <c r="I113" s="1587" t="s">
        <v>1605</v>
      </c>
      <c r="J113" s="1587" t="s">
        <v>1605</v>
      </c>
      <c r="K113" s="1587" t="s">
        <v>1605</v>
      </c>
      <c r="L113" s="1573"/>
      <c r="M113" s="1573"/>
    </row>
    <row r="114" spans="1:13">
      <c r="A114" s="1585" t="s">
        <v>1515</v>
      </c>
      <c r="B114" s="1585" t="s">
        <v>1515</v>
      </c>
      <c r="C114" s="1585">
        <v>1.07</v>
      </c>
      <c r="D114" s="1585">
        <v>1.07</v>
      </c>
      <c r="E114" s="1585">
        <v>1.07</v>
      </c>
      <c r="F114" s="1585">
        <v>1.07</v>
      </c>
      <c r="G114" s="1586">
        <v>1.07</v>
      </c>
      <c r="H114" s="1587" t="s">
        <v>1604</v>
      </c>
      <c r="I114" s="1587" t="s">
        <v>1604</v>
      </c>
      <c r="J114" s="1587" t="s">
        <v>1604</v>
      </c>
      <c r="K114" s="1587" t="s">
        <v>1604</v>
      </c>
      <c r="L114" s="1573"/>
      <c r="M114" s="1573"/>
    </row>
    <row r="115" spans="1:13">
      <c r="A115" s="1585" t="s">
        <v>1415</v>
      </c>
      <c r="B115" s="1585" t="s">
        <v>1415</v>
      </c>
      <c r="C115" s="1588" t="s">
        <v>1415</v>
      </c>
      <c r="D115" s="1589">
        <v>2.0099999999999998</v>
      </c>
      <c r="E115" s="1589">
        <v>2.0099999999999998</v>
      </c>
      <c r="F115" s="1589">
        <v>2.0099999999999998</v>
      </c>
      <c r="G115" s="1589">
        <v>2.0099999999999998</v>
      </c>
      <c r="H115" s="1587" t="s">
        <v>478</v>
      </c>
      <c r="I115" s="1587" t="s">
        <v>478</v>
      </c>
      <c r="J115" s="1587" t="s">
        <v>478</v>
      </c>
      <c r="K115" s="1587" t="s">
        <v>1412</v>
      </c>
      <c r="L115" s="1573"/>
      <c r="M115" s="1573"/>
    </row>
    <row r="116" spans="1:13">
      <c r="A116" s="1591" t="s">
        <v>1416</v>
      </c>
      <c r="B116" s="1591" t="s">
        <v>1416</v>
      </c>
      <c r="C116" s="1588" t="s">
        <v>1416</v>
      </c>
      <c r="D116" s="1589">
        <v>2.02</v>
      </c>
      <c r="E116" s="1589">
        <v>2.02</v>
      </c>
      <c r="F116" s="1589">
        <v>2.02</v>
      </c>
      <c r="G116" s="1589">
        <v>2.02</v>
      </c>
      <c r="H116" s="1587" t="s">
        <v>478</v>
      </c>
      <c r="I116" s="1587" t="s">
        <v>478</v>
      </c>
      <c r="J116" s="1587" t="s">
        <v>478</v>
      </c>
      <c r="K116" s="1587" t="s">
        <v>1412</v>
      </c>
      <c r="L116" s="1573"/>
      <c r="M116" s="1573"/>
    </row>
    <row r="117" spans="1:13">
      <c r="A117" s="1585" t="s">
        <v>1417</v>
      </c>
      <c r="B117" s="1585" t="s">
        <v>1417</v>
      </c>
      <c r="C117" s="1591" t="s">
        <v>1417</v>
      </c>
      <c r="D117" s="1585">
        <v>2.13</v>
      </c>
      <c r="E117" s="1585" t="s">
        <v>1412</v>
      </c>
      <c r="F117" s="1585" t="s">
        <v>1412</v>
      </c>
      <c r="G117" s="1585" t="s">
        <v>1412</v>
      </c>
      <c r="H117" s="1585" t="s">
        <v>1412</v>
      </c>
      <c r="I117" s="1585" t="s">
        <v>1412</v>
      </c>
      <c r="J117" s="1585" t="s">
        <v>1412</v>
      </c>
      <c r="K117" s="1585" t="s">
        <v>1412</v>
      </c>
      <c r="L117" s="1573"/>
      <c r="M117" s="1573"/>
    </row>
    <row r="118" spans="1:13">
      <c r="A118" s="1585">
        <v>11.01</v>
      </c>
      <c r="B118" s="1585">
        <v>11.01</v>
      </c>
      <c r="C118" s="1585">
        <v>1.42</v>
      </c>
      <c r="D118" s="1585">
        <v>1.42</v>
      </c>
      <c r="E118" s="1585">
        <v>1.42</v>
      </c>
      <c r="F118" s="1585">
        <v>1.42</v>
      </c>
      <c r="G118" s="1586">
        <v>8.02</v>
      </c>
      <c r="H118" s="1587" t="s">
        <v>1566</v>
      </c>
      <c r="I118" s="1587" t="s">
        <v>1566</v>
      </c>
      <c r="J118" s="1587" t="s">
        <v>1566</v>
      </c>
      <c r="K118" s="1587" t="s">
        <v>1566</v>
      </c>
      <c r="L118" s="1573"/>
      <c r="M118" s="1573"/>
    </row>
    <row r="119" spans="1:13">
      <c r="A119" s="1585">
        <v>11.02</v>
      </c>
      <c r="B119" s="1585">
        <v>11.02</v>
      </c>
      <c r="C119" s="1585">
        <v>1.02</v>
      </c>
      <c r="D119" s="1585">
        <v>1.02</v>
      </c>
      <c r="E119" s="1585">
        <v>1.02</v>
      </c>
      <c r="F119" s="1585">
        <v>1.02</v>
      </c>
      <c r="G119" s="1586">
        <v>1.02</v>
      </c>
      <c r="H119" s="1590" t="s">
        <v>1412</v>
      </c>
      <c r="I119" s="1590" t="s">
        <v>1412</v>
      </c>
      <c r="J119" s="1590" t="s">
        <v>1412</v>
      </c>
      <c r="K119" s="1590" t="s">
        <v>1412</v>
      </c>
      <c r="L119" s="1573"/>
      <c r="M119" s="1573"/>
    </row>
    <row r="120" spans="1:13">
      <c r="A120" s="1585">
        <v>11.03</v>
      </c>
      <c r="B120" s="1585">
        <v>11.03</v>
      </c>
      <c r="C120" s="1585">
        <v>1.03</v>
      </c>
      <c r="D120" s="1585">
        <v>1.03</v>
      </c>
      <c r="E120" s="1585">
        <v>1.03</v>
      </c>
      <c r="F120" s="1585">
        <v>1.03</v>
      </c>
      <c r="G120" s="1586">
        <v>1.03</v>
      </c>
      <c r="H120" s="1587" t="s">
        <v>1584</v>
      </c>
      <c r="I120" s="1587" t="s">
        <v>1584</v>
      </c>
      <c r="J120" s="1587" t="s">
        <v>1584</v>
      </c>
      <c r="K120" s="1587" t="s">
        <v>1584</v>
      </c>
      <c r="L120" s="1573"/>
      <c r="M120" s="1573"/>
    </row>
    <row r="121" spans="1:13">
      <c r="A121" s="1585">
        <v>11.04</v>
      </c>
      <c r="B121" s="1585">
        <v>11.04</v>
      </c>
      <c r="C121" s="1585">
        <v>1.04</v>
      </c>
      <c r="D121" s="1585">
        <v>1.04</v>
      </c>
      <c r="E121" s="1585">
        <v>1.04</v>
      </c>
      <c r="F121" s="1585">
        <v>1.04</v>
      </c>
      <c r="G121" s="1586">
        <v>1.04</v>
      </c>
      <c r="H121" s="1587" t="s">
        <v>1585</v>
      </c>
      <c r="I121" s="1587" t="s">
        <v>1585</v>
      </c>
      <c r="J121" s="1587" t="s">
        <v>1585</v>
      </c>
      <c r="K121" s="1587" t="s">
        <v>1585</v>
      </c>
      <c r="L121" s="1573"/>
      <c r="M121" s="1573"/>
    </row>
    <row r="122" spans="1:13">
      <c r="A122" s="1585">
        <v>11.05</v>
      </c>
      <c r="B122" s="1585">
        <v>11.05</v>
      </c>
      <c r="C122" s="1585">
        <v>1.05</v>
      </c>
      <c r="D122" s="1585">
        <v>1.05</v>
      </c>
      <c r="E122" s="1585">
        <v>1.05</v>
      </c>
      <c r="F122" s="1585">
        <v>1.05</v>
      </c>
      <c r="G122" s="1586">
        <v>1.05</v>
      </c>
      <c r="H122" s="1587" t="s">
        <v>1588</v>
      </c>
      <c r="I122" s="1587" t="s">
        <v>1588</v>
      </c>
      <c r="J122" s="1587" t="s">
        <v>1588</v>
      </c>
      <c r="K122" s="1587" t="s">
        <v>1588</v>
      </c>
      <c r="L122" s="1573"/>
      <c r="M122" s="1573"/>
    </row>
    <row r="123" spans="1:13">
      <c r="A123" s="1585">
        <v>11.06</v>
      </c>
      <c r="B123" s="1585">
        <v>11.06</v>
      </c>
      <c r="C123" s="1585">
        <v>1.06</v>
      </c>
      <c r="D123" s="1585">
        <v>1.06</v>
      </c>
      <c r="E123" s="1585">
        <v>1.06</v>
      </c>
      <c r="F123" s="1585">
        <v>1.06</v>
      </c>
      <c r="G123" s="1586">
        <v>1.06</v>
      </c>
      <c r="H123" s="1587" t="s">
        <v>1589</v>
      </c>
      <c r="I123" s="1587" t="s">
        <v>1589</v>
      </c>
      <c r="J123" s="1587" t="s">
        <v>1589</v>
      </c>
      <c r="K123" s="1587" t="s">
        <v>1589</v>
      </c>
      <c r="L123" s="1573"/>
      <c r="M123" s="1573"/>
    </row>
    <row r="124" spans="1:13">
      <c r="A124" s="1585">
        <v>11.07</v>
      </c>
      <c r="B124" s="1585">
        <v>11.07</v>
      </c>
      <c r="C124" s="1585">
        <v>1.35</v>
      </c>
      <c r="D124" s="1585">
        <v>1.35</v>
      </c>
      <c r="E124" s="1585">
        <v>1.35</v>
      </c>
      <c r="F124" s="1585">
        <v>1.35</v>
      </c>
      <c r="G124" s="1586" t="s">
        <v>1412</v>
      </c>
      <c r="H124" s="1590" t="s">
        <v>1412</v>
      </c>
      <c r="I124" s="1590" t="s">
        <v>1412</v>
      </c>
      <c r="J124" s="1590" t="s">
        <v>1412</v>
      </c>
      <c r="K124" s="1590" t="s">
        <v>1412</v>
      </c>
      <c r="L124" s="1573"/>
      <c r="M124" s="1573"/>
    </row>
    <row r="125" spans="1:13">
      <c r="A125" s="1585">
        <v>11.08</v>
      </c>
      <c r="B125" s="1585">
        <v>11.08</v>
      </c>
      <c r="C125" s="1585">
        <v>1.36</v>
      </c>
      <c r="D125" s="1585">
        <v>1.36</v>
      </c>
      <c r="E125" s="1585">
        <v>1.36</v>
      </c>
      <c r="F125" s="1585">
        <v>1.36</v>
      </c>
      <c r="G125" s="1586" t="s">
        <v>1412</v>
      </c>
      <c r="H125" s="1590" t="s">
        <v>1412</v>
      </c>
      <c r="I125" s="1590" t="s">
        <v>1412</v>
      </c>
      <c r="J125" s="1590" t="s">
        <v>1412</v>
      </c>
      <c r="K125" s="1590" t="s">
        <v>1412</v>
      </c>
      <c r="L125" s="1573"/>
      <c r="M125" s="1573"/>
    </row>
    <row r="126" spans="1:13">
      <c r="A126" s="1585">
        <v>11.09</v>
      </c>
      <c r="B126" s="1585">
        <v>11.09</v>
      </c>
      <c r="C126" s="1585">
        <v>1.37</v>
      </c>
      <c r="D126" s="1585">
        <v>1.37</v>
      </c>
      <c r="E126" s="1585">
        <v>1.37</v>
      </c>
      <c r="F126" s="1585">
        <v>1.37</v>
      </c>
      <c r="G126" s="1586" t="s">
        <v>1412</v>
      </c>
      <c r="H126" s="1590" t="s">
        <v>1412</v>
      </c>
      <c r="I126" s="1590" t="s">
        <v>1412</v>
      </c>
      <c r="J126" s="1590" t="s">
        <v>1412</v>
      </c>
      <c r="K126" s="1590" t="s">
        <v>1412</v>
      </c>
      <c r="L126" s="1573"/>
      <c r="M126" s="1573"/>
    </row>
    <row r="127" spans="1:13">
      <c r="A127" s="1585" t="s">
        <v>1514</v>
      </c>
      <c r="B127" s="1585" t="s">
        <v>1514</v>
      </c>
      <c r="C127" s="1585">
        <v>1.38</v>
      </c>
      <c r="D127" s="1585">
        <v>1.38</v>
      </c>
      <c r="E127" s="1585">
        <v>1.38</v>
      </c>
      <c r="F127" s="1585">
        <v>1.38</v>
      </c>
      <c r="G127" s="1586" t="s">
        <v>1412</v>
      </c>
      <c r="H127" s="1590" t="s">
        <v>1412</v>
      </c>
      <c r="I127" s="1590" t="s">
        <v>1412</v>
      </c>
      <c r="J127" s="1590" t="s">
        <v>1412</v>
      </c>
      <c r="K127" s="1590" t="s">
        <v>1412</v>
      </c>
      <c r="L127" s="1573"/>
      <c r="M127" s="1573"/>
    </row>
    <row r="128" spans="1:13">
      <c r="A128" s="1595">
        <v>11.11</v>
      </c>
      <c r="B128" s="1595">
        <v>11.11</v>
      </c>
      <c r="C128" s="1585">
        <v>1.34</v>
      </c>
      <c r="D128" s="1585">
        <v>1.34</v>
      </c>
      <c r="E128" s="1585">
        <v>1.34</v>
      </c>
      <c r="F128" s="1585">
        <v>1.34</v>
      </c>
      <c r="G128" s="1586" t="s">
        <v>1412</v>
      </c>
      <c r="H128" s="1590" t="s">
        <v>1412</v>
      </c>
      <c r="I128" s="1590" t="s">
        <v>1412</v>
      </c>
      <c r="J128" s="1590" t="s">
        <v>1412</v>
      </c>
      <c r="K128" s="1590" t="s">
        <v>1412</v>
      </c>
      <c r="L128" s="1573"/>
      <c r="M128" s="1573"/>
    </row>
    <row r="129" spans="1:13">
      <c r="A129" s="1585">
        <v>11.12</v>
      </c>
      <c r="B129" s="1585">
        <v>11.12</v>
      </c>
      <c r="C129" s="1585">
        <v>1.48</v>
      </c>
      <c r="D129" s="1585">
        <v>1.48</v>
      </c>
      <c r="E129" s="1585" t="s">
        <v>1412</v>
      </c>
      <c r="F129" s="1585" t="s">
        <v>1412</v>
      </c>
      <c r="G129" s="1585" t="s">
        <v>1412</v>
      </c>
      <c r="H129" s="1585" t="s">
        <v>1412</v>
      </c>
      <c r="I129" s="1585" t="s">
        <v>1412</v>
      </c>
      <c r="J129" s="1585" t="s">
        <v>1412</v>
      </c>
      <c r="K129" s="1585" t="s">
        <v>1412</v>
      </c>
      <c r="L129" s="1573"/>
      <c r="M129" s="1573"/>
    </row>
    <row r="130" spans="1:13">
      <c r="A130" s="1585">
        <v>11.13</v>
      </c>
      <c r="B130" s="1585">
        <v>11.13</v>
      </c>
      <c r="C130" s="1585">
        <v>1.47</v>
      </c>
      <c r="D130" s="1585">
        <v>1.47</v>
      </c>
      <c r="E130" s="1585" t="s">
        <v>1412</v>
      </c>
      <c r="F130" s="1585" t="s">
        <v>1412</v>
      </c>
      <c r="G130" s="1585" t="s">
        <v>1412</v>
      </c>
      <c r="H130" s="1585" t="s">
        <v>1412</v>
      </c>
      <c r="I130" s="1585" t="s">
        <v>1412</v>
      </c>
      <c r="J130" s="1585" t="s">
        <v>1412</v>
      </c>
      <c r="K130" s="1585" t="s">
        <v>1412</v>
      </c>
      <c r="L130" s="1573"/>
      <c r="M130" s="1573"/>
    </row>
    <row r="131" spans="1:13">
      <c r="A131" s="1585">
        <v>11.14</v>
      </c>
      <c r="B131" s="1585">
        <v>11.14</v>
      </c>
      <c r="C131" s="1588">
        <v>2.0099999999999998</v>
      </c>
      <c r="D131" s="1589" t="s">
        <v>1412</v>
      </c>
      <c r="E131" s="1589" t="s">
        <v>1412</v>
      </c>
      <c r="F131" s="1589" t="s">
        <v>1412</v>
      </c>
      <c r="G131" s="1589" t="s">
        <v>1412</v>
      </c>
      <c r="H131" s="1589" t="s">
        <v>1412</v>
      </c>
      <c r="I131" s="1589" t="s">
        <v>1412</v>
      </c>
      <c r="J131" s="1589" t="s">
        <v>1412</v>
      </c>
      <c r="K131" s="1589" t="s">
        <v>1412</v>
      </c>
      <c r="L131" s="1573"/>
      <c r="M131" s="1573"/>
    </row>
    <row r="132" spans="1:13">
      <c r="A132" s="1588">
        <v>11.15</v>
      </c>
      <c r="B132" s="1588">
        <v>11.15</v>
      </c>
      <c r="C132" s="1585">
        <v>2.02</v>
      </c>
      <c r="D132" s="1585">
        <v>2.12</v>
      </c>
      <c r="E132" s="1585">
        <v>2.12</v>
      </c>
      <c r="F132" s="1585" t="s">
        <v>1412</v>
      </c>
      <c r="G132" s="1585" t="s">
        <v>1412</v>
      </c>
      <c r="H132" s="1585" t="s">
        <v>1412</v>
      </c>
      <c r="I132" s="1585" t="s">
        <v>1412</v>
      </c>
      <c r="J132" s="1585" t="s">
        <v>1412</v>
      </c>
      <c r="K132" s="1585" t="s">
        <v>1412</v>
      </c>
      <c r="L132" s="1573"/>
      <c r="M132" s="1573"/>
    </row>
    <row r="133" spans="1:13">
      <c r="A133" s="1588">
        <v>11.16</v>
      </c>
      <c r="B133" s="1588">
        <v>11.16</v>
      </c>
      <c r="C133" s="1589">
        <v>2.0299999999999998</v>
      </c>
      <c r="D133" s="1589">
        <v>2.0299999999999998</v>
      </c>
      <c r="E133" s="1589">
        <v>2.0299999999999998</v>
      </c>
      <c r="F133" s="1589">
        <v>2.0299999999999998</v>
      </c>
      <c r="G133" s="1587">
        <v>2.0299999999999998</v>
      </c>
      <c r="H133" s="1587" t="s">
        <v>481</v>
      </c>
      <c r="I133" s="1587" t="s">
        <v>481</v>
      </c>
      <c r="J133" s="1587" t="s">
        <v>481</v>
      </c>
      <c r="K133" s="1587" t="s">
        <v>1412</v>
      </c>
      <c r="L133" s="1573"/>
      <c r="M133" s="1573"/>
    </row>
    <row r="134" spans="1:13">
      <c r="A134" s="1585">
        <v>11.17</v>
      </c>
      <c r="B134" s="1585">
        <v>11.17</v>
      </c>
      <c r="C134" s="1585">
        <v>1.49</v>
      </c>
      <c r="D134" s="1585">
        <v>1.49</v>
      </c>
      <c r="E134" s="1585" t="s">
        <v>1412</v>
      </c>
      <c r="F134" s="1585" t="s">
        <v>1412</v>
      </c>
      <c r="G134" s="1585" t="s">
        <v>1412</v>
      </c>
      <c r="H134" s="1585" t="s">
        <v>1412</v>
      </c>
      <c r="I134" s="1585" t="s">
        <v>1412</v>
      </c>
      <c r="J134" s="1585" t="s">
        <v>1412</v>
      </c>
      <c r="K134" s="1585" t="s">
        <v>1412</v>
      </c>
      <c r="L134" s="1573"/>
      <c r="M134" s="1573"/>
    </row>
    <row r="135" spans="1:13">
      <c r="A135" s="1585">
        <v>11.18</v>
      </c>
      <c r="B135" s="1585">
        <v>11.18</v>
      </c>
      <c r="C135" s="1585" t="s">
        <v>1412</v>
      </c>
      <c r="D135" s="1585" t="s">
        <v>1412</v>
      </c>
      <c r="E135" s="1585" t="s">
        <v>1412</v>
      </c>
      <c r="F135" s="1585" t="s">
        <v>1412</v>
      </c>
      <c r="G135" s="1585" t="s">
        <v>1412</v>
      </c>
      <c r="H135" s="1585" t="s">
        <v>1412</v>
      </c>
      <c r="I135" s="1585" t="s">
        <v>1412</v>
      </c>
      <c r="J135" s="1585" t="s">
        <v>1412</v>
      </c>
      <c r="K135" s="1585" t="s">
        <v>1412</v>
      </c>
      <c r="L135" s="1573"/>
      <c r="M135" s="1573"/>
    </row>
    <row r="136" spans="1:13">
      <c r="A136" s="1585">
        <v>11.19</v>
      </c>
      <c r="B136" s="1585" t="s">
        <v>1412</v>
      </c>
      <c r="C136" s="1585" t="s">
        <v>1412</v>
      </c>
      <c r="D136" s="1585" t="s">
        <v>1412</v>
      </c>
      <c r="E136" s="1585" t="s">
        <v>1412</v>
      </c>
      <c r="F136" s="1585" t="s">
        <v>1412</v>
      </c>
      <c r="G136" s="1585" t="s">
        <v>1412</v>
      </c>
      <c r="H136" s="1585" t="s">
        <v>1412</v>
      </c>
      <c r="I136" s="1585" t="s">
        <v>1412</v>
      </c>
      <c r="J136" s="1585" t="s">
        <v>1412</v>
      </c>
      <c r="K136" s="1585" t="s">
        <v>1412</v>
      </c>
      <c r="L136" s="1573"/>
      <c r="M136" s="1573"/>
    </row>
    <row r="137" spans="1:13">
      <c r="A137" s="1595" t="s">
        <v>1412</v>
      </c>
      <c r="B137" s="1595" t="s">
        <v>1412</v>
      </c>
      <c r="C137" s="1585">
        <v>1.44</v>
      </c>
      <c r="D137" s="1585">
        <v>1.44</v>
      </c>
      <c r="E137" s="1585">
        <v>1.44</v>
      </c>
      <c r="F137" s="1585" t="s">
        <v>1412</v>
      </c>
      <c r="G137" s="1585" t="s">
        <v>1412</v>
      </c>
      <c r="H137" s="1585" t="s">
        <v>1412</v>
      </c>
      <c r="I137" s="1585" t="s">
        <v>1412</v>
      </c>
      <c r="J137" s="1585" t="s">
        <v>1412</v>
      </c>
      <c r="K137" s="1585" t="s">
        <v>1412</v>
      </c>
      <c r="L137" s="1573"/>
      <c r="M137" s="1573"/>
    </row>
    <row r="138" spans="1:13">
      <c r="A138" s="1585" t="s">
        <v>1412</v>
      </c>
      <c r="B138" s="1585" t="s">
        <v>1412</v>
      </c>
      <c r="C138" s="1585">
        <v>1.45</v>
      </c>
      <c r="D138" s="1585">
        <v>1.45</v>
      </c>
      <c r="E138" s="1585" t="s">
        <v>1412</v>
      </c>
      <c r="F138" s="1585" t="s">
        <v>1412</v>
      </c>
      <c r="G138" s="1585" t="s">
        <v>1412</v>
      </c>
      <c r="H138" s="1585" t="s">
        <v>1412</v>
      </c>
      <c r="I138" s="1585" t="s">
        <v>1412</v>
      </c>
      <c r="J138" s="1585" t="s">
        <v>1412</v>
      </c>
      <c r="K138" s="1585" t="s">
        <v>1412</v>
      </c>
      <c r="L138" s="1573"/>
      <c r="M138" s="1573"/>
    </row>
    <row r="139" spans="1:13">
      <c r="A139" s="1585" t="s">
        <v>1412</v>
      </c>
      <c r="B139" s="1585" t="s">
        <v>1412</v>
      </c>
      <c r="C139" s="1585">
        <v>1.46</v>
      </c>
      <c r="D139" s="1585">
        <v>1.46</v>
      </c>
      <c r="E139" s="1585" t="s">
        <v>1412</v>
      </c>
      <c r="F139" s="1585" t="s">
        <v>1412</v>
      </c>
      <c r="G139" s="1585" t="s">
        <v>1412</v>
      </c>
      <c r="H139" s="1585" t="s">
        <v>1412</v>
      </c>
      <c r="I139" s="1585" t="s">
        <v>1412</v>
      </c>
      <c r="J139" s="1585" t="s">
        <v>1412</v>
      </c>
      <c r="K139" s="1585" t="s">
        <v>1412</v>
      </c>
      <c r="L139" s="1573"/>
      <c r="M139" s="1573"/>
    </row>
    <row r="140" spans="1:13">
      <c r="A140" s="1590" t="s">
        <v>1412</v>
      </c>
      <c r="B140" s="1590" t="s">
        <v>1412</v>
      </c>
      <c r="C140" s="1589">
        <v>3.01</v>
      </c>
      <c r="D140" s="1589">
        <v>3.01</v>
      </c>
      <c r="E140" s="1589">
        <v>3.01</v>
      </c>
      <c r="F140" s="1589">
        <v>3.01</v>
      </c>
      <c r="G140" s="1587">
        <v>3.01</v>
      </c>
      <c r="H140" s="1587" t="s">
        <v>715</v>
      </c>
      <c r="I140" s="1587" t="s">
        <v>715</v>
      </c>
      <c r="J140" s="1587" t="s">
        <v>489</v>
      </c>
      <c r="K140" s="1587" t="s">
        <v>490</v>
      </c>
      <c r="L140" s="1573"/>
      <c r="M140" s="1573"/>
    </row>
    <row r="141" spans="1:13">
      <c r="A141" s="1590" t="s">
        <v>1412</v>
      </c>
      <c r="B141" s="1590" t="s">
        <v>1412</v>
      </c>
      <c r="C141" s="1589">
        <v>3.02</v>
      </c>
      <c r="D141" s="1589">
        <v>3.02</v>
      </c>
      <c r="E141" s="1589">
        <v>3.02</v>
      </c>
      <c r="F141" s="1589">
        <v>3.02</v>
      </c>
      <c r="G141" s="1587">
        <v>3.02</v>
      </c>
      <c r="H141" s="1590" t="s">
        <v>1412</v>
      </c>
      <c r="I141" s="1590" t="s">
        <v>1412</v>
      </c>
      <c r="J141" s="1590" t="s">
        <v>1412</v>
      </c>
      <c r="K141" s="1590" t="s">
        <v>1412</v>
      </c>
      <c r="L141" s="1573"/>
      <c r="M141" s="1573"/>
    </row>
    <row r="142" spans="1:13">
      <c r="A142" s="1590" t="s">
        <v>1412</v>
      </c>
      <c r="B142" s="1590" t="s">
        <v>1412</v>
      </c>
      <c r="C142" s="1589">
        <v>3.03</v>
      </c>
      <c r="D142" s="1589">
        <v>3.03</v>
      </c>
      <c r="E142" s="1589">
        <v>3.03</v>
      </c>
      <c r="F142" s="1589">
        <v>3.03</v>
      </c>
      <c r="G142" s="1587">
        <v>3.03</v>
      </c>
      <c r="H142" s="1587" t="s">
        <v>716</v>
      </c>
      <c r="I142" s="1587" t="s">
        <v>716</v>
      </c>
      <c r="J142" s="1587" t="s">
        <v>1412</v>
      </c>
      <c r="K142" s="1587" t="s">
        <v>1412</v>
      </c>
      <c r="L142" s="1573"/>
      <c r="M142" s="1573"/>
    </row>
    <row r="143" spans="1:13">
      <c r="A143" s="1590" t="s">
        <v>1412</v>
      </c>
      <c r="B143" s="1590" t="s">
        <v>1412</v>
      </c>
      <c r="C143" s="1589">
        <v>3.05</v>
      </c>
      <c r="D143" s="1589">
        <v>3.05</v>
      </c>
      <c r="E143" s="1589">
        <v>3.05</v>
      </c>
      <c r="F143" s="1589">
        <v>3.05</v>
      </c>
      <c r="G143" s="1587">
        <v>3.05</v>
      </c>
      <c r="H143" s="1587" t="s">
        <v>717</v>
      </c>
      <c r="I143" s="1587" t="s">
        <v>717</v>
      </c>
      <c r="J143" s="1587" t="s">
        <v>1412</v>
      </c>
      <c r="K143" s="1587" t="s">
        <v>1412</v>
      </c>
      <c r="L143" s="1573"/>
      <c r="M143" s="1573"/>
    </row>
    <row r="144" spans="1:13" ht="9.75" customHeight="1">
      <c r="A144" s="1589" t="s">
        <v>1412</v>
      </c>
      <c r="B144" s="1589" t="s">
        <v>1412</v>
      </c>
      <c r="C144" s="1589">
        <v>3.06</v>
      </c>
      <c r="D144" s="1589">
        <v>3.06</v>
      </c>
      <c r="E144" s="1589">
        <v>3.06</v>
      </c>
      <c r="F144" s="1589">
        <v>3.06</v>
      </c>
      <c r="G144" s="1587">
        <v>3.06</v>
      </c>
      <c r="H144" s="1590" t="s">
        <v>1412</v>
      </c>
      <c r="I144" s="1590" t="s">
        <v>1412</v>
      </c>
      <c r="J144" s="1590" t="s">
        <v>1412</v>
      </c>
      <c r="K144" s="1590" t="s">
        <v>1412</v>
      </c>
      <c r="L144" s="1573"/>
      <c r="M144" s="1573"/>
    </row>
    <row r="145" spans="1:13" ht="9.75" customHeight="1">
      <c r="A145" s="1585" t="s">
        <v>1412</v>
      </c>
      <c r="B145" s="1585" t="s">
        <v>1412</v>
      </c>
      <c r="C145" s="1585">
        <v>4.1100000000000003</v>
      </c>
      <c r="D145" s="1585">
        <v>4.1100000000000003</v>
      </c>
      <c r="E145" s="1585">
        <v>4.1100000000000003</v>
      </c>
      <c r="F145" s="1585" t="s">
        <v>1412</v>
      </c>
      <c r="G145" s="1585" t="s">
        <v>1412</v>
      </c>
      <c r="H145" s="1585" t="s">
        <v>1412</v>
      </c>
      <c r="I145" s="1585" t="s">
        <v>1412</v>
      </c>
      <c r="J145" s="1585" t="s">
        <v>1412</v>
      </c>
      <c r="K145" s="1585" t="s">
        <v>1412</v>
      </c>
      <c r="L145" s="1573"/>
      <c r="M145" s="1573"/>
    </row>
    <row r="146" spans="1:13">
      <c r="A146" s="1585" t="s">
        <v>1412</v>
      </c>
      <c r="B146" s="1585" t="s">
        <v>1412</v>
      </c>
      <c r="C146" s="1585">
        <v>4.12</v>
      </c>
      <c r="D146" s="1585">
        <v>4.12</v>
      </c>
      <c r="E146" s="1585">
        <v>4.12</v>
      </c>
      <c r="F146" s="1585" t="s">
        <v>1412</v>
      </c>
      <c r="G146" s="1585" t="s">
        <v>1412</v>
      </c>
      <c r="H146" s="1585" t="s">
        <v>1412</v>
      </c>
      <c r="I146" s="1585" t="s">
        <v>1412</v>
      </c>
      <c r="J146" s="1585" t="s">
        <v>1412</v>
      </c>
      <c r="K146" s="1585" t="s">
        <v>1412</v>
      </c>
      <c r="L146" s="1573"/>
      <c r="M146" s="1573"/>
    </row>
    <row r="147" spans="1:13">
      <c r="A147" s="1587" t="s">
        <v>1412</v>
      </c>
      <c r="B147" s="1587" t="s">
        <v>1412</v>
      </c>
      <c r="C147" s="1585">
        <v>9.07</v>
      </c>
      <c r="D147" s="1585">
        <v>9.07</v>
      </c>
      <c r="E147" s="1585">
        <v>9.07</v>
      </c>
      <c r="F147" s="1585">
        <v>9.07</v>
      </c>
      <c r="G147" s="1586" t="s">
        <v>1412</v>
      </c>
      <c r="H147" s="1587" t="s">
        <v>1412</v>
      </c>
      <c r="I147" s="1587" t="s">
        <v>1412</v>
      </c>
      <c r="J147" s="1587" t="s">
        <v>1412</v>
      </c>
      <c r="K147" s="1587" t="s">
        <v>1412</v>
      </c>
      <c r="L147" s="1573"/>
      <c r="M147" s="1573"/>
    </row>
    <row r="148" spans="1:13">
      <c r="A148" s="1587" t="s">
        <v>1412</v>
      </c>
      <c r="B148" s="1587" t="s">
        <v>1412</v>
      </c>
      <c r="C148" s="1585">
        <v>9.15</v>
      </c>
      <c r="D148" s="1585">
        <v>9.15</v>
      </c>
      <c r="E148" s="1585">
        <v>9.15</v>
      </c>
      <c r="F148" s="1585">
        <v>9.15</v>
      </c>
      <c r="G148" s="1586" t="s">
        <v>1412</v>
      </c>
      <c r="H148" s="1590" t="s">
        <v>1412</v>
      </c>
      <c r="I148" s="1590" t="s">
        <v>1412</v>
      </c>
      <c r="J148" s="1590" t="s">
        <v>1412</v>
      </c>
      <c r="K148" s="1590" t="s">
        <v>1412</v>
      </c>
      <c r="L148" s="1573"/>
      <c r="M148" s="1573"/>
    </row>
    <row r="149" spans="1:13">
      <c r="A149" s="1585" t="s">
        <v>1412</v>
      </c>
      <c r="B149" s="1585" t="s">
        <v>1412</v>
      </c>
      <c r="C149" s="1585" t="s">
        <v>1412</v>
      </c>
      <c r="D149" s="1585">
        <v>1.41</v>
      </c>
      <c r="E149" s="1585">
        <v>1.41</v>
      </c>
      <c r="F149" s="1585">
        <v>1.41</v>
      </c>
      <c r="G149" s="1586">
        <v>9.07</v>
      </c>
      <c r="H149" s="1590" t="s">
        <v>1412</v>
      </c>
      <c r="I149" s="1590" t="s">
        <v>1412</v>
      </c>
      <c r="J149" s="1590" t="s">
        <v>1412</v>
      </c>
      <c r="K149" s="1590" t="s">
        <v>1412</v>
      </c>
      <c r="L149" s="1573"/>
      <c r="M149" s="1573"/>
    </row>
    <row r="150" spans="1:13">
      <c r="A150" s="1593" t="s">
        <v>1412</v>
      </c>
      <c r="B150" s="1593" t="s">
        <v>1412</v>
      </c>
      <c r="C150" s="1593" t="s">
        <v>1412</v>
      </c>
      <c r="D150" s="1596" t="s">
        <v>703</v>
      </c>
      <c r="E150" s="1596" t="s">
        <v>703</v>
      </c>
      <c r="F150" s="1593" t="s">
        <v>1412</v>
      </c>
      <c r="G150" s="1593" t="s">
        <v>1412</v>
      </c>
      <c r="H150" s="1593" t="s">
        <v>1412</v>
      </c>
      <c r="I150" s="1593" t="s">
        <v>718</v>
      </c>
      <c r="J150" s="1593" t="s">
        <v>1412</v>
      </c>
      <c r="K150" s="1593" t="s">
        <v>1412</v>
      </c>
      <c r="L150" s="1573"/>
      <c r="M150" s="1573"/>
    </row>
    <row r="151" spans="1:13">
      <c r="A151" s="1585" t="s">
        <v>1412</v>
      </c>
      <c r="B151" s="1585" t="s">
        <v>1412</v>
      </c>
      <c r="C151" s="1585" t="s">
        <v>1412</v>
      </c>
      <c r="D151" s="1585">
        <v>8.02</v>
      </c>
      <c r="E151" s="1585">
        <v>8.02</v>
      </c>
      <c r="F151" s="1585">
        <v>8.02</v>
      </c>
      <c r="G151" s="1586">
        <v>8.01</v>
      </c>
      <c r="H151" s="1587" t="s">
        <v>1563</v>
      </c>
      <c r="I151" s="1587" t="s">
        <v>1563</v>
      </c>
      <c r="J151" s="1587" t="s">
        <v>1563</v>
      </c>
      <c r="K151" s="1587" t="s">
        <v>1563</v>
      </c>
      <c r="L151" s="1573"/>
      <c r="M151" s="1573"/>
    </row>
    <row r="152" spans="1:13">
      <c r="A152" s="1585" t="s">
        <v>1412</v>
      </c>
      <c r="B152" s="1585" t="s">
        <v>1412</v>
      </c>
      <c r="C152" s="1585" t="s">
        <v>1412</v>
      </c>
      <c r="D152" s="1585" t="s">
        <v>1412</v>
      </c>
      <c r="E152" s="1585" t="s">
        <v>1412</v>
      </c>
      <c r="F152" s="1585" t="s">
        <v>1412</v>
      </c>
      <c r="G152" s="1586" t="s">
        <v>1412</v>
      </c>
      <c r="H152" s="1587" t="s">
        <v>1564</v>
      </c>
      <c r="I152" s="1587" t="s">
        <v>1564</v>
      </c>
      <c r="J152" s="1587" t="s">
        <v>1564</v>
      </c>
      <c r="K152" s="1587" t="s">
        <v>1564</v>
      </c>
      <c r="L152" s="1573"/>
      <c r="M152" s="1573"/>
    </row>
    <row r="153" spans="1:13">
      <c r="A153" s="1585" t="s">
        <v>1412</v>
      </c>
      <c r="B153" s="1585" t="s">
        <v>1412</v>
      </c>
      <c r="C153" s="1585" t="s">
        <v>1412</v>
      </c>
      <c r="D153" s="1585" t="s">
        <v>1412</v>
      </c>
      <c r="E153" s="1585" t="s">
        <v>1412</v>
      </c>
      <c r="F153" s="1585" t="s">
        <v>1412</v>
      </c>
      <c r="G153" s="1586" t="s">
        <v>1412</v>
      </c>
      <c r="H153" s="1587" t="s">
        <v>1565</v>
      </c>
      <c r="I153" s="1587" t="s">
        <v>1565</v>
      </c>
      <c r="J153" s="1587" t="s">
        <v>1565</v>
      </c>
      <c r="K153" s="1587" t="s">
        <v>1565</v>
      </c>
      <c r="L153" s="1573"/>
      <c r="M153" s="1573"/>
    </row>
    <row r="154" spans="1:13">
      <c r="A154" s="1585" t="s">
        <v>1412</v>
      </c>
      <c r="B154" s="1585" t="s">
        <v>1412</v>
      </c>
      <c r="C154" s="1585" t="s">
        <v>1412</v>
      </c>
      <c r="D154" s="1585" t="s">
        <v>1412</v>
      </c>
      <c r="E154" s="1585" t="s">
        <v>1412</v>
      </c>
      <c r="F154" s="1585" t="s">
        <v>1412</v>
      </c>
      <c r="G154" s="1586" t="s">
        <v>1412</v>
      </c>
      <c r="H154" s="1587" t="s">
        <v>1567</v>
      </c>
      <c r="I154" s="1587" t="s">
        <v>1567</v>
      </c>
      <c r="J154" s="1587" t="s">
        <v>1567</v>
      </c>
      <c r="K154" s="1587" t="s">
        <v>1567</v>
      </c>
      <c r="L154" s="1573"/>
      <c r="M154" s="1573"/>
    </row>
    <row r="155" spans="1:13">
      <c r="A155" s="1585" t="s">
        <v>1412</v>
      </c>
      <c r="B155" s="1585" t="s">
        <v>1412</v>
      </c>
      <c r="C155" s="1585" t="s">
        <v>1412</v>
      </c>
      <c r="D155" s="1585" t="s">
        <v>1412</v>
      </c>
      <c r="E155" s="1585" t="s">
        <v>1412</v>
      </c>
      <c r="F155" s="1585" t="s">
        <v>1412</v>
      </c>
      <c r="G155" s="1586" t="s">
        <v>1412</v>
      </c>
      <c r="H155" s="1587" t="s">
        <v>1569</v>
      </c>
      <c r="I155" s="1587" t="s">
        <v>1569</v>
      </c>
      <c r="J155" s="1587" t="s">
        <v>1569</v>
      </c>
      <c r="K155" s="1587" t="s">
        <v>1569</v>
      </c>
      <c r="L155" s="1573"/>
      <c r="M155" s="1573"/>
    </row>
    <row r="156" spans="1:13">
      <c r="A156" s="1585" t="s">
        <v>1412</v>
      </c>
      <c r="B156" s="1585" t="s">
        <v>1412</v>
      </c>
      <c r="C156" s="1585" t="s">
        <v>1412</v>
      </c>
      <c r="D156" s="1585" t="s">
        <v>1412</v>
      </c>
      <c r="E156" s="1585" t="s">
        <v>1412</v>
      </c>
      <c r="F156" s="1585" t="s">
        <v>1412</v>
      </c>
      <c r="G156" s="1586" t="s">
        <v>1412</v>
      </c>
      <c r="H156" s="1587" t="s">
        <v>1571</v>
      </c>
      <c r="I156" s="1587" t="s">
        <v>1571</v>
      </c>
      <c r="J156" s="1587" t="s">
        <v>1571</v>
      </c>
      <c r="K156" s="1587" t="s">
        <v>1571</v>
      </c>
      <c r="L156" s="1573"/>
      <c r="M156" s="1573"/>
    </row>
    <row r="157" spans="1:13">
      <c r="A157" s="1585" t="s">
        <v>1412</v>
      </c>
      <c r="B157" s="1585" t="s">
        <v>1412</v>
      </c>
      <c r="C157" s="1585" t="s">
        <v>1412</v>
      </c>
      <c r="D157" s="1585" t="s">
        <v>1412</v>
      </c>
      <c r="E157" s="1585" t="s">
        <v>1412</v>
      </c>
      <c r="F157" s="1585" t="s">
        <v>1412</v>
      </c>
      <c r="G157" s="1586" t="s">
        <v>1412</v>
      </c>
      <c r="H157" s="1587" t="s">
        <v>1574</v>
      </c>
      <c r="I157" s="1587" t="s">
        <v>1574</v>
      </c>
      <c r="J157" s="1587" t="s">
        <v>1574</v>
      </c>
      <c r="K157" s="1587" t="s">
        <v>1574</v>
      </c>
      <c r="L157" s="1573"/>
      <c r="M157" s="1573"/>
    </row>
    <row r="158" spans="1:13">
      <c r="A158" s="1585" t="s">
        <v>1412</v>
      </c>
      <c r="B158" s="1585" t="s">
        <v>1412</v>
      </c>
      <c r="C158" s="1585" t="s">
        <v>1412</v>
      </c>
      <c r="D158" s="1585" t="s">
        <v>1412</v>
      </c>
      <c r="E158" s="1585" t="s">
        <v>1412</v>
      </c>
      <c r="F158" s="1585" t="s">
        <v>1412</v>
      </c>
      <c r="G158" s="1586" t="s">
        <v>1412</v>
      </c>
      <c r="H158" s="1587" t="s">
        <v>1575</v>
      </c>
      <c r="I158" s="1587" t="s">
        <v>1575</v>
      </c>
      <c r="J158" s="1587" t="s">
        <v>1575</v>
      </c>
      <c r="K158" s="1587" t="s">
        <v>1575</v>
      </c>
      <c r="L158" s="1573"/>
      <c r="M158" s="1573"/>
    </row>
    <row r="159" spans="1:13">
      <c r="A159" s="1585" t="s">
        <v>1412</v>
      </c>
      <c r="B159" s="1585" t="s">
        <v>1412</v>
      </c>
      <c r="C159" s="1585" t="s">
        <v>1412</v>
      </c>
      <c r="D159" s="1585" t="s">
        <v>1412</v>
      </c>
      <c r="E159" s="1585" t="s">
        <v>1412</v>
      </c>
      <c r="F159" s="1585" t="s">
        <v>1412</v>
      </c>
      <c r="G159" s="1586" t="s">
        <v>1412</v>
      </c>
      <c r="H159" s="1587" t="s">
        <v>1577</v>
      </c>
      <c r="I159" s="1587" t="s">
        <v>1577</v>
      </c>
      <c r="J159" s="1587" t="s">
        <v>1577</v>
      </c>
      <c r="K159" s="1587" t="s">
        <v>1577</v>
      </c>
      <c r="L159" s="1573"/>
      <c r="M159" s="1573"/>
    </row>
    <row r="160" spans="1:13">
      <c r="A160" s="1585" t="s">
        <v>1412</v>
      </c>
      <c r="B160" s="1585" t="s">
        <v>1412</v>
      </c>
      <c r="C160" s="1585" t="s">
        <v>1412</v>
      </c>
      <c r="D160" s="1585" t="s">
        <v>1412</v>
      </c>
      <c r="E160" s="1585" t="s">
        <v>1412</v>
      </c>
      <c r="F160" s="1585" t="s">
        <v>1412</v>
      </c>
      <c r="G160" s="1586" t="s">
        <v>1412</v>
      </c>
      <c r="H160" s="1587" t="s">
        <v>1581</v>
      </c>
      <c r="I160" s="1587" t="s">
        <v>1581</v>
      </c>
      <c r="J160" s="1587" t="s">
        <v>1581</v>
      </c>
      <c r="K160" s="1587" t="s">
        <v>1581</v>
      </c>
      <c r="L160" s="1573"/>
      <c r="M160" s="1573"/>
    </row>
    <row r="161" spans="1:13">
      <c r="A161" s="1585" t="s">
        <v>1412</v>
      </c>
      <c r="B161" s="1585" t="s">
        <v>1412</v>
      </c>
      <c r="C161" s="1585" t="s">
        <v>1412</v>
      </c>
      <c r="D161" s="1585" t="s">
        <v>1412</v>
      </c>
      <c r="E161" s="1585" t="s">
        <v>1412</v>
      </c>
      <c r="F161" s="1585" t="s">
        <v>1412</v>
      </c>
      <c r="G161" s="1586" t="s">
        <v>1412</v>
      </c>
      <c r="H161" s="1587" t="s">
        <v>1582</v>
      </c>
      <c r="I161" s="1587" t="s">
        <v>1582</v>
      </c>
      <c r="J161" s="1587" t="s">
        <v>1582</v>
      </c>
      <c r="K161" s="1587" t="s">
        <v>1582</v>
      </c>
      <c r="L161" s="1573"/>
      <c r="M161" s="1573"/>
    </row>
    <row r="162" spans="1:13">
      <c r="A162" s="1585" t="s">
        <v>1412</v>
      </c>
      <c r="B162" s="1585" t="s">
        <v>1412</v>
      </c>
      <c r="C162" s="1585" t="s">
        <v>1412</v>
      </c>
      <c r="D162" s="1585" t="s">
        <v>1412</v>
      </c>
      <c r="E162" s="1585" t="s">
        <v>1412</v>
      </c>
      <c r="F162" s="1585" t="s">
        <v>1412</v>
      </c>
      <c r="G162" s="1586" t="s">
        <v>1412</v>
      </c>
      <c r="H162" s="1587" t="s">
        <v>1583</v>
      </c>
      <c r="I162" s="1587" t="s">
        <v>1583</v>
      </c>
      <c r="J162" s="1587" t="s">
        <v>1583</v>
      </c>
      <c r="K162" s="1587" t="s">
        <v>1583</v>
      </c>
      <c r="L162" s="1573"/>
      <c r="M162" s="1573"/>
    </row>
    <row r="163" spans="1:13">
      <c r="A163" s="1585" t="s">
        <v>1412</v>
      </c>
      <c r="B163" s="1585" t="s">
        <v>1412</v>
      </c>
      <c r="C163" s="1585" t="s">
        <v>1412</v>
      </c>
      <c r="D163" s="1585" t="s">
        <v>1412</v>
      </c>
      <c r="E163" s="1585" t="s">
        <v>1412</v>
      </c>
      <c r="F163" s="1585" t="s">
        <v>1412</v>
      </c>
      <c r="G163" s="1586" t="s">
        <v>1412</v>
      </c>
      <c r="H163" s="1587" t="s">
        <v>1586</v>
      </c>
      <c r="I163" s="1587" t="s">
        <v>1586</v>
      </c>
      <c r="J163" s="1587" t="s">
        <v>1586</v>
      </c>
      <c r="K163" s="1587" t="s">
        <v>1586</v>
      </c>
      <c r="L163" s="1573"/>
      <c r="M163" s="1573"/>
    </row>
    <row r="164" spans="1:13">
      <c r="A164" s="1585" t="s">
        <v>1412</v>
      </c>
      <c r="B164" s="1585" t="s">
        <v>1412</v>
      </c>
      <c r="C164" s="1585" t="s">
        <v>1412</v>
      </c>
      <c r="D164" s="1585" t="s">
        <v>1412</v>
      </c>
      <c r="E164" s="1585" t="s">
        <v>1412</v>
      </c>
      <c r="F164" s="1585" t="s">
        <v>1412</v>
      </c>
      <c r="G164" s="1586" t="s">
        <v>1412</v>
      </c>
      <c r="H164" s="1587" t="s">
        <v>1587</v>
      </c>
      <c r="I164" s="1587" t="s">
        <v>1587</v>
      </c>
      <c r="J164" s="1587" t="s">
        <v>1587</v>
      </c>
      <c r="K164" s="1587" t="s">
        <v>1587</v>
      </c>
      <c r="L164" s="1573"/>
      <c r="M164" s="1573"/>
    </row>
    <row r="165" spans="1:13">
      <c r="A165" s="1585" t="s">
        <v>1412</v>
      </c>
      <c r="B165" s="1585" t="s">
        <v>1412</v>
      </c>
      <c r="C165" s="1585" t="s">
        <v>1412</v>
      </c>
      <c r="D165" s="1585" t="s">
        <v>1412</v>
      </c>
      <c r="E165" s="1585" t="s">
        <v>1412</v>
      </c>
      <c r="F165" s="1585" t="s">
        <v>1412</v>
      </c>
      <c r="G165" s="1586" t="s">
        <v>1412</v>
      </c>
      <c r="H165" s="1587" t="s">
        <v>1602</v>
      </c>
      <c r="I165" s="1587" t="s">
        <v>1602</v>
      </c>
      <c r="J165" s="1587" t="s">
        <v>1602</v>
      </c>
      <c r="K165" s="1587" t="s">
        <v>1602</v>
      </c>
      <c r="L165" s="1573"/>
      <c r="M165" s="1573"/>
    </row>
    <row r="166" spans="1:13">
      <c r="A166" s="1585" t="s">
        <v>1412</v>
      </c>
      <c r="B166" s="1585" t="s">
        <v>1412</v>
      </c>
      <c r="C166" s="1585" t="s">
        <v>1412</v>
      </c>
      <c r="D166" s="1585" t="s">
        <v>1412</v>
      </c>
      <c r="E166" s="1585" t="s">
        <v>1412</v>
      </c>
      <c r="F166" s="1585" t="s">
        <v>1412</v>
      </c>
      <c r="G166" s="1586" t="s">
        <v>1412</v>
      </c>
      <c r="H166" s="1587" t="s">
        <v>1603</v>
      </c>
      <c r="I166" s="1587" t="s">
        <v>1603</v>
      </c>
      <c r="J166" s="1587" t="s">
        <v>1603</v>
      </c>
      <c r="K166" s="1587" t="s">
        <v>1603</v>
      </c>
      <c r="L166" s="1573"/>
      <c r="M166" s="1573"/>
    </row>
    <row r="167" spans="1:13">
      <c r="A167" s="1585" t="s">
        <v>1412</v>
      </c>
      <c r="B167" s="1585" t="s">
        <v>1412</v>
      </c>
      <c r="C167" s="1585" t="s">
        <v>1412</v>
      </c>
      <c r="D167" s="1585" t="s">
        <v>1412</v>
      </c>
      <c r="E167" s="1585" t="s">
        <v>1412</v>
      </c>
      <c r="F167" s="1585" t="s">
        <v>1412</v>
      </c>
      <c r="G167" s="1586" t="s">
        <v>1412</v>
      </c>
      <c r="H167" s="1587" t="s">
        <v>1607</v>
      </c>
      <c r="I167" s="1587" t="s">
        <v>1607</v>
      </c>
      <c r="J167" s="1587" t="s">
        <v>1607</v>
      </c>
      <c r="K167" s="1587" t="s">
        <v>1607</v>
      </c>
      <c r="L167" s="1573"/>
      <c r="M167" s="1573"/>
    </row>
    <row r="168" spans="1:13">
      <c r="A168" s="1585" t="s">
        <v>1412</v>
      </c>
      <c r="B168" s="1585" t="s">
        <v>1412</v>
      </c>
      <c r="C168" s="1585" t="s">
        <v>1412</v>
      </c>
      <c r="D168" s="1585" t="s">
        <v>1412</v>
      </c>
      <c r="E168" s="1585" t="s">
        <v>1412</v>
      </c>
      <c r="F168" s="1585" t="s">
        <v>1412</v>
      </c>
      <c r="G168" s="1586" t="s">
        <v>1412</v>
      </c>
      <c r="H168" s="1587" t="s">
        <v>666</v>
      </c>
      <c r="I168" s="1587" t="s">
        <v>666</v>
      </c>
      <c r="J168" s="1587" t="s">
        <v>666</v>
      </c>
      <c r="K168" s="1587" t="s">
        <v>666</v>
      </c>
      <c r="L168" s="1573"/>
      <c r="M168" s="1573"/>
    </row>
    <row r="169" spans="1:13">
      <c r="A169" s="1585" t="s">
        <v>1412</v>
      </c>
      <c r="B169" s="1585" t="s">
        <v>1412</v>
      </c>
      <c r="C169" s="1585" t="s">
        <v>1412</v>
      </c>
      <c r="D169" s="1585" t="s">
        <v>1412</v>
      </c>
      <c r="E169" s="1585" t="s">
        <v>1412</v>
      </c>
      <c r="F169" s="1585" t="s">
        <v>1412</v>
      </c>
      <c r="G169" s="1586" t="s">
        <v>1412</v>
      </c>
      <c r="H169" s="1587" t="s">
        <v>709</v>
      </c>
      <c r="I169" s="1587" t="s">
        <v>709</v>
      </c>
      <c r="J169" s="1587" t="s">
        <v>708</v>
      </c>
      <c r="K169" s="1587" t="s">
        <v>708</v>
      </c>
      <c r="L169" s="1573"/>
      <c r="M169" s="1573"/>
    </row>
    <row r="170" spans="1:13">
      <c r="A170" s="1585" t="s">
        <v>1412</v>
      </c>
      <c r="B170" s="1585" t="s">
        <v>1412</v>
      </c>
      <c r="C170" s="1585" t="s">
        <v>1412</v>
      </c>
      <c r="D170" s="1585" t="s">
        <v>1412</v>
      </c>
      <c r="E170" s="1585" t="s">
        <v>1412</v>
      </c>
      <c r="F170" s="1585" t="s">
        <v>1412</v>
      </c>
      <c r="G170" s="1586" t="s">
        <v>1412</v>
      </c>
      <c r="H170" s="1587" t="s">
        <v>710</v>
      </c>
      <c r="I170" s="1587" t="s">
        <v>710</v>
      </c>
      <c r="J170" s="1587" t="s">
        <v>709</v>
      </c>
      <c r="K170" s="1587" t="s">
        <v>709</v>
      </c>
      <c r="L170" s="1573"/>
      <c r="M170" s="1573"/>
    </row>
    <row r="171" spans="1:13">
      <c r="A171" s="1585" t="s">
        <v>1412</v>
      </c>
      <c r="B171" s="1585" t="s">
        <v>1412</v>
      </c>
      <c r="C171" s="1585" t="s">
        <v>1412</v>
      </c>
      <c r="D171" s="1585" t="s">
        <v>1412</v>
      </c>
      <c r="E171" s="1585" t="s">
        <v>1412</v>
      </c>
      <c r="F171" s="1585" t="s">
        <v>1412</v>
      </c>
      <c r="G171" s="1586" t="s">
        <v>1412</v>
      </c>
      <c r="H171" s="1587" t="s">
        <v>711</v>
      </c>
      <c r="I171" s="1587" t="s">
        <v>711</v>
      </c>
      <c r="J171" s="1587" t="s">
        <v>710</v>
      </c>
      <c r="K171" s="1587" t="s">
        <v>710</v>
      </c>
      <c r="L171" s="1573"/>
      <c r="M171" s="1573"/>
    </row>
    <row r="172" spans="1:13">
      <c r="A172" s="1585" t="s">
        <v>1412</v>
      </c>
      <c r="B172" s="1585" t="s">
        <v>1412</v>
      </c>
      <c r="C172" s="1585" t="s">
        <v>1412</v>
      </c>
      <c r="D172" s="1585" t="s">
        <v>1412</v>
      </c>
      <c r="E172" s="1585" t="s">
        <v>1412</v>
      </c>
      <c r="F172" s="1585" t="s">
        <v>1412</v>
      </c>
      <c r="G172" s="1586" t="s">
        <v>1412</v>
      </c>
      <c r="H172" s="1587" t="s">
        <v>721</v>
      </c>
      <c r="I172" s="1587" t="s">
        <v>721</v>
      </c>
      <c r="J172" s="1587" t="s">
        <v>721</v>
      </c>
      <c r="K172" s="1587" t="s">
        <v>1412</v>
      </c>
      <c r="L172" s="1573"/>
      <c r="M172" s="1573"/>
    </row>
    <row r="173" spans="1:13">
      <c r="A173" s="1585" t="s">
        <v>1412</v>
      </c>
      <c r="B173" s="1585" t="s">
        <v>1412</v>
      </c>
      <c r="C173" s="1585" t="s">
        <v>1412</v>
      </c>
      <c r="D173" s="1585" t="s">
        <v>1412</v>
      </c>
      <c r="E173" s="1585" t="s">
        <v>1412</v>
      </c>
      <c r="F173" s="1585" t="s">
        <v>1412</v>
      </c>
      <c r="G173" s="1586" t="s">
        <v>1412</v>
      </c>
      <c r="H173" s="1587" t="s">
        <v>723</v>
      </c>
      <c r="I173" s="1587" t="s">
        <v>723</v>
      </c>
      <c r="J173" s="1587" t="s">
        <v>723</v>
      </c>
      <c r="K173" s="1587" t="s">
        <v>1412</v>
      </c>
      <c r="L173" s="1573"/>
      <c r="M173" s="1573"/>
    </row>
    <row r="174" spans="1:13">
      <c r="A174" s="1585" t="s">
        <v>1412</v>
      </c>
      <c r="B174" s="1585" t="s">
        <v>1412</v>
      </c>
      <c r="C174" s="1585" t="s">
        <v>1412</v>
      </c>
      <c r="D174" s="1585" t="s">
        <v>1412</v>
      </c>
      <c r="E174" s="1585" t="s">
        <v>1412</v>
      </c>
      <c r="F174" s="1585" t="s">
        <v>1412</v>
      </c>
      <c r="G174" s="1586" t="s">
        <v>1412</v>
      </c>
      <c r="H174" s="1587" t="s">
        <v>479</v>
      </c>
      <c r="I174" s="1587" t="s">
        <v>479</v>
      </c>
      <c r="J174" s="1587" t="s">
        <v>479</v>
      </c>
      <c r="K174" s="1587" t="s">
        <v>1412</v>
      </c>
      <c r="L174" s="1573"/>
      <c r="M174" s="1573"/>
    </row>
    <row r="175" spans="1:13">
      <c r="A175" s="1585" t="s">
        <v>1412</v>
      </c>
      <c r="B175" s="1585" t="s">
        <v>1412</v>
      </c>
      <c r="C175" s="1585" t="s">
        <v>1412</v>
      </c>
      <c r="D175" s="1585" t="s">
        <v>1412</v>
      </c>
      <c r="E175" s="1585" t="s">
        <v>1412</v>
      </c>
      <c r="F175" s="1585" t="s">
        <v>1412</v>
      </c>
      <c r="G175" s="1586" t="s">
        <v>1412</v>
      </c>
      <c r="H175" s="1587" t="s">
        <v>480</v>
      </c>
      <c r="I175" s="1587" t="s">
        <v>480</v>
      </c>
      <c r="J175" s="1587" t="s">
        <v>480</v>
      </c>
      <c r="K175" s="1587" t="s">
        <v>1412</v>
      </c>
      <c r="L175" s="1573"/>
      <c r="M175" s="1573"/>
    </row>
    <row r="176" spans="1:13">
      <c r="A176" s="1585" t="s">
        <v>1412</v>
      </c>
      <c r="B176" s="1585" t="s">
        <v>1412</v>
      </c>
      <c r="C176" s="1585" t="s">
        <v>1412</v>
      </c>
      <c r="D176" s="1585" t="s">
        <v>1412</v>
      </c>
      <c r="E176" s="1585" t="s">
        <v>1412</v>
      </c>
      <c r="F176" s="1585" t="s">
        <v>1412</v>
      </c>
      <c r="G176" s="1586" t="s">
        <v>1412</v>
      </c>
      <c r="H176" s="1587" t="s">
        <v>472</v>
      </c>
      <c r="I176" s="1587" t="s">
        <v>472</v>
      </c>
      <c r="J176" s="1587" t="s">
        <v>1412</v>
      </c>
      <c r="K176" s="1587" t="s">
        <v>1412</v>
      </c>
      <c r="L176" s="1573"/>
      <c r="M176" s="1573"/>
    </row>
    <row r="177" spans="1:15">
      <c r="A177" s="1585" t="s">
        <v>1412</v>
      </c>
      <c r="B177" s="1585" t="s">
        <v>1412</v>
      </c>
      <c r="C177" s="1585" t="s">
        <v>1412</v>
      </c>
      <c r="D177" s="1585" t="s">
        <v>1412</v>
      </c>
      <c r="E177" s="1585" t="s">
        <v>1412</v>
      </c>
      <c r="F177" s="1585" t="s">
        <v>1412</v>
      </c>
      <c r="G177" s="1586" t="s">
        <v>1412</v>
      </c>
      <c r="H177" s="1587" t="s">
        <v>484</v>
      </c>
      <c r="I177" s="1587" t="s">
        <v>1412</v>
      </c>
      <c r="J177" s="1587" t="s">
        <v>1412</v>
      </c>
      <c r="K177" s="1587" t="s">
        <v>1412</v>
      </c>
      <c r="L177" s="1573"/>
      <c r="M177" s="1573"/>
    </row>
    <row r="178" spans="1:15">
      <c r="A178" s="1585" t="s">
        <v>1412</v>
      </c>
      <c r="B178" s="1585" t="s">
        <v>1412</v>
      </c>
      <c r="C178" s="1585" t="s">
        <v>1412</v>
      </c>
      <c r="D178" s="1585" t="s">
        <v>1412</v>
      </c>
      <c r="E178" s="1585" t="s">
        <v>1412</v>
      </c>
      <c r="F178" s="1585" t="s">
        <v>1412</v>
      </c>
      <c r="G178" s="1586" t="s">
        <v>1412</v>
      </c>
      <c r="H178" s="1587" t="s">
        <v>726</v>
      </c>
      <c r="I178" s="1587" t="s">
        <v>726</v>
      </c>
      <c r="J178" s="1587" t="s">
        <v>726</v>
      </c>
      <c r="K178" s="1587" t="s">
        <v>725</v>
      </c>
      <c r="L178" s="1573"/>
      <c r="M178" s="1573"/>
    </row>
    <row r="179" spans="1:15">
      <c r="A179" s="1585" t="s">
        <v>1412</v>
      </c>
      <c r="B179" s="1585" t="s">
        <v>1412</v>
      </c>
      <c r="C179" s="1585" t="s">
        <v>1412</v>
      </c>
      <c r="D179" s="1585" t="s">
        <v>1412</v>
      </c>
      <c r="E179" s="1585" t="s">
        <v>1412</v>
      </c>
      <c r="F179" s="1585" t="s">
        <v>1412</v>
      </c>
      <c r="G179" s="1586" t="s">
        <v>1412</v>
      </c>
      <c r="H179" s="1587" t="s">
        <v>467</v>
      </c>
      <c r="I179" s="1587" t="s">
        <v>467</v>
      </c>
      <c r="J179" s="1587" t="s">
        <v>467</v>
      </c>
      <c r="K179" s="1587" t="s">
        <v>727</v>
      </c>
      <c r="L179" s="1573"/>
      <c r="M179" s="1573"/>
    </row>
    <row r="180" spans="1:15">
      <c r="A180" s="1585" t="s">
        <v>1412</v>
      </c>
      <c r="B180" s="1585" t="s">
        <v>1412</v>
      </c>
      <c r="C180" s="1585" t="s">
        <v>1412</v>
      </c>
      <c r="D180" s="1585" t="s">
        <v>1412</v>
      </c>
      <c r="E180" s="1585" t="s">
        <v>1412</v>
      </c>
      <c r="F180" s="1585" t="s">
        <v>1412</v>
      </c>
      <c r="G180" s="1586" t="s">
        <v>1412</v>
      </c>
      <c r="H180" s="1587" t="s">
        <v>469</v>
      </c>
      <c r="I180" s="1587" t="s">
        <v>469</v>
      </c>
      <c r="J180" s="1587" t="s">
        <v>469</v>
      </c>
      <c r="K180" s="1587" t="s">
        <v>468</v>
      </c>
      <c r="L180" s="1573"/>
      <c r="M180" s="1573"/>
    </row>
    <row r="181" spans="1:15">
      <c r="A181" s="1585" t="s">
        <v>1412</v>
      </c>
      <c r="B181" s="1585" t="s">
        <v>1412</v>
      </c>
      <c r="C181" s="1585" t="s">
        <v>1412</v>
      </c>
      <c r="D181" s="1585" t="s">
        <v>1412</v>
      </c>
      <c r="E181" s="1585" t="s">
        <v>1412</v>
      </c>
      <c r="F181" s="1585" t="s">
        <v>1412</v>
      </c>
      <c r="G181" s="1586" t="s">
        <v>1412</v>
      </c>
      <c r="H181" s="1587" t="s">
        <v>471</v>
      </c>
      <c r="I181" s="1587" t="s">
        <v>471</v>
      </c>
      <c r="J181" s="1587" t="s">
        <v>471</v>
      </c>
      <c r="K181" s="1587" t="s">
        <v>470</v>
      </c>
      <c r="L181" s="1573"/>
      <c r="M181" s="1573"/>
    </row>
    <row r="182" spans="1:15">
      <c r="A182" s="1589" t="s">
        <v>1412</v>
      </c>
      <c r="B182" s="1589" t="s">
        <v>1412</v>
      </c>
      <c r="C182" s="1589" t="s">
        <v>1412</v>
      </c>
      <c r="D182" s="1589" t="s">
        <v>1412</v>
      </c>
      <c r="E182" s="1589" t="s">
        <v>1412</v>
      </c>
      <c r="F182" s="1589" t="s">
        <v>1412</v>
      </c>
      <c r="G182" s="1587" t="s">
        <v>1412</v>
      </c>
      <c r="H182" s="1587" t="s">
        <v>1412</v>
      </c>
      <c r="I182" s="1587" t="s">
        <v>718</v>
      </c>
      <c r="J182" s="1587" t="s">
        <v>1412</v>
      </c>
      <c r="K182" s="1587" t="s">
        <v>1412</v>
      </c>
      <c r="L182" s="1573"/>
      <c r="M182" s="1573"/>
    </row>
    <row r="183" spans="1:15">
      <c r="A183" s="1589" t="s">
        <v>1412</v>
      </c>
      <c r="B183" s="1589" t="s">
        <v>1412</v>
      </c>
      <c r="C183" s="1589" t="s">
        <v>1412</v>
      </c>
      <c r="D183" s="1589" t="s">
        <v>1412</v>
      </c>
      <c r="E183" s="1589" t="s">
        <v>1412</v>
      </c>
      <c r="F183" s="1589" t="s">
        <v>1412</v>
      </c>
      <c r="G183" s="1587" t="s">
        <v>1412</v>
      </c>
      <c r="H183" s="1587" t="s">
        <v>1412</v>
      </c>
      <c r="I183" s="1587" t="s">
        <v>1412</v>
      </c>
      <c r="J183" s="1587" t="s">
        <v>715</v>
      </c>
      <c r="K183" s="1587" t="s">
        <v>718</v>
      </c>
      <c r="L183" s="1573"/>
      <c r="M183" s="1573"/>
    </row>
    <row r="184" spans="1:15">
      <c r="A184" s="1597"/>
      <c r="B184" s="1597"/>
      <c r="C184" s="1597"/>
      <c r="D184" s="1597"/>
      <c r="E184" s="1597"/>
      <c r="F184" s="1597"/>
      <c r="G184" s="1597"/>
      <c r="H184" s="1597"/>
      <c r="I184" s="1597"/>
      <c r="J184" s="1597"/>
      <c r="L184" s="1573"/>
      <c r="M184" s="1573"/>
    </row>
    <row r="185" spans="1:15" ht="13">
      <c r="A185" s="1573" t="s">
        <v>487</v>
      </c>
      <c r="B185" s="1573"/>
      <c r="C185" s="1573"/>
      <c r="D185" s="1530"/>
      <c r="E185" s="1530"/>
      <c r="H185" s="1572"/>
      <c r="I185" s="1572"/>
      <c r="J185" s="1598"/>
      <c r="K185" s="1598"/>
      <c r="L185" s="1598"/>
      <c r="M185" s="1598"/>
      <c r="N185" s="1599"/>
      <c r="O185" s="1599"/>
    </row>
    <row r="186" spans="1:15" ht="9.75" customHeight="1">
      <c r="B186" s="1573"/>
      <c r="C186" s="1530"/>
      <c r="D186" s="1530"/>
      <c r="H186" s="1572"/>
      <c r="L186" s="1573"/>
      <c r="N186" s="1572"/>
    </row>
    <row r="187" spans="1:15">
      <c r="B187" s="1573"/>
      <c r="H187" s="1572"/>
      <c r="L187" s="1573"/>
      <c r="N187" s="1572"/>
    </row>
    <row r="188" spans="1:15">
      <c r="B188" s="1573"/>
      <c r="H188" s="1572"/>
      <c r="L188" s="1573"/>
      <c r="N188" s="1572"/>
    </row>
  </sheetData>
  <phoneticPr fontId="30" type="noConversion"/>
  <pageMargins left="0.55000000000000004" right="0.41" top="0.46" bottom="0.48" header="0.36" footer="0.28000000000000003"/>
  <pageSetup paperSize="9" scale="78" fitToHeight="2" orientation="portrait"/>
  <headerFooter alignWithMargins="0">
    <oddFooter>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C0D0-7CDF-0042-B7B9-5DF7BB9EA614}">
  <sheetPr>
    <pageSetUpPr fitToPage="1"/>
  </sheetPr>
  <dimension ref="A1:J80"/>
  <sheetViews>
    <sheetView topLeftCell="A30" workbookViewId="0">
      <selection activeCell="F79" sqref="F79"/>
    </sheetView>
  </sheetViews>
  <sheetFormatPr baseColWidth="10" defaultColWidth="11.3984375" defaultRowHeight="13"/>
  <cols>
    <col min="1" max="1" width="12.19921875" style="1602" customWidth="1"/>
    <col min="2" max="16384" width="11.3984375" style="1602"/>
  </cols>
  <sheetData>
    <row r="1" spans="1:1">
      <c r="A1" s="1601" t="s">
        <v>1390</v>
      </c>
    </row>
    <row r="3" spans="1:1">
      <c r="A3" s="1603" t="s">
        <v>1391</v>
      </c>
    </row>
    <row r="5" spans="1:1">
      <c r="A5" s="1602" t="s">
        <v>1392</v>
      </c>
    </row>
    <row r="6" spans="1:1">
      <c r="A6" s="1602" t="s">
        <v>1393</v>
      </c>
    </row>
    <row r="7" spans="1:1">
      <c r="A7" s="1602" t="s">
        <v>1394</v>
      </c>
    </row>
    <row r="8" spans="1:1">
      <c r="A8" s="1602" t="s">
        <v>2132</v>
      </c>
    </row>
    <row r="9" spans="1:1">
      <c r="A9" s="1602" t="s">
        <v>2133</v>
      </c>
    </row>
    <row r="10" spans="1:1">
      <c r="A10" s="1602" t="s">
        <v>1395</v>
      </c>
    </row>
    <row r="12" spans="1:1">
      <c r="A12" s="1604" t="s">
        <v>1396</v>
      </c>
    </row>
    <row r="13" spans="1:1">
      <c r="A13" s="1604" t="s">
        <v>1397</v>
      </c>
    </row>
    <row r="14" spans="1:1">
      <c r="A14" s="1604" t="s">
        <v>1398</v>
      </c>
    </row>
    <row r="15" spans="1:1">
      <c r="A15" s="1605" t="s">
        <v>1399</v>
      </c>
    </row>
    <row r="16" spans="1:1">
      <c r="A16" s="1605"/>
    </row>
    <row r="17" spans="1:1">
      <c r="A17" s="1604" t="s">
        <v>1400</v>
      </c>
    </row>
    <row r="18" spans="1:1">
      <c r="A18" s="1604" t="s">
        <v>1401</v>
      </c>
    </row>
    <row r="19" spans="1:1">
      <c r="A19" s="1605"/>
    </row>
    <row r="20" spans="1:1">
      <c r="A20" s="1605"/>
    </row>
    <row r="21" spans="1:1">
      <c r="A21" s="1603" t="s">
        <v>1402</v>
      </c>
    </row>
    <row r="22" spans="1:1">
      <c r="A22" s="1604"/>
    </row>
    <row r="23" spans="1:1">
      <c r="A23" s="1605" t="s">
        <v>1403</v>
      </c>
    </row>
    <row r="24" spans="1:1">
      <c r="A24" s="1604" t="s">
        <v>1404</v>
      </c>
    </row>
    <row r="25" spans="1:1">
      <c r="A25" s="1604" t="s">
        <v>1405</v>
      </c>
    </row>
    <row r="26" spans="1:1">
      <c r="A26" s="1601"/>
    </row>
    <row r="27" spans="1:1">
      <c r="A27" s="1605" t="s">
        <v>1406</v>
      </c>
    </row>
    <row r="28" spans="1:1">
      <c r="A28" s="1604" t="s">
        <v>1404</v>
      </c>
    </row>
    <row r="29" spans="1:1">
      <c r="A29" s="1604" t="s">
        <v>1407</v>
      </c>
    </row>
    <row r="32" spans="1:1">
      <c r="A32" s="1606" t="s">
        <v>1408</v>
      </c>
    </row>
    <row r="33" spans="1:9">
      <c r="A33" s="1607" t="s">
        <v>1409</v>
      </c>
    </row>
    <row r="34" spans="1:9">
      <c r="A34" s="1607"/>
    </row>
    <row r="35" spans="1:9">
      <c r="A35" s="1607" t="s">
        <v>1410</v>
      </c>
    </row>
    <row r="36" spans="1:9">
      <c r="A36" s="1607" t="s">
        <v>2056</v>
      </c>
    </row>
    <row r="37" spans="1:9">
      <c r="A37" s="1608"/>
    </row>
    <row r="38" spans="1:9">
      <c r="A38" s="1608"/>
    </row>
    <row r="39" spans="1:9">
      <c r="A39" s="1603" t="s">
        <v>2057</v>
      </c>
    </row>
    <row r="40" spans="1:9">
      <c r="A40" s="1604" t="s">
        <v>2058</v>
      </c>
    </row>
    <row r="41" spans="1:9">
      <c r="A41" s="1604" t="s">
        <v>2059</v>
      </c>
    </row>
    <row r="42" spans="1:9">
      <c r="A42" s="1604" t="s">
        <v>2060</v>
      </c>
    </row>
    <row r="43" spans="1:9">
      <c r="A43" s="1602" t="s">
        <v>2061</v>
      </c>
    </row>
    <row r="45" spans="1:9">
      <c r="A45" s="1602" t="s">
        <v>2062</v>
      </c>
    </row>
    <row r="46" spans="1:9">
      <c r="A46" s="1602" t="s">
        <v>2063</v>
      </c>
    </row>
    <row r="47" spans="1:9" ht="17.25" customHeight="1"/>
    <row r="48" spans="1:9">
      <c r="A48" s="1609" t="s">
        <v>2064</v>
      </c>
      <c r="B48" s="1610"/>
      <c r="C48" s="1610"/>
      <c r="D48" s="1610"/>
      <c r="F48" s="1609" t="s">
        <v>2065</v>
      </c>
      <c r="G48" s="1610"/>
      <c r="H48" s="1610"/>
      <c r="I48" s="1610"/>
    </row>
    <row r="49" spans="1:10" ht="36">
      <c r="B49" s="1611" t="s">
        <v>2066</v>
      </c>
      <c r="C49" s="1611" t="s">
        <v>2067</v>
      </c>
      <c r="D49" s="1612" t="s">
        <v>2068</v>
      </c>
      <c r="G49" s="1611" t="s">
        <v>2069</v>
      </c>
      <c r="H49" s="1611" t="s">
        <v>2067</v>
      </c>
      <c r="I49" s="1612" t="s">
        <v>2068</v>
      </c>
    </row>
    <row r="50" spans="1:10">
      <c r="A50" s="1613">
        <v>1997</v>
      </c>
      <c r="B50" s="1614">
        <v>1663.893341996396</v>
      </c>
      <c r="C50" s="1614">
        <v>1668</v>
      </c>
      <c r="D50" s="1615">
        <f t="shared" ref="D50:D59" si="0">(C50/B50)-1</f>
        <v>2.4681017105800951E-3</v>
      </c>
      <c r="E50" s="1616"/>
      <c r="F50" s="1617" t="s">
        <v>51</v>
      </c>
      <c r="G50" s="1618">
        <v>406.58889619427657</v>
      </c>
      <c r="H50" s="1618">
        <v>392.5</v>
      </c>
      <c r="I50" s="1615">
        <f t="shared" ref="I50:I76" si="1">(H50/G50)-1</f>
        <v>-3.465145341191167E-2</v>
      </c>
      <c r="J50" s="1616"/>
    </row>
    <row r="51" spans="1:10">
      <c r="A51" s="1613">
        <v>1998</v>
      </c>
      <c r="B51" s="1614">
        <v>1753.6807220915252</v>
      </c>
      <c r="C51" s="1614">
        <v>1762.9</v>
      </c>
      <c r="D51" s="1615">
        <f t="shared" si="0"/>
        <v>5.2571017017735144E-3</v>
      </c>
      <c r="F51" s="1619" t="s">
        <v>52</v>
      </c>
      <c r="G51" s="1620">
        <v>406.33390472235817</v>
      </c>
      <c r="H51" s="1620">
        <v>390.5</v>
      </c>
      <c r="I51" s="1615">
        <f t="shared" si="1"/>
        <v>-3.896771728457471E-2</v>
      </c>
    </row>
    <row r="52" spans="1:10">
      <c r="A52" s="1613">
        <v>1999</v>
      </c>
      <c r="B52" s="1614">
        <v>1792.6961372402147</v>
      </c>
      <c r="C52" s="1614">
        <v>1801.3</v>
      </c>
      <c r="D52" s="1615">
        <f t="shared" si="0"/>
        <v>4.7993982812004621E-3</v>
      </c>
      <c r="F52" s="1619" t="s">
        <v>53</v>
      </c>
      <c r="G52" s="1620">
        <v>335.43264593519933</v>
      </c>
      <c r="H52" s="1620">
        <v>318.89999999999998</v>
      </c>
      <c r="I52" s="1615">
        <f t="shared" si="1"/>
        <v>-4.9287528019539284E-2</v>
      </c>
    </row>
    <row r="53" spans="1:10">
      <c r="A53" s="1613">
        <v>2000</v>
      </c>
      <c r="B53" s="1614">
        <v>1850.1631679231971</v>
      </c>
      <c r="C53" s="1614">
        <v>1853.4</v>
      </c>
      <c r="D53" s="1615">
        <f t="shared" si="0"/>
        <v>1.7494846578511858E-3</v>
      </c>
      <c r="F53" s="1619" t="s">
        <v>54</v>
      </c>
      <c r="G53" s="1620">
        <v>340.58393642684831</v>
      </c>
      <c r="H53" s="1620">
        <v>319.8</v>
      </c>
      <c r="I53" s="1615">
        <f t="shared" si="1"/>
        <v>-6.1024417783462681E-2</v>
      </c>
    </row>
    <row r="54" spans="1:10">
      <c r="A54" s="1613">
        <v>2001</v>
      </c>
      <c r="B54" s="1614">
        <v>1917.1693080707569</v>
      </c>
      <c r="C54" s="1614">
        <v>1931.9</v>
      </c>
      <c r="D54" s="1615">
        <f t="shared" si="0"/>
        <v>7.683563401120086E-3</v>
      </c>
      <c r="F54" s="1619" t="s">
        <v>55</v>
      </c>
      <c r="G54" s="1620">
        <v>361.4402984530862</v>
      </c>
      <c r="H54" s="1620">
        <v>339.3</v>
      </c>
      <c r="I54" s="1615">
        <f t="shared" si="1"/>
        <v>-6.1255755232174081E-2</v>
      </c>
    </row>
    <row r="55" spans="1:10">
      <c r="A55" s="1613">
        <v>2002</v>
      </c>
      <c r="B55" s="1614">
        <v>2090.6453445046668</v>
      </c>
      <c r="C55" s="1614">
        <v>2106.4</v>
      </c>
      <c r="D55" s="1615">
        <f t="shared" si="0"/>
        <v>7.5357857977895737E-3</v>
      </c>
      <c r="F55" s="1619" t="s">
        <v>56</v>
      </c>
      <c r="G55" s="1620">
        <v>331.10682903815535</v>
      </c>
      <c r="H55" s="1620">
        <v>310.89999999999998</v>
      </c>
      <c r="I55" s="1615">
        <f t="shared" si="1"/>
        <v>-6.1028125263543953E-2</v>
      </c>
    </row>
    <row r="56" spans="1:10">
      <c r="A56" s="1613">
        <v>2003</v>
      </c>
      <c r="B56" s="1614">
        <v>2281.4625632725915</v>
      </c>
      <c r="C56" s="1614">
        <v>2296</v>
      </c>
      <c r="D56" s="1615">
        <f t="shared" si="0"/>
        <v>6.3719812726428238E-3</v>
      </c>
      <c r="F56" s="1619" t="s">
        <v>57</v>
      </c>
      <c r="G56" s="1620">
        <v>325.14668056120377</v>
      </c>
      <c r="H56" s="1620">
        <v>309.5</v>
      </c>
      <c r="I56" s="1615">
        <f t="shared" si="1"/>
        <v>-4.8121913882674616E-2</v>
      </c>
    </row>
    <row r="57" spans="1:10">
      <c r="A57" s="1613">
        <v>2004</v>
      </c>
      <c r="B57" s="1614">
        <v>2441.8690220833437</v>
      </c>
      <c r="C57" s="1614">
        <v>2443.6999999999998</v>
      </c>
      <c r="D57" s="1615">
        <f t="shared" si="0"/>
        <v>7.4982642398002675E-4</v>
      </c>
      <c r="F57" s="1619" t="s">
        <v>58</v>
      </c>
      <c r="G57" s="1620">
        <v>377.2887360498313</v>
      </c>
      <c r="H57" s="1620">
        <v>354.6</v>
      </c>
      <c r="I57" s="1615">
        <f t="shared" si="1"/>
        <v>-6.0136266688954665E-2</v>
      </c>
    </row>
    <row r="58" spans="1:10">
      <c r="A58" s="1613">
        <v>2005</v>
      </c>
      <c r="B58" s="1614">
        <v>2487.4606144678528</v>
      </c>
      <c r="C58" s="1614">
        <v>2493.6999999999998</v>
      </c>
      <c r="D58" s="1615">
        <f t="shared" si="0"/>
        <v>2.5083354067423347E-3</v>
      </c>
      <c r="F58" s="1619" t="s">
        <v>59</v>
      </c>
      <c r="G58" s="1620">
        <v>351.29734345351045</v>
      </c>
      <c r="H58" s="1620">
        <v>332.7</v>
      </c>
      <c r="I58" s="1615">
        <f t="shared" si="1"/>
        <v>-5.2939038111375791E-2</v>
      </c>
    </row>
    <row r="59" spans="1:10">
      <c r="A59" s="1613">
        <v>2006</v>
      </c>
      <c r="B59" s="1614">
        <v>2582.7199999999998</v>
      </c>
      <c r="C59" s="1614">
        <v>2595.6</v>
      </c>
      <c r="D59" s="1615">
        <f t="shared" si="0"/>
        <v>4.9869904596704373E-3</v>
      </c>
      <c r="F59" s="1619" t="s">
        <v>60</v>
      </c>
      <c r="G59" s="1620">
        <v>387.97941599228147</v>
      </c>
      <c r="H59" s="1620">
        <v>371.3</v>
      </c>
      <c r="I59" s="1615">
        <f t="shared" si="1"/>
        <v>-4.2990466258687521E-2</v>
      </c>
    </row>
    <row r="60" spans="1:10">
      <c r="F60" s="1619" t="s">
        <v>61</v>
      </c>
      <c r="G60" s="1620">
        <v>388.79680615857859</v>
      </c>
      <c r="H60" s="1620">
        <v>367.4</v>
      </c>
      <c r="I60" s="1615">
        <f t="shared" si="1"/>
        <v>-5.5033389728647908E-2</v>
      </c>
    </row>
    <row r="61" spans="1:10">
      <c r="F61" s="1619" t="s">
        <v>62</v>
      </c>
      <c r="G61" s="1620">
        <v>491.70996566212852</v>
      </c>
      <c r="H61" s="1620">
        <v>446.1</v>
      </c>
      <c r="I61" s="1615">
        <f t="shared" si="1"/>
        <v>-9.2757863064074519E-2</v>
      </c>
    </row>
    <row r="62" spans="1:10">
      <c r="A62" s="1609" t="s">
        <v>2070</v>
      </c>
      <c r="B62" s="1621"/>
      <c r="C62" s="1621"/>
      <c r="D62" s="1621"/>
      <c r="F62" s="1619" t="s">
        <v>63</v>
      </c>
      <c r="G62" s="1620">
        <v>444.2195988095059</v>
      </c>
      <c r="H62" s="1620">
        <v>414.7</v>
      </c>
      <c r="I62" s="1615">
        <f t="shared" si="1"/>
        <v>-6.6452715928377537E-2</v>
      </c>
    </row>
    <row r="63" spans="1:10" ht="36">
      <c r="B63" s="1611" t="s">
        <v>2071</v>
      </c>
      <c r="C63" s="1611" t="s">
        <v>2067</v>
      </c>
      <c r="D63" s="1612" t="s">
        <v>2068</v>
      </c>
      <c r="F63" s="1619" t="s">
        <v>64</v>
      </c>
      <c r="G63" s="1620">
        <v>394.8605239674485</v>
      </c>
      <c r="H63" s="1620">
        <v>374.7</v>
      </c>
      <c r="I63" s="1615">
        <f t="shared" si="1"/>
        <v>-5.1057329724635947E-2</v>
      </c>
    </row>
    <row r="64" spans="1:10">
      <c r="A64" s="1617" t="s">
        <v>2072</v>
      </c>
      <c r="B64" s="1614">
        <v>747.24917624143404</v>
      </c>
      <c r="C64" s="1622">
        <v>754.2</v>
      </c>
      <c r="D64" s="1615">
        <f t="shared" ref="D64:D78" si="2">(C64/B64)-1</f>
        <v>9.3018821292352172E-3</v>
      </c>
      <c r="F64" s="1619" t="s">
        <v>65</v>
      </c>
      <c r="G64" s="1620">
        <v>336.89880384118607</v>
      </c>
      <c r="H64" s="1620">
        <v>323.3</v>
      </c>
      <c r="I64" s="1615">
        <f t="shared" si="1"/>
        <v>-4.0364654567300096E-2</v>
      </c>
    </row>
    <row r="65" spans="1:9">
      <c r="A65" s="1619" t="s">
        <v>2073</v>
      </c>
      <c r="B65" s="1614">
        <v>895.78841637349808</v>
      </c>
      <c r="C65" s="1622">
        <v>890.2</v>
      </c>
      <c r="D65" s="1615">
        <f t="shared" si="2"/>
        <v>-6.2385450306693402E-3</v>
      </c>
      <c r="F65" s="1619" t="s">
        <v>66</v>
      </c>
      <c r="G65" s="1620">
        <v>294.76030110935022</v>
      </c>
      <c r="H65" s="1620">
        <v>276.39999999999998</v>
      </c>
      <c r="I65" s="1615">
        <f t="shared" si="1"/>
        <v>-6.2288920998689545E-2</v>
      </c>
    </row>
    <row r="66" spans="1:9">
      <c r="A66" s="1619" t="s">
        <v>902</v>
      </c>
      <c r="B66" s="1614">
        <v>1211.8424401697707</v>
      </c>
      <c r="C66" s="1622">
        <v>1195.8</v>
      </c>
      <c r="D66" s="1615">
        <f t="shared" si="2"/>
        <v>-1.3238057719387464E-2</v>
      </c>
      <c r="F66" s="1619" t="s">
        <v>67</v>
      </c>
      <c r="G66" s="1620">
        <v>362.64556322504171</v>
      </c>
      <c r="H66" s="1620">
        <v>346</v>
      </c>
      <c r="I66" s="1615">
        <f t="shared" si="1"/>
        <v>-4.5900363641598441E-2</v>
      </c>
    </row>
    <row r="67" spans="1:9">
      <c r="A67" s="1619" t="s">
        <v>903</v>
      </c>
      <c r="B67" s="1614">
        <v>1396.8409074808064</v>
      </c>
      <c r="C67" s="1622">
        <v>1386.7</v>
      </c>
      <c r="D67" s="1615">
        <f t="shared" si="2"/>
        <v>-7.259887240197882E-3</v>
      </c>
      <c r="F67" s="1619" t="s">
        <v>68</v>
      </c>
      <c r="G67" s="1620">
        <v>359.871466531566</v>
      </c>
      <c r="H67" s="1620">
        <v>351.1</v>
      </c>
      <c r="I67" s="1615">
        <f t="shared" si="1"/>
        <v>-2.4373887199519273E-2</v>
      </c>
    </row>
    <row r="68" spans="1:9">
      <c r="A68" s="1619" t="s">
        <v>904</v>
      </c>
      <c r="B68" s="1614">
        <v>1421.1268327738549</v>
      </c>
      <c r="C68" s="1622">
        <v>1411.4</v>
      </c>
      <c r="D68" s="1615">
        <f t="shared" si="2"/>
        <v>-6.8444508607787835E-3</v>
      </c>
      <c r="F68" s="1619" t="s">
        <v>69</v>
      </c>
      <c r="G68" s="1620">
        <v>366.75570625523682</v>
      </c>
      <c r="H68" s="1620">
        <v>347.5</v>
      </c>
      <c r="I68" s="1615">
        <f t="shared" si="1"/>
        <v>-5.2502812981009672E-2</v>
      </c>
    </row>
    <row r="69" spans="1:9">
      <c r="A69" s="1619" t="s">
        <v>905</v>
      </c>
      <c r="B69" s="1614">
        <v>1517.1995751096272</v>
      </c>
      <c r="C69" s="1622">
        <v>1513.6</v>
      </c>
      <c r="D69" s="1615">
        <f t="shared" si="2"/>
        <v>-2.3725126006360897E-3</v>
      </c>
      <c r="F69" s="1619" t="s">
        <v>70</v>
      </c>
      <c r="G69" s="1620">
        <v>352.56201049931195</v>
      </c>
      <c r="H69" s="1620">
        <v>338.2</v>
      </c>
      <c r="I69" s="1615">
        <f t="shared" si="1"/>
        <v>-4.0736126047647425E-2</v>
      </c>
    </row>
    <row r="70" spans="1:9">
      <c r="A70" s="1619" t="s">
        <v>906</v>
      </c>
      <c r="B70" s="1614">
        <v>1839.4004121479798</v>
      </c>
      <c r="C70" s="1622">
        <v>1838.7</v>
      </c>
      <c r="D70" s="1615">
        <f t="shared" si="2"/>
        <v>-3.8078285910669862E-4</v>
      </c>
      <c r="F70" s="1619" t="s">
        <v>71</v>
      </c>
      <c r="G70" s="1620">
        <v>478.02373488439434</v>
      </c>
      <c r="H70" s="1620">
        <v>448.9</v>
      </c>
      <c r="I70" s="1615">
        <f t="shared" si="1"/>
        <v>-6.0925290438638258E-2</v>
      </c>
    </row>
    <row r="71" spans="1:9">
      <c r="A71" s="1619" t="s">
        <v>907</v>
      </c>
      <c r="B71" s="1614">
        <v>2277.8934473190975</v>
      </c>
      <c r="C71" s="1622">
        <v>2281.8000000000002</v>
      </c>
      <c r="D71" s="1615">
        <f t="shared" si="2"/>
        <v>1.71498481875898E-3</v>
      </c>
      <c r="F71" s="1619" t="s">
        <v>72</v>
      </c>
      <c r="G71" s="1620">
        <v>453.38028795718498</v>
      </c>
      <c r="H71" s="1620">
        <v>439.7</v>
      </c>
      <c r="I71" s="1615">
        <f t="shared" si="1"/>
        <v>-3.0173980476356554E-2</v>
      </c>
    </row>
    <row r="72" spans="1:9">
      <c r="A72" s="1619" t="s">
        <v>908</v>
      </c>
      <c r="B72" s="1614">
        <v>2848.1261639197069</v>
      </c>
      <c r="C72" s="1622">
        <v>2848.9</v>
      </c>
      <c r="D72" s="1615">
        <f t="shared" si="2"/>
        <v>2.717000707679329E-4</v>
      </c>
      <c r="F72" s="1619" t="s">
        <v>73</v>
      </c>
      <c r="G72" s="1620">
        <v>364.29399752245484</v>
      </c>
      <c r="H72" s="1620">
        <v>349.4</v>
      </c>
      <c r="I72" s="1615">
        <f t="shared" si="1"/>
        <v>-4.0884553749850894E-2</v>
      </c>
    </row>
    <row r="73" spans="1:9">
      <c r="A73" s="1619" t="s">
        <v>909</v>
      </c>
      <c r="B73" s="1614">
        <v>3545.5776914290282</v>
      </c>
      <c r="C73" s="1622">
        <v>3539.5</v>
      </c>
      <c r="D73" s="1615">
        <f t="shared" si="2"/>
        <v>-1.7141611206885621E-3</v>
      </c>
      <c r="F73" s="1619" t="s">
        <v>74</v>
      </c>
      <c r="G73" s="1620">
        <v>417.41283045679268</v>
      </c>
      <c r="H73" s="1620">
        <v>407.1</v>
      </c>
      <c r="I73" s="1615">
        <f t="shared" si="1"/>
        <v>-2.4706548779314885E-2</v>
      </c>
    </row>
    <row r="74" spans="1:9">
      <c r="A74" s="1619" t="s">
        <v>910</v>
      </c>
      <c r="B74" s="1614">
        <v>4388.0419390576508</v>
      </c>
      <c r="C74" s="1622">
        <v>4372.7</v>
      </c>
      <c r="D74" s="1615">
        <f t="shared" si="2"/>
        <v>-3.4963063869315469E-3</v>
      </c>
      <c r="F74" s="1619" t="s">
        <v>75</v>
      </c>
      <c r="G74" s="1620">
        <v>502.34245497094378</v>
      </c>
      <c r="H74" s="1620">
        <v>479.7</v>
      </c>
      <c r="I74" s="1615">
        <f t="shared" si="1"/>
        <v>-4.5073743512786479E-2</v>
      </c>
    </row>
    <row r="75" spans="1:9">
      <c r="A75" s="1619" t="s">
        <v>911</v>
      </c>
      <c r="B75" s="1614">
        <v>5497.4834390892302</v>
      </c>
      <c r="C75" s="1622">
        <v>5477.9</v>
      </c>
      <c r="D75" s="1615">
        <f t="shared" si="2"/>
        <v>-3.562255222086641E-3</v>
      </c>
      <c r="F75" s="1619" t="s">
        <v>76</v>
      </c>
      <c r="G75" s="1620">
        <v>420.50529827033398</v>
      </c>
      <c r="H75" s="1620">
        <v>381.5</v>
      </c>
      <c r="I75" s="1615">
        <f t="shared" si="1"/>
        <v>-9.275816126639691E-2</v>
      </c>
    </row>
    <row r="76" spans="1:9">
      <c r="A76" s="1619" t="s">
        <v>912</v>
      </c>
      <c r="B76" s="1614">
        <v>6758.5976516701776</v>
      </c>
      <c r="C76" s="1622">
        <v>6736.9</v>
      </c>
      <c r="D76" s="1615">
        <f t="shared" si="2"/>
        <v>-3.2103777719060256E-3</v>
      </c>
      <c r="F76" s="1619" t="s">
        <v>1944</v>
      </c>
      <c r="G76" s="1620">
        <v>403.8672042095767</v>
      </c>
      <c r="H76" s="1620">
        <v>385.5</v>
      </c>
      <c r="I76" s="1615">
        <f t="shared" si="1"/>
        <v>-4.547832559349263E-2</v>
      </c>
    </row>
    <row r="77" spans="1:9">
      <c r="A77" s="1619" t="s">
        <v>913</v>
      </c>
      <c r="B77" s="1614">
        <v>8437.2706685921257</v>
      </c>
      <c r="C77" s="1622">
        <v>8399.1</v>
      </c>
      <c r="D77" s="1615">
        <f t="shared" si="2"/>
        <v>-4.524054056273985E-3</v>
      </c>
    </row>
    <row r="78" spans="1:9">
      <c r="A78" s="1619" t="s">
        <v>914</v>
      </c>
      <c r="B78" s="1614">
        <v>11040.017163250452</v>
      </c>
      <c r="C78" s="1622">
        <v>10988.2</v>
      </c>
      <c r="D78" s="1615">
        <f t="shared" si="2"/>
        <v>-4.6935763309261525E-3</v>
      </c>
    </row>
    <row r="79" spans="1:9">
      <c r="A79" s="1619" t="s">
        <v>112</v>
      </c>
      <c r="B79" s="1614">
        <v>15284.406689381525</v>
      </c>
      <c r="C79" s="1623" t="s">
        <v>1412</v>
      </c>
      <c r="D79" s="1615" t="s">
        <v>1412</v>
      </c>
    </row>
    <row r="80" spans="1:9">
      <c r="A80" s="1619" t="s">
        <v>1951</v>
      </c>
      <c r="B80" s="1614">
        <v>2329.1115479896989</v>
      </c>
      <c r="C80" s="1622">
        <v>2330.3000000000002</v>
      </c>
      <c r="D80" s="1615">
        <f>(C80/B80)-1</f>
        <v>5.1025980757635203E-4</v>
      </c>
    </row>
  </sheetData>
  <phoneticPr fontId="90" type="noConversion"/>
  <pageMargins left="0.47" right="0.55000000000000004" top="0.48" bottom="0.37" header="0.31" footer="0.28000000000000003"/>
  <pageSetup paperSize="9" scale="75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23BE-599B-9543-A952-04114896333E}">
  <sheetPr>
    <pageSetUpPr fitToPage="1"/>
  </sheetPr>
  <dimension ref="A1:K37"/>
  <sheetViews>
    <sheetView workbookViewId="0">
      <selection activeCell="F79" sqref="F79"/>
    </sheetView>
  </sheetViews>
  <sheetFormatPr baseColWidth="10" defaultColWidth="11.3984375" defaultRowHeight="13"/>
  <cols>
    <col min="1" max="1" width="14" style="1602" customWidth="1"/>
    <col min="2" max="16384" width="11.3984375" style="1602"/>
  </cols>
  <sheetData>
    <row r="1" spans="1:11">
      <c r="A1" s="1601" t="s">
        <v>2074</v>
      </c>
    </row>
    <row r="3" spans="1:11">
      <c r="A3" s="1601" t="s">
        <v>2075</v>
      </c>
    </row>
    <row r="4" spans="1:11">
      <c r="A4" s="1601"/>
    </row>
    <row r="6" spans="1:11">
      <c r="B6" s="1624">
        <v>1997</v>
      </c>
      <c r="C6" s="1624">
        <v>1998</v>
      </c>
      <c r="D6" s="1624">
        <v>1999</v>
      </c>
      <c r="E6" s="1624">
        <v>2000</v>
      </c>
      <c r="F6" s="1624">
        <v>2001</v>
      </c>
      <c r="G6" s="1624">
        <v>2002</v>
      </c>
      <c r="H6" s="1624">
        <v>2003</v>
      </c>
      <c r="I6" s="1624">
        <v>2004</v>
      </c>
      <c r="J6" s="1624">
        <v>2005</v>
      </c>
      <c r="K6" s="1624">
        <v>2006</v>
      </c>
    </row>
    <row r="7" spans="1:11" ht="17">
      <c r="A7" s="1625" t="s">
        <v>2076</v>
      </c>
      <c r="B7" s="1626">
        <v>0.91870534229204071</v>
      </c>
      <c r="C7" s="1626">
        <v>0.92450051512289377</v>
      </c>
      <c r="D7" s="1626">
        <v>0.92190960847248915</v>
      </c>
      <c r="E7" s="1626">
        <v>0.9146555342193794</v>
      </c>
      <c r="F7" s="1626">
        <v>0.910459455023508</v>
      </c>
      <c r="G7" s="1626">
        <v>0.94699717778464221</v>
      </c>
      <c r="H7" s="1626">
        <v>0.94090079508798108</v>
      </c>
      <c r="I7" s="1626">
        <v>0.97171055250346705</v>
      </c>
      <c r="J7" s="1626">
        <v>0.97005377567368656</v>
      </c>
      <c r="K7" s="1626">
        <v>0.96770426271154775</v>
      </c>
    </row>
    <row r="8" spans="1:11" ht="17">
      <c r="A8" s="1625" t="s">
        <v>2077</v>
      </c>
      <c r="B8" s="1626">
        <v>0.92590294625206992</v>
      </c>
      <c r="C8" s="1626">
        <v>0.93856318284817852</v>
      </c>
      <c r="D8" s="1626">
        <v>0.92626384017271968</v>
      </c>
      <c r="E8" s="1626">
        <v>0.91887846844435261</v>
      </c>
      <c r="F8" s="1626">
        <v>0.93054867721158996</v>
      </c>
      <c r="G8" s="1626">
        <v>0.9388180261724085</v>
      </c>
      <c r="H8" s="1626">
        <v>0.92304823961140481</v>
      </c>
      <c r="I8" s="1626">
        <v>0.95820342417583337</v>
      </c>
      <c r="J8" s="1626">
        <v>0.95678570198949797</v>
      </c>
      <c r="K8" s="1626">
        <v>0.95568456569499327</v>
      </c>
    </row>
    <row r="9" spans="1:11" ht="17">
      <c r="A9" s="1625" t="s">
        <v>2078</v>
      </c>
      <c r="B9" s="1626">
        <v>0.92716803778806267</v>
      </c>
      <c r="C9" s="1626">
        <v>0.94845303182186402</v>
      </c>
      <c r="D9" s="1626">
        <v>0.94838248522321944</v>
      </c>
      <c r="E9" s="1626">
        <v>0.94505897990914622</v>
      </c>
      <c r="F9" s="1626">
        <v>0.95101505070460468</v>
      </c>
      <c r="G9" s="1626">
        <v>0.95511584185232712</v>
      </c>
      <c r="H9" s="1626">
        <v>0.95758734718254446</v>
      </c>
      <c r="I9" s="1626">
        <v>0.98421148525918689</v>
      </c>
      <c r="J9" s="1626">
        <v>0.97376986734682502</v>
      </c>
      <c r="K9" s="1626">
        <v>0.98960778331844923</v>
      </c>
    </row>
    <row r="10" spans="1:11" ht="17">
      <c r="A10" s="1625" t="s">
        <v>2079</v>
      </c>
      <c r="B10" s="1626">
        <v>0.93396448014443756</v>
      </c>
      <c r="C10" s="1626">
        <v>0.93838910216603921</v>
      </c>
      <c r="D10" s="1626">
        <v>0.93811271285367515</v>
      </c>
      <c r="E10" s="1626">
        <v>0.93354049042978826</v>
      </c>
      <c r="F10" s="1626">
        <v>0.94922383142315392</v>
      </c>
      <c r="G10" s="1626">
        <v>0.9542513874059908</v>
      </c>
      <c r="H10" s="1626">
        <v>0.94877032282696983</v>
      </c>
      <c r="I10" s="1626">
        <v>0.99032173249271993</v>
      </c>
      <c r="J10" s="1626">
        <v>0.98900468284376331</v>
      </c>
      <c r="K10" s="1626">
        <v>0.9889388601625092</v>
      </c>
    </row>
    <row r="11" spans="1:11" ht="17">
      <c r="A11" s="1625" t="s">
        <v>2080</v>
      </c>
      <c r="B11" s="1626">
        <v>0.91065287311510557</v>
      </c>
      <c r="C11" s="1626">
        <v>0.92861572175174278</v>
      </c>
      <c r="D11" s="1626">
        <v>0.92899679695986181</v>
      </c>
      <c r="E11" s="1626">
        <v>0.91165825276662527</v>
      </c>
      <c r="F11" s="1626">
        <v>0.93733575552781623</v>
      </c>
      <c r="G11" s="1626">
        <v>0.95365986918576395</v>
      </c>
      <c r="H11" s="1626">
        <v>0.94858300616729629</v>
      </c>
      <c r="I11" s="1626">
        <v>0.98442119166422082</v>
      </c>
      <c r="J11" s="1626">
        <v>0.98392666914406035</v>
      </c>
      <c r="K11" s="1626">
        <v>0.98234318075244387</v>
      </c>
    </row>
    <row r="12" spans="1:11" ht="17">
      <c r="A12" s="1625" t="s">
        <v>2081</v>
      </c>
      <c r="B12" s="1626">
        <v>0.91056160128839292</v>
      </c>
      <c r="C12" s="1626">
        <v>0.91691195704899786</v>
      </c>
      <c r="D12" s="1626">
        <v>0.91949502022639429</v>
      </c>
      <c r="E12" s="1626">
        <v>0.91723923954981501</v>
      </c>
      <c r="F12" s="1626">
        <v>0.94693878650603758</v>
      </c>
      <c r="G12" s="1626">
        <v>0.95275998799778805</v>
      </c>
      <c r="H12" s="1626">
        <v>0.94716323520408219</v>
      </c>
      <c r="I12" s="1626">
        <v>0.97866804245283012</v>
      </c>
      <c r="J12" s="1626">
        <v>0.98231792180220567</v>
      </c>
      <c r="K12" s="1626">
        <v>0.97957195593577873</v>
      </c>
    </row>
    <row r="13" spans="1:11" ht="17">
      <c r="A13" s="1625" t="s">
        <v>2082</v>
      </c>
      <c r="B13" s="1626">
        <v>0.92353609858280394</v>
      </c>
      <c r="C13" s="1626">
        <v>0.92860747653044029</v>
      </c>
      <c r="D13" s="1626">
        <v>0.92904440793506793</v>
      </c>
      <c r="E13" s="1626">
        <v>0.92522399862168303</v>
      </c>
      <c r="F13" s="1626">
        <v>0.94873875651932904</v>
      </c>
      <c r="G13" s="1626">
        <v>0.95732433956516194</v>
      </c>
      <c r="H13" s="1626">
        <v>0.95130329286476722</v>
      </c>
      <c r="I13" s="1626">
        <v>0.97789790327948589</v>
      </c>
      <c r="J13" s="1626">
        <v>0.97802511183407881</v>
      </c>
      <c r="K13" s="1626">
        <v>0.97438770100724503</v>
      </c>
    </row>
    <row r="14" spans="1:11" ht="17">
      <c r="A14" s="1625" t="s">
        <v>2083</v>
      </c>
      <c r="B14" s="1626">
        <v>0.89507447255610662</v>
      </c>
      <c r="C14" s="1626">
        <v>0.89646487507686845</v>
      </c>
      <c r="D14" s="1626">
        <v>0.84443023329731104</v>
      </c>
      <c r="E14" s="1626">
        <v>0.82163477277206931</v>
      </c>
      <c r="F14" s="1626">
        <v>0.93607881927123837</v>
      </c>
      <c r="G14" s="1626">
        <v>0.95029992224000215</v>
      </c>
      <c r="H14" s="1626">
        <v>0.94308018995405585</v>
      </c>
      <c r="I14" s="1626">
        <v>0.9678551158350962</v>
      </c>
      <c r="J14" s="1626">
        <v>0.96017389047495461</v>
      </c>
      <c r="K14" s="1626">
        <v>0.96449449919182439</v>
      </c>
    </row>
    <row r="15" spans="1:11" ht="17">
      <c r="A15" s="1625" t="s">
        <v>2084</v>
      </c>
      <c r="B15" s="1626">
        <v>0.90266632685344683</v>
      </c>
      <c r="C15" s="1626">
        <v>0.90841668186127145</v>
      </c>
      <c r="D15" s="1626">
        <v>0.91058200408997958</v>
      </c>
      <c r="E15" s="1626">
        <v>0.90776106740251172</v>
      </c>
      <c r="F15" s="1626">
        <v>0.92230432194037038</v>
      </c>
      <c r="G15" s="1626">
        <v>0.93186878359177117</v>
      </c>
      <c r="H15" s="1626">
        <v>0.93020980742378034</v>
      </c>
      <c r="I15" s="1626">
        <v>0.98182481259514764</v>
      </c>
      <c r="J15" s="1626">
        <v>0.98229127134724858</v>
      </c>
      <c r="K15" s="1626">
        <v>0.979214912814939</v>
      </c>
    </row>
    <row r="16" spans="1:11" ht="17">
      <c r="A16" s="1625" t="s">
        <v>931</v>
      </c>
      <c r="B16" s="1626">
        <v>0.81375437816200591</v>
      </c>
      <c r="C16" s="1626">
        <v>0.97055994409684476</v>
      </c>
      <c r="D16" s="1626">
        <v>0.97024905885254831</v>
      </c>
      <c r="E16" s="1626">
        <v>0.96432121358608702</v>
      </c>
      <c r="F16" s="1626">
        <v>0.96112564066686812</v>
      </c>
      <c r="G16" s="1626">
        <v>0.94248692108370502</v>
      </c>
      <c r="H16" s="1626">
        <v>0.97368237488437448</v>
      </c>
      <c r="I16" s="1626">
        <v>0.99125751252920158</v>
      </c>
      <c r="J16" s="1626">
        <v>0.98729430759840109</v>
      </c>
      <c r="K16" s="1626">
        <v>0.9781095514601339</v>
      </c>
    </row>
    <row r="17" spans="1:11" ht="17">
      <c r="A17" s="1625" t="s">
        <v>932</v>
      </c>
      <c r="B17" s="1626">
        <v>0.91883785578381583</v>
      </c>
      <c r="C17" s="1626">
        <v>0.92455150472706416</v>
      </c>
      <c r="D17" s="1626">
        <v>0.92505571717021984</v>
      </c>
      <c r="E17" s="1626">
        <v>0.92425152178524661</v>
      </c>
      <c r="F17" s="1626">
        <v>0.94945634954398683</v>
      </c>
      <c r="G17" s="1626">
        <v>0.95104914863258505</v>
      </c>
      <c r="H17" s="1626">
        <v>0.94871338012579387</v>
      </c>
      <c r="I17" s="1626">
        <v>0.97073178750857048</v>
      </c>
      <c r="J17" s="1626">
        <v>0.96832093019529941</v>
      </c>
      <c r="K17" s="1626">
        <v>0.96403843619854579</v>
      </c>
    </row>
    <row r="18" spans="1:11" ht="17">
      <c r="A18" s="1625" t="s">
        <v>2085</v>
      </c>
      <c r="B18" s="1627">
        <v>0.98789983280660798</v>
      </c>
      <c r="C18" s="1627">
        <v>1.0162132462869267</v>
      </c>
      <c r="D18" s="1627">
        <v>1.0099142991534638</v>
      </c>
      <c r="E18" s="1627">
        <v>1.0029846958692721</v>
      </c>
      <c r="F18" s="1627">
        <v>0.99962232466515422</v>
      </c>
      <c r="G18" s="1627">
        <v>1.0039444935141095</v>
      </c>
      <c r="H18" s="1626">
        <v>0.96262154654440291</v>
      </c>
      <c r="I18" s="1626">
        <v>0.96440626005749486</v>
      </c>
      <c r="J18" s="1626">
        <v>0.96586738779853665</v>
      </c>
      <c r="K18" s="1626">
        <v>0.97873376188563022</v>
      </c>
    </row>
    <row r="19" spans="1:11" ht="17">
      <c r="A19" s="1625" t="s">
        <v>2086</v>
      </c>
      <c r="B19" s="1627">
        <v>0.87053359386061069</v>
      </c>
      <c r="C19" s="1627">
        <v>0.88278578594027324</v>
      </c>
      <c r="D19" s="1627">
        <v>0.8876119172805933</v>
      </c>
      <c r="E19" s="1627">
        <v>0.88603941859342727</v>
      </c>
      <c r="F19" s="1627">
        <v>0.89620249373114691</v>
      </c>
      <c r="G19" s="1627">
        <v>0.89698012421339635</v>
      </c>
      <c r="H19" s="1626">
        <v>0.93517415092958645</v>
      </c>
      <c r="I19" s="1626">
        <v>0.9626335626615109</v>
      </c>
      <c r="J19" s="1626">
        <v>0.96491150209689303</v>
      </c>
      <c r="K19" s="1626">
        <v>0.9660118552802055</v>
      </c>
    </row>
    <row r="20" spans="1:11" ht="17">
      <c r="A20" s="1625" t="s">
        <v>2087</v>
      </c>
      <c r="B20" s="1626">
        <v>0.90111661255500985</v>
      </c>
      <c r="C20" s="1626">
        <v>0.90776551528351357</v>
      </c>
      <c r="D20" s="1626">
        <v>0.90314759683311541</v>
      </c>
      <c r="E20" s="1626">
        <v>0.89888374195006215</v>
      </c>
      <c r="F20" s="1626">
        <v>0.90279544900501252</v>
      </c>
      <c r="G20" s="1626">
        <v>0.91090371963646743</v>
      </c>
      <c r="H20" s="1626">
        <v>0.89377483647524081</v>
      </c>
      <c r="I20" s="1626">
        <v>0.95080732898158471</v>
      </c>
      <c r="J20" s="1626">
        <v>0.95708301700829768</v>
      </c>
      <c r="K20" s="1626">
        <v>0.95468677832930748</v>
      </c>
    </row>
    <row r="21" spans="1:11" ht="17">
      <c r="A21" s="1625" t="s">
        <v>2088</v>
      </c>
      <c r="B21" s="1626">
        <v>0.91861501014688829</v>
      </c>
      <c r="C21" s="1626">
        <v>0.91636074391121547</v>
      </c>
      <c r="D21" s="1626">
        <v>0.90138973268529721</v>
      </c>
      <c r="E21" s="1626">
        <v>0.88841495330535636</v>
      </c>
      <c r="F21" s="1626">
        <v>0.88809982986068847</v>
      </c>
      <c r="G21" s="1626">
        <v>0.90507640146765134</v>
      </c>
      <c r="H21" s="1626">
        <v>0.89082863785591071</v>
      </c>
      <c r="I21" s="1626">
        <v>0.96098550021460427</v>
      </c>
      <c r="J21" s="1626">
        <v>0.95772879579191705</v>
      </c>
      <c r="K21" s="1626">
        <v>0.95159079379990608</v>
      </c>
    </row>
    <row r="22" spans="1:11" ht="17">
      <c r="A22" s="1625" t="s">
        <v>2089</v>
      </c>
      <c r="B22" s="1626">
        <v>0.9331421191230983</v>
      </c>
      <c r="C22" s="1626">
        <v>0.9307014276846679</v>
      </c>
      <c r="D22" s="1626">
        <v>0.92859517602862429</v>
      </c>
      <c r="E22" s="1626">
        <v>0.92118723344947739</v>
      </c>
      <c r="F22" s="1626">
        <v>0.93265182558664639</v>
      </c>
      <c r="G22" s="1626">
        <v>0.93135347024350534</v>
      </c>
      <c r="H22" s="1626">
        <v>0.9097048640967087</v>
      </c>
      <c r="I22" s="1626">
        <v>0.97882768738330217</v>
      </c>
      <c r="J22" s="1626">
        <v>0.97654186476492344</v>
      </c>
      <c r="K22" s="1626">
        <v>0.97234390323635178</v>
      </c>
    </row>
    <row r="23" spans="1:11" ht="17">
      <c r="A23" s="1625" t="s">
        <v>2090</v>
      </c>
      <c r="B23" s="1626">
        <v>0.92950091396117773</v>
      </c>
      <c r="C23" s="1626">
        <v>0.93646974465996802</v>
      </c>
      <c r="D23" s="1626">
        <v>0.94228755321152979</v>
      </c>
      <c r="E23" s="1626">
        <v>0.93462540060615251</v>
      </c>
      <c r="F23" s="1626">
        <v>0.93849168761764823</v>
      </c>
      <c r="G23" s="1626">
        <v>0.95282096637779057</v>
      </c>
      <c r="H23" s="1626">
        <v>0.94487679791205514</v>
      </c>
      <c r="I23" s="1626">
        <v>0.97642906474010216</v>
      </c>
      <c r="J23" s="1626">
        <v>0.9753731407733347</v>
      </c>
      <c r="K23" s="1626">
        <v>0.96923743001131868</v>
      </c>
    </row>
    <row r="24" spans="1:11" ht="17">
      <c r="A24" s="1625" t="s">
        <v>2091</v>
      </c>
      <c r="B24" s="1626">
        <v>0.8663160910393124</v>
      </c>
      <c r="C24" s="1626">
        <v>0.87320540198529351</v>
      </c>
      <c r="D24" s="1626">
        <v>0.88239246967749863</v>
      </c>
      <c r="E24" s="1626">
        <v>0.89031096019910094</v>
      </c>
      <c r="F24" s="1626">
        <v>0.9077718510156777</v>
      </c>
      <c r="G24" s="1626">
        <v>0.99013715940729774</v>
      </c>
      <c r="H24" s="1626">
        <v>0.94145855396292788</v>
      </c>
      <c r="I24" s="1626">
        <v>0.96349520865533234</v>
      </c>
      <c r="J24" s="1626">
        <v>0.9649371368307863</v>
      </c>
      <c r="K24" s="1626">
        <v>0.96186875965268404</v>
      </c>
    </row>
    <row r="25" spans="1:11" ht="17">
      <c r="A25" s="1625" t="s">
        <v>2092</v>
      </c>
      <c r="B25" s="1626">
        <v>0.9358615462440163</v>
      </c>
      <c r="C25" s="1626">
        <v>0.94512843547116177</v>
      </c>
      <c r="D25" s="1626">
        <v>0.92757639588668483</v>
      </c>
      <c r="E25" s="1626">
        <v>0.92036512438192286</v>
      </c>
      <c r="F25" s="1626">
        <v>0.92262405194357111</v>
      </c>
      <c r="G25" s="1626">
        <v>0.95093055021110684</v>
      </c>
      <c r="H25" s="1626">
        <v>0.94452502149089168</v>
      </c>
      <c r="I25" s="1626">
        <v>0.97009166616949827</v>
      </c>
      <c r="J25" s="1626">
        <v>0.96747757650292732</v>
      </c>
      <c r="K25" s="1626">
        <v>0.96067529480032321</v>
      </c>
    </row>
    <row r="26" spans="1:11" ht="17">
      <c r="A26" s="1625" t="s">
        <v>2093</v>
      </c>
      <c r="B26" s="1626">
        <v>0.85750747200208122</v>
      </c>
      <c r="C26" s="1626">
        <v>0.86871370134365722</v>
      </c>
      <c r="D26" s="1626">
        <v>0.90757431635476171</v>
      </c>
      <c r="E26" s="1626">
        <v>0.92672688812216486</v>
      </c>
      <c r="F26" s="1626">
        <v>0.9285404783060156</v>
      </c>
      <c r="G26" s="1626">
        <v>0.93432223542330151</v>
      </c>
      <c r="H26" s="1626">
        <v>0.92076470714577208</v>
      </c>
      <c r="I26" s="1626">
        <v>0.96856093414994582</v>
      </c>
      <c r="J26" s="1626">
        <v>0.96916430233940987</v>
      </c>
      <c r="K26" s="1626">
        <v>0.9694296348752709</v>
      </c>
    </row>
    <row r="27" spans="1:11" ht="17">
      <c r="A27" s="1625" t="s">
        <v>2094</v>
      </c>
      <c r="B27" s="1626">
        <v>0.93516482310321813</v>
      </c>
      <c r="C27" s="1626">
        <v>0.95168501762910518</v>
      </c>
      <c r="D27" s="1626">
        <v>0.94963712568379166</v>
      </c>
      <c r="E27" s="1626">
        <v>0.94214650741059269</v>
      </c>
      <c r="F27" s="1626">
        <v>0.9546773160230636</v>
      </c>
      <c r="G27" s="1626">
        <v>0.95750001525455064</v>
      </c>
      <c r="H27" s="1626">
        <v>0.96271810213215259</v>
      </c>
      <c r="I27" s="1626">
        <v>0.9720464735380977</v>
      </c>
      <c r="J27" s="1626">
        <v>0.97687361118979732</v>
      </c>
      <c r="K27" s="1626">
        <v>0.97696482251559402</v>
      </c>
    </row>
    <row r="28" spans="1:11" ht="17">
      <c r="A28" s="1625" t="s">
        <v>2095</v>
      </c>
      <c r="B28" s="1626">
        <v>0.81788155411202346</v>
      </c>
      <c r="C28" s="1626">
        <v>0.84011880458078825</v>
      </c>
      <c r="D28" s="1626">
        <v>0.83663640127216199</v>
      </c>
      <c r="E28" s="1626">
        <v>0.83779215206437985</v>
      </c>
      <c r="F28" s="1626">
        <v>0.82418004450497773</v>
      </c>
      <c r="G28" s="1626">
        <v>0.85861566472516071</v>
      </c>
      <c r="H28" s="1626">
        <v>0.9298746492987543</v>
      </c>
      <c r="I28" s="1626">
        <v>0.96386430278611346</v>
      </c>
      <c r="J28" s="1626">
        <v>0.968826912053939</v>
      </c>
      <c r="K28" s="1626">
        <v>0.97321521550034307</v>
      </c>
    </row>
    <row r="29" spans="1:11" ht="17">
      <c r="A29" s="1625" t="s">
        <v>2096</v>
      </c>
      <c r="B29" s="1626">
        <v>0.81969753838067039</v>
      </c>
      <c r="C29" s="1626">
        <v>0.88924633865150204</v>
      </c>
      <c r="D29" s="1626">
        <v>0.88289777985394846</v>
      </c>
      <c r="E29" s="1626">
        <v>0.87124729575442261</v>
      </c>
      <c r="F29" s="1626">
        <v>0.90809738984900101</v>
      </c>
      <c r="G29" s="1626">
        <v>0.92419956688128979</v>
      </c>
      <c r="H29" s="1626">
        <v>0.93977676874699123</v>
      </c>
      <c r="I29" s="1626">
        <v>0.96235029659268057</v>
      </c>
      <c r="J29" s="1626">
        <v>0.96666284121095924</v>
      </c>
      <c r="K29" s="1626">
        <v>0.99357568294674292</v>
      </c>
    </row>
    <row r="30" spans="1:11" ht="17">
      <c r="A30" s="1625" t="s">
        <v>2097</v>
      </c>
      <c r="B30" s="1626">
        <v>0.94103833268179504</v>
      </c>
      <c r="C30" s="1626">
        <v>0.95195107664885725</v>
      </c>
      <c r="D30" s="1626">
        <v>0.92079797810269381</v>
      </c>
      <c r="E30" s="1626">
        <v>0.93702252667254449</v>
      </c>
      <c r="F30" s="1626">
        <v>0.92162201868416072</v>
      </c>
      <c r="G30" s="1626">
        <v>0.93079877530309851</v>
      </c>
      <c r="H30" s="1626">
        <v>0.97329407081754316</v>
      </c>
      <c r="I30" s="1626">
        <v>0.97780215812433768</v>
      </c>
      <c r="J30" s="1626">
        <v>0.98983836111193346</v>
      </c>
      <c r="K30" s="1626">
        <v>0.99096619952480058</v>
      </c>
    </row>
    <row r="31" spans="1:11" ht="17">
      <c r="A31" s="1625" t="s">
        <v>2098</v>
      </c>
      <c r="B31" s="1626">
        <v>0.89296752657460232</v>
      </c>
      <c r="C31" s="1626">
        <v>0.93585622518832745</v>
      </c>
      <c r="D31" s="1626">
        <v>0.93741203912847171</v>
      </c>
      <c r="E31" s="1626">
        <v>0.92540107764166857</v>
      </c>
      <c r="F31" s="1626">
        <v>0.91390026278909775</v>
      </c>
      <c r="G31" s="1626">
        <v>0.86261644729365106</v>
      </c>
      <c r="H31" s="1626">
        <v>0.91885573438818224</v>
      </c>
      <c r="I31" s="1626">
        <v>0.9572086652326447</v>
      </c>
      <c r="J31" s="1626">
        <v>0.96792875059469996</v>
      </c>
      <c r="K31" s="1626">
        <v>0.99159668008469881</v>
      </c>
    </row>
    <row r="32" spans="1:11" s="1601" customFormat="1" ht="17">
      <c r="A32" s="1625" t="s">
        <v>2099</v>
      </c>
      <c r="B32" s="1626">
        <v>0.93884879242343955</v>
      </c>
      <c r="C32" s="1626">
        <v>0.9469581137624854</v>
      </c>
      <c r="D32" s="1626">
        <v>0.94042241908563018</v>
      </c>
      <c r="E32" s="1626">
        <v>0.9422726463825819</v>
      </c>
      <c r="F32" s="1626">
        <v>0.90531670730225011</v>
      </c>
      <c r="G32" s="1626">
        <v>0.88577289548202487</v>
      </c>
      <c r="H32" s="1626">
        <v>0.91854964466769629</v>
      </c>
      <c r="I32" s="1626">
        <v>0.96556360974349398</v>
      </c>
      <c r="J32" s="1626">
        <v>0.94594729047749138</v>
      </c>
      <c r="K32" s="1626">
        <v>0.92320853155496785</v>
      </c>
    </row>
    <row r="33" spans="1:11" s="1601" customFormat="1" ht="17">
      <c r="A33" s="1625" t="s">
        <v>2100</v>
      </c>
      <c r="B33" s="1628">
        <v>0.90249179120774492</v>
      </c>
      <c r="C33" s="1628">
        <v>0.92271469418859131</v>
      </c>
      <c r="D33" s="1628">
        <v>0.91938864016755539</v>
      </c>
      <c r="E33" s="1628">
        <v>0.91473209358692276</v>
      </c>
      <c r="F33" s="1628">
        <v>0.91889966776198506</v>
      </c>
      <c r="G33" s="1628">
        <v>0.93313052570889743</v>
      </c>
      <c r="H33" s="1628">
        <v>0.93949236707673822</v>
      </c>
      <c r="I33" s="1628">
        <v>0.96904086251364729</v>
      </c>
      <c r="J33" s="1628">
        <v>0.9692576422088135</v>
      </c>
      <c r="K33" s="1628">
        <v>0.97080258201323855</v>
      </c>
    </row>
    <row r="35" spans="1:11">
      <c r="A35" s="1602" t="s">
        <v>2101</v>
      </c>
    </row>
    <row r="37" spans="1:11">
      <c r="A37" s="1629" t="s">
        <v>2102</v>
      </c>
    </row>
  </sheetData>
  <phoneticPr fontId="90" type="noConversion"/>
  <pageMargins left="0.44" right="0.78740157480314965" top="0.52" bottom="0.59" header="0.35" footer="0.3"/>
  <pageSetup paperSize="9" scale="96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C7E2-D666-C24F-ADF4-36017D9BFE5A}">
  <sheetPr>
    <pageSetUpPr fitToPage="1"/>
  </sheetPr>
  <dimension ref="A1:K36"/>
  <sheetViews>
    <sheetView workbookViewId="0">
      <selection activeCell="F79" sqref="F79"/>
    </sheetView>
  </sheetViews>
  <sheetFormatPr baseColWidth="10" defaultColWidth="11.3984375" defaultRowHeight="13"/>
  <cols>
    <col min="1" max="1" width="16.19921875" style="1602" customWidth="1"/>
    <col min="2" max="16384" width="11.3984375" style="1602"/>
  </cols>
  <sheetData>
    <row r="1" spans="1:11">
      <c r="A1" s="1601" t="s">
        <v>2103</v>
      </c>
    </row>
    <row r="3" spans="1:11">
      <c r="A3" s="1601" t="s">
        <v>2104</v>
      </c>
    </row>
    <row r="4" spans="1:11">
      <c r="A4" s="1601"/>
    </row>
    <row r="6" spans="1:11">
      <c r="B6" s="1624">
        <v>1997</v>
      </c>
      <c r="C6" s="1624">
        <v>1998</v>
      </c>
      <c r="D6" s="1624">
        <v>1999</v>
      </c>
      <c r="E6" s="1624">
        <v>2000</v>
      </c>
      <c r="F6" s="1624">
        <v>2001</v>
      </c>
      <c r="G6" s="1624">
        <v>2002</v>
      </c>
      <c r="H6" s="1624">
        <v>2003</v>
      </c>
      <c r="I6" s="1624">
        <v>2004</v>
      </c>
      <c r="J6" s="1624">
        <v>2005</v>
      </c>
      <c r="K6" s="1624">
        <v>2006</v>
      </c>
    </row>
    <row r="7" spans="1:11" ht="16">
      <c r="A7" s="1630" t="s">
        <v>2105</v>
      </c>
      <c r="B7" s="1631" t="s">
        <v>1412</v>
      </c>
      <c r="C7" s="1631" t="s">
        <v>1412</v>
      </c>
      <c r="D7" s="1631" t="s">
        <v>1412</v>
      </c>
      <c r="E7" s="1631" t="s">
        <v>1412</v>
      </c>
      <c r="F7" s="1631" t="s">
        <v>1412</v>
      </c>
      <c r="G7" s="1631" t="s">
        <v>1412</v>
      </c>
      <c r="H7" s="1631" t="s">
        <v>1412</v>
      </c>
      <c r="I7" s="1631" t="s">
        <v>1412</v>
      </c>
      <c r="J7" s="1631" t="s">
        <v>1412</v>
      </c>
      <c r="K7" s="1631" t="s">
        <v>1412</v>
      </c>
    </row>
    <row r="8" spans="1:11" ht="16">
      <c r="A8" s="1630" t="s">
        <v>2106</v>
      </c>
      <c r="B8" s="1631" t="s">
        <v>1412</v>
      </c>
      <c r="C8" s="1631" t="s">
        <v>1412</v>
      </c>
      <c r="D8" s="1631" t="s">
        <v>1412</v>
      </c>
      <c r="E8" s="1631" t="s">
        <v>1412</v>
      </c>
      <c r="F8" s="1631" t="s">
        <v>1412</v>
      </c>
      <c r="G8" s="1631" t="s">
        <v>1412</v>
      </c>
      <c r="H8" s="1631" t="s">
        <v>1412</v>
      </c>
      <c r="I8" s="1631" t="s">
        <v>1412</v>
      </c>
      <c r="J8" s="1631" t="s">
        <v>1412</v>
      </c>
      <c r="K8" s="1631" t="s">
        <v>1412</v>
      </c>
    </row>
    <row r="9" spans="1:11" ht="16">
      <c r="A9" s="1630" t="s">
        <v>2107</v>
      </c>
      <c r="B9" s="1631" t="s">
        <v>1412</v>
      </c>
      <c r="C9" s="1631" t="s">
        <v>1412</v>
      </c>
      <c r="D9" s="1631" t="s">
        <v>1412</v>
      </c>
      <c r="E9" s="1631" t="s">
        <v>1412</v>
      </c>
      <c r="F9" s="1631" t="s">
        <v>1412</v>
      </c>
      <c r="G9" s="1631" t="s">
        <v>1412</v>
      </c>
      <c r="H9" s="1631" t="s">
        <v>1412</v>
      </c>
      <c r="I9" s="1631" t="s">
        <v>1412</v>
      </c>
      <c r="J9" s="1631" t="s">
        <v>1412</v>
      </c>
      <c r="K9" s="1631" t="s">
        <v>1412</v>
      </c>
    </row>
    <row r="10" spans="1:11" ht="16">
      <c r="A10" s="1630" t="s">
        <v>2108</v>
      </c>
      <c r="B10" s="1631" t="s">
        <v>1412</v>
      </c>
      <c r="C10" s="1631" t="s">
        <v>1412</v>
      </c>
      <c r="D10" s="1631" t="s">
        <v>1412</v>
      </c>
      <c r="E10" s="1631" t="s">
        <v>1412</v>
      </c>
      <c r="F10" s="1631" t="s">
        <v>1412</v>
      </c>
      <c r="G10" s="1631" t="s">
        <v>1412</v>
      </c>
      <c r="H10" s="1631" t="s">
        <v>1412</v>
      </c>
      <c r="I10" s="1631" t="s">
        <v>1412</v>
      </c>
      <c r="J10" s="1631" t="s">
        <v>1412</v>
      </c>
      <c r="K10" s="1631" t="s">
        <v>1412</v>
      </c>
    </row>
    <row r="11" spans="1:11" ht="16">
      <c r="A11" s="1630" t="s">
        <v>2109</v>
      </c>
      <c r="B11" s="1631" t="s">
        <v>1412</v>
      </c>
      <c r="C11" s="1631" t="s">
        <v>1412</v>
      </c>
      <c r="D11" s="1631" t="s">
        <v>1412</v>
      </c>
      <c r="E11" s="1631" t="s">
        <v>1412</v>
      </c>
      <c r="F11" s="1631" t="s">
        <v>1412</v>
      </c>
      <c r="G11" s="1631" t="s">
        <v>1412</v>
      </c>
      <c r="H11" s="1631" t="s">
        <v>1412</v>
      </c>
      <c r="I11" s="1631" t="s">
        <v>1412</v>
      </c>
      <c r="J11" s="1631" t="s">
        <v>1412</v>
      </c>
      <c r="K11" s="1631" t="s">
        <v>1412</v>
      </c>
    </row>
    <row r="12" spans="1:11" ht="16">
      <c r="A12" s="1630" t="s">
        <v>2110</v>
      </c>
      <c r="B12" s="1631" t="s">
        <v>1412</v>
      </c>
      <c r="C12" s="1631" t="s">
        <v>1412</v>
      </c>
      <c r="D12" s="1631" t="s">
        <v>1412</v>
      </c>
      <c r="E12" s="1631" t="s">
        <v>1412</v>
      </c>
      <c r="F12" s="1631" t="s">
        <v>1412</v>
      </c>
      <c r="G12" s="1631" t="s">
        <v>1412</v>
      </c>
      <c r="H12" s="1631" t="s">
        <v>1412</v>
      </c>
      <c r="I12" s="1631" t="s">
        <v>1412</v>
      </c>
      <c r="J12" s="1631" t="s">
        <v>1412</v>
      </c>
      <c r="K12" s="1631" t="s">
        <v>1412</v>
      </c>
    </row>
    <row r="13" spans="1:11" ht="16">
      <c r="A13" s="1630" t="s">
        <v>2111</v>
      </c>
      <c r="B13" s="1632">
        <v>0.88625249963593222</v>
      </c>
      <c r="C13" s="1632">
        <v>0.91285772572280499</v>
      </c>
      <c r="D13" s="1632">
        <v>0.91428803740974729</v>
      </c>
      <c r="E13" s="1632">
        <v>0.90837715802753249</v>
      </c>
      <c r="F13" s="1632">
        <v>0.90773603898664657</v>
      </c>
      <c r="G13" s="1632">
        <v>0.92132667029448467</v>
      </c>
      <c r="H13" s="1632">
        <v>0.92655729153123212</v>
      </c>
      <c r="I13" s="1632">
        <v>0.97300004651398797</v>
      </c>
      <c r="J13" s="1632">
        <v>0.97161825312487404</v>
      </c>
      <c r="K13" s="1632">
        <v>0.96935683926942928</v>
      </c>
    </row>
    <row r="14" spans="1:11" ht="16">
      <c r="A14" s="1630" t="s">
        <v>2112</v>
      </c>
      <c r="B14" s="1632">
        <v>0.88449857621572292</v>
      </c>
      <c r="C14" s="1632">
        <v>0.90876369581829586</v>
      </c>
      <c r="D14" s="1632">
        <v>0.90866587570779667</v>
      </c>
      <c r="E14" s="1632">
        <v>0.90328055876474089</v>
      </c>
      <c r="F14" s="1632">
        <v>0.90651483922141896</v>
      </c>
      <c r="G14" s="1632">
        <v>0.9234057044671764</v>
      </c>
      <c r="H14" s="1632">
        <v>0.93001482031426541</v>
      </c>
      <c r="I14" s="1632">
        <v>0.97213892842102212</v>
      </c>
      <c r="J14" s="1632">
        <v>0.97172869910847781</v>
      </c>
      <c r="K14" s="1632">
        <v>0.97203230935838869</v>
      </c>
    </row>
    <row r="15" spans="1:11" ht="16">
      <c r="A15" s="1630" t="s">
        <v>2113</v>
      </c>
      <c r="B15" s="1632">
        <v>0.915309468010295</v>
      </c>
      <c r="C15" s="1632">
        <v>0.93664962486486647</v>
      </c>
      <c r="D15" s="1632">
        <v>0.93592604492004428</v>
      </c>
      <c r="E15" s="1632">
        <v>0.92957708460241795</v>
      </c>
      <c r="F15" s="1632">
        <v>0.93056845668884636</v>
      </c>
      <c r="G15" s="1632">
        <v>0.94705199646178473</v>
      </c>
      <c r="H15" s="1632">
        <v>0.92898258489605223</v>
      </c>
      <c r="I15" s="1632">
        <v>0.96563129629922129</v>
      </c>
      <c r="J15" s="1632">
        <v>0.96602950444367264</v>
      </c>
      <c r="K15" s="1632">
        <v>0.96833193218783553</v>
      </c>
    </row>
    <row r="16" spans="1:11" ht="16">
      <c r="A16" s="1630" t="s">
        <v>2114</v>
      </c>
      <c r="B16" s="1632">
        <v>0.8740693042176928</v>
      </c>
      <c r="C16" s="1632">
        <v>0.89015826516630647</v>
      </c>
      <c r="D16" s="1632">
        <v>0.88506572863833355</v>
      </c>
      <c r="E16" s="1632">
        <v>0.87876031030436397</v>
      </c>
      <c r="F16" s="1632">
        <v>0.88196869533359123</v>
      </c>
      <c r="G16" s="1632">
        <v>0.8983614047806503</v>
      </c>
      <c r="H16" s="1632">
        <v>0.93092142532009703</v>
      </c>
      <c r="I16" s="1632">
        <v>0.96242673932369693</v>
      </c>
      <c r="J16" s="1632">
        <v>0.96271474827808856</v>
      </c>
      <c r="K16" s="1632">
        <v>0.96386312123910911</v>
      </c>
    </row>
    <row r="17" spans="1:11" ht="16">
      <c r="A17" s="1630" t="s">
        <v>2115</v>
      </c>
      <c r="B17" s="1632">
        <v>0.9398637012521478</v>
      </c>
      <c r="C17" s="1632">
        <v>0.95377671257180463</v>
      </c>
      <c r="D17" s="1632">
        <v>0.95173314614658489</v>
      </c>
      <c r="E17" s="1632">
        <v>0.94408242943799614</v>
      </c>
      <c r="F17" s="1632">
        <v>0.94432776248139672</v>
      </c>
      <c r="G17" s="1632">
        <v>0.95549379610400642</v>
      </c>
      <c r="H17" s="1632">
        <v>0.93722994892648026</v>
      </c>
      <c r="I17" s="1632">
        <v>0.96294643090685561</v>
      </c>
      <c r="J17" s="1632">
        <v>0.96232712378286989</v>
      </c>
      <c r="K17" s="1632">
        <v>0.96343909999218857</v>
      </c>
    </row>
    <row r="18" spans="1:11" ht="16">
      <c r="A18" s="1630" t="s">
        <v>2116</v>
      </c>
      <c r="B18" s="1632">
        <v>0.89418540099958976</v>
      </c>
      <c r="C18" s="1632">
        <v>0.90842245202063476</v>
      </c>
      <c r="D18" s="1632">
        <v>0.90142953137629911</v>
      </c>
      <c r="E18" s="1632">
        <v>0.89757794285426606</v>
      </c>
      <c r="F18" s="1632">
        <v>0.90087174035658935</v>
      </c>
      <c r="G18" s="1632">
        <v>0.91519593381390762</v>
      </c>
      <c r="H18" s="1632">
        <v>0.94535887369328919</v>
      </c>
      <c r="I18" s="1632">
        <v>0.96607319257574042</v>
      </c>
      <c r="J18" s="1632">
        <v>0.96506406583782811</v>
      </c>
      <c r="K18" s="1632">
        <v>0.96593242950086466</v>
      </c>
    </row>
    <row r="19" spans="1:11" ht="16">
      <c r="A19" s="1630" t="s">
        <v>2117</v>
      </c>
      <c r="B19" s="1632">
        <v>0.95235102771621394</v>
      </c>
      <c r="C19" s="1632">
        <v>0.96540132385013055</v>
      </c>
      <c r="D19" s="1632">
        <v>0.95866896340513996</v>
      </c>
      <c r="E19" s="1632">
        <v>0.95454685104985348</v>
      </c>
      <c r="F19" s="1632">
        <v>0.95567876703776078</v>
      </c>
      <c r="G19" s="1632">
        <v>0.96707158813828931</v>
      </c>
      <c r="H19" s="1632">
        <v>0.95242875880068578</v>
      </c>
      <c r="I19" s="1632">
        <v>0.96935003109797147</v>
      </c>
      <c r="J19" s="1632">
        <v>0.96941302658300488</v>
      </c>
      <c r="K19" s="1632">
        <v>0.97102318537771026</v>
      </c>
    </row>
    <row r="20" spans="1:11" ht="16">
      <c r="A20" s="1630" t="s">
        <v>2118</v>
      </c>
      <c r="B20" s="1632">
        <v>0.89858825283280575</v>
      </c>
      <c r="C20" s="1632">
        <v>0.91335337084128998</v>
      </c>
      <c r="D20" s="1632">
        <v>0.90534668692938591</v>
      </c>
      <c r="E20" s="1632">
        <v>0.90151526401600546</v>
      </c>
      <c r="F20" s="1632">
        <v>0.90848582506407916</v>
      </c>
      <c r="G20" s="1632">
        <v>0.92146815401560989</v>
      </c>
      <c r="H20" s="1632">
        <v>0.95828780467330066</v>
      </c>
      <c r="I20" s="1632">
        <v>0.97185930562631928</v>
      </c>
      <c r="J20" s="1632">
        <v>0.97197960883683576</v>
      </c>
      <c r="K20" s="1632">
        <v>0.97362957522340565</v>
      </c>
    </row>
    <row r="21" spans="1:11" ht="16">
      <c r="A21" s="1630" t="s">
        <v>2119</v>
      </c>
      <c r="B21" s="1632">
        <v>0.95612472962829087</v>
      </c>
      <c r="C21" s="1632">
        <v>0.97075212942050504</v>
      </c>
      <c r="D21" s="1632">
        <v>0.96316122982157926</v>
      </c>
      <c r="E21" s="1632">
        <v>0.95907286280063742</v>
      </c>
      <c r="F21" s="1632">
        <v>0.96588910178692267</v>
      </c>
      <c r="G21" s="1632">
        <v>0.97886623749068613</v>
      </c>
      <c r="H21" s="1632">
        <v>0.96425981139760175</v>
      </c>
      <c r="I21" s="1632">
        <v>0.97525613952884638</v>
      </c>
      <c r="J21" s="1632">
        <v>0.97704016269705529</v>
      </c>
      <c r="K21" s="1632">
        <v>0.97783660611934864</v>
      </c>
    </row>
    <row r="22" spans="1:11" ht="16">
      <c r="A22" s="1630" t="s">
        <v>2120</v>
      </c>
      <c r="B22" s="1632">
        <v>0.89636565286988346</v>
      </c>
      <c r="C22" s="1632">
        <v>0.91377990203418502</v>
      </c>
      <c r="D22" s="1632">
        <v>0.90631141660852266</v>
      </c>
      <c r="E22" s="1632">
        <v>0.90259621109708921</v>
      </c>
      <c r="F22" s="1632">
        <v>0.91135793314629476</v>
      </c>
      <c r="G22" s="1632">
        <v>0.92690031809859963</v>
      </c>
      <c r="H22" s="1632">
        <v>0.96766944329224325</v>
      </c>
      <c r="I22" s="1632">
        <v>0.97575558697912723</v>
      </c>
      <c r="J22" s="1632">
        <v>0.97845942781492778</v>
      </c>
      <c r="K22" s="1632">
        <v>0.97952618963694049</v>
      </c>
    </row>
    <row r="23" spans="1:11" ht="16">
      <c r="A23" s="1630" t="s">
        <v>2121</v>
      </c>
      <c r="B23" s="1632">
        <v>0.94625065104871942</v>
      </c>
      <c r="C23" s="1632">
        <v>0.96317358217869387</v>
      </c>
      <c r="D23" s="1632">
        <v>0.9565334662095285</v>
      </c>
      <c r="E23" s="1632">
        <v>0.95366672030445265</v>
      </c>
      <c r="F23" s="1632">
        <v>0.96593593162953306</v>
      </c>
      <c r="G23" s="1632">
        <v>0.98233798611198497</v>
      </c>
      <c r="H23" s="1632">
        <v>0.97103674020292818</v>
      </c>
      <c r="I23" s="1632">
        <v>0.97630529685043843</v>
      </c>
      <c r="J23" s="1632">
        <v>0.97895566813617541</v>
      </c>
      <c r="K23" s="1632">
        <v>0.97942780465743362</v>
      </c>
    </row>
    <row r="24" spans="1:11" ht="16">
      <c r="A24" s="1630" t="s">
        <v>2122</v>
      </c>
      <c r="B24" s="1632">
        <v>0.88607553341492507</v>
      </c>
      <c r="C24" s="1632">
        <v>0.91082489435621661</v>
      </c>
      <c r="D24" s="1632">
        <v>0.90234170703792804</v>
      </c>
      <c r="E24" s="1632">
        <v>0.89762658715599675</v>
      </c>
      <c r="F24" s="1632">
        <v>0.90518167273412997</v>
      </c>
      <c r="G24" s="1632">
        <v>0.92434889797581399</v>
      </c>
      <c r="H24" s="1632">
        <v>0.97256778096407237</v>
      </c>
      <c r="I24" s="1632">
        <v>0.97550189576893342</v>
      </c>
      <c r="J24" s="1632">
        <v>0.9792134929600429</v>
      </c>
      <c r="K24" s="1632">
        <v>0.98113386215163667</v>
      </c>
    </row>
    <row r="25" spans="1:11" ht="16">
      <c r="A25" s="1630" t="s">
        <v>2123</v>
      </c>
      <c r="B25" s="1632">
        <v>0.92614090922477366</v>
      </c>
      <c r="C25" s="1632">
        <v>0.95703910480456234</v>
      </c>
      <c r="D25" s="1632">
        <v>0.95134041578234618</v>
      </c>
      <c r="E25" s="1632">
        <v>0.94695729606687484</v>
      </c>
      <c r="F25" s="1632">
        <v>0.9598217381284232</v>
      </c>
      <c r="G25" s="1632">
        <v>0.97890033194314408</v>
      </c>
      <c r="H25" s="1632">
        <v>0.97396619861632139</v>
      </c>
      <c r="I25" s="1632">
        <v>0.97630571975884639</v>
      </c>
      <c r="J25" s="1632">
        <v>0.97869949050268834</v>
      </c>
      <c r="K25" s="1632">
        <v>0.98022143069814627</v>
      </c>
    </row>
    <row r="26" spans="1:11" ht="16">
      <c r="A26" s="1630" t="s">
        <v>2124</v>
      </c>
      <c r="B26" s="1626" t="s">
        <v>1412</v>
      </c>
      <c r="C26" s="1626" t="s">
        <v>1412</v>
      </c>
      <c r="D26" s="1626" t="s">
        <v>1412</v>
      </c>
      <c r="E26" s="1626" t="s">
        <v>1412</v>
      </c>
      <c r="F26" s="1626" t="s">
        <v>1412</v>
      </c>
      <c r="G26" s="1626" t="s">
        <v>1412</v>
      </c>
      <c r="H26" s="1626" t="s">
        <v>1412</v>
      </c>
      <c r="I26" s="1626" t="s">
        <v>1412</v>
      </c>
      <c r="J26" s="1626" t="s">
        <v>1412</v>
      </c>
      <c r="K26" s="1626" t="s">
        <v>1412</v>
      </c>
    </row>
    <row r="27" spans="1:11" ht="16">
      <c r="A27" s="1630" t="s">
        <v>2125</v>
      </c>
      <c r="B27" s="1626" t="s">
        <v>1412</v>
      </c>
      <c r="C27" s="1626" t="s">
        <v>1412</v>
      </c>
      <c r="D27" s="1626" t="s">
        <v>1412</v>
      </c>
      <c r="E27" s="1626" t="s">
        <v>1412</v>
      </c>
      <c r="F27" s="1626" t="s">
        <v>1412</v>
      </c>
      <c r="G27" s="1626" t="s">
        <v>1412</v>
      </c>
      <c r="H27" s="1626" t="s">
        <v>1412</v>
      </c>
      <c r="I27" s="1626" t="s">
        <v>1412</v>
      </c>
      <c r="J27" s="1626" t="s">
        <v>1412</v>
      </c>
      <c r="K27" s="1626" t="s">
        <v>1412</v>
      </c>
    </row>
    <row r="28" spans="1:11" ht="16">
      <c r="A28" s="1630" t="s">
        <v>2126</v>
      </c>
      <c r="B28" s="1626" t="s">
        <v>1412</v>
      </c>
      <c r="C28" s="1626" t="s">
        <v>1412</v>
      </c>
      <c r="D28" s="1626" t="s">
        <v>1412</v>
      </c>
      <c r="E28" s="1626" t="s">
        <v>1412</v>
      </c>
      <c r="F28" s="1626" t="s">
        <v>1412</v>
      </c>
      <c r="G28" s="1626" t="s">
        <v>1412</v>
      </c>
      <c r="H28" s="1626" t="s">
        <v>1412</v>
      </c>
      <c r="I28" s="1626" t="s">
        <v>1412</v>
      </c>
      <c r="J28" s="1626" t="s">
        <v>1412</v>
      </c>
      <c r="K28" s="1626" t="s">
        <v>1412</v>
      </c>
    </row>
    <row r="29" spans="1:11" ht="16">
      <c r="A29" s="1630" t="s">
        <v>2127</v>
      </c>
      <c r="B29" s="1626" t="s">
        <v>1412</v>
      </c>
      <c r="C29" s="1626" t="s">
        <v>1412</v>
      </c>
      <c r="D29" s="1626" t="s">
        <v>1412</v>
      </c>
      <c r="E29" s="1626" t="s">
        <v>1412</v>
      </c>
      <c r="F29" s="1626" t="s">
        <v>1412</v>
      </c>
      <c r="G29" s="1626" t="s">
        <v>1412</v>
      </c>
      <c r="H29" s="1626" t="s">
        <v>1412</v>
      </c>
      <c r="I29" s="1626" t="s">
        <v>1412</v>
      </c>
      <c r="J29" s="1626" t="s">
        <v>1412</v>
      </c>
      <c r="K29" s="1626" t="s">
        <v>1412</v>
      </c>
    </row>
    <row r="30" spans="1:11" ht="16">
      <c r="A30" s="1630" t="s">
        <v>2128</v>
      </c>
      <c r="B30" s="1626" t="s">
        <v>1412</v>
      </c>
      <c r="C30" s="1626" t="s">
        <v>1412</v>
      </c>
      <c r="D30" s="1626" t="s">
        <v>1412</v>
      </c>
      <c r="E30" s="1626" t="s">
        <v>1412</v>
      </c>
      <c r="F30" s="1626" t="s">
        <v>1412</v>
      </c>
      <c r="G30" s="1626" t="s">
        <v>1412</v>
      </c>
      <c r="H30" s="1626" t="s">
        <v>1412</v>
      </c>
      <c r="I30" s="1626" t="s">
        <v>1412</v>
      </c>
      <c r="J30" s="1626" t="s">
        <v>1412</v>
      </c>
      <c r="K30" s="1626" t="s">
        <v>1412</v>
      </c>
    </row>
    <row r="31" spans="1:11" ht="16">
      <c r="A31" s="1630" t="s">
        <v>2129</v>
      </c>
      <c r="B31" s="1626" t="s">
        <v>1412</v>
      </c>
      <c r="C31" s="1626" t="s">
        <v>1412</v>
      </c>
      <c r="D31" s="1626" t="s">
        <v>1412</v>
      </c>
      <c r="E31" s="1626" t="s">
        <v>1412</v>
      </c>
      <c r="F31" s="1626" t="s">
        <v>1412</v>
      </c>
      <c r="G31" s="1626" t="s">
        <v>1412</v>
      </c>
      <c r="H31" s="1626" t="s">
        <v>1412</v>
      </c>
      <c r="I31" s="1626" t="s">
        <v>1412</v>
      </c>
      <c r="J31" s="1626" t="s">
        <v>1412</v>
      </c>
      <c r="K31" s="1626" t="s">
        <v>1412</v>
      </c>
    </row>
    <row r="32" spans="1:11" s="1601" customFormat="1" ht="17">
      <c r="A32" s="1633" t="s">
        <v>1716</v>
      </c>
      <c r="B32" s="1634">
        <v>0.90249179120774492</v>
      </c>
      <c r="C32" s="1634">
        <v>0.92271469418859131</v>
      </c>
      <c r="D32" s="1634">
        <v>0.91938865200547892</v>
      </c>
      <c r="E32" s="1634">
        <v>0.91473209358692265</v>
      </c>
      <c r="F32" s="1634">
        <v>0.91889966650253818</v>
      </c>
      <c r="G32" s="1634">
        <v>0.93313052570889732</v>
      </c>
      <c r="H32" s="1634">
        <v>0.93949236707673822</v>
      </c>
      <c r="I32" s="1634">
        <v>0.96904047028124995</v>
      </c>
      <c r="J32" s="1634">
        <v>0.96925842337126122</v>
      </c>
      <c r="K32" s="1634">
        <v>0.97080297091882239</v>
      </c>
    </row>
    <row r="33" spans="1:11" ht="16">
      <c r="A33" s="1635" t="s">
        <v>2130</v>
      </c>
      <c r="B33" s="1632">
        <v>0.88754099004874798</v>
      </c>
      <c r="C33" s="1632">
        <v>0.9107789761027324</v>
      </c>
      <c r="D33" s="1632">
        <v>0.90843922407433253</v>
      </c>
      <c r="E33" s="1632">
        <v>0.90462414559451954</v>
      </c>
      <c r="F33" s="1632">
        <v>0.90888672575043006</v>
      </c>
      <c r="G33" s="1632">
        <v>0.92353823916669631</v>
      </c>
      <c r="H33" s="1632">
        <v>0.92516104070352623</v>
      </c>
      <c r="I33" s="1632">
        <v>0.96803521532595982</v>
      </c>
      <c r="J33" s="1632">
        <v>0.96788777235118473</v>
      </c>
      <c r="K33" s="1632">
        <v>0.97102403530784154</v>
      </c>
    </row>
    <row r="34" spans="1:11" ht="16">
      <c r="A34" s="1635" t="s">
        <v>2131</v>
      </c>
      <c r="B34" s="1632">
        <v>0.89619117530430958</v>
      </c>
      <c r="C34" s="1632">
        <v>0.91968192199851606</v>
      </c>
      <c r="D34" s="1632">
        <v>0.91735381671326577</v>
      </c>
      <c r="E34" s="1632">
        <v>0.91314186318849611</v>
      </c>
      <c r="F34" s="1632">
        <v>0.92096616591039326</v>
      </c>
      <c r="G34" s="1632">
        <v>0.92852957572471351</v>
      </c>
      <c r="H34" s="1632">
        <v>0.93694665099267149</v>
      </c>
      <c r="I34" s="1632">
        <v>0.96931039108818084</v>
      </c>
      <c r="J34" s="1632">
        <v>0.96951451951064294</v>
      </c>
      <c r="K34" s="1632">
        <v>0.97241720684129762</v>
      </c>
    </row>
    <row r="36" spans="1:11">
      <c r="A36" s="1602" t="s">
        <v>2101</v>
      </c>
    </row>
  </sheetData>
  <phoneticPr fontId="90" type="noConversion"/>
  <pageMargins left="0.44" right="0.78740157480314965" top="0.54" bottom="0.59" header="0.37" footer="0.3"/>
  <pageSetup paperSize="9" scale="97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42E7-41E1-454A-B4F4-EC103E18A499}">
  <sheetPr>
    <pageSetUpPr fitToPage="1"/>
  </sheetPr>
  <dimension ref="A1:J63"/>
  <sheetViews>
    <sheetView workbookViewId="0">
      <selection activeCell="B2" sqref="B2"/>
    </sheetView>
  </sheetViews>
  <sheetFormatPr baseColWidth="10" defaultColWidth="11.3984375" defaultRowHeight="13"/>
  <cols>
    <col min="1" max="1" width="3.796875" style="1636" customWidth="1"/>
    <col min="2" max="2" width="18.59765625" style="1641" customWidth="1"/>
    <col min="3" max="3" width="13" style="1636" customWidth="1"/>
    <col min="4" max="6" width="11.3984375" style="1636"/>
    <col min="7" max="7" width="11.3984375" style="1638"/>
    <col min="8" max="8" width="11.3984375" style="1639"/>
    <col min="9" max="9" width="9.796875" style="1636" customWidth="1"/>
    <col min="10" max="10" width="9.19921875" style="1640" customWidth="1"/>
    <col min="11" max="11" width="4.796875" style="1636" customWidth="1"/>
    <col min="12" max="16384" width="11.3984375" style="1636"/>
  </cols>
  <sheetData>
    <row r="1" spans="1:10">
      <c r="B1" s="1637" t="s">
        <v>2134</v>
      </c>
    </row>
    <row r="3" spans="1:10">
      <c r="B3" s="1637" t="s">
        <v>2135</v>
      </c>
    </row>
    <row r="4" spans="1:10">
      <c r="G4" s="1642"/>
      <c r="H4" s="1643"/>
    </row>
    <row r="5" spans="1:10" ht="39">
      <c r="C5" s="1644">
        <v>2002</v>
      </c>
      <c r="D5" s="1644">
        <v>2003</v>
      </c>
      <c r="E5" s="1644">
        <v>2004</v>
      </c>
      <c r="F5" s="1644">
        <v>2005</v>
      </c>
      <c r="G5" s="1645">
        <v>2006</v>
      </c>
      <c r="H5" s="1646" t="s">
        <v>2136</v>
      </c>
      <c r="I5" s="1644">
        <v>2007</v>
      </c>
      <c r="J5" s="1644">
        <v>2008</v>
      </c>
    </row>
    <row r="6" spans="1:10">
      <c r="A6" s="1638">
        <v>1</v>
      </c>
      <c r="B6" s="1637" t="s">
        <v>268</v>
      </c>
      <c r="C6" s="1647">
        <v>7344.6319999999996</v>
      </c>
      <c r="D6" s="1647">
        <v>7372.5050000000001</v>
      </c>
      <c r="E6" s="1647">
        <v>7383.5739999999996</v>
      </c>
      <c r="F6" s="1647">
        <v>7435.8649999999998</v>
      </c>
      <c r="G6" s="1648">
        <v>7478.4290000000001</v>
      </c>
      <c r="H6" s="1649">
        <f>(G6/F6)-1</f>
        <v>5.7241491070643136E-3</v>
      </c>
      <c r="I6" s="1647"/>
      <c r="J6" s="1647"/>
    </row>
    <row r="7" spans="1:10">
      <c r="B7" s="1650" t="s">
        <v>2137</v>
      </c>
      <c r="C7" s="1651"/>
      <c r="D7" s="1651">
        <v>7381</v>
      </c>
      <c r="E7" s="1651">
        <v>7369</v>
      </c>
      <c r="F7" s="1651">
        <v>7439</v>
      </c>
      <c r="G7" s="1652">
        <v>7479.1931914420002</v>
      </c>
      <c r="H7" s="1653">
        <f>(G7/F7)-1</f>
        <v>5.4030368923243532E-3</v>
      </c>
      <c r="I7" s="1651">
        <v>7540.1476616999998</v>
      </c>
      <c r="J7" s="1654"/>
    </row>
    <row r="8" spans="1:10">
      <c r="B8" s="1650" t="s">
        <v>2138</v>
      </c>
      <c r="C8" s="1651"/>
      <c r="D8" s="1655">
        <f>(D7/D6)-1</f>
        <v>1.1522542202413444E-3</v>
      </c>
      <c r="E8" s="1655">
        <f>(E7/E6)-1</f>
        <v>-1.9738408526818185E-3</v>
      </c>
      <c r="F8" s="1655">
        <f>(F7/F6)-1</f>
        <v>4.2160528734713765E-4</v>
      </c>
      <c r="G8" s="1655">
        <f>(G7/G6)-1</f>
        <v>1.0218609309520232E-4</v>
      </c>
      <c r="H8" s="1653"/>
      <c r="I8" s="1651"/>
      <c r="J8" s="1654"/>
    </row>
    <row r="9" spans="1:10">
      <c r="B9" s="1650" t="s">
        <v>2139</v>
      </c>
      <c r="C9" s="1651"/>
      <c r="D9" s="1651"/>
      <c r="E9" s="1651">
        <v>7362</v>
      </c>
      <c r="F9" s="1651">
        <v>7463</v>
      </c>
      <c r="G9" s="1652">
        <v>7592</v>
      </c>
      <c r="H9" s="1653">
        <f>(G9/F9)-1</f>
        <v>1.7285274018491226E-2</v>
      </c>
      <c r="I9" s="1651">
        <v>7673.1906940349973</v>
      </c>
      <c r="J9" s="1651">
        <v>7691.2806604670004</v>
      </c>
    </row>
    <row r="10" spans="1:10">
      <c r="C10" s="1647"/>
      <c r="D10" s="1647"/>
      <c r="E10" s="1647"/>
      <c r="F10" s="1647"/>
      <c r="G10" s="1648"/>
      <c r="H10" s="1649"/>
      <c r="I10" s="1647"/>
      <c r="J10" s="1647"/>
    </row>
    <row r="11" spans="1:10">
      <c r="A11" s="1638">
        <v>2</v>
      </c>
      <c r="B11" s="1637" t="s">
        <v>1008</v>
      </c>
      <c r="C11" s="1647">
        <v>15355.045232</v>
      </c>
      <c r="D11" s="1647">
        <v>16820.111152000001</v>
      </c>
      <c r="E11" s="1647">
        <v>18029.704831999999</v>
      </c>
      <c r="F11" s="1647">
        <v>18496.419615660001</v>
      </c>
      <c r="G11" s="1648">
        <v>19314.688173570001</v>
      </c>
      <c r="H11" s="1649">
        <f>(G11/F11)-1</f>
        <v>4.42392946804262E-2</v>
      </c>
      <c r="I11" s="1647"/>
      <c r="J11" s="1647"/>
    </row>
    <row r="12" spans="1:10">
      <c r="B12" s="1650" t="str">
        <f>B$7</f>
        <v>Schätzung 1</v>
      </c>
      <c r="C12" s="1651"/>
      <c r="D12" s="1651">
        <v>16841</v>
      </c>
      <c r="E12" s="1651">
        <v>18003</v>
      </c>
      <c r="F12" s="1651">
        <v>18529</v>
      </c>
      <c r="G12" s="1652">
        <v>19330</v>
      </c>
      <c r="H12" s="1653">
        <f>(G12/F12)-1</f>
        <v>4.3229532084839928E-2</v>
      </c>
      <c r="I12" s="1651">
        <v>19702.417918889994</v>
      </c>
      <c r="J12" s="1654"/>
    </row>
    <row r="13" spans="1:10">
      <c r="B13" s="1650" t="s">
        <v>2138</v>
      </c>
      <c r="C13" s="1651"/>
      <c r="D13" s="1655">
        <f>(D12/D11)-1</f>
        <v>1.2418971439147608E-3</v>
      </c>
      <c r="E13" s="1655">
        <f>(E12/E11)-1</f>
        <v>-1.481157470343164E-3</v>
      </c>
      <c r="F13" s="1655">
        <f>(F12/F11)-1</f>
        <v>1.761442755786824E-3</v>
      </c>
      <c r="G13" s="1655">
        <f>(G12/G11)-1</f>
        <v>7.9275555952040833E-4</v>
      </c>
      <c r="H13" s="1653"/>
      <c r="I13" s="1651"/>
      <c r="J13" s="1654"/>
    </row>
    <row r="14" spans="1:10">
      <c r="B14" s="1650" t="str">
        <f>B$9</f>
        <v>Schätzung 2</v>
      </c>
      <c r="C14" s="1651"/>
      <c r="D14" s="1651"/>
      <c r="E14" s="1651">
        <v>18075</v>
      </c>
      <c r="F14" s="1651">
        <v>18735</v>
      </c>
      <c r="G14" s="1652">
        <v>19932</v>
      </c>
      <c r="H14" s="1653">
        <f>(G14/F14)-1</f>
        <v>6.3891112890312352E-2</v>
      </c>
      <c r="I14" s="1651">
        <v>20116</v>
      </c>
      <c r="J14" s="1651">
        <v>20016.107919189995</v>
      </c>
    </row>
    <row r="15" spans="1:10">
      <c r="C15" s="1647"/>
      <c r="D15" s="1647"/>
      <c r="E15" s="1647"/>
      <c r="F15" s="1647"/>
      <c r="G15" s="1648"/>
      <c r="H15" s="1649"/>
      <c r="I15" s="1647"/>
      <c r="J15" s="1647"/>
    </row>
    <row r="16" spans="1:10">
      <c r="A16" s="1638">
        <v>3</v>
      </c>
      <c r="B16" s="1637" t="s">
        <v>2140</v>
      </c>
      <c r="C16" s="1647">
        <v>14592.757041999999</v>
      </c>
      <c r="D16" s="1647">
        <v>15335.619703</v>
      </c>
      <c r="E16" s="1647">
        <v>16307.508545999999</v>
      </c>
      <c r="F16" s="1647">
        <v>17352.720035540002</v>
      </c>
      <c r="G16" s="1648">
        <v>17563.91560077</v>
      </c>
      <c r="H16" s="1649">
        <f>(G16/F16)-1</f>
        <v>1.2170746995136872E-2</v>
      </c>
      <c r="I16" s="1647"/>
      <c r="J16" s="1647"/>
    </row>
    <row r="17" spans="1:10">
      <c r="B17" s="1650" t="str">
        <f>B$7</f>
        <v>Schätzung 1</v>
      </c>
      <c r="C17" s="1651"/>
      <c r="D17" s="1651">
        <v>15382</v>
      </c>
      <c r="E17" s="1651">
        <v>16182</v>
      </c>
      <c r="F17" s="1651">
        <v>17293</v>
      </c>
      <c r="G17" s="1652">
        <v>17953</v>
      </c>
      <c r="H17" s="1653">
        <f>(G17/F17)-1</f>
        <v>3.8165731798993852E-2</v>
      </c>
      <c r="I17" s="1651">
        <v>18303.805358469996</v>
      </c>
      <c r="J17" s="1654"/>
    </row>
    <row r="18" spans="1:10">
      <c r="B18" s="1650" t="s">
        <v>2138</v>
      </c>
      <c r="C18" s="1651"/>
      <c r="D18" s="1655">
        <f>(D17/D16)-1</f>
        <v>3.024351014059512E-3</v>
      </c>
      <c r="E18" s="1655">
        <f>(E17/E16)-1</f>
        <v>-7.6963654899193656E-3</v>
      </c>
      <c r="F18" s="1655">
        <f>(F17/F16)-1</f>
        <v>-3.4415374314625824E-3</v>
      </c>
      <c r="G18" s="1655">
        <f>(G17/G16)-1</f>
        <v>2.2152486272078331E-2</v>
      </c>
      <c r="H18" s="1653"/>
      <c r="I18" s="1651"/>
      <c r="J18" s="1654"/>
    </row>
    <row r="19" spans="1:10">
      <c r="B19" s="1650" t="str">
        <f>B$9</f>
        <v>Schätzung 2</v>
      </c>
      <c r="C19" s="1651"/>
      <c r="D19" s="1651"/>
      <c r="E19" s="1651">
        <v>16330</v>
      </c>
      <c r="F19" s="1651">
        <v>17180</v>
      </c>
      <c r="G19" s="1652">
        <v>18848</v>
      </c>
      <c r="H19" s="1653">
        <f>(G19/F19)-1</f>
        <v>9.7089639115250259E-2</v>
      </c>
      <c r="I19" s="1651">
        <v>19027</v>
      </c>
      <c r="J19" s="1651">
        <v>19109.311929110001</v>
      </c>
    </row>
    <row r="20" spans="1:10">
      <c r="C20" s="1647"/>
      <c r="D20" s="1647"/>
      <c r="E20" s="1647"/>
      <c r="F20" s="1647"/>
      <c r="G20" s="1648"/>
      <c r="H20" s="1649"/>
      <c r="I20" s="1647"/>
      <c r="J20" s="1647"/>
    </row>
    <row r="21" spans="1:10">
      <c r="A21" s="1638">
        <v>4</v>
      </c>
      <c r="B21" s="1637" t="s">
        <v>2141</v>
      </c>
      <c r="C21" s="1647">
        <v>2502.8303667999999</v>
      </c>
      <c r="D21" s="1647">
        <v>2588.499652</v>
      </c>
      <c r="E21" s="1647">
        <v>2832.3123952999999</v>
      </c>
      <c r="F21" s="1647">
        <v>2994.9866096700002</v>
      </c>
      <c r="G21" s="1648">
        <v>3038.7113187200002</v>
      </c>
      <c r="H21" s="1649">
        <f>(G21/F21)-1</f>
        <v>1.4599300347061472E-2</v>
      </c>
      <c r="I21" s="1647"/>
      <c r="J21" s="1647"/>
    </row>
    <row r="22" spans="1:10">
      <c r="B22" s="1650" t="str">
        <f>B$7</f>
        <v>Schätzung 1</v>
      </c>
      <c r="C22" s="1651"/>
      <c r="D22" s="1651">
        <v>2666</v>
      </c>
      <c r="E22" s="1651">
        <v>2901</v>
      </c>
      <c r="F22" s="1651">
        <v>3099</v>
      </c>
      <c r="G22" s="1652">
        <v>3117</v>
      </c>
      <c r="H22" s="1653">
        <f>(G22/F22)-1</f>
        <v>5.8083252662148865E-3</v>
      </c>
      <c r="I22" s="1651">
        <v>3178.8702050500001</v>
      </c>
      <c r="J22" s="1654"/>
    </row>
    <row r="23" spans="1:10">
      <c r="B23" s="1650" t="s">
        <v>2138</v>
      </c>
      <c r="C23" s="1651"/>
      <c r="D23" s="1655">
        <f>(D22/D21)-1</f>
        <v>2.9940258226466954E-2</v>
      </c>
      <c r="E23" s="1655">
        <f>(E22/E21)-1</f>
        <v>2.4251422552816537E-2</v>
      </c>
      <c r="F23" s="1655">
        <f>(F22/F21)-1</f>
        <v>3.472916706678042E-2</v>
      </c>
      <c r="G23" s="1655">
        <f>(G22/G21)-1</f>
        <v>2.5763777163596346E-2</v>
      </c>
      <c r="H23" s="1653"/>
      <c r="I23" s="1651"/>
      <c r="J23" s="1654"/>
    </row>
    <row r="24" spans="1:10">
      <c r="B24" s="1650" t="str">
        <f>B$9</f>
        <v>Schätzung 2</v>
      </c>
      <c r="C24" s="1651"/>
      <c r="D24" s="1651"/>
      <c r="E24" s="1651">
        <v>3044</v>
      </c>
      <c r="F24" s="1651">
        <v>3181</v>
      </c>
      <c r="G24" s="1652">
        <v>3305</v>
      </c>
      <c r="H24" s="1653">
        <f>(G24/F24)-1</f>
        <v>3.8981452373467507E-2</v>
      </c>
      <c r="I24" s="1651">
        <v>3346</v>
      </c>
      <c r="J24" s="1651">
        <v>3340.5068328800003</v>
      </c>
    </row>
    <row r="25" spans="1:10">
      <c r="C25" s="1647"/>
      <c r="D25" s="1647"/>
      <c r="E25" s="1647"/>
      <c r="F25" s="1647"/>
      <c r="G25" s="1648"/>
      <c r="H25" s="1649"/>
      <c r="I25" s="1647"/>
      <c r="J25" s="1647"/>
    </row>
    <row r="26" spans="1:10">
      <c r="A26" s="1638">
        <v>5</v>
      </c>
      <c r="B26" s="1637" t="s">
        <v>2142</v>
      </c>
      <c r="C26" s="1656" t="s">
        <v>1412</v>
      </c>
      <c r="D26" s="1647">
        <v>863.38168700000006</v>
      </c>
      <c r="E26" s="1647">
        <v>903.60567500000002</v>
      </c>
      <c r="F26" s="1647">
        <v>910.32016699999997</v>
      </c>
      <c r="G26" s="1648">
        <v>993.79577500000005</v>
      </c>
      <c r="H26" s="1649">
        <f>(G26/F26)-1</f>
        <v>9.1699174670706984E-2</v>
      </c>
      <c r="I26" s="1647"/>
      <c r="J26" s="1647"/>
    </row>
    <row r="27" spans="1:10">
      <c r="B27" s="1650" t="str">
        <f>B$7</f>
        <v>Schätzung 1</v>
      </c>
      <c r="C27" s="1651"/>
      <c r="D27" s="1651">
        <v>938</v>
      </c>
      <c r="E27" s="1651">
        <v>965</v>
      </c>
      <c r="F27" s="1651">
        <v>979</v>
      </c>
      <c r="G27" s="1652">
        <v>1005</v>
      </c>
      <c r="H27" s="1653">
        <f>(G27/F27)-1</f>
        <v>2.6557711950970342E-2</v>
      </c>
      <c r="I27" s="1651">
        <v>1054.2850677999998</v>
      </c>
      <c r="J27" s="1654"/>
    </row>
    <row r="28" spans="1:10">
      <c r="B28" s="1650" t="s">
        <v>2138</v>
      </c>
      <c r="C28" s="1651"/>
      <c r="D28" s="1655">
        <f>(D27/D26)-1</f>
        <v>8.6425637841910818E-2</v>
      </c>
      <c r="E28" s="1655">
        <f>(E27/E26)-1</f>
        <v>6.7943713390246296E-2</v>
      </c>
      <c r="F28" s="1655">
        <f>(F27/F26)-1</f>
        <v>7.5445799719386031E-2</v>
      </c>
      <c r="G28" s="1655">
        <f>(G27/G26)-1</f>
        <v>1.127417250289664E-2</v>
      </c>
      <c r="H28" s="1653"/>
      <c r="I28" s="1651"/>
      <c r="J28" s="1654"/>
    </row>
    <row r="29" spans="1:10">
      <c r="B29" s="1650" t="str">
        <f>B$9</f>
        <v>Schätzung 2</v>
      </c>
      <c r="C29" s="1651"/>
      <c r="D29" s="1651"/>
      <c r="E29" s="1651">
        <v>973</v>
      </c>
      <c r="F29" s="1651">
        <v>999</v>
      </c>
      <c r="G29" s="1652">
        <v>1026</v>
      </c>
      <c r="H29" s="1653">
        <f>(G29/F29)-1</f>
        <v>2.7027027027026973E-2</v>
      </c>
      <c r="I29" s="1651">
        <v>1041</v>
      </c>
      <c r="J29" s="1651">
        <v>1078.9641520900002</v>
      </c>
    </row>
    <row r="30" spans="1:10">
      <c r="C30" s="1647"/>
      <c r="D30" s="1647"/>
      <c r="E30" s="1657"/>
      <c r="F30" s="1647"/>
      <c r="G30" s="1648"/>
      <c r="H30" s="1649"/>
      <c r="I30" s="1647"/>
      <c r="J30" s="1647"/>
    </row>
    <row r="31" spans="1:10">
      <c r="A31" s="1638">
        <v>6</v>
      </c>
      <c r="B31" s="1637" t="s">
        <v>427</v>
      </c>
      <c r="C31" s="1647">
        <v>1965.5320859999999</v>
      </c>
      <c r="D31" s="1647">
        <v>2393.7060728000001</v>
      </c>
      <c r="E31" s="1647">
        <v>2968.4810149999998</v>
      </c>
      <c r="F31" s="1647">
        <v>3184.4883299199996</v>
      </c>
      <c r="G31" s="1648">
        <v>3749.0085763900001</v>
      </c>
      <c r="H31" s="1649">
        <f>(G31/F31)-1</f>
        <v>0.17727188420382189</v>
      </c>
      <c r="I31" s="1647"/>
      <c r="J31" s="1647"/>
    </row>
    <row r="32" spans="1:10">
      <c r="B32" s="1650" t="str">
        <f>B$7</f>
        <v>Schätzung 1</v>
      </c>
      <c r="C32" s="1651"/>
      <c r="D32" s="1651">
        <v>2260</v>
      </c>
      <c r="E32" s="1651">
        <v>2984</v>
      </c>
      <c r="F32" s="1651">
        <v>3152</v>
      </c>
      <c r="G32" s="1652">
        <v>3543</v>
      </c>
      <c r="H32" s="1653">
        <f>(G32/F32)-1</f>
        <v>0.12404822335025378</v>
      </c>
      <c r="I32" s="1651">
        <v>4165.3955720000013</v>
      </c>
      <c r="J32" s="1654"/>
    </row>
    <row r="33" spans="1:10">
      <c r="B33" s="1650" t="s">
        <v>2138</v>
      </c>
      <c r="C33" s="1651"/>
      <c r="D33" s="1655">
        <f>(D32/D31)-1</f>
        <v>-5.5857347867108609E-2</v>
      </c>
      <c r="E33" s="1655">
        <f>(E32/E31)-1</f>
        <v>5.2279212572292622E-3</v>
      </c>
      <c r="F33" s="1655">
        <f>(F32/F31)-1</f>
        <v>-1.0202056517134683E-2</v>
      </c>
      <c r="G33" s="1655">
        <f>(G32/G31)-1</f>
        <v>-5.4950148070445404E-2</v>
      </c>
      <c r="H33" s="1653"/>
      <c r="I33" s="1651"/>
      <c r="J33" s="1654"/>
    </row>
    <row r="34" spans="1:10">
      <c r="B34" s="1650" t="str">
        <f>B$9</f>
        <v>Schätzung 2</v>
      </c>
      <c r="C34" s="1651"/>
      <c r="D34" s="1651"/>
      <c r="E34" s="1651">
        <v>2745</v>
      </c>
      <c r="F34" s="1651">
        <v>3240</v>
      </c>
      <c r="G34" s="1652">
        <v>3356</v>
      </c>
      <c r="H34" s="1653">
        <f>(G34/F34)-1</f>
        <v>3.5802469135802539E-2</v>
      </c>
      <c r="I34" s="1651">
        <v>3461</v>
      </c>
      <c r="J34" s="1651">
        <v>3956.0224839999996</v>
      </c>
    </row>
    <row r="35" spans="1:10">
      <c r="C35" s="1647"/>
      <c r="D35" s="1647"/>
      <c r="E35" s="1647"/>
      <c r="F35" s="1658"/>
      <c r="G35" s="1648"/>
      <c r="H35" s="1649"/>
      <c r="I35" s="1647"/>
      <c r="J35" s="1647"/>
    </row>
    <row r="36" spans="1:10">
      <c r="A36" s="1638">
        <v>7</v>
      </c>
      <c r="B36" s="1637" t="s">
        <v>2143</v>
      </c>
      <c r="C36" s="1647">
        <v>4018.0238040999998</v>
      </c>
      <c r="D36" s="1647">
        <v>4264.2535405999997</v>
      </c>
      <c r="E36" s="1647">
        <v>4487.9860974000003</v>
      </c>
      <c r="F36" s="1647">
        <v>4710.4063184600009</v>
      </c>
      <c r="G36" s="1648">
        <v>4989.9724867100003</v>
      </c>
      <c r="H36" s="1649">
        <f>(G36/F36)-1</f>
        <v>5.9350754340317557E-2</v>
      </c>
      <c r="I36" s="1647"/>
      <c r="J36" s="1647"/>
    </row>
    <row r="37" spans="1:10">
      <c r="B37" s="1650" t="str">
        <f>B$7</f>
        <v>Schätzung 1</v>
      </c>
      <c r="C37" s="1651"/>
      <c r="D37" s="1651"/>
      <c r="E37" s="1651"/>
      <c r="F37" s="1651">
        <v>4697</v>
      </c>
      <c r="G37" s="1652">
        <v>4866</v>
      </c>
      <c r="H37" s="1653">
        <f>(G37/F37)-1</f>
        <v>3.5980413029593317E-2</v>
      </c>
      <c r="I37" s="1651">
        <v>5169.9915730000012</v>
      </c>
      <c r="J37" s="1654"/>
    </row>
    <row r="38" spans="1:10">
      <c r="B38" s="1650" t="s">
        <v>2138</v>
      </c>
      <c r="C38" s="1651"/>
      <c r="D38" s="1655"/>
      <c r="E38" s="1655"/>
      <c r="F38" s="1655">
        <f>(F37/F36)-1</f>
        <v>-2.8461065890349468E-3</v>
      </c>
      <c r="G38" s="1655">
        <f>(G37/G36)-1</f>
        <v>-2.484432269720549E-2</v>
      </c>
      <c r="H38" s="1649"/>
      <c r="I38" s="1651"/>
      <c r="J38" s="1654"/>
    </row>
    <row r="39" spans="1:10">
      <c r="B39" s="1650" t="str">
        <f>B$9</f>
        <v>Schätzung 2</v>
      </c>
      <c r="C39" s="1651"/>
      <c r="D39" s="1651"/>
      <c r="E39" s="1651"/>
      <c r="F39" s="1651"/>
      <c r="G39" s="1652">
        <v>4891</v>
      </c>
      <c r="H39" s="1649"/>
      <c r="I39" s="1651">
        <v>5045</v>
      </c>
      <c r="J39" s="1651">
        <v>5283.6306359999999</v>
      </c>
    </row>
    <row r="40" spans="1:10">
      <c r="C40" s="1647"/>
      <c r="D40" s="1647"/>
      <c r="E40" s="1647"/>
      <c r="F40" s="1647"/>
      <c r="G40" s="1648"/>
      <c r="H40" s="1649"/>
      <c r="I40" s="1647"/>
      <c r="J40" s="1647"/>
    </row>
    <row r="41" spans="1:10">
      <c r="A41" s="1638">
        <v>8</v>
      </c>
      <c r="B41" s="1637" t="s">
        <v>2144</v>
      </c>
      <c r="C41" s="1647">
        <v>17095.587409</v>
      </c>
      <c r="D41" s="1647">
        <v>17924.119354999999</v>
      </c>
      <c r="E41" s="1647">
        <v>19139.820941000002</v>
      </c>
      <c r="F41" s="1647">
        <v>20347.706645210001</v>
      </c>
      <c r="G41" s="1648">
        <v>20602.626919490001</v>
      </c>
      <c r="H41" s="1649">
        <f>(G41/F41)-1</f>
        <v>1.2528206678270148E-2</v>
      </c>
      <c r="I41" s="1647"/>
      <c r="J41" s="1647"/>
    </row>
    <row r="42" spans="1:10">
      <c r="B42" s="1650" t="str">
        <f>B$7</f>
        <v>Schätzung 1</v>
      </c>
      <c r="C42" s="1651"/>
      <c r="D42" s="1651">
        <v>18048</v>
      </c>
      <c r="E42" s="1651">
        <v>19083</v>
      </c>
      <c r="F42" s="1651">
        <v>20392</v>
      </c>
      <c r="G42" s="1652">
        <v>21069</v>
      </c>
      <c r="H42" s="1653">
        <f>(G42/F42)-1</f>
        <v>3.3199293840721955E-2</v>
      </c>
      <c r="I42" s="1651">
        <v>21482.675563520002</v>
      </c>
      <c r="J42" s="1654"/>
    </row>
    <row r="43" spans="1:10">
      <c r="B43" s="1650" t="s">
        <v>2138</v>
      </c>
      <c r="C43" s="1651"/>
      <c r="D43" s="1655">
        <f>(D42/D41)-1</f>
        <v>6.9113936671842957E-3</v>
      </c>
      <c r="E43" s="1655">
        <f>(E42/E41)-1</f>
        <v>-2.9687289747984957E-3</v>
      </c>
      <c r="F43" s="1655">
        <f>(F42/F41)-1</f>
        <v>2.1768229492549196E-3</v>
      </c>
      <c r="G43" s="1655">
        <f>(G42/G41)-1</f>
        <v>2.2636583302336533E-2</v>
      </c>
      <c r="H43" s="1653"/>
      <c r="I43" s="1651"/>
      <c r="J43" s="1654"/>
    </row>
    <row r="44" spans="1:10">
      <c r="B44" s="1650" t="str">
        <f>B$9</f>
        <v>Schätzung 2</v>
      </c>
      <c r="C44" s="1651"/>
      <c r="D44" s="1651"/>
      <c r="E44" s="1651">
        <v>19373</v>
      </c>
      <c r="F44" s="1651">
        <v>20361</v>
      </c>
      <c r="G44" s="1652">
        <v>21753</v>
      </c>
      <c r="H44" s="1653">
        <f>(G44/F44)-1</f>
        <v>6.8365993811698944E-2</v>
      </c>
      <c r="I44" s="1651">
        <v>22373</v>
      </c>
      <c r="J44" s="1651">
        <v>22449.818761990002</v>
      </c>
    </row>
    <row r="48" spans="1:10">
      <c r="B48" s="1637" t="s">
        <v>2145</v>
      </c>
    </row>
    <row r="49" spans="2:8">
      <c r="B49" s="1659" t="s">
        <v>2146</v>
      </c>
    </row>
    <row r="50" spans="2:8">
      <c r="B50" s="1659" t="s">
        <v>2147</v>
      </c>
    </row>
    <row r="51" spans="2:8">
      <c r="B51" s="1660" t="s">
        <v>2148</v>
      </c>
    </row>
    <row r="52" spans="2:8">
      <c r="B52" s="1659" t="s">
        <v>2149</v>
      </c>
    </row>
    <row r="53" spans="2:8">
      <c r="B53" s="1660" t="s">
        <v>2150</v>
      </c>
    </row>
    <row r="54" spans="2:8">
      <c r="B54" s="1660" t="s">
        <v>2151</v>
      </c>
    </row>
    <row r="55" spans="2:8">
      <c r="B55" s="1660" t="s">
        <v>2152</v>
      </c>
    </row>
    <row r="56" spans="2:8">
      <c r="B56" s="1661" t="s">
        <v>2171</v>
      </c>
      <c r="C56" s="1662"/>
      <c r="D56" s="1662"/>
      <c r="E56" s="1662"/>
      <c r="F56" s="1662"/>
      <c r="G56" s="1663"/>
      <c r="H56" s="1664"/>
    </row>
    <row r="57" spans="2:8">
      <c r="B57" s="1665" t="s">
        <v>2153</v>
      </c>
      <c r="C57" s="1662"/>
      <c r="D57" s="1662"/>
      <c r="E57" s="1662"/>
      <c r="F57" s="1662"/>
      <c r="G57" s="1663"/>
      <c r="H57" s="1664"/>
    </row>
    <row r="58" spans="2:8">
      <c r="B58" s="1665" t="s">
        <v>2154</v>
      </c>
      <c r="C58" s="1662"/>
      <c r="D58" s="1662"/>
      <c r="E58" s="1662"/>
      <c r="F58" s="1662"/>
      <c r="G58" s="1663"/>
      <c r="H58" s="1664"/>
    </row>
    <row r="59" spans="2:8">
      <c r="B59" s="1665" t="s">
        <v>2155</v>
      </c>
      <c r="C59" s="1662"/>
      <c r="D59" s="1662"/>
      <c r="E59" s="1662"/>
      <c r="F59" s="1662"/>
      <c r="G59" s="1663"/>
      <c r="H59" s="1664"/>
    </row>
    <row r="60" spans="2:8">
      <c r="B60" s="1666" t="s">
        <v>2156</v>
      </c>
      <c r="C60" s="1667"/>
      <c r="D60" s="1668"/>
      <c r="E60" s="1669" t="s">
        <v>1412</v>
      </c>
      <c r="F60" s="1670" t="s">
        <v>1412</v>
      </c>
      <c r="G60" s="1670" t="s">
        <v>2157</v>
      </c>
      <c r="H60" s="1671" t="s">
        <v>2157</v>
      </c>
    </row>
    <row r="61" spans="2:8">
      <c r="B61" s="1672" t="s">
        <v>2158</v>
      </c>
      <c r="C61" s="1673"/>
      <c r="D61" s="1674"/>
      <c r="E61" s="1669" t="s">
        <v>2157</v>
      </c>
      <c r="F61" s="1670" t="s">
        <v>1412</v>
      </c>
      <c r="G61" s="1670" t="s">
        <v>1412</v>
      </c>
      <c r="H61" s="1671" t="s">
        <v>2157</v>
      </c>
    </row>
    <row r="62" spans="2:8">
      <c r="B62" s="1675" t="s">
        <v>2159</v>
      </c>
      <c r="C62" s="1676"/>
      <c r="D62" s="1677"/>
      <c r="E62" s="1678" t="s">
        <v>2157</v>
      </c>
      <c r="F62" s="1671" t="s">
        <v>1412</v>
      </c>
      <c r="G62" s="1671" t="s">
        <v>2157</v>
      </c>
      <c r="H62" s="1671" t="s">
        <v>1412</v>
      </c>
    </row>
    <row r="63" spans="2:8">
      <c r="B63" s="1641" t="s">
        <v>2160</v>
      </c>
    </row>
  </sheetData>
  <phoneticPr fontId="90" type="noConversion"/>
  <pageMargins left="0.38" right="0.28999999999999998" top="0.48" bottom="0.35" header="0.33" footer="0.16"/>
  <pageSetup paperSize="9" scale="85" orientation="portrait"/>
  <headerFooter alignWithMargins="0">
    <oddFooter>&amp;R&amp;8 1/2</oddFooter>
  </headerFooter>
  <colBreaks count="2" manualBreakCount="2">
    <brk id="10" max="1048575" man="1"/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CB37-81FE-724D-A100-E687CDF7834A}">
  <sheetPr>
    <pageSetUpPr fitToPage="1"/>
  </sheetPr>
  <dimension ref="A1:K70"/>
  <sheetViews>
    <sheetView workbookViewId="0">
      <selection activeCell="B2" sqref="B2"/>
    </sheetView>
  </sheetViews>
  <sheetFormatPr baseColWidth="10" defaultColWidth="11.3984375" defaultRowHeight="13"/>
  <cols>
    <col min="1" max="1" width="3.796875" style="1636" customWidth="1"/>
    <col min="2" max="2" width="22.796875" style="1641" customWidth="1"/>
    <col min="3" max="6" width="11.3984375" style="1636"/>
    <col min="7" max="8" width="11.3984375" style="1638"/>
    <col min="9" max="9" width="11" style="1636" customWidth="1"/>
    <col min="10" max="10" width="11" style="1679" customWidth="1"/>
    <col min="11" max="11" width="8.19921875" style="1636" customWidth="1"/>
    <col min="12" max="16384" width="11.3984375" style="1636"/>
  </cols>
  <sheetData>
    <row r="1" spans="1:11">
      <c r="B1" s="1637" t="s">
        <v>2161</v>
      </c>
      <c r="J1" s="1640"/>
    </row>
    <row r="2" spans="1:11">
      <c r="J2" s="1640"/>
    </row>
    <row r="3" spans="1:11">
      <c r="B3" s="1637" t="s">
        <v>2162</v>
      </c>
      <c r="J3" s="1640"/>
    </row>
    <row r="4" spans="1:11">
      <c r="G4" s="1642"/>
      <c r="H4" s="1642"/>
    </row>
    <row r="5" spans="1:11" ht="39">
      <c r="C5" s="1644">
        <v>2002</v>
      </c>
      <c r="D5" s="1644">
        <v>2003</v>
      </c>
      <c r="E5" s="1644">
        <v>2004</v>
      </c>
      <c r="F5" s="1644">
        <v>2005</v>
      </c>
      <c r="G5" s="1645">
        <v>2006</v>
      </c>
      <c r="H5" s="1680" t="s">
        <v>2136</v>
      </c>
      <c r="I5" s="1644">
        <v>2007</v>
      </c>
      <c r="J5" s="1644">
        <v>2008</v>
      </c>
    </row>
    <row r="6" spans="1:11">
      <c r="A6" s="1637">
        <v>1</v>
      </c>
      <c r="B6" s="1637" t="s">
        <v>2163</v>
      </c>
      <c r="C6" s="1681">
        <v>4108.8234659999998</v>
      </c>
      <c r="D6" s="1681">
        <v>4172.0328019999997</v>
      </c>
      <c r="E6" s="1681">
        <v>4377.7035830000004</v>
      </c>
      <c r="F6" s="1681">
        <v>4526.5123919999996</v>
      </c>
      <c r="G6" s="1682">
        <v>4631.4300709999998</v>
      </c>
      <c r="H6" s="1683">
        <f>(G6/F6)-1</f>
        <v>2.3178480453390105E-2</v>
      </c>
      <c r="I6" s="1681"/>
      <c r="J6" s="1681"/>
    </row>
    <row r="7" spans="1:11">
      <c r="B7" s="1650" t="s">
        <v>2137</v>
      </c>
      <c r="C7" s="1684"/>
      <c r="D7" s="1684"/>
      <c r="E7" s="1684">
        <v>4417</v>
      </c>
      <c r="F7" s="1684">
        <v>4463</v>
      </c>
      <c r="G7" s="1685">
        <v>4924</v>
      </c>
      <c r="H7" s="1653">
        <f>(G7/F7)-1</f>
        <v>0.10329374859959661</v>
      </c>
      <c r="I7" s="1684">
        <v>4885.54055195</v>
      </c>
      <c r="J7" s="1686"/>
    </row>
    <row r="8" spans="1:11">
      <c r="B8" s="1650" t="s">
        <v>2138</v>
      </c>
      <c r="C8" s="1651"/>
      <c r="D8" s="1655"/>
      <c r="E8" s="1655">
        <f>(E7/E6)-1</f>
        <v>8.9764910426095579E-3</v>
      </c>
      <c r="F8" s="1655">
        <f>(F7/F6)-1</f>
        <v>-1.4031198083595098E-2</v>
      </c>
      <c r="G8" s="1655">
        <f>(G7/G6)-1</f>
        <v>6.317053793642402E-2</v>
      </c>
      <c r="H8" s="1653"/>
      <c r="I8" s="1684"/>
      <c r="J8" s="1686"/>
    </row>
    <row r="9" spans="1:11">
      <c r="B9" s="1650" t="s">
        <v>2139</v>
      </c>
      <c r="C9" s="1684"/>
      <c r="D9" s="1684"/>
      <c r="E9" s="1684"/>
      <c r="F9" s="1684">
        <v>4700</v>
      </c>
      <c r="G9" s="1685">
        <v>4980</v>
      </c>
      <c r="H9" s="1653">
        <f>(G9/F9)-1</f>
        <v>5.9574468085106469E-2</v>
      </c>
      <c r="I9" s="1684">
        <v>5213</v>
      </c>
      <c r="J9" s="1684">
        <v>5112.7117952300005</v>
      </c>
    </row>
    <row r="10" spans="1:11">
      <c r="C10" s="1681"/>
      <c r="D10" s="1681"/>
      <c r="E10" s="1681"/>
      <c r="F10" s="1681"/>
      <c r="G10" s="1682"/>
      <c r="H10" s="1682"/>
      <c r="I10" s="1681"/>
      <c r="J10" s="1681"/>
      <c r="K10" s="1687"/>
    </row>
    <row r="11" spans="1:11">
      <c r="A11" s="1637">
        <v>2</v>
      </c>
      <c r="B11" s="1637" t="s">
        <v>2164</v>
      </c>
      <c r="C11" s="1681">
        <v>1972.059045</v>
      </c>
      <c r="D11" s="1681">
        <v>2141.3752909999998</v>
      </c>
      <c r="E11" s="1681">
        <v>2192.3005199999998</v>
      </c>
      <c r="F11" s="1681">
        <v>2671.1515180000001</v>
      </c>
      <c r="G11" s="1682">
        <v>2644.9903220000001</v>
      </c>
      <c r="H11" s="1683">
        <f>(G11/F11)-1</f>
        <v>-9.7939768012815787E-3</v>
      </c>
      <c r="I11" s="1681"/>
      <c r="J11" s="1681"/>
    </row>
    <row r="12" spans="1:11">
      <c r="B12" s="1650" t="str">
        <f>B$7</f>
        <v>Schätzung 1</v>
      </c>
      <c r="C12" s="1684"/>
      <c r="D12" s="1684"/>
      <c r="E12" s="1684">
        <v>2180</v>
      </c>
      <c r="F12" s="1684">
        <v>2362</v>
      </c>
      <c r="G12" s="1685">
        <v>2544</v>
      </c>
      <c r="H12" s="1653">
        <f>(G12/F12)-1</f>
        <v>7.7053344623200681E-2</v>
      </c>
      <c r="I12" s="1684">
        <v>2547.3652646599999</v>
      </c>
      <c r="J12" s="1686"/>
    </row>
    <row r="13" spans="1:11">
      <c r="B13" s="1650" t="s">
        <v>2138</v>
      </c>
      <c r="C13" s="1651"/>
      <c r="D13" s="1655"/>
      <c r="E13" s="1655">
        <f>(E12/E11)-1</f>
        <v>-5.6107818648876151E-3</v>
      </c>
      <c r="F13" s="1655">
        <f>(F12/F11)-1</f>
        <v>-0.11573717024913455</v>
      </c>
      <c r="G13" s="1655">
        <f>(G12/G11)-1</f>
        <v>-3.8181735925459481E-2</v>
      </c>
      <c r="H13" s="1653"/>
      <c r="I13" s="1684"/>
      <c r="J13" s="1686"/>
    </row>
    <row r="14" spans="1:11">
      <c r="B14" s="1650" t="str">
        <f>B$9</f>
        <v>Schätzung 2</v>
      </c>
      <c r="C14" s="1684"/>
      <c r="D14" s="1684"/>
      <c r="E14" s="1684"/>
      <c r="F14" s="1684">
        <v>2334</v>
      </c>
      <c r="G14" s="1685">
        <v>2524</v>
      </c>
      <c r="H14" s="1653">
        <f>(G14/F14)-1</f>
        <v>8.1405312767780735E-2</v>
      </c>
      <c r="I14" s="1684">
        <v>5042</v>
      </c>
      <c r="J14" s="1684">
        <v>2674.2475556499999</v>
      </c>
    </row>
    <row r="15" spans="1:11">
      <c r="C15" s="1681"/>
      <c r="D15" s="1681"/>
      <c r="E15" s="1681"/>
      <c r="F15" s="1681"/>
      <c r="G15" s="1682"/>
      <c r="H15" s="1682"/>
      <c r="I15" s="1681"/>
      <c r="J15" s="1681"/>
    </row>
    <row r="16" spans="1:11">
      <c r="A16" s="1637">
        <v>3</v>
      </c>
      <c r="B16" s="1637" t="s">
        <v>2165</v>
      </c>
      <c r="C16" s="1681">
        <v>1260.789229</v>
      </c>
      <c r="D16" s="1681">
        <v>1347.924618</v>
      </c>
      <c r="E16" s="1681">
        <v>1398.7252390000001</v>
      </c>
      <c r="F16" s="1681">
        <v>1472.471274</v>
      </c>
      <c r="G16" s="1682">
        <v>1472.366248</v>
      </c>
      <c r="H16" s="1683">
        <f>(G16/F16)-1</f>
        <v>-7.1326349012301726E-5</v>
      </c>
      <c r="I16" s="1681"/>
      <c r="J16" s="1681"/>
    </row>
    <row r="17" spans="1:10">
      <c r="B17" s="1650" t="str">
        <f>B$7</f>
        <v>Schätzung 1</v>
      </c>
      <c r="C17" s="1684"/>
      <c r="D17" s="1684"/>
      <c r="E17" s="1684">
        <v>1387</v>
      </c>
      <c r="F17" s="1684">
        <v>1421</v>
      </c>
      <c r="G17" s="1685">
        <v>1471</v>
      </c>
      <c r="H17" s="1653">
        <f>(G17/F17)-1</f>
        <v>3.5186488388458725E-2</v>
      </c>
      <c r="I17" s="1684">
        <v>1495.8090895600005</v>
      </c>
      <c r="J17" s="1686"/>
    </row>
    <row r="18" spans="1:10">
      <c r="B18" s="1650" t="s">
        <v>2138</v>
      </c>
      <c r="C18" s="1651"/>
      <c r="D18" s="1655"/>
      <c r="E18" s="1655">
        <f>(E17/E16)-1</f>
        <v>-8.3828036222345359E-3</v>
      </c>
      <c r="F18" s="1655">
        <f>(F17/F16)-1</f>
        <v>-3.4955706714859813E-2</v>
      </c>
      <c r="G18" s="1655">
        <f>(G17/G16)-1</f>
        <v>-9.2792673144737048E-4</v>
      </c>
      <c r="H18" s="1653"/>
      <c r="I18" s="1684"/>
      <c r="J18" s="1686"/>
    </row>
    <row r="19" spans="1:10">
      <c r="B19" s="1650" t="str">
        <f>B$9</f>
        <v>Schätzung 2</v>
      </c>
      <c r="C19" s="1684"/>
      <c r="D19" s="1684"/>
      <c r="E19" s="1684"/>
      <c r="F19" s="1684">
        <v>1484</v>
      </c>
      <c r="G19" s="1685">
        <v>1505</v>
      </c>
      <c r="H19" s="1653">
        <f>(G19/F19)-1</f>
        <v>1.4150943396226356E-2</v>
      </c>
      <c r="I19" s="1684">
        <v>1552</v>
      </c>
      <c r="J19" s="1684">
        <v>1558.5300954800002</v>
      </c>
    </row>
    <row r="20" spans="1:10">
      <c r="C20" s="1681"/>
      <c r="D20" s="1681"/>
      <c r="E20" s="1681"/>
      <c r="F20" s="1681"/>
      <c r="G20" s="1682"/>
      <c r="H20" s="1682"/>
      <c r="I20" s="1681"/>
      <c r="J20" s="1681"/>
    </row>
    <row r="21" spans="1:10">
      <c r="A21" s="1637">
        <v>4</v>
      </c>
      <c r="B21" s="1637" t="s">
        <v>2166</v>
      </c>
      <c r="C21" s="1681">
        <v>2524.68426</v>
      </c>
      <c r="D21" s="1681">
        <v>2602.0570160000002</v>
      </c>
      <c r="E21" s="1681">
        <v>2750.1970510000001</v>
      </c>
      <c r="F21" s="1681">
        <v>2820.8304370000001</v>
      </c>
      <c r="G21" s="1682">
        <v>2826.9170079999999</v>
      </c>
      <c r="H21" s="1683">
        <f>(G21/F21)-1</f>
        <v>2.1577231017377851E-3</v>
      </c>
      <c r="I21" s="1681"/>
      <c r="J21" s="1681"/>
    </row>
    <row r="22" spans="1:10">
      <c r="B22" s="1650" t="str">
        <f>B$7</f>
        <v>Schätzung 1</v>
      </c>
      <c r="C22" s="1684"/>
      <c r="D22" s="1684"/>
      <c r="E22" s="1684">
        <v>2828</v>
      </c>
      <c r="F22" s="1684">
        <v>2920</v>
      </c>
      <c r="G22" s="1685">
        <v>2960</v>
      </c>
      <c r="H22" s="1653">
        <f>(G22/F22)-1</f>
        <v>1.3698630136986356E-2</v>
      </c>
      <c r="I22" s="1684">
        <v>2935.4447303599995</v>
      </c>
      <c r="J22" s="1686"/>
    </row>
    <row r="23" spans="1:10">
      <c r="B23" s="1650" t="s">
        <v>2138</v>
      </c>
      <c r="C23" s="1651"/>
      <c r="D23" s="1655"/>
      <c r="E23" s="1655">
        <f>(E22/E21)-1</f>
        <v>2.8289954340438905E-2</v>
      </c>
      <c r="F23" s="1655">
        <f>(F22/F21)-1</f>
        <v>3.5156158874075638E-2</v>
      </c>
      <c r="G23" s="1655">
        <f>(G22/G21)-1</f>
        <v>4.7077077828384661E-2</v>
      </c>
      <c r="H23" s="1653"/>
      <c r="I23" s="1684"/>
      <c r="J23" s="1686"/>
    </row>
    <row r="24" spans="1:10">
      <c r="B24" s="1650" t="str">
        <f>B$9</f>
        <v>Schätzung 2</v>
      </c>
      <c r="C24" s="1684"/>
      <c r="D24" s="1684"/>
      <c r="E24" s="1684"/>
      <c r="F24" s="1684">
        <v>3030</v>
      </c>
      <c r="G24" s="1685">
        <v>3131</v>
      </c>
      <c r="H24" s="1653">
        <f>(G24/F24)-1</f>
        <v>3.3333333333333437E-2</v>
      </c>
      <c r="I24" s="1684">
        <v>3141</v>
      </c>
      <c r="J24" s="1684">
        <v>3067.7310022799998</v>
      </c>
    </row>
    <row r="25" spans="1:10">
      <c r="C25" s="1681"/>
      <c r="D25" s="1681"/>
      <c r="E25" s="1681"/>
      <c r="F25" s="1681"/>
      <c r="G25" s="1682"/>
      <c r="H25" s="1682"/>
      <c r="I25" s="1681"/>
      <c r="J25" s="1681"/>
    </row>
    <row r="26" spans="1:10">
      <c r="A26" s="1637">
        <v>5</v>
      </c>
      <c r="B26" s="1637" t="s">
        <v>2212</v>
      </c>
      <c r="C26" s="1681">
        <v>290.06557500000002</v>
      </c>
      <c r="D26" s="1681">
        <v>320.12044100000003</v>
      </c>
      <c r="E26" s="1681">
        <v>365.15373399999999</v>
      </c>
      <c r="F26" s="1681">
        <v>388.382814</v>
      </c>
      <c r="G26" s="1682">
        <v>416.81203599999998</v>
      </c>
      <c r="H26" s="1683">
        <f>(G26/F26)-1</f>
        <v>7.319897012744736E-2</v>
      </c>
      <c r="I26" s="1681"/>
      <c r="J26" s="1681"/>
    </row>
    <row r="27" spans="1:10">
      <c r="B27" s="1650" t="str">
        <f>B$7</f>
        <v>Schätzung 1</v>
      </c>
      <c r="C27" s="1684"/>
      <c r="D27" s="1684"/>
      <c r="E27" s="1684">
        <v>343</v>
      </c>
      <c r="F27" s="1684">
        <v>385</v>
      </c>
      <c r="G27" s="1685">
        <v>405</v>
      </c>
      <c r="H27" s="1653">
        <f>(G27/F27)-1</f>
        <v>5.1948051948051965E-2</v>
      </c>
      <c r="I27" s="1684">
        <v>434.65140127000001</v>
      </c>
      <c r="J27" s="1686"/>
    </row>
    <row r="28" spans="1:10">
      <c r="B28" s="1650" t="s">
        <v>2138</v>
      </c>
      <c r="C28" s="1651"/>
      <c r="D28" s="1655"/>
      <c r="E28" s="1655">
        <f>(E27/E26)-1</f>
        <v>-6.06696082697048E-2</v>
      </c>
      <c r="F28" s="1655">
        <f>(F27/F26)-1</f>
        <v>-8.7099992019729067E-3</v>
      </c>
      <c r="G28" s="1655">
        <f>(G27/G26)-1</f>
        <v>-2.8338999308551549E-2</v>
      </c>
      <c r="H28" s="1653"/>
      <c r="I28" s="1684"/>
      <c r="J28" s="1686"/>
    </row>
    <row r="29" spans="1:10">
      <c r="B29" s="1650" t="str">
        <f>B$9</f>
        <v>Schätzung 2</v>
      </c>
      <c r="C29" s="1684"/>
      <c r="D29" s="1684"/>
      <c r="E29" s="1684"/>
      <c r="F29" s="1684">
        <v>365</v>
      </c>
      <c r="G29" s="1685">
        <v>409</v>
      </c>
      <c r="H29" s="1653">
        <f>(G29/F29)-1</f>
        <v>0.1205479452054794</v>
      </c>
      <c r="I29" s="1684">
        <v>430</v>
      </c>
      <c r="J29" s="1684">
        <v>452.55042738000014</v>
      </c>
    </row>
    <row r="30" spans="1:10">
      <c r="C30" s="1681"/>
      <c r="D30" s="1681"/>
      <c r="E30" s="1681"/>
      <c r="F30" s="1681"/>
      <c r="G30" s="1682"/>
      <c r="H30" s="1682"/>
      <c r="I30" s="1681"/>
      <c r="J30" s="1681"/>
    </row>
    <row r="31" spans="1:10">
      <c r="A31" s="1637">
        <v>6</v>
      </c>
      <c r="B31" s="1637" t="s">
        <v>2213</v>
      </c>
      <c r="C31" s="1681">
        <v>506.24601999999999</v>
      </c>
      <c r="D31" s="1681">
        <v>491.37185499999998</v>
      </c>
      <c r="E31" s="1681">
        <v>505.40384999999998</v>
      </c>
      <c r="F31" s="1681">
        <v>531.73997799999995</v>
      </c>
      <c r="G31" s="1682">
        <v>539.40939700000001</v>
      </c>
      <c r="H31" s="1683">
        <f>(G31/F31)-1</f>
        <v>1.4423250681369737E-2</v>
      </c>
      <c r="I31" s="1681"/>
      <c r="J31" s="1681"/>
    </row>
    <row r="32" spans="1:10">
      <c r="B32" s="1650" t="str">
        <f>B$7</f>
        <v>Schätzung 1</v>
      </c>
      <c r="C32" s="1684"/>
      <c r="D32" s="1684"/>
      <c r="E32" s="1684">
        <v>527</v>
      </c>
      <c r="F32" s="1684">
        <v>539</v>
      </c>
      <c r="G32" s="1685">
        <v>552</v>
      </c>
      <c r="H32" s="1653">
        <f>(G32/F32)-1</f>
        <v>2.4118738404452778E-2</v>
      </c>
      <c r="I32" s="1684">
        <v>561.6919554399999</v>
      </c>
      <c r="J32" s="1686"/>
    </row>
    <row r="33" spans="1:10">
      <c r="B33" s="1650" t="s">
        <v>2138</v>
      </c>
      <c r="C33" s="1651"/>
      <c r="D33" s="1655"/>
      <c r="E33" s="1655">
        <f>(E32/E31)-1</f>
        <v>4.2730481772151219E-2</v>
      </c>
      <c r="F33" s="1655">
        <f>(F32/F31)-1</f>
        <v>1.3653331139980684E-2</v>
      </c>
      <c r="G33" s="1655">
        <f>(G32/G31)-1</f>
        <v>2.3341460252684465E-2</v>
      </c>
      <c r="H33" s="1653"/>
      <c r="I33" s="1684"/>
      <c r="J33" s="1686"/>
    </row>
    <row r="34" spans="1:10">
      <c r="B34" s="1650" t="str">
        <f>B$9</f>
        <v>Schätzung 2</v>
      </c>
      <c r="C34" s="1684"/>
      <c r="D34" s="1684"/>
      <c r="E34" s="1684"/>
      <c r="F34" s="1684">
        <v>564</v>
      </c>
      <c r="G34" s="1685">
        <v>575</v>
      </c>
      <c r="H34" s="1653">
        <f>(G34/F34)-1</f>
        <v>1.9503546099290725E-2</v>
      </c>
      <c r="I34" s="1684">
        <v>590</v>
      </c>
      <c r="J34" s="1684">
        <v>583.74677100999997</v>
      </c>
    </row>
    <row r="35" spans="1:10">
      <c r="C35" s="1681"/>
      <c r="D35" s="1681"/>
      <c r="E35" s="1681"/>
      <c r="F35" s="1681"/>
      <c r="G35" s="1682"/>
      <c r="H35" s="1682"/>
      <c r="I35" s="1681"/>
      <c r="J35" s="1681"/>
    </row>
    <row r="36" spans="1:10">
      <c r="A36" s="1637">
        <v>7</v>
      </c>
      <c r="B36" s="1637" t="s">
        <v>2167</v>
      </c>
      <c r="C36" s="1681">
        <v>485.55174599999998</v>
      </c>
      <c r="D36" s="1681">
        <v>480.48790700000001</v>
      </c>
      <c r="E36" s="1681">
        <v>591.27084500000001</v>
      </c>
      <c r="F36" s="1681">
        <v>664.98868300000004</v>
      </c>
      <c r="G36" s="1682">
        <v>625.59989599999994</v>
      </c>
      <c r="H36" s="1683">
        <f>(G36/F36)-1</f>
        <v>-5.9232266664002942E-2</v>
      </c>
      <c r="I36" s="1681"/>
      <c r="J36" s="1681"/>
    </row>
    <row r="37" spans="1:10">
      <c r="B37" s="1650" t="str">
        <f>B$7</f>
        <v>Schätzung 1</v>
      </c>
      <c r="C37" s="1684"/>
      <c r="D37" s="1684"/>
      <c r="E37" s="1684">
        <v>556</v>
      </c>
      <c r="F37" s="1684">
        <v>646</v>
      </c>
      <c r="G37" s="1685">
        <v>675</v>
      </c>
      <c r="H37" s="1653">
        <f>(G37/F37)-1</f>
        <v>4.4891640866873139E-2</v>
      </c>
      <c r="I37" s="1684">
        <v>642.26203663000013</v>
      </c>
      <c r="J37" s="1686"/>
    </row>
    <row r="38" spans="1:10">
      <c r="B38" s="1650" t="s">
        <v>2138</v>
      </c>
      <c r="C38" s="1651"/>
      <c r="D38" s="1655"/>
      <c r="E38" s="1655">
        <f>(E37/E36)-1</f>
        <v>-5.965260303000397E-2</v>
      </c>
      <c r="F38" s="1655">
        <f>(F37/F36)-1</f>
        <v>-2.8554896474832225E-2</v>
      </c>
      <c r="G38" s="1655">
        <f>(G37/G36)-1</f>
        <v>7.8964373740880722E-2</v>
      </c>
      <c r="H38" s="1653"/>
      <c r="I38" s="1684"/>
      <c r="J38" s="1686"/>
    </row>
    <row r="39" spans="1:10">
      <c r="B39" s="1650" t="str">
        <f>B$9</f>
        <v>Schätzung 2</v>
      </c>
      <c r="C39" s="1684"/>
      <c r="D39" s="1684"/>
      <c r="E39" s="1684"/>
      <c r="F39" s="1684">
        <v>596</v>
      </c>
      <c r="G39" s="1685">
        <v>700</v>
      </c>
      <c r="H39" s="1653">
        <f>(G39/F39)-1</f>
        <v>0.17449664429530198</v>
      </c>
      <c r="I39" s="1684">
        <v>732</v>
      </c>
      <c r="J39" s="1684">
        <v>676.51669571000014</v>
      </c>
    </row>
    <row r="40" spans="1:10">
      <c r="C40" s="1681"/>
      <c r="D40" s="1681"/>
      <c r="E40" s="1681"/>
      <c r="F40" s="1681"/>
      <c r="G40" s="1682"/>
      <c r="H40" s="1682"/>
      <c r="I40" s="1681"/>
      <c r="J40" s="1681"/>
    </row>
    <row r="41" spans="1:10">
      <c r="A41" s="1637">
        <v>8</v>
      </c>
      <c r="B41" s="1637" t="s">
        <v>2215</v>
      </c>
      <c r="C41" s="1681">
        <v>65.211265999999995</v>
      </c>
      <c r="D41" s="1681">
        <v>65.007204000000002</v>
      </c>
      <c r="E41" s="1681">
        <v>68.244215999999994</v>
      </c>
      <c r="F41" s="1681">
        <v>69.204526000000001</v>
      </c>
      <c r="G41" s="1682">
        <v>68.417607000000004</v>
      </c>
      <c r="H41" s="1683">
        <f>(G41/F41)-1</f>
        <v>-1.137091813908242E-2</v>
      </c>
      <c r="I41" s="1681"/>
      <c r="J41" s="1681"/>
    </row>
    <row r="42" spans="1:10">
      <c r="B42" s="1650" t="str">
        <f>B$7</f>
        <v>Schätzung 1</v>
      </c>
      <c r="C42" s="1684"/>
      <c r="D42" s="1684"/>
      <c r="E42" s="1684">
        <v>70</v>
      </c>
      <c r="F42" s="1684">
        <v>73</v>
      </c>
      <c r="G42" s="1685">
        <v>72</v>
      </c>
      <c r="H42" s="1653">
        <f>(G42/F42)-1</f>
        <v>-1.3698630136986356E-2</v>
      </c>
      <c r="I42" s="1684">
        <v>72.540101259999986</v>
      </c>
      <c r="J42" s="1686"/>
    </row>
    <row r="43" spans="1:10">
      <c r="B43" s="1650" t="s">
        <v>2138</v>
      </c>
      <c r="C43" s="1651"/>
      <c r="D43" s="1655"/>
      <c r="E43" s="1655">
        <f>(E42/E41)-1</f>
        <v>2.5727953267131287E-2</v>
      </c>
      <c r="F43" s="1655">
        <f>(F42/F41)-1</f>
        <v>5.4844303102372205E-2</v>
      </c>
      <c r="G43" s="1655">
        <f>(G42/G41)-1</f>
        <v>5.2360688382451004E-2</v>
      </c>
      <c r="H43" s="1653"/>
      <c r="I43" s="1684"/>
      <c r="J43" s="1686"/>
    </row>
    <row r="44" spans="1:10">
      <c r="B44" s="1650" t="str">
        <f>B$9</f>
        <v>Schätzung 2</v>
      </c>
      <c r="C44" s="1684"/>
      <c r="D44" s="1684"/>
      <c r="E44" s="1684"/>
      <c r="F44" s="1684">
        <v>75</v>
      </c>
      <c r="G44" s="1685">
        <v>78</v>
      </c>
      <c r="H44" s="1653">
        <f>(G44/F44)-1</f>
        <v>4.0000000000000036E-2</v>
      </c>
      <c r="I44" s="1684">
        <v>77</v>
      </c>
      <c r="J44" s="1684">
        <v>74.963388120000019</v>
      </c>
    </row>
    <row r="45" spans="1:10" ht="13.5" customHeight="1">
      <c r="C45" s="1681"/>
      <c r="D45" s="1681"/>
      <c r="E45" s="1681"/>
      <c r="F45" s="1681"/>
      <c r="G45" s="1682"/>
      <c r="H45" s="1682"/>
      <c r="I45" s="1681"/>
      <c r="J45" s="1681"/>
    </row>
    <row r="46" spans="1:10">
      <c r="A46" s="1637">
        <v>9</v>
      </c>
      <c r="B46" s="1637" t="s">
        <v>2216</v>
      </c>
      <c r="C46" s="1681">
        <v>202.87558799999999</v>
      </c>
      <c r="D46" s="1681">
        <v>214.51952800000001</v>
      </c>
      <c r="E46" s="1681">
        <v>259.95297099999999</v>
      </c>
      <c r="F46" s="1681">
        <v>297.96774900000003</v>
      </c>
      <c r="G46" s="1682">
        <v>336.37458700000002</v>
      </c>
      <c r="H46" s="1683">
        <f>(G46/F46)-1</f>
        <v>0.12889595645466989</v>
      </c>
      <c r="I46" s="1681"/>
      <c r="J46" s="1681"/>
    </row>
    <row r="47" spans="1:10">
      <c r="B47" s="1650" t="str">
        <f>B$7</f>
        <v>Schätzung 1</v>
      </c>
      <c r="C47" s="1684"/>
      <c r="D47" s="1684"/>
      <c r="E47" s="1684"/>
      <c r="F47" s="1684">
        <v>258</v>
      </c>
      <c r="G47" s="1685">
        <v>292</v>
      </c>
      <c r="H47" s="1653">
        <f>(G47/F47)-1</f>
        <v>0.13178294573643412</v>
      </c>
      <c r="I47" s="1684">
        <v>322.89409531000001</v>
      </c>
      <c r="J47" s="1686"/>
    </row>
    <row r="48" spans="1:10">
      <c r="B48" s="1650" t="s">
        <v>2138</v>
      </c>
      <c r="C48" s="1651"/>
      <c r="D48" s="1655"/>
      <c r="E48" s="1655"/>
      <c r="F48" s="1655">
        <f>(F47/F46)-1</f>
        <v>-0.13413447976881554</v>
      </c>
      <c r="G48" s="1655">
        <f>(G47/G46)-1</f>
        <v>-0.13192015305246596</v>
      </c>
      <c r="H48" s="1653"/>
      <c r="I48" s="1684"/>
      <c r="J48" s="1686"/>
    </row>
    <row r="49" spans="1:10">
      <c r="B49" s="1650" t="str">
        <f>B$9</f>
        <v>Schätzung 2</v>
      </c>
      <c r="C49" s="1684"/>
      <c r="D49" s="1684"/>
      <c r="E49" s="1684"/>
      <c r="F49" s="1684"/>
      <c r="G49" s="1685">
        <v>276</v>
      </c>
      <c r="H49" s="1653"/>
      <c r="I49" s="1684">
        <v>313</v>
      </c>
      <c r="J49" s="1684">
        <v>337.39778656000004</v>
      </c>
    </row>
    <row r="50" spans="1:10">
      <c r="C50" s="1681"/>
      <c r="D50" s="1681"/>
      <c r="E50" s="1681"/>
      <c r="F50" s="1681"/>
      <c r="G50" s="1682"/>
      <c r="H50" s="1682"/>
      <c r="I50" s="1681"/>
      <c r="J50" s="1681"/>
    </row>
    <row r="51" spans="1:10">
      <c r="A51" s="1637">
        <v>10</v>
      </c>
      <c r="B51" s="1637" t="s">
        <v>2168</v>
      </c>
      <c r="C51" s="1681">
        <v>3783.9358269999998</v>
      </c>
      <c r="D51" s="1681">
        <v>4111.8764270000001</v>
      </c>
      <c r="E51" s="1681">
        <v>4569.0303759999997</v>
      </c>
      <c r="F51" s="1681">
        <v>4803.16752</v>
      </c>
      <c r="G51" s="1682">
        <v>4893.0853630000001</v>
      </c>
      <c r="H51" s="1683">
        <f>(G51/F51)-1</f>
        <v>1.8720530280401437E-2</v>
      </c>
      <c r="I51" s="1681"/>
      <c r="J51" s="1681"/>
    </row>
    <row r="52" spans="1:10">
      <c r="B52" s="1650" t="str">
        <f>B$7</f>
        <v>Schätzung 1</v>
      </c>
      <c r="C52" s="1684"/>
      <c r="D52" s="1684"/>
      <c r="E52" s="1684">
        <v>4462</v>
      </c>
      <c r="F52" s="1684">
        <v>4859</v>
      </c>
      <c r="G52" s="1685">
        <v>4924</v>
      </c>
      <c r="H52" s="1653">
        <f>(G52/F52)-1</f>
        <v>1.3377238114838486E-2</v>
      </c>
      <c r="I52" s="1684">
        <v>5067.8229497399989</v>
      </c>
      <c r="J52" s="1686"/>
    </row>
    <row r="53" spans="1:10">
      <c r="B53" s="1650" t="s">
        <v>2138</v>
      </c>
      <c r="C53" s="1651"/>
      <c r="D53" s="1655"/>
      <c r="E53" s="1655">
        <f>(E52/E51)-1</f>
        <v>-2.3425183724363974E-2</v>
      </c>
      <c r="F53" s="1655">
        <f>(F52/F51)-1</f>
        <v>1.1624095925765188E-2</v>
      </c>
      <c r="G53" s="1655">
        <f>(G52/G51)-1</f>
        <v>6.318025275783512E-3</v>
      </c>
      <c r="H53" s="1653"/>
      <c r="I53" s="1684"/>
      <c r="J53" s="1686"/>
    </row>
    <row r="54" spans="1:10">
      <c r="B54" s="1650" t="str">
        <f>B$9</f>
        <v>Schätzung 2</v>
      </c>
      <c r="C54" s="1684"/>
      <c r="D54" s="1684"/>
      <c r="E54" s="1684"/>
      <c r="F54" s="1684">
        <v>4744</v>
      </c>
      <c r="G54" s="1685">
        <v>5174</v>
      </c>
      <c r="H54" s="1653">
        <f>(G54/F54)-1</f>
        <v>9.0640809443507608E-2</v>
      </c>
      <c r="I54" s="1684">
        <v>5213</v>
      </c>
      <c r="J54" s="1684">
        <v>5293.9899117899995</v>
      </c>
    </row>
    <row r="55" spans="1:10">
      <c r="C55" s="1681"/>
      <c r="D55" s="1681"/>
      <c r="E55" s="1681"/>
      <c r="F55" s="1681"/>
      <c r="G55" s="1682"/>
      <c r="H55" s="1682"/>
      <c r="I55" s="1681"/>
      <c r="J55" s="1681"/>
    </row>
    <row r="56" spans="1:10">
      <c r="A56" s="1637">
        <v>11</v>
      </c>
      <c r="B56" s="1637" t="s">
        <v>2169</v>
      </c>
      <c r="C56" s="1681">
        <v>1392.356614</v>
      </c>
      <c r="D56" s="1681">
        <v>1477.775099</v>
      </c>
      <c r="E56" s="1681">
        <v>1572.8925360000001</v>
      </c>
      <c r="F56" s="1681">
        <v>1587.1501499999999</v>
      </c>
      <c r="G56" s="1682">
        <v>1627.1193760000001</v>
      </c>
      <c r="H56" s="1683">
        <f>(G56/F56)-1</f>
        <v>2.5183014978135576E-2</v>
      </c>
      <c r="I56" s="1681"/>
      <c r="J56" s="1681"/>
    </row>
    <row r="57" spans="1:10">
      <c r="B57" s="1650" t="str">
        <f>B$7</f>
        <v>Schätzung 1</v>
      </c>
      <c r="C57" s="1684"/>
      <c r="D57" s="1684"/>
      <c r="E57" s="1684">
        <v>1557</v>
      </c>
      <c r="F57" s="1684">
        <v>1507</v>
      </c>
      <c r="G57" s="1685">
        <v>1629</v>
      </c>
      <c r="H57" s="1653">
        <f>(G57/F57)-1</f>
        <v>8.0955540809555471E-2</v>
      </c>
      <c r="I57" s="1684">
        <v>1668.0087725400001</v>
      </c>
      <c r="J57" s="1686"/>
    </row>
    <row r="58" spans="1:10">
      <c r="B58" s="1650" t="s">
        <v>2138</v>
      </c>
      <c r="C58" s="1651"/>
      <c r="D58" s="1655"/>
      <c r="E58" s="1655">
        <f>(E57/E56)-1</f>
        <v>-1.0104018956321181E-2</v>
      </c>
      <c r="F58" s="1655">
        <f>(F57/F56)-1</f>
        <v>-5.0499412421691758E-2</v>
      </c>
      <c r="G58" s="1655">
        <f>(G57/G56)-1</f>
        <v>1.1557996467495002E-3</v>
      </c>
      <c r="H58" s="1653"/>
      <c r="I58" s="1684"/>
      <c r="J58" s="1686"/>
    </row>
    <row r="59" spans="1:10">
      <c r="B59" s="1650" t="str">
        <f>B$9</f>
        <v>Schätzung 2</v>
      </c>
      <c r="C59" s="1684"/>
      <c r="D59" s="1684"/>
      <c r="E59" s="1684"/>
      <c r="F59" s="1684">
        <v>1651</v>
      </c>
      <c r="G59" s="1685">
        <v>1587</v>
      </c>
      <c r="H59" s="1653">
        <f>(G59/F59)-1</f>
        <v>-3.8764385221078168E-2</v>
      </c>
      <c r="I59" s="1684">
        <v>1722</v>
      </c>
      <c r="J59" s="1684">
        <v>1729.6701934299999</v>
      </c>
    </row>
    <row r="62" spans="1:10">
      <c r="B62" s="1637" t="s">
        <v>2145</v>
      </c>
    </row>
    <row r="63" spans="1:10">
      <c r="B63" s="1659" t="s">
        <v>2170</v>
      </c>
      <c r="J63" s="1640"/>
    </row>
    <row r="64" spans="1:10">
      <c r="B64" s="1659" t="s">
        <v>2147</v>
      </c>
      <c r="H64" s="1639"/>
      <c r="J64" s="1640"/>
    </row>
    <row r="65" spans="2:10">
      <c r="B65" s="1660" t="s">
        <v>2148</v>
      </c>
      <c r="H65" s="1639"/>
      <c r="J65" s="1640"/>
    </row>
    <row r="66" spans="2:10">
      <c r="B66" s="1659" t="s">
        <v>2149</v>
      </c>
      <c r="H66" s="1639"/>
      <c r="J66" s="1640"/>
    </row>
    <row r="67" spans="2:10">
      <c r="B67" s="1660" t="s">
        <v>2150</v>
      </c>
      <c r="H67" s="1639"/>
      <c r="J67" s="1640"/>
    </row>
    <row r="68" spans="2:10">
      <c r="B68" s="1660" t="s">
        <v>2151</v>
      </c>
      <c r="H68" s="1639"/>
      <c r="J68" s="1640"/>
    </row>
    <row r="69" spans="2:10">
      <c r="B69" s="1660" t="s">
        <v>2152</v>
      </c>
      <c r="H69" s="1639"/>
      <c r="J69" s="1640"/>
    </row>
    <row r="70" spans="2:10">
      <c r="B70" s="1661" t="s">
        <v>2172</v>
      </c>
      <c r="J70" s="1640"/>
    </row>
  </sheetData>
  <phoneticPr fontId="90" type="noConversion"/>
  <pageMargins left="0.38" right="0.26" top="0.48" bottom="0.4" header="0.31" footer="0.16"/>
  <pageSetup paperSize="9" scale="79" orientation="portrait"/>
  <headerFooter alignWithMargins="0">
    <oddFooter>&amp;R2/2</oddFooter>
  </headerFooter>
  <colBreaks count="2" manualBreakCount="2">
    <brk id="10" max="1048575" man="1"/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3D64-A22C-DA43-8DB4-50084FA71CA4}">
  <sheetPr>
    <pageSetUpPr fitToPage="1"/>
  </sheetPr>
  <dimension ref="A1:B18"/>
  <sheetViews>
    <sheetView workbookViewId="0">
      <selection activeCell="A3" sqref="A3:B15"/>
    </sheetView>
  </sheetViews>
  <sheetFormatPr baseColWidth="10" defaultColWidth="11.3984375" defaultRowHeight="13"/>
  <cols>
    <col min="1" max="1" width="5.59765625" style="306" customWidth="1"/>
    <col min="2" max="16384" width="11.3984375" style="306"/>
  </cols>
  <sheetData>
    <row r="1" spans="1:2" ht="16">
      <c r="A1" s="305" t="s">
        <v>970</v>
      </c>
    </row>
    <row r="3" spans="1:2">
      <c r="A3" s="307">
        <v>1.01</v>
      </c>
      <c r="B3" s="308" t="s">
        <v>971</v>
      </c>
    </row>
    <row r="4" spans="1:2">
      <c r="A4" s="307">
        <v>1.02</v>
      </c>
      <c r="B4" s="308" t="s">
        <v>972</v>
      </c>
    </row>
    <row r="5" spans="1:2">
      <c r="A5" s="307">
        <v>1.03</v>
      </c>
      <c r="B5" s="308" t="s">
        <v>973</v>
      </c>
    </row>
    <row r="6" spans="1:2">
      <c r="A6" s="307">
        <v>1.04</v>
      </c>
      <c r="B6" s="308" t="s">
        <v>974</v>
      </c>
    </row>
    <row r="7" spans="1:2">
      <c r="A7" s="307">
        <v>1.05</v>
      </c>
      <c r="B7" s="308" t="s">
        <v>977</v>
      </c>
    </row>
    <row r="8" spans="1:2">
      <c r="A8" s="307">
        <v>1.06</v>
      </c>
      <c r="B8" s="308" t="s">
        <v>996</v>
      </c>
    </row>
    <row r="9" spans="1:2">
      <c r="A9" s="307">
        <v>1.07</v>
      </c>
      <c r="B9" s="309" t="s">
        <v>997</v>
      </c>
    </row>
    <row r="10" spans="1:2">
      <c r="A10" s="307">
        <v>1.08</v>
      </c>
      <c r="B10" s="308" t="s">
        <v>998</v>
      </c>
    </row>
    <row r="11" spans="1:2">
      <c r="A11" s="307">
        <v>1.0900000000000001</v>
      </c>
      <c r="B11" s="308" t="s">
        <v>999</v>
      </c>
    </row>
    <row r="12" spans="1:2">
      <c r="A12" s="307">
        <v>1.1000000000000001</v>
      </c>
      <c r="B12" s="308" t="s">
        <v>1000</v>
      </c>
    </row>
    <row r="13" spans="1:2">
      <c r="A13" s="307">
        <v>1.1100000000000001</v>
      </c>
      <c r="B13" s="308" t="s">
        <v>1001</v>
      </c>
    </row>
    <row r="14" spans="1:2">
      <c r="A14" s="307">
        <v>1.1200000000000001</v>
      </c>
      <c r="B14" s="308" t="s">
        <v>1002</v>
      </c>
    </row>
    <row r="15" spans="1:2">
      <c r="A15" s="307">
        <v>1.1299999999999999</v>
      </c>
      <c r="B15" s="308" t="s">
        <v>1003</v>
      </c>
    </row>
    <row r="16" spans="1:2">
      <c r="A16" s="310"/>
      <c r="B16" s="311"/>
    </row>
    <row r="18" spans="1:1">
      <c r="A18" s="312" t="s">
        <v>1955</v>
      </c>
    </row>
  </sheetData>
  <phoneticPr fontId="30" type="noConversion"/>
  <pageMargins left="0.46" right="0.46" top="0.63" bottom="0.984251969" header="0.38" footer="0.4921259845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4162-43FD-5741-9231-4C31DE3CA7DE}">
  <sheetPr>
    <pageSetUpPr fitToPage="1"/>
  </sheetPr>
  <dimension ref="A1:R56"/>
  <sheetViews>
    <sheetView topLeftCell="E1" zoomScale="75" workbookViewId="0">
      <selection activeCell="N7" sqref="N7"/>
    </sheetView>
  </sheetViews>
  <sheetFormatPr baseColWidth="10" defaultColWidth="11.3984375" defaultRowHeight="13"/>
  <cols>
    <col min="1" max="1" width="2.59765625" style="2" customWidth="1"/>
    <col min="2" max="2" width="3.19921875" style="2" customWidth="1"/>
    <col min="3" max="3" width="54.796875" style="2" customWidth="1"/>
    <col min="4" max="5" width="9.3984375" style="733" customWidth="1"/>
    <col min="6" max="8" width="9.3984375" style="2" customWidth="1"/>
    <col min="9" max="9" width="9.3984375" style="151" customWidth="1"/>
    <col min="10" max="10" width="9.3984375" style="2" customWidth="1"/>
    <col min="11" max="12" width="9.3984375" style="151" customWidth="1"/>
    <col min="13" max="13" width="9.3984375" style="2" customWidth="1"/>
    <col min="14" max="14" width="10.796875" style="2" customWidth="1"/>
    <col min="15" max="15" width="4.796875" style="2" customWidth="1"/>
    <col min="16" max="16" width="11" style="2" customWidth="1"/>
    <col min="17" max="17" width="11.796875" style="2" customWidth="1"/>
    <col min="18" max="18" width="4.796875" style="2" customWidth="1"/>
    <col min="19" max="16384" width="11.3984375" style="2"/>
  </cols>
  <sheetData>
    <row r="1" spans="2:18" ht="12" customHeight="1">
      <c r="C1" s="663"/>
      <c r="D1" s="664"/>
      <c r="E1" s="664"/>
      <c r="F1" s="41"/>
      <c r="G1" s="41"/>
      <c r="H1" s="41"/>
      <c r="I1" s="665"/>
      <c r="K1" s="665"/>
      <c r="L1" s="665"/>
    </row>
    <row r="2" spans="2:18" ht="26.25" customHeight="1">
      <c r="B2" s="666" t="s">
        <v>2232</v>
      </c>
      <c r="C2" s="666"/>
      <c r="D2" s="667"/>
      <c r="E2" s="667"/>
      <c r="F2" s="668"/>
      <c r="G2" s="668"/>
      <c r="H2" s="668"/>
      <c r="I2" s="669"/>
      <c r="J2" s="670"/>
      <c r="K2" s="670"/>
      <c r="L2" s="669"/>
      <c r="M2" s="671"/>
      <c r="N2" s="671"/>
      <c r="O2" s="671"/>
      <c r="P2" s="671"/>
      <c r="Q2" s="347">
        <v>2006</v>
      </c>
      <c r="R2" s="58"/>
    </row>
    <row r="3" spans="2:18" ht="72.75" customHeight="1">
      <c r="B3" s="672"/>
      <c r="C3" s="673" t="s">
        <v>2233</v>
      </c>
      <c r="D3" s="674">
        <v>1996</v>
      </c>
      <c r="E3" s="673">
        <v>1997</v>
      </c>
      <c r="F3" s="674">
        <v>1998</v>
      </c>
      <c r="G3" s="673">
        <v>1999</v>
      </c>
      <c r="H3" s="674">
        <v>2000</v>
      </c>
      <c r="I3" s="493">
        <v>2001</v>
      </c>
      <c r="J3" s="292">
        <v>2002</v>
      </c>
      <c r="K3" s="493">
        <v>2003</v>
      </c>
      <c r="L3" s="292">
        <v>2004</v>
      </c>
      <c r="M3" s="493">
        <v>2005</v>
      </c>
      <c r="N3" s="292">
        <v>2006</v>
      </c>
      <c r="O3" s="675"/>
      <c r="P3" s="676" t="s">
        <v>2234</v>
      </c>
      <c r="Q3" s="677" t="s">
        <v>2235</v>
      </c>
      <c r="R3" s="678"/>
    </row>
    <row r="4" spans="2:18" ht="14" customHeight="1">
      <c r="B4" s="672"/>
      <c r="C4" s="673"/>
      <c r="D4" s="674"/>
      <c r="E4" s="673"/>
      <c r="F4" s="674"/>
      <c r="G4" s="673"/>
      <c r="H4" s="674"/>
      <c r="I4" s="493"/>
      <c r="J4" s="679"/>
      <c r="K4" s="493"/>
      <c r="L4" s="292"/>
      <c r="M4" s="493"/>
      <c r="N4" s="292"/>
      <c r="O4" s="675"/>
      <c r="P4" s="673"/>
      <c r="Q4" s="674"/>
      <c r="R4" s="680"/>
    </row>
    <row r="5" spans="2:18" ht="9.75" customHeight="1">
      <c r="B5" s="681"/>
      <c r="C5" s="682"/>
      <c r="D5" s="683"/>
      <c r="E5" s="682"/>
      <c r="F5" s="683"/>
      <c r="G5" s="682"/>
      <c r="H5" s="683"/>
      <c r="I5" s="495"/>
      <c r="J5" s="684"/>
      <c r="K5" s="495"/>
      <c r="L5" s="293"/>
      <c r="M5" s="495"/>
      <c r="N5" s="293"/>
      <c r="O5" s="685"/>
      <c r="P5" s="686"/>
      <c r="Q5" s="684"/>
      <c r="R5" s="680"/>
    </row>
    <row r="6" spans="2:18" ht="20" customHeight="1" thickBot="1">
      <c r="B6" s="687">
        <v>1</v>
      </c>
      <c r="C6" s="688" t="s">
        <v>2236</v>
      </c>
      <c r="D6" s="511">
        <v>145</v>
      </c>
      <c r="E6" s="512">
        <v>129</v>
      </c>
      <c r="F6" s="511">
        <v>118</v>
      </c>
      <c r="G6" s="512">
        <v>109</v>
      </c>
      <c r="H6" s="511">
        <v>101</v>
      </c>
      <c r="I6" s="512">
        <v>99</v>
      </c>
      <c r="J6" s="511">
        <v>93</v>
      </c>
      <c r="K6" s="512">
        <v>93</v>
      </c>
      <c r="L6" s="511">
        <v>92</v>
      </c>
      <c r="M6" s="512">
        <v>85</v>
      </c>
      <c r="N6" s="689">
        <v>87</v>
      </c>
      <c r="O6" s="690"/>
      <c r="P6" s="691">
        <v>2.3529411764705799E-2</v>
      </c>
      <c r="Q6" s="692">
        <v>-4.9799783494323568E-2</v>
      </c>
      <c r="R6" s="693"/>
    </row>
    <row r="7" spans="2:18" ht="16" customHeight="1" thickBot="1">
      <c r="B7" s="694">
        <v>2</v>
      </c>
      <c r="C7" s="695" t="s">
        <v>2237</v>
      </c>
      <c r="D7" s="500">
        <v>7232.6670000000004</v>
      </c>
      <c r="E7" s="515">
        <v>7236.4709999999995</v>
      </c>
      <c r="F7" s="500">
        <v>7246.616</v>
      </c>
      <c r="G7" s="515">
        <v>7270.5219999999999</v>
      </c>
      <c r="H7" s="500">
        <v>7265.1130000000003</v>
      </c>
      <c r="I7" s="515">
        <v>7301.05</v>
      </c>
      <c r="J7" s="500">
        <v>7344.6319999999996</v>
      </c>
      <c r="K7" s="515">
        <v>7372.5050000000001</v>
      </c>
      <c r="L7" s="500">
        <v>7383.5739999999996</v>
      </c>
      <c r="M7" s="515">
        <v>7435.8649999999998</v>
      </c>
      <c r="N7" s="696">
        <v>7478.4268200000015</v>
      </c>
      <c r="O7" s="690"/>
      <c r="P7" s="691">
        <v>5.7238559333718797E-3</v>
      </c>
      <c r="Q7" s="692">
        <v>3.3470492885803171E-3</v>
      </c>
      <c r="R7" s="693"/>
    </row>
    <row r="8" spans="2:18" ht="16" customHeight="1" thickBot="1">
      <c r="B8" s="694" t="s">
        <v>293</v>
      </c>
      <c r="C8" s="695" t="s">
        <v>2238</v>
      </c>
      <c r="D8" s="500">
        <v>5599.991</v>
      </c>
      <c r="E8" s="515">
        <v>5669.3249999999998</v>
      </c>
      <c r="F8" s="500">
        <v>5768.6210000000001</v>
      </c>
      <c r="G8" s="515">
        <v>5833.1670000000004</v>
      </c>
      <c r="H8" s="500">
        <v>5947.0349999999999</v>
      </c>
      <c r="I8" s="515">
        <v>6043.9049999999997</v>
      </c>
      <c r="J8" s="204">
        <v>6170.7879999999996</v>
      </c>
      <c r="K8" s="515">
        <v>6105.0770000000002</v>
      </c>
      <c r="L8" s="500">
        <v>6076.2309999999998</v>
      </c>
      <c r="M8" s="515">
        <v>6104.0569999999998</v>
      </c>
      <c r="N8" s="696">
        <v>6139.7749999999996</v>
      </c>
      <c r="O8" s="690"/>
      <c r="P8" s="691">
        <v>5.8515180968985447E-3</v>
      </c>
      <c r="Q8" s="692">
        <v>9.2447820325751717E-3</v>
      </c>
      <c r="R8" s="693"/>
    </row>
    <row r="9" spans="2:18" ht="16" customHeight="1" thickBot="1">
      <c r="B9" s="694" t="s">
        <v>297</v>
      </c>
      <c r="C9" s="695" t="s">
        <v>319</v>
      </c>
      <c r="D9" s="697">
        <v>77.42636291702631</v>
      </c>
      <c r="E9" s="514">
        <v>78.343781105458731</v>
      </c>
      <c r="F9" s="697">
        <v>79.604342219872009</v>
      </c>
      <c r="G9" s="514">
        <v>80.230374105188048</v>
      </c>
      <c r="H9" s="697">
        <v>81.857432912605759</v>
      </c>
      <c r="I9" s="514">
        <v>82.781312277001248</v>
      </c>
      <c r="J9" s="698">
        <v>84.017660789539889</v>
      </c>
      <c r="K9" s="514">
        <v>82.808719695680097</v>
      </c>
      <c r="L9" s="697">
        <v>82.293899946015301</v>
      </c>
      <c r="M9" s="514">
        <v>82.08940049341939</v>
      </c>
      <c r="N9" s="699">
        <v>82.099820560923789</v>
      </c>
      <c r="O9" s="700"/>
      <c r="P9" s="691">
        <v>1.2693560242582613E-4</v>
      </c>
      <c r="Q9" s="692">
        <v>5.8780585921656137E-3</v>
      </c>
      <c r="R9" s="693"/>
    </row>
    <row r="10" spans="2:18" ht="16" customHeight="1" thickBot="1">
      <c r="B10" s="694">
        <v>4</v>
      </c>
      <c r="C10" s="695" t="s">
        <v>320</v>
      </c>
      <c r="D10" s="500">
        <v>1117.0840000000001</v>
      </c>
      <c r="E10" s="515">
        <v>1150.1220000000001</v>
      </c>
      <c r="F10" s="500">
        <v>1154.759</v>
      </c>
      <c r="G10" s="515">
        <v>1096.0329999999999</v>
      </c>
      <c r="H10" s="500">
        <v>1097.932</v>
      </c>
      <c r="I10" s="515">
        <v>1193.3150000000001</v>
      </c>
      <c r="J10" s="204">
        <v>1207.239</v>
      </c>
      <c r="K10" s="515">
        <v>1148.028</v>
      </c>
      <c r="L10" s="500">
        <v>1196.146</v>
      </c>
      <c r="M10" s="515">
        <v>1219.4549999999999</v>
      </c>
      <c r="N10" s="696">
        <v>1147.933</v>
      </c>
      <c r="O10" s="690"/>
      <c r="P10" s="691">
        <v>-5.8650790722084789E-2</v>
      </c>
      <c r="Q10" s="692">
        <v>2.7278353038062697E-3</v>
      </c>
      <c r="R10" s="693"/>
    </row>
    <row r="11" spans="2:18" ht="15.75" customHeight="1" thickBot="1">
      <c r="B11" s="694">
        <v>5</v>
      </c>
      <c r="C11" s="695" t="s">
        <v>321</v>
      </c>
      <c r="D11" s="500">
        <v>18812.841</v>
      </c>
      <c r="E11" s="515">
        <v>18987.651000000002</v>
      </c>
      <c r="F11" s="500">
        <v>17067.058000000001</v>
      </c>
      <c r="G11" s="515">
        <v>12747.16</v>
      </c>
      <c r="H11" s="500">
        <v>12447.351000000001</v>
      </c>
      <c r="I11" s="515">
        <v>12514.1</v>
      </c>
      <c r="J11" s="204">
        <v>12391.460999999999</v>
      </c>
      <c r="K11" s="515">
        <v>11395.671</v>
      </c>
      <c r="L11" s="500">
        <v>11754.955</v>
      </c>
      <c r="M11" s="515">
        <v>11492.861999999999</v>
      </c>
      <c r="N11" s="696">
        <v>11050.112999999999</v>
      </c>
      <c r="O11" s="690"/>
      <c r="P11" s="691">
        <v>-3.8523824613921231E-2</v>
      </c>
      <c r="Q11" s="692">
        <v>-5.1819032960599976E-2</v>
      </c>
      <c r="R11" s="693"/>
    </row>
    <row r="12" spans="2:18" ht="15.75" customHeight="1" thickBot="1">
      <c r="B12" s="694" t="s">
        <v>1912</v>
      </c>
      <c r="C12" s="695" t="s">
        <v>322</v>
      </c>
      <c r="D12" s="500">
        <v>1538.9393456106855</v>
      </c>
      <c r="E12" s="515">
        <v>1663.8889491853145</v>
      </c>
      <c r="F12" s="500">
        <v>1753.683394842503</v>
      </c>
      <c r="G12" s="515">
        <v>1792.6969718267821</v>
      </c>
      <c r="H12" s="500">
        <v>1850.1645719756871</v>
      </c>
      <c r="I12" s="515">
        <v>1917.1642434992227</v>
      </c>
      <c r="J12" s="500">
        <v>2090.6486849170938</v>
      </c>
      <c r="K12" s="515">
        <v>2281.464868725081</v>
      </c>
      <c r="L12" s="500">
        <v>2441.8668834361247</v>
      </c>
      <c r="M12" s="515">
        <v>2487.4603849935415</v>
      </c>
      <c r="N12" s="696">
        <v>2582.7207564451369</v>
      </c>
      <c r="O12" s="690"/>
      <c r="P12" s="691">
        <v>3.8296236605932066E-2</v>
      </c>
      <c r="Q12" s="692">
        <v>5.3138755159114259E-2</v>
      </c>
      <c r="R12" s="693"/>
    </row>
    <row r="13" spans="2:18" ht="18" customHeight="1" thickBot="1">
      <c r="B13" s="694" t="s">
        <v>323</v>
      </c>
      <c r="C13" s="695" t="s">
        <v>2324</v>
      </c>
      <c r="D13" s="500">
        <v>1722.6034666050571</v>
      </c>
      <c r="E13" s="515">
        <v>1815.591817475673</v>
      </c>
      <c r="F13" s="500">
        <v>1935.2609068839854</v>
      </c>
      <c r="G13" s="515">
        <v>2010.9299604622613</v>
      </c>
      <c r="H13" s="500">
        <v>2130.500577485856</v>
      </c>
      <c r="I13" s="515">
        <v>2244.3977236150963</v>
      </c>
      <c r="J13" s="500">
        <v>2327.6302215005462</v>
      </c>
      <c r="K13" s="515">
        <v>2431.2115563163397</v>
      </c>
      <c r="L13" s="500">
        <v>2592.2163089311498</v>
      </c>
      <c r="M13" s="515">
        <v>2736.4276577385417</v>
      </c>
      <c r="N13" s="696">
        <v>2754.9413018779796</v>
      </c>
      <c r="O13" s="690"/>
      <c r="P13" s="691">
        <v>6.7656252804937367E-3</v>
      </c>
      <c r="Q13" s="692">
        <v>4.8075824239051768E-2</v>
      </c>
      <c r="R13" s="693"/>
    </row>
    <row r="14" spans="2:18" ht="16" customHeight="1" thickBot="1">
      <c r="B14" s="694" t="s">
        <v>324</v>
      </c>
      <c r="C14" s="695" t="s">
        <v>325</v>
      </c>
      <c r="D14" s="500">
        <v>1135.7666791471866</v>
      </c>
      <c r="E14" s="515">
        <v>1207.1705655887454</v>
      </c>
      <c r="F14" s="500">
        <v>1287.8682695481589</v>
      </c>
      <c r="G14" s="515">
        <v>1351.582122301535</v>
      </c>
      <c r="H14" s="500">
        <v>1451.1566242672343</v>
      </c>
      <c r="I14" s="515">
        <v>1548.8249816122338</v>
      </c>
      <c r="J14" s="500">
        <v>1615.4324000167742</v>
      </c>
      <c r="K14" s="515">
        <v>1666.6209287074066</v>
      </c>
      <c r="L14" s="500">
        <v>1751.3120155631952</v>
      </c>
      <c r="M14" s="515">
        <v>1868.8498613140498</v>
      </c>
      <c r="N14" s="696">
        <v>1876.1663221824504</v>
      </c>
      <c r="O14" s="690"/>
      <c r="P14" s="691">
        <v>3.9149538011877816E-3</v>
      </c>
      <c r="Q14" s="692">
        <v>5.1473232494318566E-2</v>
      </c>
      <c r="R14" s="693"/>
    </row>
    <row r="15" spans="2:18" ht="16" customHeight="1" thickBot="1">
      <c r="B15" s="694" t="s">
        <v>326</v>
      </c>
      <c r="C15" s="695" t="s">
        <v>327</v>
      </c>
      <c r="D15" s="500">
        <v>586.83678759613247</v>
      </c>
      <c r="E15" s="515">
        <v>608.42125188692751</v>
      </c>
      <c r="F15" s="500">
        <v>647.39263733582686</v>
      </c>
      <c r="G15" s="515">
        <v>659.34783816072627</v>
      </c>
      <c r="H15" s="500">
        <v>679.34395321862166</v>
      </c>
      <c r="I15" s="515">
        <v>695.57285390457537</v>
      </c>
      <c r="J15" s="500">
        <v>712.19782148377203</v>
      </c>
      <c r="K15" s="515">
        <v>764.59062760893346</v>
      </c>
      <c r="L15" s="500">
        <v>840.90429336795432</v>
      </c>
      <c r="M15" s="515">
        <v>867.57779639624982</v>
      </c>
      <c r="N15" s="696">
        <v>878.77497969552894</v>
      </c>
      <c r="O15" s="690"/>
      <c r="P15" s="691">
        <v>1.2906258488622147E-2</v>
      </c>
      <c r="Q15" s="692">
        <v>4.1204497113770833E-2</v>
      </c>
      <c r="R15" s="693"/>
    </row>
    <row r="16" spans="2:18" ht="16" customHeight="1" thickBot="1">
      <c r="B16" s="694" t="s">
        <v>288</v>
      </c>
      <c r="C16" s="695" t="s">
        <v>328</v>
      </c>
      <c r="D16" s="500">
        <v>232.07645782669101</v>
      </c>
      <c r="E16" s="515">
        <v>245.69743221523311</v>
      </c>
      <c r="F16" s="500">
        <v>289.40857360180263</v>
      </c>
      <c r="G16" s="515">
        <v>301.20274500235331</v>
      </c>
      <c r="H16" s="500">
        <v>314.93213457244229</v>
      </c>
      <c r="I16" s="515">
        <v>328.74449565473458</v>
      </c>
      <c r="J16" s="500">
        <v>340.77001636024784</v>
      </c>
      <c r="K16" s="515">
        <v>351.10178317952989</v>
      </c>
      <c r="L16" s="500">
        <v>383.59639861400456</v>
      </c>
      <c r="M16" s="515">
        <v>402.77581823634512</v>
      </c>
      <c r="N16" s="696">
        <v>406.33028735313604</v>
      </c>
      <c r="O16" s="690"/>
      <c r="P16" s="691">
        <v>8.8249317755844103E-3</v>
      </c>
      <c r="Q16" s="692">
        <v>5.7608203454408979E-2</v>
      </c>
      <c r="R16" s="693"/>
    </row>
    <row r="17" spans="2:18" ht="18.75" customHeight="1" thickBot="1">
      <c r="B17" s="694" t="s">
        <v>295</v>
      </c>
      <c r="C17" s="695" t="s">
        <v>2325</v>
      </c>
      <c r="D17" s="500">
        <v>1490.5270087783663</v>
      </c>
      <c r="E17" s="515">
        <v>1569.89438526044</v>
      </c>
      <c r="F17" s="500">
        <v>1645.8523332821831</v>
      </c>
      <c r="G17" s="515">
        <v>1709.7272154599079</v>
      </c>
      <c r="H17" s="500">
        <v>1815.5684429134135</v>
      </c>
      <c r="I17" s="515">
        <v>1915.651858294355</v>
      </c>
      <c r="J17" s="500">
        <v>1986.8602051130677</v>
      </c>
      <c r="K17" s="515">
        <v>2080.1097731368104</v>
      </c>
      <c r="L17" s="500">
        <v>2208.6199103577751</v>
      </c>
      <c r="M17" s="515">
        <v>2333.6518395021967</v>
      </c>
      <c r="N17" s="696">
        <v>2348.6110145248435</v>
      </c>
      <c r="O17" s="690"/>
      <c r="P17" s="691">
        <v>6.4102000004584436E-3</v>
      </c>
      <c r="Q17" s="692">
        <v>4.6519016347859266E-2</v>
      </c>
      <c r="R17" s="693"/>
    </row>
    <row r="18" spans="2:18" ht="15.75" customHeight="1" thickBot="1">
      <c r="B18" s="694" t="s">
        <v>329</v>
      </c>
      <c r="C18" s="701" t="s">
        <v>330</v>
      </c>
      <c r="D18" s="500">
        <v>132.70728197496166</v>
      </c>
      <c r="E18" s="515">
        <v>123.43149540708448</v>
      </c>
      <c r="F18" s="500">
        <v>117.97848775207628</v>
      </c>
      <c r="G18" s="515">
        <v>117.4940565477967</v>
      </c>
      <c r="H18" s="500">
        <v>118.82517959459129</v>
      </c>
      <c r="I18" s="515">
        <v>124.48209504112421</v>
      </c>
      <c r="J18" s="500">
        <v>125.74808222386092</v>
      </c>
      <c r="K18" s="515">
        <v>128.73966972012903</v>
      </c>
      <c r="L18" s="500">
        <v>133.72666834516724</v>
      </c>
      <c r="M18" s="515">
        <v>134.36734701880681</v>
      </c>
      <c r="N18" s="696">
        <v>144.14164993460486</v>
      </c>
      <c r="O18" s="690"/>
      <c r="P18" s="691">
        <v>7.2743141340953832E-2</v>
      </c>
      <c r="Q18" s="692">
        <v>8.2993180574593151E-3</v>
      </c>
      <c r="R18" s="693"/>
    </row>
    <row r="19" spans="2:18" ht="18" customHeight="1" thickBot="1">
      <c r="B19" s="694" t="s">
        <v>1910</v>
      </c>
      <c r="C19" s="695" t="s">
        <v>331</v>
      </c>
      <c r="D19" s="500">
        <v>477.62973077565988</v>
      </c>
      <c r="E19" s="515">
        <v>484.75254775428522</v>
      </c>
      <c r="F19" s="500">
        <v>509.74935597525797</v>
      </c>
      <c r="G19" s="515">
        <v>524.03642778331459</v>
      </c>
      <c r="H19" s="500">
        <v>544.55016542757153</v>
      </c>
      <c r="I19" s="515">
        <v>547.35962635511339</v>
      </c>
      <c r="J19" s="500">
        <v>547.06945209780417</v>
      </c>
      <c r="K19" s="515">
        <v>578.39954541909435</v>
      </c>
      <c r="L19" s="500">
        <v>607.83383459013214</v>
      </c>
      <c r="M19" s="515">
        <v>633.47119917588623</v>
      </c>
      <c r="N19" s="696">
        <v>667.24895580511941</v>
      </c>
      <c r="O19" s="690"/>
      <c r="P19" s="691">
        <v>5.3321692719694891E-2</v>
      </c>
      <c r="Q19" s="692">
        <v>3.3997896017834872E-2</v>
      </c>
      <c r="R19" s="693"/>
    </row>
    <row r="20" spans="2:18" ht="19.5" customHeight="1" thickBot="1">
      <c r="B20" s="694" t="s">
        <v>1917</v>
      </c>
      <c r="C20" s="695" t="s">
        <v>332</v>
      </c>
      <c r="D20" s="500">
        <v>394.88575237875602</v>
      </c>
      <c r="E20" s="515">
        <v>413.44461478530076</v>
      </c>
      <c r="F20" s="500">
        <v>411.98967338686089</v>
      </c>
      <c r="G20" s="515">
        <v>423.27251702147385</v>
      </c>
      <c r="H20" s="500">
        <v>389.82276793217119</v>
      </c>
      <c r="I20" s="515">
        <v>287.99008361810974</v>
      </c>
      <c r="J20" s="500">
        <v>267.61478124431557</v>
      </c>
      <c r="K20" s="515">
        <v>324.68015590359045</v>
      </c>
      <c r="L20" s="500">
        <v>402.03849991887398</v>
      </c>
      <c r="M20" s="515">
        <v>428.26064350549666</v>
      </c>
      <c r="N20" s="696">
        <v>501.3097896958493</v>
      </c>
      <c r="O20" s="690"/>
      <c r="P20" s="691">
        <v>0.17057170043087333</v>
      </c>
      <c r="Q20" s="692">
        <v>2.4149770740995669E-2</v>
      </c>
      <c r="R20" s="693"/>
    </row>
    <row r="21" spans="2:18" ht="16" customHeight="1" thickBot="1">
      <c r="B21" s="694" t="s">
        <v>1908</v>
      </c>
      <c r="C21" s="695" t="s">
        <v>333</v>
      </c>
      <c r="D21" s="500">
        <v>11130.63582</v>
      </c>
      <c r="E21" s="515">
        <v>12040.684128000001</v>
      </c>
      <c r="F21" s="500">
        <v>12708.270148</v>
      </c>
      <c r="G21" s="515">
        <v>13033.842773</v>
      </c>
      <c r="H21" s="500">
        <v>13441.654683999999</v>
      </c>
      <c r="I21" s="515">
        <v>13997.312</v>
      </c>
      <c r="J21" s="500">
        <v>15355.045232</v>
      </c>
      <c r="K21" s="515">
        <v>16820.111152000001</v>
      </c>
      <c r="L21" s="500">
        <v>18029.704831999999</v>
      </c>
      <c r="M21" s="515">
        <v>18496.419615660001</v>
      </c>
      <c r="N21" s="696">
        <v>19314.688173570001</v>
      </c>
      <c r="O21" s="690"/>
      <c r="P21" s="691">
        <v>4.42392946804262E-2</v>
      </c>
      <c r="Q21" s="692">
        <v>5.6663662480346044E-2</v>
      </c>
      <c r="R21" s="693"/>
    </row>
    <row r="22" spans="2:18" ht="18" customHeight="1" thickBot="1">
      <c r="B22" s="694" t="s">
        <v>334</v>
      </c>
      <c r="C22" s="695" t="s">
        <v>2326</v>
      </c>
      <c r="D22" s="500">
        <v>12459.017247</v>
      </c>
      <c r="E22" s="515">
        <v>13138.477535</v>
      </c>
      <c r="F22" s="500">
        <v>14024.092651999999</v>
      </c>
      <c r="G22" s="515">
        <v>14620.510517999999</v>
      </c>
      <c r="H22" s="500">
        <v>15478.327442</v>
      </c>
      <c r="I22" s="515">
        <v>16386.46</v>
      </c>
      <c r="J22" s="500">
        <v>17095.587409</v>
      </c>
      <c r="K22" s="515">
        <v>17924.119354999999</v>
      </c>
      <c r="L22" s="500">
        <v>19139.820941000002</v>
      </c>
      <c r="M22" s="515">
        <v>20347.706645210001</v>
      </c>
      <c r="N22" s="696">
        <v>20602.626919490001</v>
      </c>
      <c r="O22" s="690"/>
      <c r="P22" s="691">
        <v>1.2528206678270148E-2</v>
      </c>
      <c r="Q22" s="692">
        <v>5.1583785680949568E-2</v>
      </c>
      <c r="R22" s="693"/>
    </row>
    <row r="23" spans="2:18" ht="16" customHeight="1" thickBot="1">
      <c r="B23" s="694" t="s">
        <v>422</v>
      </c>
      <c r="C23" s="695" t="s">
        <v>335</v>
      </c>
      <c r="D23" s="500">
        <v>1678.5317379999999</v>
      </c>
      <c r="E23" s="515">
        <v>1777.9823429999999</v>
      </c>
      <c r="F23" s="500">
        <v>2097.2328000000002</v>
      </c>
      <c r="G23" s="515">
        <v>2189.9011839999998</v>
      </c>
      <c r="H23" s="500">
        <v>2288.0175450000002</v>
      </c>
      <c r="I23" s="515">
        <v>2400.1799999999998</v>
      </c>
      <c r="J23" s="500">
        <v>2502.8303667999999</v>
      </c>
      <c r="K23" s="515">
        <v>2588.499652</v>
      </c>
      <c r="L23" s="500">
        <v>2832.3123952999999</v>
      </c>
      <c r="M23" s="515">
        <v>2994.9866096700002</v>
      </c>
      <c r="N23" s="696">
        <v>3038.7113187200002</v>
      </c>
      <c r="O23" s="690"/>
      <c r="P23" s="691">
        <v>1.4599300347061472E-2</v>
      </c>
      <c r="Q23" s="692">
        <v>6.114807023937785E-2</v>
      </c>
      <c r="R23" s="693"/>
    </row>
    <row r="24" spans="2:18" ht="18.75" customHeight="1" thickBot="1">
      <c r="B24" s="694" t="s">
        <v>291</v>
      </c>
      <c r="C24" s="695" t="s">
        <v>2327</v>
      </c>
      <c r="D24" s="500">
        <v>10780.485509</v>
      </c>
      <c r="E24" s="515">
        <v>11360.495192</v>
      </c>
      <c r="F24" s="500">
        <v>11926.859852</v>
      </c>
      <c r="G24" s="515">
        <v>12430.609334000001</v>
      </c>
      <c r="H24" s="500">
        <v>13190.309896999999</v>
      </c>
      <c r="I24" s="515">
        <v>13986.27</v>
      </c>
      <c r="J24" s="500">
        <v>14592.757041999999</v>
      </c>
      <c r="K24" s="515">
        <v>15335.619703</v>
      </c>
      <c r="L24" s="500">
        <v>16307.508545999999</v>
      </c>
      <c r="M24" s="515">
        <v>17352.720035540002</v>
      </c>
      <c r="N24" s="696">
        <v>17563.91560077</v>
      </c>
      <c r="O24" s="690"/>
      <c r="P24" s="691">
        <v>1.2170746995136872E-2</v>
      </c>
      <c r="Q24" s="692">
        <v>5.0021767077012225E-2</v>
      </c>
      <c r="R24" s="693"/>
    </row>
    <row r="25" spans="2:18" ht="15.75" customHeight="1" thickBot="1">
      <c r="B25" s="694" t="s">
        <v>336</v>
      </c>
      <c r="C25" s="695" t="s">
        <v>337</v>
      </c>
      <c r="D25" s="500">
        <v>959.82757900000001</v>
      </c>
      <c r="E25" s="515">
        <v>893.208437</v>
      </c>
      <c r="F25" s="500">
        <v>854.94479699999999</v>
      </c>
      <c r="G25" s="515">
        <v>854.24312299999997</v>
      </c>
      <c r="H25" s="500">
        <v>863.27835700000003</v>
      </c>
      <c r="I25" s="515">
        <v>908.85</v>
      </c>
      <c r="J25" s="500">
        <v>923.57338863999996</v>
      </c>
      <c r="K25" s="515">
        <v>949.13385871000003</v>
      </c>
      <c r="L25" s="500">
        <v>987.38075149999997</v>
      </c>
      <c r="M25" s="515">
        <v>999.13745283999992</v>
      </c>
      <c r="N25" s="696">
        <v>1077.9527807500003</v>
      </c>
      <c r="O25" s="690"/>
      <c r="P25" s="691">
        <v>7.888336853550193E-2</v>
      </c>
      <c r="Q25" s="692">
        <v>1.1674145572639683E-2</v>
      </c>
      <c r="R25" s="693"/>
    </row>
    <row r="26" spans="2:18" ht="15.75" customHeight="1" thickBot="1">
      <c r="B26" s="694">
        <v>11</v>
      </c>
      <c r="C26" s="695" t="s">
        <v>338</v>
      </c>
      <c r="D26" s="500">
        <v>-319.932346</v>
      </c>
      <c r="E26" s="515">
        <v>70.171887999999996</v>
      </c>
      <c r="F26" s="500">
        <v>-3.3297E-2</v>
      </c>
      <c r="G26" s="515">
        <v>-49.386769999999999</v>
      </c>
      <c r="H26" s="500">
        <v>-305.95411300000001</v>
      </c>
      <c r="I26" s="515">
        <v>-789.7</v>
      </c>
      <c r="J26" s="500">
        <v>-223.6723628</v>
      </c>
      <c r="K26" s="515">
        <v>399.72993602999998</v>
      </c>
      <c r="L26" s="500">
        <v>514.14165576000005</v>
      </c>
      <c r="M26" s="515">
        <v>171.42467388000034</v>
      </c>
      <c r="N26" s="696">
        <v>490.9499524699998</v>
      </c>
      <c r="O26" s="690"/>
      <c r="P26" s="691" t="s">
        <v>1412</v>
      </c>
      <c r="Q26" s="692" t="s">
        <v>1412</v>
      </c>
      <c r="R26" s="693"/>
    </row>
    <row r="27" spans="2:18" ht="18" customHeight="1" thickBot="1">
      <c r="B27" s="694" t="s">
        <v>1906</v>
      </c>
      <c r="C27" s="695" t="s">
        <v>339</v>
      </c>
      <c r="D27" s="500">
        <v>3454.5367919999999</v>
      </c>
      <c r="E27" s="515">
        <v>3507.8977540000001</v>
      </c>
      <c r="F27" s="500">
        <v>3693.9578390000001</v>
      </c>
      <c r="G27" s="515">
        <v>3810.0183769999999</v>
      </c>
      <c r="H27" s="500">
        <v>3956.2184860000002</v>
      </c>
      <c r="I27" s="515">
        <v>3996.3</v>
      </c>
      <c r="J27" s="500">
        <v>4018.0238040999998</v>
      </c>
      <c r="K27" s="515">
        <v>4264.2535405999997</v>
      </c>
      <c r="L27" s="500">
        <v>4487.9860974000003</v>
      </c>
      <c r="M27" s="515">
        <v>4710.4063184600009</v>
      </c>
      <c r="N27" s="696">
        <v>4989.9724867100003</v>
      </c>
      <c r="O27" s="690"/>
      <c r="P27" s="691">
        <v>5.9350754340317557E-2</v>
      </c>
      <c r="Q27" s="692">
        <v>3.7458737940095022E-2</v>
      </c>
      <c r="R27" s="693"/>
    </row>
    <row r="28" spans="2:18" ht="19.5" customHeight="1" thickBot="1">
      <c r="B28" s="694" t="s">
        <v>340</v>
      </c>
      <c r="C28" s="695" t="s">
        <v>2328</v>
      </c>
      <c r="D28" s="702">
        <v>0.3204435263250443</v>
      </c>
      <c r="E28" s="703">
        <v>0.30878035637656381</v>
      </c>
      <c r="F28" s="702">
        <v>0.30971755221728081</v>
      </c>
      <c r="G28" s="703">
        <v>0.30650294564232661</v>
      </c>
      <c r="H28" s="702">
        <v>0.29993370261147551</v>
      </c>
      <c r="I28" s="703">
        <v>0.28573021970832824</v>
      </c>
      <c r="J28" s="702">
        <v>0.27534370595875501</v>
      </c>
      <c r="K28" s="703">
        <v>0.27806202965282278</v>
      </c>
      <c r="L28" s="702">
        <v>0.27520979582750793</v>
      </c>
      <c r="M28" s="703">
        <v>0.27145060306468599</v>
      </c>
      <c r="N28" s="704">
        <v>0.28410364750848838</v>
      </c>
      <c r="O28" s="690"/>
      <c r="P28" s="691" t="s">
        <v>1412</v>
      </c>
      <c r="Q28" s="692" t="s">
        <v>1412</v>
      </c>
      <c r="R28" s="693"/>
    </row>
    <row r="29" spans="2:18" ht="19.5" customHeight="1" thickBot="1">
      <c r="B29" s="694" t="s">
        <v>1914</v>
      </c>
      <c r="C29" s="695" t="s">
        <v>341</v>
      </c>
      <c r="D29" s="500">
        <v>2856.0771500000001</v>
      </c>
      <c r="E29" s="515">
        <v>2991.8799650000001</v>
      </c>
      <c r="F29" s="500">
        <v>2985.5309590000002</v>
      </c>
      <c r="G29" s="515">
        <v>3077.412147</v>
      </c>
      <c r="H29" s="500">
        <v>2832.1064590000001</v>
      </c>
      <c r="I29" s="515">
        <v>2102.63</v>
      </c>
      <c r="J29" s="500">
        <v>1965.5320859999999</v>
      </c>
      <c r="K29" s="515">
        <v>2393.7060728000001</v>
      </c>
      <c r="L29" s="500">
        <v>2968.4810149999998</v>
      </c>
      <c r="M29" s="515">
        <v>3184.4883299199996</v>
      </c>
      <c r="N29" s="696">
        <v>3749.0085763900001</v>
      </c>
      <c r="O29" s="690"/>
      <c r="P29" s="691">
        <v>0.17727188420382189</v>
      </c>
      <c r="Q29" s="692">
        <v>2.757765050255423E-2</v>
      </c>
      <c r="R29" s="693"/>
    </row>
    <row r="30" spans="2:18" s="390" customFormat="1" ht="19.5" customHeight="1" thickBot="1">
      <c r="B30" s="705" t="s">
        <v>342</v>
      </c>
      <c r="C30" s="706" t="s">
        <v>2329</v>
      </c>
      <c r="D30" s="707">
        <v>0.25659604681954279</v>
      </c>
      <c r="E30" s="708">
        <v>0.24848089470618492</v>
      </c>
      <c r="F30" s="707">
        <v>0.23492819433570639</v>
      </c>
      <c r="G30" s="708">
        <v>0.23610935014307161</v>
      </c>
      <c r="H30" s="707">
        <v>0.21069626661151625</v>
      </c>
      <c r="I30" s="708">
        <v>0.15</v>
      </c>
      <c r="J30" s="707">
        <v>0.12800562009999999</v>
      </c>
      <c r="K30" s="708">
        <v>0.1423121436</v>
      </c>
      <c r="L30" s="707">
        <v>0.1646439053</v>
      </c>
      <c r="M30" s="708">
        <v>0.17216782469748099</v>
      </c>
      <c r="N30" s="709">
        <v>0.19410142906268091</v>
      </c>
      <c r="O30" s="710"/>
      <c r="P30" s="711" t="s">
        <v>1412</v>
      </c>
      <c r="Q30" s="712" t="s">
        <v>1412</v>
      </c>
      <c r="R30" s="713"/>
    </row>
    <row r="31" spans="2:18" ht="17.25" customHeight="1">
      <c r="B31" s="714" t="s">
        <v>452</v>
      </c>
      <c r="C31" s="714"/>
      <c r="D31" s="715"/>
      <c r="E31" s="715"/>
      <c r="F31" s="715"/>
      <c r="G31" s="715"/>
      <c r="H31" s="715"/>
      <c r="I31" s="716"/>
      <c r="K31" s="716"/>
      <c r="L31" s="717"/>
    </row>
    <row r="32" spans="2:18" ht="13.5" customHeight="1">
      <c r="B32" s="507"/>
      <c r="C32" s="507"/>
      <c r="D32" s="718"/>
      <c r="E32" s="718"/>
      <c r="F32" s="718"/>
      <c r="G32" s="718"/>
      <c r="H32" s="718"/>
      <c r="I32" s="719"/>
      <c r="K32" s="719"/>
      <c r="L32" s="719"/>
    </row>
    <row r="33" spans="1:12" ht="12" customHeight="1">
      <c r="B33" s="41" t="s">
        <v>343</v>
      </c>
      <c r="C33" s="41"/>
      <c r="D33" s="718"/>
      <c r="E33" s="718"/>
      <c r="F33" s="718"/>
      <c r="G33" s="718"/>
      <c r="H33" s="718"/>
      <c r="I33" s="719"/>
      <c r="K33" s="719"/>
      <c r="L33" s="719"/>
    </row>
    <row r="34" spans="1:12" ht="12.75" customHeight="1">
      <c r="B34" s="41" t="s">
        <v>344</v>
      </c>
      <c r="C34" s="41"/>
      <c r="D34" s="718"/>
      <c r="E34" s="718"/>
      <c r="F34" s="718"/>
      <c r="G34" s="718"/>
      <c r="H34" s="718"/>
      <c r="I34" s="719"/>
      <c r="K34" s="719"/>
      <c r="L34" s="719"/>
    </row>
    <row r="35" spans="1:12" ht="12" customHeight="1">
      <c r="B35" s="4" t="s">
        <v>345</v>
      </c>
      <c r="C35" s="4"/>
      <c r="D35" s="56"/>
      <c r="E35" s="56"/>
      <c r="F35" s="1"/>
      <c r="G35" s="1"/>
      <c r="H35" s="1"/>
      <c r="I35" s="17"/>
      <c r="K35" s="17"/>
      <c r="L35" s="17"/>
    </row>
    <row r="36" spans="1:12" ht="12" customHeight="1">
      <c r="B36" s="4" t="s">
        <v>346</v>
      </c>
      <c r="C36" s="4"/>
      <c r="D36" s="56"/>
      <c r="E36" s="56"/>
      <c r="F36" s="1"/>
      <c r="G36" s="1"/>
      <c r="H36" s="1"/>
      <c r="I36" s="17"/>
      <c r="K36" s="17"/>
      <c r="L36" s="17"/>
    </row>
    <row r="37" spans="1:12" ht="11.25" customHeight="1">
      <c r="B37" s="720"/>
      <c r="C37" s="720"/>
      <c r="D37" s="721"/>
      <c r="E37" s="721"/>
      <c r="F37" s="346"/>
      <c r="G37" s="346"/>
      <c r="H37" s="346"/>
      <c r="I37" s="722"/>
      <c r="K37" s="722"/>
      <c r="L37" s="722"/>
    </row>
    <row r="38" spans="1:12">
      <c r="B38" s="4" t="s">
        <v>347</v>
      </c>
      <c r="C38" s="4"/>
      <c r="D38" s="38"/>
      <c r="E38" s="38"/>
    </row>
    <row r="39" spans="1:12">
      <c r="B39" s="4" t="s">
        <v>348</v>
      </c>
      <c r="C39" s="4"/>
      <c r="D39" s="38"/>
      <c r="E39" s="38"/>
    </row>
    <row r="40" spans="1:12">
      <c r="B40" s="4" t="s">
        <v>349</v>
      </c>
      <c r="C40" s="4"/>
      <c r="D40" s="38"/>
      <c r="E40" s="38"/>
    </row>
    <row r="41" spans="1:12">
      <c r="A41" s="159"/>
      <c r="B41" s="723">
        <v>1</v>
      </c>
      <c r="C41" s="724" t="s">
        <v>350</v>
      </c>
      <c r="D41" s="725"/>
      <c r="E41" s="726" t="s">
        <v>288</v>
      </c>
      <c r="F41" s="727" t="s">
        <v>351</v>
      </c>
      <c r="G41" s="728"/>
      <c r="H41" s="728"/>
      <c r="I41" s="729"/>
      <c r="J41" s="728"/>
      <c r="K41" s="729"/>
      <c r="L41" s="507"/>
    </row>
    <row r="42" spans="1:12">
      <c r="A42" s="159"/>
      <c r="B42" s="723">
        <v>2</v>
      </c>
      <c r="C42" s="730" t="s">
        <v>352</v>
      </c>
      <c r="D42" s="725"/>
      <c r="E42" s="731" t="s">
        <v>291</v>
      </c>
      <c r="F42" s="728" t="s">
        <v>353</v>
      </c>
      <c r="G42" s="728"/>
      <c r="H42" s="728"/>
      <c r="I42" s="729"/>
      <c r="J42" s="728"/>
      <c r="K42" s="729"/>
      <c r="L42" s="507"/>
    </row>
    <row r="43" spans="1:12">
      <c r="A43" s="159"/>
      <c r="B43" s="723" t="s">
        <v>293</v>
      </c>
      <c r="C43" s="728" t="s">
        <v>354</v>
      </c>
      <c r="D43" s="725"/>
      <c r="E43" s="731" t="s">
        <v>291</v>
      </c>
      <c r="F43" s="728" t="s">
        <v>353</v>
      </c>
      <c r="G43" s="728"/>
      <c r="H43" s="728"/>
      <c r="I43" s="729"/>
      <c r="J43" s="728"/>
      <c r="K43" s="729"/>
      <c r="L43" s="507"/>
    </row>
    <row r="44" spans="1:12">
      <c r="A44" s="159"/>
      <c r="B44" s="723" t="s">
        <v>297</v>
      </c>
      <c r="C44" s="727" t="s">
        <v>355</v>
      </c>
      <c r="D44" s="725"/>
      <c r="E44" s="731" t="s">
        <v>295</v>
      </c>
      <c r="F44" s="728" t="s">
        <v>356</v>
      </c>
      <c r="G44" s="728"/>
      <c r="H44" s="728"/>
      <c r="I44" s="729"/>
      <c r="J44" s="728"/>
      <c r="K44" s="729"/>
      <c r="L44" s="507"/>
    </row>
    <row r="45" spans="1:12">
      <c r="A45" s="159"/>
      <c r="B45" s="723">
        <v>4</v>
      </c>
      <c r="C45" s="728" t="s">
        <v>357</v>
      </c>
      <c r="D45" s="732"/>
      <c r="E45" s="731" t="s">
        <v>336</v>
      </c>
      <c r="F45" s="728" t="s">
        <v>358</v>
      </c>
      <c r="G45" s="728"/>
      <c r="H45" s="728"/>
      <c r="I45" s="729"/>
      <c r="J45" s="728"/>
      <c r="K45" s="729"/>
      <c r="L45" s="507"/>
    </row>
    <row r="46" spans="1:12">
      <c r="A46" s="159"/>
      <c r="B46" s="723">
        <v>5</v>
      </c>
      <c r="C46" s="728" t="s">
        <v>357</v>
      </c>
      <c r="D46" s="732"/>
      <c r="E46" s="731" t="s">
        <v>329</v>
      </c>
      <c r="F46" s="728" t="s">
        <v>359</v>
      </c>
      <c r="G46" s="728"/>
      <c r="H46" s="728"/>
      <c r="I46" s="729"/>
      <c r="J46" s="728"/>
      <c r="K46" s="729"/>
      <c r="L46" s="507"/>
    </row>
    <row r="47" spans="1:12">
      <c r="A47" s="159"/>
      <c r="B47" s="723" t="s">
        <v>1908</v>
      </c>
      <c r="C47" s="728" t="s">
        <v>360</v>
      </c>
      <c r="D47" s="732"/>
      <c r="E47" s="731">
        <v>11</v>
      </c>
      <c r="F47" s="728" t="s">
        <v>361</v>
      </c>
      <c r="G47" s="728"/>
      <c r="H47" s="728"/>
      <c r="I47" s="729"/>
      <c r="J47" s="728"/>
      <c r="K47" s="729"/>
      <c r="L47" s="507"/>
    </row>
    <row r="48" spans="1:12">
      <c r="A48" s="159"/>
      <c r="B48" s="723" t="s">
        <v>1912</v>
      </c>
      <c r="C48" s="727" t="s">
        <v>362</v>
      </c>
      <c r="D48" s="732"/>
      <c r="E48" s="731" t="s">
        <v>1906</v>
      </c>
      <c r="F48" s="728" t="s">
        <v>363</v>
      </c>
      <c r="G48" s="728"/>
      <c r="H48" s="728"/>
      <c r="I48" s="729"/>
      <c r="J48" s="728"/>
      <c r="K48" s="729"/>
      <c r="L48" s="507"/>
    </row>
    <row r="49" spans="1:12">
      <c r="A49" s="159"/>
      <c r="B49" s="723" t="s">
        <v>334</v>
      </c>
      <c r="C49" s="728" t="s">
        <v>364</v>
      </c>
      <c r="D49" s="732"/>
      <c r="E49" s="731" t="s">
        <v>1910</v>
      </c>
      <c r="F49" s="728" t="s">
        <v>365</v>
      </c>
      <c r="G49" s="728"/>
      <c r="H49" s="728"/>
      <c r="I49" s="729"/>
      <c r="J49" s="728"/>
      <c r="K49" s="729"/>
      <c r="L49" s="507"/>
    </row>
    <row r="50" spans="1:12">
      <c r="A50" s="159"/>
      <c r="B50" s="723" t="s">
        <v>323</v>
      </c>
      <c r="C50" s="727" t="s">
        <v>366</v>
      </c>
      <c r="D50" s="732"/>
      <c r="E50" s="731" t="s">
        <v>340</v>
      </c>
      <c r="F50" s="727" t="s">
        <v>367</v>
      </c>
      <c r="G50" s="728"/>
      <c r="H50" s="728"/>
      <c r="I50" s="729"/>
      <c r="J50" s="728"/>
      <c r="K50" s="729"/>
      <c r="L50" s="507"/>
    </row>
    <row r="51" spans="1:12">
      <c r="A51" s="159"/>
      <c r="B51" s="723" t="s">
        <v>324</v>
      </c>
      <c r="C51" s="728" t="s">
        <v>368</v>
      </c>
      <c r="D51" s="732"/>
      <c r="E51" s="731" t="s">
        <v>1914</v>
      </c>
      <c r="F51" s="728" t="s">
        <v>369</v>
      </c>
      <c r="G51" s="728"/>
      <c r="H51" s="728"/>
      <c r="I51" s="729"/>
      <c r="J51" s="728"/>
      <c r="K51" s="729"/>
      <c r="L51" s="507"/>
    </row>
    <row r="52" spans="1:12">
      <c r="A52" s="159"/>
      <c r="B52" s="723" t="s">
        <v>326</v>
      </c>
      <c r="C52" s="728" t="s">
        <v>370</v>
      </c>
      <c r="D52" s="732"/>
      <c r="E52" s="731" t="s">
        <v>1917</v>
      </c>
      <c r="F52" s="728" t="s">
        <v>371</v>
      </c>
      <c r="G52" s="728"/>
      <c r="H52" s="728"/>
      <c r="I52" s="729"/>
      <c r="J52" s="728"/>
      <c r="K52" s="729"/>
      <c r="L52" s="507"/>
    </row>
    <row r="53" spans="1:12">
      <c r="A53" s="159"/>
      <c r="B53" s="723" t="s">
        <v>422</v>
      </c>
      <c r="C53" s="728" t="s">
        <v>372</v>
      </c>
      <c r="D53" s="732"/>
      <c r="E53" s="731" t="s">
        <v>342</v>
      </c>
      <c r="F53" s="728" t="s">
        <v>2323</v>
      </c>
      <c r="G53" s="728"/>
      <c r="H53" s="728"/>
      <c r="I53" s="729"/>
      <c r="J53" s="728"/>
      <c r="K53" s="729"/>
      <c r="L53" s="507"/>
    </row>
    <row r="56" spans="1:12">
      <c r="A56" s="2" t="s">
        <v>1955</v>
      </c>
    </row>
  </sheetData>
  <phoneticPr fontId="0" type="noConversion"/>
  <pageMargins left="0.28000000000000003" right="0.25" top="0.32" bottom="0.32" header="0.19" footer="0.23"/>
  <pageSetup paperSize="9" scale="63" orientation="landscape" horizontalDpi="4294967292" verticalDpi="429496729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046B-043B-7244-B01C-577748728BF0}">
  <sheetPr>
    <pageSetUpPr fitToPage="1"/>
  </sheetPr>
  <dimension ref="A1:E39"/>
  <sheetViews>
    <sheetView topLeftCell="A22"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48.796875" style="97" customWidth="1"/>
    <col min="3" max="3" width="17.796875" style="2" customWidth="1"/>
    <col min="4" max="4" width="16.796875" style="8" customWidth="1"/>
    <col min="5" max="5" width="18" style="8" customWidth="1"/>
    <col min="6" max="16384" width="11.3984375" style="2"/>
  </cols>
  <sheetData>
    <row r="1" spans="1:5" s="1" customFormat="1" ht="14" customHeight="1">
      <c r="B1" s="169"/>
      <c r="D1" s="175"/>
      <c r="E1" s="175"/>
    </row>
    <row r="2" spans="1:5" s="1" customFormat="1" ht="39" customHeight="1">
      <c r="A2" s="1695" t="s">
        <v>524</v>
      </c>
      <c r="B2" s="1696"/>
      <c r="C2" s="1696"/>
      <c r="D2" s="1696"/>
      <c r="E2" s="58">
        <v>2006</v>
      </c>
    </row>
    <row r="3" spans="1:5" ht="39" customHeight="1">
      <c r="A3" s="113" t="s">
        <v>1004</v>
      </c>
      <c r="B3" s="113"/>
      <c r="C3" s="114" t="s">
        <v>1005</v>
      </c>
      <c r="D3" s="177" t="s">
        <v>1006</v>
      </c>
      <c r="E3" s="313" t="s">
        <v>1951</v>
      </c>
    </row>
    <row r="4" spans="1:5" ht="38" customHeight="1">
      <c r="A4" s="314"/>
      <c r="B4" s="315"/>
      <c r="C4" s="123" t="s">
        <v>1007</v>
      </c>
      <c r="D4" s="183" t="s">
        <v>1007</v>
      </c>
      <c r="E4" s="316" t="s">
        <v>1007</v>
      </c>
    </row>
    <row r="5" spans="1:5" ht="30" customHeight="1" thickBot="1">
      <c r="A5" s="125">
        <v>61</v>
      </c>
      <c r="B5" s="125" t="s">
        <v>1008</v>
      </c>
      <c r="C5" s="270">
        <v>18575026906.25</v>
      </c>
      <c r="D5" s="271">
        <v>739661266.44000006</v>
      </c>
      <c r="E5" s="317">
        <v>19314688172.689999</v>
      </c>
    </row>
    <row r="6" spans="1:5" ht="20" customHeight="1" thickBot="1">
      <c r="A6" s="130">
        <v>64</v>
      </c>
      <c r="B6" s="130" t="s">
        <v>1009</v>
      </c>
      <c r="C6" s="147">
        <v>-79395297.700000003</v>
      </c>
      <c r="D6" s="204">
        <v>-3220292.82</v>
      </c>
      <c r="E6" s="255">
        <v>-82615590.519999996</v>
      </c>
    </row>
    <row r="7" spans="1:5" ht="20" customHeight="1" thickBot="1">
      <c r="A7" s="130">
        <v>65</v>
      </c>
      <c r="B7" s="130" t="s">
        <v>1010</v>
      </c>
      <c r="C7" s="147">
        <v>2708032.33</v>
      </c>
      <c r="D7" s="204">
        <v>77770.63</v>
      </c>
      <c r="E7" s="255">
        <v>2785802.96</v>
      </c>
    </row>
    <row r="8" spans="1:5" ht="27" customHeight="1" thickBot="1">
      <c r="A8" s="131" t="s">
        <v>1011</v>
      </c>
      <c r="B8" s="131" t="s">
        <v>1012</v>
      </c>
      <c r="C8" s="318">
        <v>18498339640.830002</v>
      </c>
      <c r="D8" s="319">
        <v>736518744.30999994</v>
      </c>
      <c r="E8" s="149">
        <v>19234858385.139999</v>
      </c>
    </row>
    <row r="9" spans="1:5" ht="20" customHeight="1" thickBot="1">
      <c r="A9" s="130">
        <v>66</v>
      </c>
      <c r="B9" s="130" t="s">
        <v>1013</v>
      </c>
      <c r="C9" s="147">
        <v>-53771999.909999996</v>
      </c>
      <c r="D9" s="204">
        <v>-2190104.0299999998</v>
      </c>
      <c r="E9" s="255">
        <v>-55962103.939999998</v>
      </c>
    </row>
    <row r="10" spans="1:5" ht="27" customHeight="1" thickBot="1">
      <c r="A10" s="131" t="s">
        <v>1014</v>
      </c>
      <c r="B10" s="131" t="s">
        <v>1015</v>
      </c>
      <c r="C10" s="318">
        <v>18444567640.919998</v>
      </c>
      <c r="D10" s="319">
        <v>734328640.25</v>
      </c>
      <c r="E10" s="149">
        <v>19178896281.169998</v>
      </c>
    </row>
    <row r="11" spans="1:5" ht="20" customHeight="1" thickBot="1">
      <c r="A11" s="130">
        <v>67</v>
      </c>
      <c r="B11" s="130" t="s">
        <v>1016</v>
      </c>
      <c r="C11" s="147">
        <v>1519296299.5799999</v>
      </c>
      <c r="D11" s="204">
        <v>59459720.100000001</v>
      </c>
      <c r="E11" s="255">
        <v>1578756019.6800001</v>
      </c>
    </row>
    <row r="12" spans="1:5" ht="20" customHeight="1" thickBot="1">
      <c r="A12" s="130">
        <v>68</v>
      </c>
      <c r="B12" s="130" t="s">
        <v>1017</v>
      </c>
      <c r="C12" s="147">
        <v>-1516290310.0699999</v>
      </c>
      <c r="D12" s="204">
        <v>-58951101.020000003</v>
      </c>
      <c r="E12" s="255">
        <v>-1575241411.0899999</v>
      </c>
    </row>
    <row r="13" spans="1:5" ht="20" customHeight="1" thickBot="1">
      <c r="A13" s="130">
        <v>69</v>
      </c>
      <c r="B13" s="130" t="s">
        <v>1018</v>
      </c>
      <c r="C13" s="147">
        <v>89911032.030000001</v>
      </c>
      <c r="D13" s="204">
        <v>3083262.17</v>
      </c>
      <c r="E13" s="255">
        <v>92994294.200000003</v>
      </c>
    </row>
    <row r="14" spans="1:5" ht="27" customHeight="1" thickBot="1">
      <c r="A14" s="131">
        <v>6</v>
      </c>
      <c r="B14" s="131" t="s">
        <v>1019</v>
      </c>
      <c r="C14" s="318">
        <v>18537484662.52</v>
      </c>
      <c r="D14" s="319">
        <v>737920521.45000005</v>
      </c>
      <c r="E14" s="149">
        <v>19275405183.970001</v>
      </c>
    </row>
    <row r="15" spans="1:5" ht="20" customHeight="1" thickBot="1">
      <c r="A15" s="130">
        <v>31</v>
      </c>
      <c r="B15" s="130" t="s">
        <v>1020</v>
      </c>
      <c r="C15" s="147">
        <v>19913804381.189999</v>
      </c>
      <c r="D15" s="204">
        <v>688822540.37</v>
      </c>
      <c r="E15" s="255">
        <v>20602626921.560001</v>
      </c>
    </row>
    <row r="16" spans="1:5" ht="20" customHeight="1" thickBot="1">
      <c r="A16" s="130">
        <v>32</v>
      </c>
      <c r="B16" s="130" t="s">
        <v>1021</v>
      </c>
      <c r="C16" s="147">
        <v>-2950988142.9400001</v>
      </c>
      <c r="D16" s="204">
        <v>-87723175.780000001</v>
      </c>
      <c r="E16" s="255">
        <v>-3038711318.7199998</v>
      </c>
    </row>
    <row r="17" spans="1:5" ht="27" customHeight="1" thickBot="1">
      <c r="A17" s="131" t="s">
        <v>1022</v>
      </c>
      <c r="B17" s="131" t="s">
        <v>1023</v>
      </c>
      <c r="C17" s="318">
        <v>16962816238.200001</v>
      </c>
      <c r="D17" s="319">
        <v>601099364.59000003</v>
      </c>
      <c r="E17" s="149">
        <v>17563915602.790001</v>
      </c>
    </row>
    <row r="18" spans="1:5" ht="20" customHeight="1" thickBot="1">
      <c r="A18" s="130">
        <v>34</v>
      </c>
      <c r="B18" s="130" t="s">
        <v>1024</v>
      </c>
      <c r="C18" s="147">
        <v>49939792.030000001</v>
      </c>
      <c r="D18" s="204">
        <v>485523.74</v>
      </c>
      <c r="E18" s="255">
        <v>50425315.770000003</v>
      </c>
    </row>
    <row r="19" spans="1:5" ht="20" customHeight="1" thickBot="1">
      <c r="A19" s="130">
        <v>35</v>
      </c>
      <c r="B19" s="130" t="s">
        <v>1025</v>
      </c>
      <c r="C19" s="147">
        <v>289520816.01999998</v>
      </c>
      <c r="D19" s="204">
        <v>10816427.49</v>
      </c>
      <c r="E19" s="255">
        <v>300337243.50999999</v>
      </c>
    </row>
    <row r="20" spans="1:5" ht="27" customHeight="1" thickBot="1">
      <c r="A20" s="131" t="s">
        <v>1026</v>
      </c>
      <c r="B20" s="131" t="s">
        <v>1027</v>
      </c>
      <c r="C20" s="318">
        <v>17302276846.25</v>
      </c>
      <c r="D20" s="319">
        <v>612401315.82000005</v>
      </c>
      <c r="E20" s="149">
        <v>17914678162.07</v>
      </c>
    </row>
    <row r="21" spans="1:5" ht="20" customHeight="1" thickBot="1">
      <c r="A21" s="130">
        <v>36</v>
      </c>
      <c r="B21" s="130" t="s">
        <v>1028</v>
      </c>
      <c r="C21" s="147">
        <v>-57331185.960000001</v>
      </c>
      <c r="D21" s="204">
        <v>-1873555.36</v>
      </c>
      <c r="E21" s="255">
        <v>-59204741.32</v>
      </c>
    </row>
    <row r="22" spans="1:5" ht="20" customHeight="1" thickBot="1">
      <c r="A22" s="130">
        <v>37</v>
      </c>
      <c r="B22" s="130" t="s">
        <v>1029</v>
      </c>
      <c r="C22" s="147">
        <v>60763679.200000003</v>
      </c>
      <c r="D22" s="204">
        <v>-74880929.819999993</v>
      </c>
      <c r="E22" s="255">
        <v>-14117250.619999999</v>
      </c>
    </row>
    <row r="23" spans="1:5" ht="27" customHeight="1" thickBot="1">
      <c r="A23" s="131">
        <v>3</v>
      </c>
      <c r="B23" s="131" t="s">
        <v>1030</v>
      </c>
      <c r="C23" s="318">
        <v>17305709339.43</v>
      </c>
      <c r="D23" s="319">
        <v>535646830.61000001</v>
      </c>
      <c r="E23" s="149">
        <v>17841356170.040001</v>
      </c>
    </row>
    <row r="24" spans="1:5" ht="21" customHeight="1" thickBot="1">
      <c r="A24" s="130" t="s">
        <v>1031</v>
      </c>
      <c r="B24" s="130" t="s">
        <v>1032</v>
      </c>
      <c r="C24" s="147">
        <v>954304640.22000003</v>
      </c>
      <c r="D24" s="204">
        <v>39491134.560000002</v>
      </c>
      <c r="E24" s="255">
        <v>993795774.77999997</v>
      </c>
    </row>
    <row r="25" spans="1:5" ht="21" customHeight="1" thickBot="1">
      <c r="A25" s="130">
        <v>48</v>
      </c>
      <c r="B25" s="130" t="s">
        <v>1033</v>
      </c>
      <c r="C25" s="147">
        <v>80030069.659999996</v>
      </c>
      <c r="D25" s="204">
        <v>4126936.31</v>
      </c>
      <c r="E25" s="255">
        <v>84157005.969999999</v>
      </c>
    </row>
    <row r="26" spans="1:5" ht="21" customHeight="1" thickBot="1">
      <c r="A26" s="130">
        <v>49</v>
      </c>
      <c r="B26" s="130" t="s">
        <v>1034</v>
      </c>
      <c r="C26" s="147">
        <v>-614932.75</v>
      </c>
      <c r="D26" s="204">
        <v>-39669.46</v>
      </c>
      <c r="E26" s="255">
        <v>-654602.21</v>
      </c>
    </row>
    <row r="27" spans="1:5" ht="27" customHeight="1" thickBot="1">
      <c r="A27" s="131">
        <v>4</v>
      </c>
      <c r="B27" s="131" t="s">
        <v>1035</v>
      </c>
      <c r="C27" s="318">
        <v>1033719777.08</v>
      </c>
      <c r="D27" s="319">
        <v>43578401.409999996</v>
      </c>
      <c r="E27" s="149">
        <v>1077298178.49</v>
      </c>
    </row>
    <row r="28" spans="1:5" ht="27" customHeight="1" thickBot="1">
      <c r="A28" s="131" t="s">
        <v>1036</v>
      </c>
      <c r="B28" s="131" t="s">
        <v>1037</v>
      </c>
      <c r="C28" s="318">
        <v>18339429116.549999</v>
      </c>
      <c r="D28" s="319">
        <v>579225232.02999997</v>
      </c>
      <c r="E28" s="149">
        <v>18918654348.580002</v>
      </c>
    </row>
    <row r="29" spans="1:5" ht="27" customHeight="1" thickBot="1">
      <c r="A29" s="131"/>
      <c r="B29" s="131" t="s">
        <v>1038</v>
      </c>
      <c r="C29" s="318">
        <v>198055545.93000001</v>
      </c>
      <c r="D29" s="319">
        <v>158695289.41</v>
      </c>
      <c r="E29" s="149">
        <v>356750835.33999997</v>
      </c>
    </row>
    <row r="30" spans="1:5" ht="27" customHeight="1" thickBot="1">
      <c r="A30" s="131">
        <v>7</v>
      </c>
      <c r="B30" s="131" t="s">
        <v>1039</v>
      </c>
      <c r="C30" s="318">
        <v>128184422.90000001</v>
      </c>
      <c r="D30" s="319">
        <v>6014694.2199999997</v>
      </c>
      <c r="E30" s="149">
        <v>134199117.12</v>
      </c>
    </row>
    <row r="31" spans="1:5" ht="34.5" customHeight="1" thickBot="1">
      <c r="A31" s="320"/>
      <c r="B31" s="320" t="s">
        <v>1040</v>
      </c>
      <c r="C31" s="321">
        <v>326239968.81999999</v>
      </c>
      <c r="D31" s="322">
        <v>164709983.65000001</v>
      </c>
      <c r="E31" s="323">
        <v>490949952.47000003</v>
      </c>
    </row>
    <row r="32" spans="1:5" ht="19.5" customHeight="1">
      <c r="A32" s="2" t="s">
        <v>452</v>
      </c>
    </row>
    <row r="34" spans="1:1">
      <c r="A34" s="324" t="s">
        <v>1041</v>
      </c>
    </row>
    <row r="35" spans="1:1">
      <c r="A35" s="325"/>
    </row>
    <row r="36" spans="1:1">
      <c r="A36" s="2" t="s">
        <v>1042</v>
      </c>
    </row>
    <row r="39" spans="1:1">
      <c r="A39" s="2" t="s">
        <v>1955</v>
      </c>
    </row>
  </sheetData>
  <mergeCells count="1">
    <mergeCell ref="A2:D2"/>
  </mergeCells>
  <phoneticPr fontId="0" type="noConversion"/>
  <pageMargins left="0.62" right="0.69" top="0.71" bottom="0.49" header="0.42" footer="0.4921259845"/>
  <pageSetup paperSize="9" scale="82" orientation="portrait" horizontalDpi="1200" verticalDpi="12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8DF3-3B0D-F54F-88AC-98AEA70171F4}">
  <sheetPr>
    <pageSetUpPr fitToPage="1"/>
  </sheetPr>
  <dimension ref="A1:E39"/>
  <sheetViews>
    <sheetView topLeftCell="A21"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48.796875" style="97" customWidth="1"/>
    <col min="3" max="3" width="16.796875" style="2" customWidth="1"/>
    <col min="4" max="4" width="16.796875" style="8" customWidth="1"/>
    <col min="5" max="5" width="18.19921875" style="8" customWidth="1"/>
    <col min="6" max="16384" width="11.3984375" style="2"/>
  </cols>
  <sheetData>
    <row r="1" spans="1:5" s="1" customFormat="1" ht="14" customHeight="1">
      <c r="B1" s="169"/>
      <c r="D1" s="175"/>
      <c r="E1" s="175"/>
    </row>
    <row r="2" spans="1:5" s="1" customFormat="1" ht="28" customHeight="1">
      <c r="A2" s="58" t="s">
        <v>634</v>
      </c>
      <c r="B2" s="169"/>
      <c r="D2" s="175"/>
      <c r="E2" s="58">
        <v>2006</v>
      </c>
    </row>
    <row r="3" spans="1:5" ht="39" customHeight="1">
      <c r="A3" s="113" t="s">
        <v>1004</v>
      </c>
      <c r="B3" s="113"/>
      <c r="C3" s="114" t="s">
        <v>1005</v>
      </c>
      <c r="D3" s="177" t="s">
        <v>1006</v>
      </c>
      <c r="E3" s="313" t="s">
        <v>1951</v>
      </c>
    </row>
    <row r="4" spans="1:5" ht="39" customHeight="1">
      <c r="A4" s="314"/>
      <c r="B4" s="315"/>
      <c r="C4" s="123" t="s">
        <v>1007</v>
      </c>
      <c r="D4" s="183" t="s">
        <v>1007</v>
      </c>
      <c r="E4" s="316" t="s">
        <v>1007</v>
      </c>
    </row>
    <row r="5" spans="1:5" ht="30" customHeight="1" thickBot="1">
      <c r="A5" s="125">
        <v>61</v>
      </c>
      <c r="B5" s="125" t="s">
        <v>1008</v>
      </c>
      <c r="C5" s="270">
        <v>8396771874.8500004</v>
      </c>
      <c r="D5" s="271">
        <v>394489040.62</v>
      </c>
      <c r="E5" s="317">
        <v>8791260915.4699993</v>
      </c>
    </row>
    <row r="6" spans="1:5" ht="19.5" customHeight="1" thickBot="1">
      <c r="A6" s="130">
        <v>64</v>
      </c>
      <c r="B6" s="130" t="s">
        <v>1009</v>
      </c>
      <c r="C6" s="147">
        <v>-34315135.119999997</v>
      </c>
      <c r="D6" s="204">
        <v>-1634336.41</v>
      </c>
      <c r="E6" s="255">
        <v>-35949471.530000001</v>
      </c>
    </row>
    <row r="7" spans="1:5" ht="19.5" customHeight="1" thickBot="1">
      <c r="A7" s="130">
        <v>65</v>
      </c>
      <c r="B7" s="130" t="s">
        <v>1010</v>
      </c>
      <c r="C7" s="147">
        <v>2168032.7799999998</v>
      </c>
      <c r="D7" s="204">
        <v>83282.59</v>
      </c>
      <c r="E7" s="255">
        <v>2251315.37</v>
      </c>
    </row>
    <row r="8" spans="1:5" ht="27" customHeight="1" thickBot="1">
      <c r="A8" s="131" t="s">
        <v>1011</v>
      </c>
      <c r="B8" s="131" t="s">
        <v>1012</v>
      </c>
      <c r="C8" s="318">
        <v>8364624772.4899998</v>
      </c>
      <c r="D8" s="319">
        <v>392937986.81</v>
      </c>
      <c r="E8" s="149">
        <v>8757562759.2999992</v>
      </c>
    </row>
    <row r="9" spans="1:5" ht="19.5" customHeight="1" thickBot="1">
      <c r="A9" s="130">
        <v>66</v>
      </c>
      <c r="B9" s="130" t="s">
        <v>1013</v>
      </c>
      <c r="C9" s="147">
        <v>-31203223.719999999</v>
      </c>
      <c r="D9" s="204">
        <v>-1415598.74</v>
      </c>
      <c r="E9" s="255">
        <v>-32618822.460000001</v>
      </c>
    </row>
    <row r="10" spans="1:5" ht="27" customHeight="1" thickBot="1">
      <c r="A10" s="131" t="s">
        <v>1014</v>
      </c>
      <c r="B10" s="131" t="s">
        <v>1015</v>
      </c>
      <c r="C10" s="318">
        <v>8333421548.7799997</v>
      </c>
      <c r="D10" s="319">
        <v>391522388.05000001</v>
      </c>
      <c r="E10" s="149">
        <v>8724943936.8299999</v>
      </c>
    </row>
    <row r="11" spans="1:5" ht="19.5" customHeight="1" thickBot="1">
      <c r="A11" s="130">
        <v>67</v>
      </c>
      <c r="B11" s="130" t="s">
        <v>1016</v>
      </c>
      <c r="C11" s="147">
        <v>866078895.53999996</v>
      </c>
      <c r="D11" s="204">
        <v>38703619.07</v>
      </c>
      <c r="E11" s="255">
        <v>904782514.61000001</v>
      </c>
    </row>
    <row r="12" spans="1:5" ht="19.5" customHeight="1" thickBot="1">
      <c r="A12" s="130">
        <v>68</v>
      </c>
      <c r="B12" s="130" t="s">
        <v>1017</v>
      </c>
      <c r="C12" s="147">
        <v>-862385823.48000002</v>
      </c>
      <c r="D12" s="204">
        <v>-38234257.229999997</v>
      </c>
      <c r="E12" s="255">
        <v>-900620080.71000004</v>
      </c>
    </row>
    <row r="13" spans="1:5" ht="19.5" customHeight="1" thickBot="1">
      <c r="A13" s="130">
        <v>69</v>
      </c>
      <c r="B13" s="130" t="s">
        <v>1018</v>
      </c>
      <c r="C13" s="147">
        <v>33059928.940000001</v>
      </c>
      <c r="D13" s="204">
        <v>1411647.41</v>
      </c>
      <c r="E13" s="255">
        <v>34471576.350000001</v>
      </c>
    </row>
    <row r="14" spans="1:5" ht="27" customHeight="1" thickBot="1">
      <c r="A14" s="131">
        <v>6</v>
      </c>
      <c r="B14" s="131" t="s">
        <v>1019</v>
      </c>
      <c r="C14" s="318">
        <v>8370174549.79</v>
      </c>
      <c r="D14" s="319">
        <v>393403397.27999997</v>
      </c>
      <c r="E14" s="149">
        <v>8763577947.0699997</v>
      </c>
    </row>
    <row r="15" spans="1:5" ht="20" customHeight="1" thickBot="1">
      <c r="A15" s="130">
        <v>31</v>
      </c>
      <c r="B15" s="130" t="s">
        <v>1020</v>
      </c>
      <c r="C15" s="147">
        <v>11743337770.860001</v>
      </c>
      <c r="D15" s="204">
        <v>414310924.98000002</v>
      </c>
      <c r="E15" s="255">
        <v>12157648695.84</v>
      </c>
    </row>
    <row r="16" spans="1:5" ht="20" customHeight="1" thickBot="1">
      <c r="A16" s="130">
        <v>32</v>
      </c>
      <c r="B16" s="130" t="s">
        <v>1021</v>
      </c>
      <c r="C16" s="147">
        <v>-1238857297.97</v>
      </c>
      <c r="D16" s="204">
        <v>-36486305</v>
      </c>
      <c r="E16" s="255">
        <v>-1275343602.97</v>
      </c>
    </row>
    <row r="17" spans="1:5" ht="27" customHeight="1" thickBot="1">
      <c r="A17" s="131" t="s">
        <v>1022</v>
      </c>
      <c r="B17" s="131" t="s">
        <v>1023</v>
      </c>
      <c r="C17" s="318">
        <v>10504480472.870001</v>
      </c>
      <c r="D17" s="319">
        <v>377824619.98000002</v>
      </c>
      <c r="E17" s="149">
        <v>10882305092.85</v>
      </c>
    </row>
    <row r="18" spans="1:5" ht="20" customHeight="1" thickBot="1">
      <c r="A18" s="130">
        <v>34</v>
      </c>
      <c r="B18" s="130" t="s">
        <v>1024</v>
      </c>
      <c r="C18" s="147">
        <v>23406762.530000001</v>
      </c>
      <c r="D18" s="204">
        <v>-42212.19</v>
      </c>
      <c r="E18" s="255">
        <v>23364550.34</v>
      </c>
    </row>
    <row r="19" spans="1:5" ht="20" customHeight="1" thickBot="1">
      <c r="A19" s="130">
        <v>35</v>
      </c>
      <c r="B19" s="130" t="s">
        <v>1025</v>
      </c>
      <c r="C19" s="147">
        <v>130212043.34999999</v>
      </c>
      <c r="D19" s="204">
        <v>4615858.1100000003</v>
      </c>
      <c r="E19" s="255">
        <v>134827901.46000001</v>
      </c>
    </row>
    <row r="20" spans="1:5" ht="27" customHeight="1" thickBot="1">
      <c r="A20" s="131" t="s">
        <v>1026</v>
      </c>
      <c r="B20" s="131" t="s">
        <v>1027</v>
      </c>
      <c r="C20" s="318">
        <v>10658099278.76</v>
      </c>
      <c r="D20" s="319">
        <v>382398265.88999999</v>
      </c>
      <c r="E20" s="149">
        <v>11040497544.65</v>
      </c>
    </row>
    <row r="21" spans="1:5" ht="19.5" customHeight="1" thickBot="1">
      <c r="A21" s="130">
        <v>36</v>
      </c>
      <c r="B21" s="130" t="s">
        <v>1028</v>
      </c>
      <c r="C21" s="147">
        <v>-38019271.899999999</v>
      </c>
      <c r="D21" s="204">
        <v>-1185513.97</v>
      </c>
      <c r="E21" s="255">
        <v>-39204785.869999997</v>
      </c>
    </row>
    <row r="22" spans="1:5" ht="19.5" customHeight="1" thickBot="1">
      <c r="A22" s="130">
        <v>37</v>
      </c>
      <c r="B22" s="130" t="s">
        <v>1029</v>
      </c>
      <c r="C22" s="147">
        <v>-1062204854.36</v>
      </c>
      <c r="D22" s="204">
        <v>-76435438.090000004</v>
      </c>
      <c r="E22" s="255">
        <v>-1138640292.45</v>
      </c>
    </row>
    <row r="23" spans="1:5" ht="27" customHeight="1" thickBot="1">
      <c r="A23" s="131">
        <v>3</v>
      </c>
      <c r="B23" s="131" t="s">
        <v>1030</v>
      </c>
      <c r="C23" s="318">
        <v>9557875152.4500008</v>
      </c>
      <c r="D23" s="319">
        <v>304777313.85000002</v>
      </c>
      <c r="E23" s="149">
        <v>9862652466.2999992</v>
      </c>
    </row>
    <row r="24" spans="1:5" ht="20" customHeight="1" thickBot="1">
      <c r="A24" s="130" t="s">
        <v>1031</v>
      </c>
      <c r="B24" s="130" t="s">
        <v>1032</v>
      </c>
      <c r="C24" s="147">
        <v>444317044.49000001</v>
      </c>
      <c r="D24" s="204">
        <v>21569239.82</v>
      </c>
      <c r="E24" s="255">
        <v>465886284.31</v>
      </c>
    </row>
    <row r="25" spans="1:5" ht="20" customHeight="1" thickBot="1">
      <c r="A25" s="130">
        <v>48</v>
      </c>
      <c r="B25" s="130" t="s">
        <v>1033</v>
      </c>
      <c r="C25" s="147">
        <v>40062655.329999998</v>
      </c>
      <c r="D25" s="204">
        <v>2389172.38</v>
      </c>
      <c r="E25" s="255">
        <v>42451827.710000001</v>
      </c>
    </row>
    <row r="26" spans="1:5" ht="20" customHeight="1" thickBot="1">
      <c r="A26" s="130">
        <v>49</v>
      </c>
      <c r="B26" s="130" t="s">
        <v>1034</v>
      </c>
      <c r="C26" s="147">
        <v>-284009.63</v>
      </c>
      <c r="D26" s="204">
        <v>-21857.11</v>
      </c>
      <c r="E26" s="255">
        <v>-305866.74</v>
      </c>
    </row>
    <row r="27" spans="1:5" ht="27" customHeight="1" thickBot="1">
      <c r="A27" s="131">
        <v>4</v>
      </c>
      <c r="B27" s="131" t="s">
        <v>1035</v>
      </c>
      <c r="C27" s="318">
        <v>484095690.17000002</v>
      </c>
      <c r="D27" s="319">
        <v>23936555.07</v>
      </c>
      <c r="E27" s="149">
        <v>508032245.24000001</v>
      </c>
    </row>
    <row r="28" spans="1:5" ht="27" customHeight="1" thickBot="1">
      <c r="A28" s="131" t="s">
        <v>1036</v>
      </c>
      <c r="B28" s="131" t="s">
        <v>1037</v>
      </c>
      <c r="C28" s="318">
        <v>10041970842.65</v>
      </c>
      <c r="D28" s="319">
        <v>328713868.91000003</v>
      </c>
      <c r="E28" s="149">
        <v>10370684711.559999</v>
      </c>
    </row>
    <row r="29" spans="1:5" ht="27" customHeight="1" thickBot="1">
      <c r="A29" s="131"/>
      <c r="B29" s="131" t="s">
        <v>1038</v>
      </c>
      <c r="C29" s="318">
        <v>-1671796292.8900001</v>
      </c>
      <c r="D29" s="319">
        <v>64689528.359999999</v>
      </c>
      <c r="E29" s="149">
        <v>-1607106764.53</v>
      </c>
    </row>
    <row r="30" spans="1:5" ht="27" customHeight="1" thickBot="1">
      <c r="A30" s="131">
        <v>7</v>
      </c>
      <c r="B30" s="131" t="s">
        <v>1039</v>
      </c>
      <c r="C30" s="318">
        <v>56717106.469999999</v>
      </c>
      <c r="D30" s="319">
        <v>3400179.23</v>
      </c>
      <c r="E30" s="149">
        <v>60117285.700000003</v>
      </c>
    </row>
    <row r="31" spans="1:5" ht="34.5" customHeight="1" thickBot="1">
      <c r="A31" s="320"/>
      <c r="B31" s="320" t="s">
        <v>1040</v>
      </c>
      <c r="C31" s="321">
        <v>-1615079186.4200001</v>
      </c>
      <c r="D31" s="322">
        <v>68089707.599999994</v>
      </c>
      <c r="E31" s="323">
        <v>-1546989478.8199999</v>
      </c>
    </row>
    <row r="32" spans="1:5" ht="19.5" customHeight="1">
      <c r="A32" s="2" t="s">
        <v>452</v>
      </c>
    </row>
    <row r="33" spans="1:1" ht="14.25" customHeight="1"/>
    <row r="34" spans="1:1" ht="19.5" customHeight="1">
      <c r="A34" s="2" t="s">
        <v>632</v>
      </c>
    </row>
    <row r="36" spans="1:1">
      <c r="A36" s="2" t="s">
        <v>633</v>
      </c>
    </row>
    <row r="39" spans="1:1">
      <c r="A39" s="2" t="s">
        <v>1955</v>
      </c>
    </row>
  </sheetData>
  <phoneticPr fontId="0" type="noConversion"/>
  <pageMargins left="0.64" right="0.7" top="0.94" bottom="0.49" header="0.57999999999999996" footer="0.4921259845"/>
  <pageSetup paperSize="9" scale="82" orientation="portrait" horizontalDpi="1200" verticalDpi="12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0690-EA28-FA47-9552-2D7A3D9BE491}">
  <sheetPr>
    <pageSetUpPr fitToPage="1"/>
  </sheetPr>
  <dimension ref="A1:E39"/>
  <sheetViews>
    <sheetView topLeftCell="A20"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50.19921875" style="97" customWidth="1"/>
    <col min="3" max="3" width="16.796875" style="2" customWidth="1"/>
    <col min="4" max="4" width="16.796875" style="8" customWidth="1"/>
    <col min="5" max="5" width="17.3984375" style="8" customWidth="1"/>
    <col min="6" max="16384" width="11.3984375" style="2"/>
  </cols>
  <sheetData>
    <row r="1" spans="1:5" s="1" customFormat="1" ht="14" customHeight="1">
      <c r="B1" s="169"/>
      <c r="D1" s="175"/>
      <c r="E1" s="175"/>
    </row>
    <row r="2" spans="1:5" s="1" customFormat="1" ht="28" customHeight="1">
      <c r="A2" s="58" t="s">
        <v>636</v>
      </c>
      <c r="B2" s="169"/>
      <c r="D2" s="175"/>
      <c r="E2" s="58">
        <v>2006</v>
      </c>
    </row>
    <row r="3" spans="1:5" ht="39" customHeight="1">
      <c r="A3" s="113" t="s">
        <v>1004</v>
      </c>
      <c r="B3" s="113"/>
      <c r="C3" s="114" t="s">
        <v>1005</v>
      </c>
      <c r="D3" s="177" t="s">
        <v>1006</v>
      </c>
      <c r="E3" s="142" t="s">
        <v>1951</v>
      </c>
    </row>
    <row r="4" spans="1:5" ht="39" customHeight="1">
      <c r="A4" s="314"/>
      <c r="B4" s="315"/>
      <c r="C4" s="123" t="s">
        <v>1007</v>
      </c>
      <c r="D4" s="183" t="s">
        <v>1007</v>
      </c>
      <c r="E4" s="144" t="s">
        <v>1007</v>
      </c>
    </row>
    <row r="5" spans="1:5" ht="30" customHeight="1" thickBot="1">
      <c r="A5" s="125">
        <v>61</v>
      </c>
      <c r="B5" s="125" t="s">
        <v>1008</v>
      </c>
      <c r="C5" s="270">
        <v>7418210082.8100004</v>
      </c>
      <c r="D5" s="271">
        <v>253791936.19999999</v>
      </c>
      <c r="E5" s="317">
        <v>7672002019.0100002</v>
      </c>
    </row>
    <row r="6" spans="1:5" ht="20" customHeight="1" thickBot="1">
      <c r="A6" s="130">
        <v>64</v>
      </c>
      <c r="B6" s="130" t="s">
        <v>1009</v>
      </c>
      <c r="C6" s="147">
        <v>-31834074.890000001</v>
      </c>
      <c r="D6" s="204">
        <v>-1155683.74</v>
      </c>
      <c r="E6" s="255">
        <v>-32989758.629999999</v>
      </c>
    </row>
    <row r="7" spans="1:5" ht="20" customHeight="1" thickBot="1">
      <c r="A7" s="130">
        <v>65</v>
      </c>
      <c r="B7" s="130" t="s">
        <v>1010</v>
      </c>
      <c r="C7" s="147">
        <v>252621.77</v>
      </c>
      <c r="D7" s="204">
        <v>-15566.17</v>
      </c>
      <c r="E7" s="255">
        <v>237055.6</v>
      </c>
    </row>
    <row r="8" spans="1:5" ht="27" customHeight="1" thickBot="1">
      <c r="A8" s="131" t="s">
        <v>1011</v>
      </c>
      <c r="B8" s="131" t="s">
        <v>1012</v>
      </c>
      <c r="C8" s="318">
        <v>7386628629.6800003</v>
      </c>
      <c r="D8" s="319">
        <v>252620686.31</v>
      </c>
      <c r="E8" s="149">
        <v>7639249315.9899998</v>
      </c>
    </row>
    <row r="9" spans="1:5" ht="20" customHeight="1" thickBot="1">
      <c r="A9" s="130">
        <v>66</v>
      </c>
      <c r="B9" s="130" t="s">
        <v>1013</v>
      </c>
      <c r="C9" s="147">
        <v>-20489575.300000001</v>
      </c>
      <c r="D9" s="204">
        <v>-700002.23</v>
      </c>
      <c r="E9" s="255">
        <v>-21189577.530000001</v>
      </c>
    </row>
    <row r="10" spans="1:5" ht="27" customHeight="1" thickBot="1">
      <c r="A10" s="131" t="s">
        <v>1014</v>
      </c>
      <c r="B10" s="131" t="s">
        <v>1015</v>
      </c>
      <c r="C10" s="318">
        <v>7366139054.3800001</v>
      </c>
      <c r="D10" s="319">
        <v>251920684.08000001</v>
      </c>
      <c r="E10" s="149">
        <v>7618059738.46</v>
      </c>
    </row>
    <row r="11" spans="1:5" ht="20" customHeight="1" thickBot="1">
      <c r="A11" s="130">
        <v>67</v>
      </c>
      <c r="B11" s="130" t="s">
        <v>1016</v>
      </c>
      <c r="C11" s="147">
        <v>482242632.91000003</v>
      </c>
      <c r="D11" s="204">
        <v>15183967.560000001</v>
      </c>
      <c r="E11" s="255">
        <v>497426600.47000003</v>
      </c>
    </row>
    <row r="12" spans="1:5" ht="20" customHeight="1" thickBot="1">
      <c r="A12" s="130">
        <v>68</v>
      </c>
      <c r="B12" s="130" t="s">
        <v>1017</v>
      </c>
      <c r="C12" s="147">
        <v>-485250858.02999997</v>
      </c>
      <c r="D12" s="204">
        <v>-15258395.439999999</v>
      </c>
      <c r="E12" s="255">
        <v>-500509253.47000003</v>
      </c>
    </row>
    <row r="13" spans="1:5" ht="20" customHeight="1" thickBot="1">
      <c r="A13" s="130">
        <v>69</v>
      </c>
      <c r="B13" s="130" t="s">
        <v>1018</v>
      </c>
      <c r="C13" s="147">
        <v>47870497.329999998</v>
      </c>
      <c r="D13" s="204">
        <v>1415869.15</v>
      </c>
      <c r="E13" s="255">
        <v>49286366.479999997</v>
      </c>
    </row>
    <row r="14" spans="1:5" ht="27" customHeight="1" thickBot="1">
      <c r="A14" s="131">
        <v>6</v>
      </c>
      <c r="B14" s="131" t="s">
        <v>1019</v>
      </c>
      <c r="C14" s="318">
        <v>7411001326.6400003</v>
      </c>
      <c r="D14" s="319">
        <v>253262125.34</v>
      </c>
      <c r="E14" s="149">
        <v>7664263451.9799995</v>
      </c>
    </row>
    <row r="15" spans="1:5" ht="20" customHeight="1" thickBot="1">
      <c r="A15" s="130">
        <v>31</v>
      </c>
      <c r="B15" s="130" t="s">
        <v>1020</v>
      </c>
      <c r="C15" s="147">
        <v>5963604022.3100004</v>
      </c>
      <c r="D15" s="204">
        <v>187755151.66999999</v>
      </c>
      <c r="E15" s="255">
        <v>6151359173.9799995</v>
      </c>
    </row>
    <row r="16" spans="1:5" ht="20" customHeight="1" thickBot="1">
      <c r="A16" s="130">
        <v>32</v>
      </c>
      <c r="B16" s="130" t="s">
        <v>1021</v>
      </c>
      <c r="C16" s="147">
        <v>-1294252123.01</v>
      </c>
      <c r="D16" s="204">
        <v>-37767288.579999998</v>
      </c>
      <c r="E16" s="255">
        <v>-1332019411.5899999</v>
      </c>
    </row>
    <row r="17" spans="1:5" ht="27" customHeight="1" thickBot="1">
      <c r="A17" s="131" t="s">
        <v>1022</v>
      </c>
      <c r="B17" s="131" t="s">
        <v>1023</v>
      </c>
      <c r="C17" s="318">
        <v>4669351899.2799997</v>
      </c>
      <c r="D17" s="319">
        <v>149987863.12</v>
      </c>
      <c r="E17" s="149">
        <v>4819339762.3999996</v>
      </c>
    </row>
    <row r="18" spans="1:5" ht="20" customHeight="1" thickBot="1">
      <c r="A18" s="130">
        <v>34</v>
      </c>
      <c r="B18" s="130" t="s">
        <v>1024</v>
      </c>
      <c r="C18" s="147">
        <v>10551477.210000001</v>
      </c>
      <c r="D18" s="204">
        <v>128228.76</v>
      </c>
      <c r="E18" s="255">
        <v>10679705.970000001</v>
      </c>
    </row>
    <row r="19" spans="1:5" ht="20" customHeight="1" thickBot="1">
      <c r="A19" s="130">
        <v>35</v>
      </c>
      <c r="B19" s="130" t="s">
        <v>1025</v>
      </c>
      <c r="C19" s="147">
        <v>46677414.950000003</v>
      </c>
      <c r="D19" s="204">
        <v>1701214.39</v>
      </c>
      <c r="E19" s="255">
        <v>48378629.340000004</v>
      </c>
    </row>
    <row r="20" spans="1:5" ht="27" customHeight="1" thickBot="1">
      <c r="A20" s="131" t="s">
        <v>1026</v>
      </c>
      <c r="B20" s="131" t="s">
        <v>1027</v>
      </c>
      <c r="C20" s="318">
        <v>4726580791.4399996</v>
      </c>
      <c r="D20" s="319">
        <v>151817306.25</v>
      </c>
      <c r="E20" s="149">
        <v>4878398097.6899996</v>
      </c>
    </row>
    <row r="21" spans="1:5" ht="20" customHeight="1" thickBot="1">
      <c r="A21" s="130">
        <v>36</v>
      </c>
      <c r="B21" s="130" t="s">
        <v>1028</v>
      </c>
      <c r="C21" s="147">
        <v>-17261672.079999998</v>
      </c>
      <c r="D21" s="204">
        <v>-623966.43000000005</v>
      </c>
      <c r="E21" s="255">
        <v>-17885638.510000002</v>
      </c>
    </row>
    <row r="22" spans="1:5" ht="20" customHeight="1" thickBot="1">
      <c r="A22" s="130">
        <v>37</v>
      </c>
      <c r="B22" s="130" t="s">
        <v>1029</v>
      </c>
      <c r="C22" s="147">
        <v>801429725.97000003</v>
      </c>
      <c r="D22" s="204">
        <v>-8193926.8300000001</v>
      </c>
      <c r="E22" s="255">
        <v>793235799.13999999</v>
      </c>
    </row>
    <row r="23" spans="1:5" ht="27" customHeight="1" thickBot="1">
      <c r="A23" s="131">
        <v>3</v>
      </c>
      <c r="B23" s="131" t="s">
        <v>1030</v>
      </c>
      <c r="C23" s="318">
        <v>5510748845.3199997</v>
      </c>
      <c r="D23" s="319">
        <v>142999412.96000001</v>
      </c>
      <c r="E23" s="149">
        <v>5653748258.2799997</v>
      </c>
    </row>
    <row r="24" spans="1:5" ht="20" customHeight="1" thickBot="1">
      <c r="A24" s="130" t="s">
        <v>1031</v>
      </c>
      <c r="B24" s="130" t="s">
        <v>1032</v>
      </c>
      <c r="C24" s="147">
        <v>371702749.32999998</v>
      </c>
      <c r="D24" s="204">
        <v>13332545.550000001</v>
      </c>
      <c r="E24" s="255">
        <v>385035294.88</v>
      </c>
    </row>
    <row r="25" spans="1:5" ht="20" customHeight="1" thickBot="1">
      <c r="A25" s="130">
        <v>48</v>
      </c>
      <c r="B25" s="130" t="s">
        <v>1033</v>
      </c>
      <c r="C25" s="147">
        <v>27137646.059999999</v>
      </c>
      <c r="D25" s="204">
        <v>1247748.28</v>
      </c>
      <c r="E25" s="255">
        <v>28385394.34</v>
      </c>
    </row>
    <row r="26" spans="1:5" ht="20" customHeight="1" thickBot="1">
      <c r="A26" s="130">
        <v>49</v>
      </c>
      <c r="B26" s="130" t="s">
        <v>1034</v>
      </c>
      <c r="C26" s="147">
        <v>-228860.43</v>
      </c>
      <c r="D26" s="204">
        <v>-12478.57</v>
      </c>
      <c r="E26" s="255">
        <v>-241339</v>
      </c>
    </row>
    <row r="27" spans="1:5" ht="27" customHeight="1" thickBot="1">
      <c r="A27" s="131">
        <v>4</v>
      </c>
      <c r="B27" s="131" t="s">
        <v>1035</v>
      </c>
      <c r="C27" s="318">
        <v>398611534.94999999</v>
      </c>
      <c r="D27" s="319">
        <v>14567815.27</v>
      </c>
      <c r="E27" s="149">
        <v>413179350.22000003</v>
      </c>
    </row>
    <row r="28" spans="1:5" ht="27" customHeight="1" thickBot="1">
      <c r="A28" s="131" t="s">
        <v>1036</v>
      </c>
      <c r="B28" s="131" t="s">
        <v>1037</v>
      </c>
      <c r="C28" s="318">
        <v>5909360380.2299995</v>
      </c>
      <c r="D28" s="319">
        <v>157567228.24000001</v>
      </c>
      <c r="E28" s="149">
        <v>6066927608.4700003</v>
      </c>
    </row>
    <row r="29" spans="1:5" ht="27" customHeight="1" thickBot="1">
      <c r="A29" s="131"/>
      <c r="B29" s="131" t="s">
        <v>1038</v>
      </c>
      <c r="C29" s="318">
        <v>1501640946.3699999</v>
      </c>
      <c r="D29" s="319">
        <v>95694897.109999999</v>
      </c>
      <c r="E29" s="149">
        <v>1597335843.48</v>
      </c>
    </row>
    <row r="30" spans="1:5" ht="27" customHeight="1" thickBot="1">
      <c r="A30" s="131">
        <v>7</v>
      </c>
      <c r="B30" s="131" t="s">
        <v>1039</v>
      </c>
      <c r="C30" s="318">
        <v>53106118.329999998</v>
      </c>
      <c r="D30" s="319">
        <v>2036750.31</v>
      </c>
      <c r="E30" s="149">
        <v>55142868.640000001</v>
      </c>
    </row>
    <row r="31" spans="1:5" ht="34.5" customHeight="1" thickBot="1">
      <c r="A31" s="320"/>
      <c r="B31" s="320" t="s">
        <v>1040</v>
      </c>
      <c r="C31" s="321">
        <v>1554747064.71</v>
      </c>
      <c r="D31" s="322">
        <v>97731647.430000007</v>
      </c>
      <c r="E31" s="323">
        <v>1652478712.1400001</v>
      </c>
    </row>
    <row r="32" spans="1:5" ht="19.5" customHeight="1">
      <c r="A32" s="2" t="s">
        <v>452</v>
      </c>
    </row>
    <row r="34" spans="1:1">
      <c r="A34" s="2" t="s">
        <v>632</v>
      </c>
    </row>
    <row r="36" spans="1:1">
      <c r="A36" s="2" t="s">
        <v>635</v>
      </c>
    </row>
    <row r="39" spans="1:1">
      <c r="A39" s="2" t="s">
        <v>1955</v>
      </c>
    </row>
  </sheetData>
  <phoneticPr fontId="0" type="noConversion"/>
  <pageMargins left="0.59" right="0.66" top="1.01" bottom="0.49" header="0.61" footer="0.4921259845"/>
  <pageSetup paperSize="9" scale="82" orientation="portrait" horizontalDpi="4294967292" verticalDpi="429496729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BDFA-4164-534B-A271-A311AA76FC70}">
  <sheetPr>
    <pageSetUpPr fitToPage="1"/>
  </sheetPr>
  <dimension ref="A1:E39"/>
  <sheetViews>
    <sheetView topLeftCell="A31"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52.19921875" style="97" customWidth="1"/>
    <col min="3" max="3" width="16.796875" style="2" customWidth="1"/>
    <col min="4" max="5" width="16.796875" style="8" customWidth="1"/>
    <col min="6" max="16384" width="11.3984375" style="2"/>
  </cols>
  <sheetData>
    <row r="1" spans="1:5" s="1" customFormat="1" ht="14" customHeight="1">
      <c r="B1" s="169"/>
      <c r="D1" s="175"/>
      <c r="E1" s="175"/>
    </row>
    <row r="2" spans="1:5" s="1" customFormat="1" ht="28" customHeight="1">
      <c r="A2" s="58" t="s">
        <v>638</v>
      </c>
      <c r="B2" s="169"/>
      <c r="D2" s="175"/>
      <c r="E2" s="58">
        <v>2006</v>
      </c>
    </row>
    <row r="3" spans="1:5" ht="39" customHeight="1">
      <c r="A3" s="113" t="s">
        <v>1004</v>
      </c>
      <c r="B3" s="113"/>
      <c r="C3" s="114" t="s">
        <v>1005</v>
      </c>
      <c r="D3" s="177" t="s">
        <v>1006</v>
      </c>
      <c r="E3" s="313" t="s">
        <v>1951</v>
      </c>
    </row>
    <row r="4" spans="1:5" ht="39" customHeight="1">
      <c r="A4" s="314"/>
      <c r="B4" s="315"/>
      <c r="C4" s="123" t="s">
        <v>1007</v>
      </c>
      <c r="D4" s="183" t="s">
        <v>1007</v>
      </c>
      <c r="E4" s="316" t="s">
        <v>1007</v>
      </c>
    </row>
    <row r="5" spans="1:5" ht="30" customHeight="1" thickBot="1">
      <c r="A5" s="125">
        <v>61</v>
      </c>
      <c r="B5" s="125" t="s">
        <v>1008</v>
      </c>
      <c r="C5" s="270">
        <v>16496856.449999999</v>
      </c>
      <c r="D5" s="271">
        <v>469933.42</v>
      </c>
      <c r="E5" s="317">
        <v>16966789.870000001</v>
      </c>
    </row>
    <row r="6" spans="1:5" ht="20" customHeight="1" thickBot="1">
      <c r="A6" s="130">
        <v>64</v>
      </c>
      <c r="B6" s="130" t="s">
        <v>1009</v>
      </c>
      <c r="C6" s="147">
        <v>-42488.69</v>
      </c>
      <c r="D6" s="204">
        <v>-1205.54</v>
      </c>
      <c r="E6" s="255">
        <v>-43694.23</v>
      </c>
    </row>
    <row r="7" spans="1:5" ht="20" customHeight="1" thickBot="1">
      <c r="A7" s="130">
        <v>65</v>
      </c>
      <c r="B7" s="130" t="s">
        <v>1010</v>
      </c>
      <c r="C7" s="147">
        <v>1454.54</v>
      </c>
      <c r="D7" s="204">
        <v>38.29</v>
      </c>
      <c r="E7" s="255">
        <v>1492.83</v>
      </c>
    </row>
    <row r="8" spans="1:5" ht="26.25" customHeight="1" thickBot="1">
      <c r="A8" s="131" t="s">
        <v>1011</v>
      </c>
      <c r="B8" s="131" t="s">
        <v>1012</v>
      </c>
      <c r="C8" s="318">
        <v>16455822.289999999</v>
      </c>
      <c r="D8" s="319">
        <v>468766.18</v>
      </c>
      <c r="E8" s="149">
        <v>16924588.469999999</v>
      </c>
    </row>
    <row r="9" spans="1:5" ht="20" customHeight="1" thickBot="1">
      <c r="A9" s="130">
        <v>66</v>
      </c>
      <c r="B9" s="130" t="s">
        <v>1013</v>
      </c>
      <c r="C9" s="147">
        <v>0</v>
      </c>
      <c r="D9" s="204">
        <v>0</v>
      </c>
      <c r="E9" s="255">
        <v>0</v>
      </c>
    </row>
    <row r="10" spans="1:5" ht="27" customHeight="1" thickBot="1">
      <c r="A10" s="131" t="s">
        <v>1014</v>
      </c>
      <c r="B10" s="131" t="s">
        <v>1015</v>
      </c>
      <c r="C10" s="318">
        <v>16455822.289999999</v>
      </c>
      <c r="D10" s="319">
        <v>468766.18</v>
      </c>
      <c r="E10" s="149">
        <v>16924588.469999999</v>
      </c>
    </row>
    <row r="11" spans="1:5" ht="20" customHeight="1" thickBot="1">
      <c r="A11" s="130">
        <v>67</v>
      </c>
      <c r="B11" s="130" t="s">
        <v>1016</v>
      </c>
      <c r="C11" s="147">
        <v>477545.07</v>
      </c>
      <c r="D11" s="204">
        <v>14090.04</v>
      </c>
      <c r="E11" s="255">
        <v>491635.11</v>
      </c>
    </row>
    <row r="12" spans="1:5" ht="20" customHeight="1" thickBot="1">
      <c r="A12" s="130">
        <v>68</v>
      </c>
      <c r="B12" s="130" t="s">
        <v>1017</v>
      </c>
      <c r="C12" s="147">
        <v>-494150.26</v>
      </c>
      <c r="D12" s="204">
        <v>-14566.88</v>
      </c>
      <c r="E12" s="255">
        <v>-508717.14</v>
      </c>
    </row>
    <row r="13" spans="1:5" ht="20" customHeight="1" thickBot="1">
      <c r="A13" s="130">
        <v>69</v>
      </c>
      <c r="B13" s="130" t="s">
        <v>1018</v>
      </c>
      <c r="C13" s="147">
        <v>153942.34</v>
      </c>
      <c r="D13" s="204">
        <v>3910.77</v>
      </c>
      <c r="E13" s="255">
        <v>157853.10999999999</v>
      </c>
    </row>
    <row r="14" spans="1:5" ht="27" customHeight="1" thickBot="1">
      <c r="A14" s="131">
        <v>6</v>
      </c>
      <c r="B14" s="131" t="s">
        <v>1019</v>
      </c>
      <c r="C14" s="318">
        <v>16593159.439999999</v>
      </c>
      <c r="D14" s="319">
        <v>472200.1</v>
      </c>
      <c r="E14" s="149">
        <v>17065359.539999999</v>
      </c>
    </row>
    <row r="15" spans="1:5" ht="20" customHeight="1" thickBot="1">
      <c r="A15" s="130">
        <v>31</v>
      </c>
      <c r="B15" s="130" t="s">
        <v>1020</v>
      </c>
      <c r="C15" s="147">
        <v>8481171.9100000001</v>
      </c>
      <c r="D15" s="204">
        <v>371775.01</v>
      </c>
      <c r="E15" s="255">
        <v>8852946.9199999999</v>
      </c>
    </row>
    <row r="16" spans="1:5" ht="20" customHeight="1" thickBot="1">
      <c r="A16" s="130">
        <v>32</v>
      </c>
      <c r="B16" s="130" t="s">
        <v>1021</v>
      </c>
      <c r="C16" s="147">
        <v>-1194893.0900000001</v>
      </c>
      <c r="D16" s="204">
        <v>-53030.69</v>
      </c>
      <c r="E16" s="255">
        <v>-1247923.78</v>
      </c>
    </row>
    <row r="17" spans="1:5" ht="27" customHeight="1" thickBot="1">
      <c r="A17" s="131" t="s">
        <v>1022</v>
      </c>
      <c r="B17" s="131" t="s">
        <v>1023</v>
      </c>
      <c r="C17" s="318">
        <v>7286278.8200000003</v>
      </c>
      <c r="D17" s="319">
        <v>318744.31</v>
      </c>
      <c r="E17" s="149">
        <v>7605023.1299999999</v>
      </c>
    </row>
    <row r="18" spans="1:5" ht="20" customHeight="1" thickBot="1">
      <c r="A18" s="130">
        <v>34</v>
      </c>
      <c r="B18" s="130" t="s">
        <v>1024</v>
      </c>
      <c r="C18" s="147">
        <v>5035.42</v>
      </c>
      <c r="D18" s="204">
        <v>167.14</v>
      </c>
      <c r="E18" s="255">
        <v>5202.5600000000004</v>
      </c>
    </row>
    <row r="19" spans="1:5" ht="20" customHeight="1" thickBot="1">
      <c r="A19" s="130">
        <v>35</v>
      </c>
      <c r="B19" s="130" t="s">
        <v>1025</v>
      </c>
      <c r="C19" s="147">
        <v>247091.36</v>
      </c>
      <c r="D19" s="204">
        <v>11560.32</v>
      </c>
      <c r="E19" s="255">
        <v>258651.68</v>
      </c>
    </row>
    <row r="20" spans="1:5" ht="27" customHeight="1" thickBot="1">
      <c r="A20" s="131" t="s">
        <v>1026</v>
      </c>
      <c r="B20" s="131" t="s">
        <v>1027</v>
      </c>
      <c r="C20" s="318">
        <v>7538405.5999999996</v>
      </c>
      <c r="D20" s="319">
        <v>330471.77</v>
      </c>
      <c r="E20" s="149">
        <v>7868877.3700000001</v>
      </c>
    </row>
    <row r="21" spans="1:5" ht="20" customHeight="1" thickBot="1">
      <c r="A21" s="130">
        <v>36</v>
      </c>
      <c r="B21" s="130" t="s">
        <v>1028</v>
      </c>
      <c r="C21" s="147">
        <v>0</v>
      </c>
      <c r="D21" s="204">
        <v>0</v>
      </c>
      <c r="E21" s="255">
        <v>0</v>
      </c>
    </row>
    <row r="22" spans="1:5" ht="20" customHeight="1" thickBot="1">
      <c r="A22" s="130">
        <v>37</v>
      </c>
      <c r="B22" s="130" t="s">
        <v>1029</v>
      </c>
      <c r="C22" s="147">
        <v>3467593.8</v>
      </c>
      <c r="D22" s="204">
        <v>139177.60999999999</v>
      </c>
      <c r="E22" s="255">
        <v>3606771.41</v>
      </c>
    </row>
    <row r="23" spans="1:5" ht="26.25" customHeight="1" thickBot="1">
      <c r="A23" s="131">
        <v>3</v>
      </c>
      <c r="B23" s="131" t="s">
        <v>1030</v>
      </c>
      <c r="C23" s="318">
        <v>11005999.4</v>
      </c>
      <c r="D23" s="319">
        <v>469649.37</v>
      </c>
      <c r="E23" s="149">
        <v>11475648.77</v>
      </c>
    </row>
    <row r="24" spans="1:5" ht="20" customHeight="1" thickBot="1">
      <c r="A24" s="130" t="s">
        <v>1031</v>
      </c>
      <c r="B24" s="130" t="s">
        <v>1032</v>
      </c>
      <c r="C24" s="147">
        <v>664761.65</v>
      </c>
      <c r="D24" s="204">
        <v>22423.17</v>
      </c>
      <c r="E24" s="255">
        <v>687184.82</v>
      </c>
    </row>
    <row r="25" spans="1:5" ht="20" customHeight="1" thickBot="1">
      <c r="A25" s="130">
        <v>48</v>
      </c>
      <c r="B25" s="130" t="s">
        <v>1033</v>
      </c>
      <c r="C25" s="147">
        <v>131097.28</v>
      </c>
      <c r="D25" s="204">
        <v>4138.03</v>
      </c>
      <c r="E25" s="255">
        <v>135235.31</v>
      </c>
    </row>
    <row r="26" spans="1:5" ht="20" customHeight="1" thickBot="1">
      <c r="A26" s="130">
        <v>49</v>
      </c>
      <c r="B26" s="130" t="s">
        <v>1034</v>
      </c>
      <c r="C26" s="147">
        <v>-2721.51</v>
      </c>
      <c r="D26" s="204">
        <v>-90.9</v>
      </c>
      <c r="E26" s="255">
        <v>-2812.41</v>
      </c>
    </row>
    <row r="27" spans="1:5" ht="27" customHeight="1" thickBot="1">
      <c r="A27" s="131">
        <v>4</v>
      </c>
      <c r="B27" s="131" t="s">
        <v>1035</v>
      </c>
      <c r="C27" s="318">
        <v>793137.41</v>
      </c>
      <c r="D27" s="319">
        <v>26470.3</v>
      </c>
      <c r="E27" s="149">
        <v>819607.71</v>
      </c>
    </row>
    <row r="28" spans="1:5" ht="27" customHeight="1" thickBot="1">
      <c r="A28" s="131" t="s">
        <v>1036</v>
      </c>
      <c r="B28" s="131" t="s">
        <v>1037</v>
      </c>
      <c r="C28" s="318">
        <v>11799136.82</v>
      </c>
      <c r="D28" s="319">
        <v>496119.67</v>
      </c>
      <c r="E28" s="149">
        <v>12295256.49</v>
      </c>
    </row>
    <row r="29" spans="1:5" ht="27" customHeight="1" thickBot="1">
      <c r="A29" s="131"/>
      <c r="B29" s="131" t="s">
        <v>1038</v>
      </c>
      <c r="C29" s="318">
        <v>4794022.62</v>
      </c>
      <c r="D29" s="319">
        <v>-23919.58</v>
      </c>
      <c r="E29" s="149">
        <v>4770103.04</v>
      </c>
    </row>
    <row r="30" spans="1:5" ht="27" customHeight="1" thickBot="1">
      <c r="A30" s="131">
        <v>7</v>
      </c>
      <c r="B30" s="131" t="s">
        <v>1039</v>
      </c>
      <c r="C30" s="318">
        <v>59182.35</v>
      </c>
      <c r="D30" s="319">
        <v>2473.5500000000002</v>
      </c>
      <c r="E30" s="149">
        <v>61655.9</v>
      </c>
    </row>
    <row r="31" spans="1:5" ht="34.5" customHeight="1" thickBot="1">
      <c r="A31" s="320"/>
      <c r="B31" s="320" t="s">
        <v>1040</v>
      </c>
      <c r="C31" s="321">
        <v>4853204.97</v>
      </c>
      <c r="D31" s="322">
        <v>-21446.03</v>
      </c>
      <c r="E31" s="323">
        <v>4831758.9400000004</v>
      </c>
    </row>
    <row r="32" spans="1:5" ht="20.25" customHeight="1">
      <c r="A32" s="2" t="s">
        <v>452</v>
      </c>
    </row>
    <row r="34" spans="1:1">
      <c r="A34" s="2" t="s">
        <v>632</v>
      </c>
    </row>
    <row r="36" spans="1:1">
      <c r="A36" s="2" t="s">
        <v>637</v>
      </c>
    </row>
    <row r="39" spans="1:1">
      <c r="A39" s="2" t="s">
        <v>1955</v>
      </c>
    </row>
  </sheetData>
  <phoneticPr fontId="0" type="noConversion"/>
  <pageMargins left="0.64" right="0.7" top="0.9" bottom="0.49" header="0.51" footer="0.4921259845"/>
  <pageSetup paperSize="9" scale="80" orientation="portrait" horizontalDpi="4294967292" verticalDpi="429496729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52D0-EFFB-E048-A52C-5CE255A67326}">
  <sheetPr>
    <pageSetUpPr fitToPage="1"/>
  </sheetPr>
  <dimension ref="A1:E39"/>
  <sheetViews>
    <sheetView topLeftCell="A31"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48.796875" style="97" customWidth="1"/>
    <col min="3" max="3" width="16.796875" style="2" customWidth="1"/>
    <col min="4" max="5" width="16.796875" style="8" customWidth="1"/>
    <col min="6" max="16384" width="11.3984375" style="2"/>
  </cols>
  <sheetData>
    <row r="1" spans="1:5" s="1" customFormat="1" ht="14" customHeight="1">
      <c r="B1" s="169"/>
      <c r="D1" s="175"/>
      <c r="E1" s="175"/>
    </row>
    <row r="2" spans="1:5" s="1" customFormat="1" ht="42" customHeight="1">
      <c r="A2" s="1695" t="s">
        <v>640</v>
      </c>
      <c r="B2" s="1696"/>
      <c r="C2" s="1696"/>
      <c r="D2" s="1696"/>
      <c r="E2" s="58">
        <v>2006</v>
      </c>
    </row>
    <row r="3" spans="1:5" ht="39" customHeight="1">
      <c r="A3" s="113" t="s">
        <v>1004</v>
      </c>
      <c r="B3" s="113"/>
      <c r="C3" s="114" t="s">
        <v>1005</v>
      </c>
      <c r="D3" s="177" t="s">
        <v>1006</v>
      </c>
      <c r="E3" s="313" t="s">
        <v>1951</v>
      </c>
    </row>
    <row r="4" spans="1:5" ht="39" customHeight="1">
      <c r="A4" s="314"/>
      <c r="B4" s="315"/>
      <c r="C4" s="123" t="s">
        <v>1007</v>
      </c>
      <c r="D4" s="183" t="s">
        <v>1007</v>
      </c>
      <c r="E4" s="316" t="s">
        <v>1007</v>
      </c>
    </row>
    <row r="5" spans="1:5" ht="30" customHeight="1" thickBot="1">
      <c r="A5" s="125">
        <v>61</v>
      </c>
      <c r="B5" s="125" t="s">
        <v>1008</v>
      </c>
      <c r="C5" s="270">
        <v>2743548092.1399999</v>
      </c>
      <c r="D5" s="271">
        <v>90910356.200000003</v>
      </c>
      <c r="E5" s="317">
        <v>2834458448.3400002</v>
      </c>
    </row>
    <row r="6" spans="1:5" ht="20" customHeight="1" thickBot="1">
      <c r="A6" s="130">
        <v>64</v>
      </c>
      <c r="B6" s="130" t="s">
        <v>1009</v>
      </c>
      <c r="C6" s="147">
        <v>-13203599</v>
      </c>
      <c r="D6" s="204">
        <v>-429067.13</v>
      </c>
      <c r="E6" s="255">
        <v>-13632666.130000001</v>
      </c>
    </row>
    <row r="7" spans="1:5" ht="20" customHeight="1" thickBot="1">
      <c r="A7" s="130">
        <v>65</v>
      </c>
      <c r="B7" s="130" t="s">
        <v>1010</v>
      </c>
      <c r="C7" s="147">
        <v>285923.24</v>
      </c>
      <c r="D7" s="204">
        <v>10015.92</v>
      </c>
      <c r="E7" s="255">
        <v>295939.15999999997</v>
      </c>
    </row>
    <row r="8" spans="1:5" ht="27" customHeight="1" thickBot="1">
      <c r="A8" s="131" t="s">
        <v>1011</v>
      </c>
      <c r="B8" s="131" t="s">
        <v>1012</v>
      </c>
      <c r="C8" s="318">
        <v>2730630416.3699999</v>
      </c>
      <c r="D8" s="319">
        <v>90491305.010000005</v>
      </c>
      <c r="E8" s="149">
        <v>2821121721.3800001</v>
      </c>
    </row>
    <row r="9" spans="1:5" ht="20" customHeight="1" thickBot="1">
      <c r="A9" s="130">
        <v>66</v>
      </c>
      <c r="B9" s="130" t="s">
        <v>1013</v>
      </c>
      <c r="C9" s="147">
        <v>-2079200.89</v>
      </c>
      <c r="D9" s="204">
        <v>-74503.06</v>
      </c>
      <c r="E9" s="255">
        <v>-2153703.9500000002</v>
      </c>
    </row>
    <row r="10" spans="1:5" ht="30" customHeight="1" thickBot="1">
      <c r="A10" s="131" t="s">
        <v>1014</v>
      </c>
      <c r="B10" s="131" t="s">
        <v>1015</v>
      </c>
      <c r="C10" s="318">
        <v>2728551215.4699998</v>
      </c>
      <c r="D10" s="319">
        <v>90416801.939999998</v>
      </c>
      <c r="E10" s="149">
        <v>2818968017.4099998</v>
      </c>
    </row>
    <row r="11" spans="1:5" ht="20" customHeight="1" thickBot="1">
      <c r="A11" s="130">
        <v>67</v>
      </c>
      <c r="B11" s="130" t="s">
        <v>1016</v>
      </c>
      <c r="C11" s="147">
        <v>170497226.06</v>
      </c>
      <c r="D11" s="204">
        <v>5558043.4299999997</v>
      </c>
      <c r="E11" s="255">
        <v>176055269.49000001</v>
      </c>
    </row>
    <row r="12" spans="1:5" ht="20" customHeight="1" thickBot="1">
      <c r="A12" s="130">
        <v>68</v>
      </c>
      <c r="B12" s="130" t="s">
        <v>1017</v>
      </c>
      <c r="C12" s="147">
        <v>-168159478.30000001</v>
      </c>
      <c r="D12" s="204">
        <v>-5443881.4699999997</v>
      </c>
      <c r="E12" s="255">
        <v>-173603359.77000001</v>
      </c>
    </row>
    <row r="13" spans="1:5" ht="20" customHeight="1" thickBot="1">
      <c r="A13" s="130">
        <v>69</v>
      </c>
      <c r="B13" s="130" t="s">
        <v>1018</v>
      </c>
      <c r="C13" s="147">
        <v>8826663.4199999999</v>
      </c>
      <c r="D13" s="204">
        <v>251834.84</v>
      </c>
      <c r="E13" s="255">
        <v>9078498.2599999998</v>
      </c>
    </row>
    <row r="14" spans="1:5" ht="27" customHeight="1" thickBot="1">
      <c r="A14" s="131">
        <v>6</v>
      </c>
      <c r="B14" s="131" t="s">
        <v>1019</v>
      </c>
      <c r="C14" s="318">
        <v>2739715626.6500001</v>
      </c>
      <c r="D14" s="319">
        <v>90782798.730000004</v>
      </c>
      <c r="E14" s="149">
        <v>2830498425.3800001</v>
      </c>
    </row>
    <row r="15" spans="1:5" ht="20" customHeight="1" thickBot="1">
      <c r="A15" s="130">
        <v>31</v>
      </c>
      <c r="B15" s="130" t="s">
        <v>1020</v>
      </c>
      <c r="C15" s="147">
        <v>2198381416.1100001</v>
      </c>
      <c r="D15" s="204">
        <v>86384688.709999993</v>
      </c>
      <c r="E15" s="255">
        <v>2284766104.8200002</v>
      </c>
    </row>
    <row r="16" spans="1:5" ht="20" customHeight="1" thickBot="1">
      <c r="A16" s="130">
        <v>32</v>
      </c>
      <c r="B16" s="130" t="s">
        <v>1021</v>
      </c>
      <c r="C16" s="147">
        <v>-416683828.87</v>
      </c>
      <c r="D16" s="204">
        <v>-13416551.51</v>
      </c>
      <c r="E16" s="255">
        <v>-430100380.38</v>
      </c>
    </row>
    <row r="17" spans="1:5" ht="27" customHeight="1" thickBot="1">
      <c r="A17" s="131" t="s">
        <v>1022</v>
      </c>
      <c r="B17" s="131" t="s">
        <v>1023</v>
      </c>
      <c r="C17" s="318">
        <v>1781697587.23</v>
      </c>
      <c r="D17" s="319">
        <v>72968137.180000007</v>
      </c>
      <c r="E17" s="149">
        <v>1854665724.4100001</v>
      </c>
    </row>
    <row r="18" spans="1:5" ht="20" customHeight="1" thickBot="1">
      <c r="A18" s="130">
        <v>34</v>
      </c>
      <c r="B18" s="130" t="s">
        <v>1024</v>
      </c>
      <c r="C18" s="147">
        <v>15976516.869999999</v>
      </c>
      <c r="D18" s="204">
        <v>399340.03</v>
      </c>
      <c r="E18" s="255">
        <v>16375856.9</v>
      </c>
    </row>
    <row r="19" spans="1:5" ht="20" customHeight="1" thickBot="1">
      <c r="A19" s="130">
        <v>35</v>
      </c>
      <c r="B19" s="130" t="s">
        <v>1025</v>
      </c>
      <c r="C19" s="147">
        <v>112384266.36</v>
      </c>
      <c r="D19" s="204">
        <v>4487794.67</v>
      </c>
      <c r="E19" s="255">
        <v>116872061.03</v>
      </c>
    </row>
    <row r="20" spans="1:5" ht="27" customHeight="1" thickBot="1">
      <c r="A20" s="131" t="s">
        <v>1026</v>
      </c>
      <c r="B20" s="131" t="s">
        <v>1027</v>
      </c>
      <c r="C20" s="318">
        <v>1910058370.45</v>
      </c>
      <c r="D20" s="319">
        <v>77855271.909999996</v>
      </c>
      <c r="E20" s="149">
        <v>1987913642.3599999</v>
      </c>
    </row>
    <row r="21" spans="1:5" ht="20" customHeight="1" thickBot="1">
      <c r="A21" s="130">
        <v>36</v>
      </c>
      <c r="B21" s="130" t="s">
        <v>1028</v>
      </c>
      <c r="C21" s="147">
        <v>-2050241.98</v>
      </c>
      <c r="D21" s="204">
        <v>-64074.96</v>
      </c>
      <c r="E21" s="255">
        <v>-2114316.94</v>
      </c>
    </row>
    <row r="22" spans="1:5" ht="20" customHeight="1" thickBot="1">
      <c r="A22" s="130">
        <v>37</v>
      </c>
      <c r="B22" s="130" t="s">
        <v>1029</v>
      </c>
      <c r="C22" s="147">
        <v>318071213.79000002</v>
      </c>
      <c r="D22" s="204">
        <v>9609257.4900000002</v>
      </c>
      <c r="E22" s="255">
        <v>327680471.27999997</v>
      </c>
    </row>
    <row r="23" spans="1:5" ht="27" customHeight="1" thickBot="1">
      <c r="A23" s="131">
        <v>3</v>
      </c>
      <c r="B23" s="131" t="s">
        <v>1030</v>
      </c>
      <c r="C23" s="318">
        <v>2226079342.2600002</v>
      </c>
      <c r="D23" s="319">
        <v>87400454.430000007</v>
      </c>
      <c r="E23" s="149">
        <v>2313479796.6900001</v>
      </c>
    </row>
    <row r="24" spans="1:5" ht="20" customHeight="1" thickBot="1">
      <c r="A24" s="130" t="s">
        <v>1031</v>
      </c>
      <c r="B24" s="130" t="s">
        <v>1032</v>
      </c>
      <c r="C24" s="147">
        <v>137620084.75</v>
      </c>
      <c r="D24" s="204">
        <v>4566926.0199999996</v>
      </c>
      <c r="E24" s="255">
        <v>142187010.77000001</v>
      </c>
    </row>
    <row r="25" spans="1:5" ht="20" customHeight="1" thickBot="1">
      <c r="A25" s="130">
        <v>48</v>
      </c>
      <c r="B25" s="130" t="s">
        <v>1033</v>
      </c>
      <c r="C25" s="147">
        <v>12698670.99</v>
      </c>
      <c r="D25" s="204">
        <v>485877.62</v>
      </c>
      <c r="E25" s="255">
        <v>13184548.609999999</v>
      </c>
    </row>
    <row r="26" spans="1:5" ht="20" customHeight="1" thickBot="1">
      <c r="A26" s="130">
        <v>49</v>
      </c>
      <c r="B26" s="130" t="s">
        <v>1034</v>
      </c>
      <c r="C26" s="147">
        <v>-99341.18</v>
      </c>
      <c r="D26" s="204">
        <v>-5242.88</v>
      </c>
      <c r="E26" s="255">
        <v>-104584.06</v>
      </c>
    </row>
    <row r="27" spans="1:5" ht="27" customHeight="1" thickBot="1">
      <c r="A27" s="131">
        <v>4</v>
      </c>
      <c r="B27" s="131" t="s">
        <v>1035</v>
      </c>
      <c r="C27" s="318">
        <v>150219414.55000001</v>
      </c>
      <c r="D27" s="319">
        <v>5047560.7699999996</v>
      </c>
      <c r="E27" s="149">
        <v>155266975.31999999</v>
      </c>
    </row>
    <row r="28" spans="1:5" ht="27" customHeight="1" thickBot="1">
      <c r="A28" s="131" t="s">
        <v>1036</v>
      </c>
      <c r="B28" s="131" t="s">
        <v>1037</v>
      </c>
      <c r="C28" s="318">
        <v>2376298756.8499999</v>
      </c>
      <c r="D28" s="319">
        <v>92448015.209999993</v>
      </c>
      <c r="E28" s="149">
        <v>2468746772.0599999</v>
      </c>
    </row>
    <row r="29" spans="1:5" ht="27" customHeight="1" thickBot="1">
      <c r="A29" s="131"/>
      <c r="B29" s="131" t="s">
        <v>1038</v>
      </c>
      <c r="C29" s="318">
        <v>363416869.82999998</v>
      </c>
      <c r="D29" s="319">
        <v>-1665216.48</v>
      </c>
      <c r="E29" s="149">
        <v>361751653.35000002</v>
      </c>
    </row>
    <row r="30" spans="1:5" ht="27" customHeight="1" thickBot="1">
      <c r="A30" s="131">
        <v>7</v>
      </c>
      <c r="B30" s="131" t="s">
        <v>1039</v>
      </c>
      <c r="C30" s="318">
        <v>18302015.75</v>
      </c>
      <c r="D30" s="319">
        <v>575291.13</v>
      </c>
      <c r="E30" s="149">
        <v>18877306.879999999</v>
      </c>
    </row>
    <row r="31" spans="1:5" ht="34.5" customHeight="1" thickBot="1">
      <c r="A31" s="320"/>
      <c r="B31" s="320" t="s">
        <v>1040</v>
      </c>
      <c r="C31" s="321">
        <v>381718885.56</v>
      </c>
      <c r="D31" s="322">
        <v>-1089925.3500000001</v>
      </c>
      <c r="E31" s="323">
        <v>380628960.20999998</v>
      </c>
    </row>
    <row r="32" spans="1:5" ht="18.75" customHeight="1">
      <c r="A32" s="2" t="s">
        <v>452</v>
      </c>
    </row>
    <row r="34" spans="1:1">
      <c r="A34" s="2" t="s">
        <v>632</v>
      </c>
    </row>
    <row r="36" spans="1:1">
      <c r="A36" s="2" t="s">
        <v>639</v>
      </c>
    </row>
    <row r="39" spans="1:1">
      <c r="A39" s="2" t="s">
        <v>1955</v>
      </c>
    </row>
  </sheetData>
  <mergeCells count="1">
    <mergeCell ref="A2:D2"/>
  </mergeCells>
  <phoneticPr fontId="0" type="noConversion"/>
  <pageMargins left="0.64" right="0.56000000000000005" top="0.96" bottom="0.49" header="0.53" footer="0.4921259845"/>
  <pageSetup paperSize="9" scale="84" orientation="portrait" horizontalDpi="4294967292" verticalDpi="429496729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C5EC-9A73-ED45-BFA1-DC921E23586B}">
  <sheetPr>
    <pageSetUpPr fitToPage="1"/>
  </sheetPr>
  <dimension ref="A1:E48"/>
  <sheetViews>
    <sheetView topLeftCell="A32" zoomScale="75" workbookViewId="0">
      <selection activeCell="A41" sqref="A41"/>
    </sheetView>
  </sheetViews>
  <sheetFormatPr baseColWidth="10" defaultColWidth="11.3984375" defaultRowHeight="13"/>
  <cols>
    <col min="1" max="1" width="8.796875" style="2" customWidth="1"/>
    <col min="2" max="2" width="48.796875" style="97" customWidth="1"/>
    <col min="3" max="3" width="16.796875" style="2" customWidth="1"/>
    <col min="4" max="4" width="16.796875" style="8" customWidth="1"/>
    <col min="5" max="5" width="16.796875" style="344" customWidth="1"/>
    <col min="6" max="16384" width="11.3984375" style="2"/>
  </cols>
  <sheetData>
    <row r="1" spans="1:5" s="1" customFormat="1" ht="54.75" customHeight="1">
      <c r="A1" s="1697" t="s">
        <v>652</v>
      </c>
      <c r="B1" s="1698"/>
      <c r="C1" s="1698"/>
      <c r="D1" s="1698"/>
      <c r="E1" s="58">
        <v>2006</v>
      </c>
    </row>
    <row r="2" spans="1:5" s="1" customFormat="1" ht="10.5" customHeight="1">
      <c r="A2" s="258"/>
      <c r="B2" s="258"/>
      <c r="C2" s="258"/>
      <c r="D2" s="258"/>
      <c r="E2" s="258"/>
    </row>
    <row r="3" spans="1:5" ht="39" customHeight="1">
      <c r="A3" s="328" t="s">
        <v>1004</v>
      </c>
      <c r="B3" s="170"/>
      <c r="C3" s="114" t="s">
        <v>1005</v>
      </c>
      <c r="D3" s="177" t="s">
        <v>1006</v>
      </c>
      <c r="E3" s="313" t="s">
        <v>1951</v>
      </c>
    </row>
    <row r="4" spans="1:5" ht="25.5" customHeight="1">
      <c r="A4" s="314"/>
      <c r="B4" s="315"/>
      <c r="C4" s="123" t="s">
        <v>1007</v>
      </c>
      <c r="D4" s="183" t="s">
        <v>1007</v>
      </c>
      <c r="E4" s="316" t="s">
        <v>1007</v>
      </c>
    </row>
    <row r="5" spans="1:5" ht="30" customHeight="1" thickBot="1">
      <c r="A5" s="125">
        <v>61.1</v>
      </c>
      <c r="B5" s="125" t="s">
        <v>641</v>
      </c>
      <c r="C5" s="145">
        <v>63343598.079999998</v>
      </c>
      <c r="D5" s="198">
        <v>1660251</v>
      </c>
      <c r="E5" s="329">
        <v>65003849.079999998</v>
      </c>
    </row>
    <row r="6" spans="1:5" ht="22.5" customHeight="1" thickBot="1">
      <c r="A6" s="330">
        <v>61.2</v>
      </c>
      <c r="B6" s="330" t="s">
        <v>642</v>
      </c>
      <c r="C6" s="145">
        <v>4265101.8899999997</v>
      </c>
      <c r="D6" s="198">
        <v>198435.63</v>
      </c>
      <c r="E6" s="329">
        <v>4463537.5199999996</v>
      </c>
    </row>
    <row r="7" spans="1:5" ht="20" customHeight="1" thickBot="1">
      <c r="A7" s="130">
        <v>64</v>
      </c>
      <c r="B7" s="130" t="s">
        <v>1009</v>
      </c>
      <c r="C7" s="145">
        <v>-353735.24</v>
      </c>
      <c r="D7" s="198">
        <v>-11822.74</v>
      </c>
      <c r="E7" s="329">
        <v>-365557.98</v>
      </c>
    </row>
    <row r="8" spans="1:5" ht="20" customHeight="1" thickBot="1">
      <c r="A8" s="130">
        <v>65</v>
      </c>
      <c r="B8" s="130" t="s">
        <v>1010</v>
      </c>
      <c r="C8" s="145">
        <v>37834.25</v>
      </c>
      <c r="D8" s="198">
        <v>2198.77</v>
      </c>
      <c r="E8" s="329">
        <v>40033.019999999997</v>
      </c>
    </row>
    <row r="9" spans="1:5" ht="27" customHeight="1" thickBot="1">
      <c r="A9" s="131" t="s">
        <v>1011</v>
      </c>
      <c r="B9" s="131" t="s">
        <v>1012</v>
      </c>
      <c r="C9" s="145">
        <v>67292798.980000004</v>
      </c>
      <c r="D9" s="198">
        <v>1849062.65</v>
      </c>
      <c r="E9" s="329">
        <v>69141861.629999995</v>
      </c>
    </row>
    <row r="10" spans="1:5" ht="20" customHeight="1" thickBot="1">
      <c r="A10" s="130">
        <v>66</v>
      </c>
      <c r="B10" s="130" t="s">
        <v>1013</v>
      </c>
      <c r="C10" s="145">
        <v>-29387.279999999999</v>
      </c>
      <c r="D10" s="198">
        <v>-569.45000000000005</v>
      </c>
      <c r="E10" s="329">
        <v>-29956.73</v>
      </c>
    </row>
    <row r="11" spans="1:5" ht="27" customHeight="1" thickBot="1">
      <c r="A11" s="131" t="s">
        <v>1014</v>
      </c>
      <c r="B11" s="131" t="s">
        <v>1015</v>
      </c>
      <c r="C11" s="145">
        <v>67263411.709999993</v>
      </c>
      <c r="D11" s="198">
        <v>1848493.2</v>
      </c>
      <c r="E11" s="329">
        <v>69111904.909999996</v>
      </c>
    </row>
    <row r="12" spans="1:5" ht="21" customHeight="1" thickBot="1">
      <c r="A12" s="130">
        <v>67</v>
      </c>
      <c r="B12" s="130" t="s">
        <v>1016</v>
      </c>
      <c r="C12" s="145">
        <v>1000578.57</v>
      </c>
      <c r="D12" s="198">
        <v>34317.19</v>
      </c>
      <c r="E12" s="329">
        <v>1034895.76</v>
      </c>
    </row>
    <row r="13" spans="1:5" ht="21" customHeight="1" thickBot="1">
      <c r="A13" s="130">
        <v>68</v>
      </c>
      <c r="B13" s="130" t="s">
        <v>1017</v>
      </c>
      <c r="C13" s="145">
        <v>-1584411.63</v>
      </c>
      <c r="D13" s="198">
        <v>-43018.43</v>
      </c>
      <c r="E13" s="329">
        <v>-1627430.06</v>
      </c>
    </row>
    <row r="14" spans="1:5" ht="21" customHeight="1" thickBot="1">
      <c r="A14" s="130">
        <v>69</v>
      </c>
      <c r="B14" s="130" t="s">
        <v>1018</v>
      </c>
      <c r="C14" s="145">
        <v>41162.97</v>
      </c>
      <c r="D14" s="198">
        <v>1441.22</v>
      </c>
      <c r="E14" s="329">
        <v>42604.19</v>
      </c>
    </row>
    <row r="15" spans="1:5" ht="27" customHeight="1" thickBot="1">
      <c r="A15" s="131">
        <v>6</v>
      </c>
      <c r="B15" s="131" t="s">
        <v>1019</v>
      </c>
      <c r="C15" s="145">
        <v>66720741.619999997</v>
      </c>
      <c r="D15" s="198">
        <v>1841233.2</v>
      </c>
      <c r="E15" s="329">
        <v>68561974.819999993</v>
      </c>
    </row>
    <row r="16" spans="1:5" ht="20" customHeight="1" thickBot="1">
      <c r="A16" s="130">
        <v>31.1</v>
      </c>
      <c r="B16" s="130" t="s">
        <v>643</v>
      </c>
      <c r="C16" s="145">
        <v>46356907.979999997</v>
      </c>
      <c r="D16" s="198">
        <v>1013460.09</v>
      </c>
      <c r="E16" s="329">
        <v>47370368.07</v>
      </c>
    </row>
    <row r="17" spans="1:5" ht="20" customHeight="1" thickBot="1">
      <c r="A17" s="130">
        <v>31.2</v>
      </c>
      <c r="B17" s="130" t="s">
        <v>644</v>
      </c>
      <c r="C17" s="145">
        <v>2093132.94</v>
      </c>
      <c r="D17" s="198">
        <v>70419.23</v>
      </c>
      <c r="E17" s="329">
        <v>2163552.17</v>
      </c>
    </row>
    <row r="18" spans="1:5" ht="20" customHeight="1" thickBot="1">
      <c r="A18" s="130">
        <v>32</v>
      </c>
      <c r="B18" s="130" t="s">
        <v>1021</v>
      </c>
      <c r="C18" s="145">
        <v>-3639057.04</v>
      </c>
      <c r="D18" s="198">
        <v>-66887.759999999995</v>
      </c>
      <c r="E18" s="329">
        <v>-3705944.8</v>
      </c>
    </row>
    <row r="19" spans="1:5" ht="27" customHeight="1" thickBot="1">
      <c r="A19" s="131" t="s">
        <v>1022</v>
      </c>
      <c r="B19" s="131" t="s">
        <v>1023</v>
      </c>
      <c r="C19" s="145">
        <v>44810983.880000003</v>
      </c>
      <c r="D19" s="198">
        <v>1016991.56</v>
      </c>
      <c r="E19" s="329">
        <v>45827975.439999998</v>
      </c>
    </row>
    <row r="20" spans="1:5" ht="20" customHeight="1" thickBot="1">
      <c r="A20" s="130">
        <v>34</v>
      </c>
      <c r="B20" s="130" t="s">
        <v>1024</v>
      </c>
      <c r="C20" s="145">
        <v>56900.72</v>
      </c>
      <c r="D20" s="198">
        <v>1896.24</v>
      </c>
      <c r="E20" s="329">
        <v>58796.959999999999</v>
      </c>
    </row>
    <row r="21" spans="1:5" ht="20" customHeight="1" thickBot="1">
      <c r="A21" s="130">
        <v>35</v>
      </c>
      <c r="B21" s="130" t="s">
        <v>1025</v>
      </c>
      <c r="C21" s="145">
        <v>8807657.0299999993</v>
      </c>
      <c r="D21" s="198">
        <v>189196.37</v>
      </c>
      <c r="E21" s="329">
        <v>8996853.4000000004</v>
      </c>
    </row>
    <row r="22" spans="1:5" ht="20" customHeight="1" thickBot="1">
      <c r="A22" s="130">
        <v>35.1</v>
      </c>
      <c r="B22" s="130" t="s">
        <v>645</v>
      </c>
      <c r="C22" s="145">
        <v>291400.59000000003</v>
      </c>
      <c r="D22" s="198">
        <v>28474.52</v>
      </c>
      <c r="E22" s="329">
        <v>319875.11</v>
      </c>
    </row>
    <row r="23" spans="1:5" ht="27" customHeight="1" thickBot="1">
      <c r="A23" s="131" t="s">
        <v>1026</v>
      </c>
      <c r="B23" s="131" t="s">
        <v>1027</v>
      </c>
      <c r="C23" s="145">
        <v>53966942.229999997</v>
      </c>
      <c r="D23" s="198">
        <v>1236558.67</v>
      </c>
      <c r="E23" s="329">
        <v>55203500.899999999</v>
      </c>
    </row>
    <row r="24" spans="1:5" ht="20" customHeight="1" thickBot="1">
      <c r="A24" s="130">
        <v>36</v>
      </c>
      <c r="B24" s="130" t="s">
        <v>1028</v>
      </c>
      <c r="C24" s="145">
        <v>-42862.42</v>
      </c>
      <c r="D24" s="198">
        <v>-752.31</v>
      </c>
      <c r="E24" s="329">
        <v>-43614.73</v>
      </c>
    </row>
    <row r="25" spans="1:5" ht="20" customHeight="1" thickBot="1">
      <c r="A25" s="130">
        <v>37</v>
      </c>
      <c r="B25" s="130" t="s">
        <v>1029</v>
      </c>
      <c r="C25" s="145">
        <v>9714470.8100000005</v>
      </c>
      <c r="D25" s="198">
        <v>201143.21</v>
      </c>
      <c r="E25" s="329">
        <v>9915614.0199999996</v>
      </c>
    </row>
    <row r="26" spans="1:5" ht="27" customHeight="1" thickBot="1">
      <c r="A26" s="131">
        <v>3</v>
      </c>
      <c r="B26" s="131" t="s">
        <v>1030</v>
      </c>
      <c r="C26" s="145">
        <v>63638550.590000004</v>
      </c>
      <c r="D26" s="198">
        <v>1436949.59</v>
      </c>
      <c r="E26" s="329">
        <v>65075500.18</v>
      </c>
    </row>
    <row r="27" spans="1:5" ht="20" customHeight="1" thickBot="1">
      <c r="A27" s="130" t="s">
        <v>1031</v>
      </c>
      <c r="B27" s="130" t="s">
        <v>1032</v>
      </c>
      <c r="C27" s="145">
        <v>3764294.89</v>
      </c>
      <c r="D27" s="198">
        <v>100930.03</v>
      </c>
      <c r="E27" s="329">
        <v>3865224.92</v>
      </c>
    </row>
    <row r="28" spans="1:5" ht="20" customHeight="1" thickBot="1">
      <c r="A28" s="130">
        <v>48</v>
      </c>
      <c r="B28" s="130" t="s">
        <v>1033</v>
      </c>
      <c r="C28" s="145">
        <v>747267.22</v>
      </c>
      <c r="D28" s="198">
        <v>14711.91</v>
      </c>
      <c r="E28" s="329">
        <v>761979.13</v>
      </c>
    </row>
    <row r="29" spans="1:5" ht="20" customHeight="1" thickBot="1">
      <c r="A29" s="130">
        <v>49</v>
      </c>
      <c r="B29" s="130" t="s">
        <v>1034</v>
      </c>
      <c r="C29" s="145">
        <v>-16981.77</v>
      </c>
      <c r="D29" s="198">
        <v>-276.01</v>
      </c>
      <c r="E29" s="329">
        <v>-17257.78</v>
      </c>
    </row>
    <row r="30" spans="1:5" ht="27" customHeight="1" thickBot="1">
      <c r="A30" s="131">
        <v>4</v>
      </c>
      <c r="B30" s="131" t="s">
        <v>1035</v>
      </c>
      <c r="C30" s="145">
        <v>4494580.3099999996</v>
      </c>
      <c r="D30" s="198">
        <v>115365.92</v>
      </c>
      <c r="E30" s="329">
        <v>4609946.2300000004</v>
      </c>
    </row>
    <row r="31" spans="1:5" ht="27" customHeight="1" thickBot="1">
      <c r="A31" s="131" t="s">
        <v>1036</v>
      </c>
      <c r="B31" s="131" t="s">
        <v>1037</v>
      </c>
      <c r="C31" s="145">
        <v>68133130.900000006</v>
      </c>
      <c r="D31" s="198">
        <v>1552315.52</v>
      </c>
      <c r="E31" s="329">
        <v>69685446.420000002</v>
      </c>
    </row>
    <row r="32" spans="1:5" ht="27" customHeight="1" thickBot="1">
      <c r="A32" s="131"/>
      <c r="B32" s="131" t="s">
        <v>1038</v>
      </c>
      <c r="C32" s="147">
        <v>-1412389.31</v>
      </c>
      <c r="D32" s="204">
        <v>288917.68</v>
      </c>
      <c r="E32" s="255">
        <v>-1123471.6299999999</v>
      </c>
    </row>
    <row r="33" spans="1:5" ht="27" customHeight="1" thickBot="1">
      <c r="A33" s="131">
        <v>7</v>
      </c>
      <c r="B33" s="131" t="s">
        <v>1039</v>
      </c>
      <c r="C33" s="147">
        <v>168598.57</v>
      </c>
      <c r="D33" s="204">
        <v>7169.05</v>
      </c>
      <c r="E33" s="255">
        <v>175767.62</v>
      </c>
    </row>
    <row r="34" spans="1:5" ht="27.75" customHeight="1" thickBot="1">
      <c r="A34" s="331"/>
      <c r="B34" s="331" t="s">
        <v>1040</v>
      </c>
      <c r="C34" s="332">
        <v>-1243790.72</v>
      </c>
      <c r="D34" s="333">
        <v>296086.74</v>
      </c>
      <c r="E34" s="334">
        <v>-947703.98</v>
      </c>
    </row>
    <row r="35" spans="1:5" ht="22.5" customHeight="1">
      <c r="A35" s="335"/>
      <c r="B35" s="335"/>
      <c r="C35" s="336"/>
      <c r="D35" s="336"/>
      <c r="E35" s="337"/>
    </row>
    <row r="36" spans="1:5" ht="24" customHeight="1">
      <c r="A36" s="338" t="s">
        <v>653</v>
      </c>
      <c r="B36" s="339"/>
      <c r="C36" s="339"/>
      <c r="D36" s="339"/>
      <c r="E36" s="339"/>
    </row>
    <row r="37" spans="1:5" ht="21" customHeight="1" thickBot="1">
      <c r="A37" s="340"/>
      <c r="B37" s="340" t="s">
        <v>646</v>
      </c>
      <c r="C37" s="341" t="s">
        <v>1412</v>
      </c>
      <c r="D37" s="342" t="s">
        <v>1412</v>
      </c>
      <c r="E37" s="199">
        <v>27330807.890000001</v>
      </c>
    </row>
    <row r="38" spans="1:5" ht="21" customHeight="1" thickBot="1">
      <c r="A38" s="131"/>
      <c r="B38" s="131" t="s">
        <v>647</v>
      </c>
      <c r="C38" s="318" t="s">
        <v>1412</v>
      </c>
      <c r="D38" s="319" t="s">
        <v>1412</v>
      </c>
      <c r="E38" s="149">
        <v>-2240651.06</v>
      </c>
    </row>
    <row r="39" spans="1:5" ht="21" customHeight="1" thickBot="1">
      <c r="A39" s="131"/>
      <c r="B39" s="131" t="s">
        <v>648</v>
      </c>
      <c r="C39" s="318" t="s">
        <v>1412</v>
      </c>
      <c r="D39" s="319" t="s">
        <v>1412</v>
      </c>
      <c r="E39" s="149">
        <v>25090156.829999998</v>
      </c>
    </row>
    <row r="40" spans="1:5" ht="15.75" customHeight="1">
      <c r="A40" s="136" t="s">
        <v>452</v>
      </c>
      <c r="B40" s="173"/>
      <c r="C40" s="136"/>
      <c r="D40" s="190"/>
      <c r="E40" s="343"/>
    </row>
    <row r="42" spans="1:5">
      <c r="A42" s="2" t="s">
        <v>649</v>
      </c>
    </row>
    <row r="43" spans="1:5">
      <c r="A43" s="345" t="s">
        <v>650</v>
      </c>
    </row>
    <row r="45" spans="1:5">
      <c r="A45" s="2" t="s">
        <v>651</v>
      </c>
    </row>
    <row r="48" spans="1:5">
      <c r="A48" s="2" t="s">
        <v>1955</v>
      </c>
    </row>
  </sheetData>
  <mergeCells count="1">
    <mergeCell ref="A1:D1"/>
  </mergeCells>
  <phoneticPr fontId="0" type="noConversion"/>
  <pageMargins left="0.47244094488188981" right="0.59055118110236227" top="0.5" bottom="0.3" header="0.26" footer="0.19"/>
  <pageSetup paperSize="9" scale="76" orientation="portrait" horizontalDpi="4294967292" verticalDpi="429496729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FE1F-04FA-6642-9ABB-D40D4F033247}">
  <sheetPr>
    <pageSetUpPr fitToPage="1"/>
  </sheetPr>
  <dimension ref="A1:J23"/>
  <sheetViews>
    <sheetView zoomScale="75" workbookViewId="0">
      <selection activeCell="A16" sqref="A16:IV16"/>
    </sheetView>
  </sheetViews>
  <sheetFormatPr baseColWidth="10" defaultColWidth="11.3984375" defaultRowHeight="13"/>
  <cols>
    <col min="1" max="1" width="14.3984375" style="2" customWidth="1"/>
    <col min="2" max="2" width="17.3984375" style="2" customWidth="1"/>
    <col min="3" max="5" width="15.19921875" style="2" customWidth="1"/>
    <col min="6" max="6" width="16.3984375" style="2" customWidth="1"/>
    <col min="7" max="16384" width="11.3984375" style="2"/>
  </cols>
  <sheetData>
    <row r="1" spans="1:10" s="1" customFormat="1" ht="14" customHeight="1"/>
    <row r="2" spans="1:10" s="1" customFormat="1" ht="39" customHeight="1">
      <c r="A2" s="1695" t="s">
        <v>755</v>
      </c>
      <c r="B2" s="1699"/>
      <c r="C2" s="1699"/>
      <c r="D2" s="1699"/>
      <c r="E2" s="1699"/>
      <c r="F2" s="58">
        <v>2006</v>
      </c>
    </row>
    <row r="3" spans="1:10" ht="24" customHeight="1">
      <c r="A3" s="113" t="s">
        <v>740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</row>
    <row r="4" spans="1:10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</row>
    <row r="5" spans="1:10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</row>
    <row r="6" spans="1:10" ht="24" customHeight="1">
      <c r="A6" s="249"/>
      <c r="B6" s="123"/>
      <c r="C6" s="122"/>
      <c r="D6" s="123"/>
      <c r="E6" s="183" t="s">
        <v>753</v>
      </c>
      <c r="F6" s="123"/>
    </row>
    <row r="7" spans="1:10" ht="21.75" customHeight="1" thickBot="1">
      <c r="A7" s="250">
        <v>1996</v>
      </c>
      <c r="B7" s="145">
        <v>-991775322</v>
      </c>
      <c r="C7" s="198">
        <v>663779882</v>
      </c>
      <c r="D7" s="145">
        <v>3167199</v>
      </c>
      <c r="E7" s="198">
        <v>4895896</v>
      </c>
      <c r="F7" s="145">
        <v>-319932346</v>
      </c>
      <c r="G7" s="8"/>
    </row>
    <row r="8" spans="1:10" ht="20" customHeight="1" thickBot="1">
      <c r="A8" s="251">
        <v>1997</v>
      </c>
      <c r="B8" s="147">
        <v>-876459686</v>
      </c>
      <c r="C8" s="204">
        <v>838256173</v>
      </c>
      <c r="D8" s="147">
        <v>-2030295</v>
      </c>
      <c r="E8" s="204">
        <v>110405696</v>
      </c>
      <c r="F8" s="147">
        <v>70171888</v>
      </c>
      <c r="G8" s="8"/>
      <c r="H8" s="9"/>
      <c r="I8" s="9"/>
      <c r="J8" s="9"/>
    </row>
    <row r="9" spans="1:10" ht="20" customHeight="1" thickBot="1">
      <c r="A9" s="251">
        <v>1998</v>
      </c>
      <c r="B9" s="147">
        <v>-430866451</v>
      </c>
      <c r="C9" s="204">
        <v>357976738</v>
      </c>
      <c r="D9" s="147">
        <v>4544767</v>
      </c>
      <c r="E9" s="204">
        <v>68311649</v>
      </c>
      <c r="F9" s="147">
        <v>-33297</v>
      </c>
      <c r="G9" s="8"/>
    </row>
    <row r="10" spans="1:10" ht="20" customHeight="1" thickBot="1">
      <c r="A10" s="251">
        <v>1999</v>
      </c>
      <c r="B10" s="147">
        <v>-927498708</v>
      </c>
      <c r="C10" s="204">
        <v>825438408</v>
      </c>
      <c r="D10" s="147">
        <v>3614253</v>
      </c>
      <c r="E10" s="204">
        <v>49059277</v>
      </c>
      <c r="F10" s="147">
        <v>-49386770</v>
      </c>
      <c r="G10" s="8"/>
    </row>
    <row r="11" spans="1:10" ht="19.5" customHeight="1" thickBot="1">
      <c r="A11" s="251">
        <v>2000</v>
      </c>
      <c r="B11" s="147">
        <v>-1105229685</v>
      </c>
      <c r="C11" s="204">
        <v>733255417.92999995</v>
      </c>
      <c r="D11" s="147">
        <v>3877650.94</v>
      </c>
      <c r="E11" s="204">
        <v>62142502.969999999</v>
      </c>
      <c r="F11" s="147">
        <v>-305954113.39999998</v>
      </c>
      <c r="G11" s="8"/>
    </row>
    <row r="12" spans="1:10" ht="19.5" customHeight="1" thickBot="1">
      <c r="A12" s="251">
        <v>2001</v>
      </c>
      <c r="B12" s="147">
        <v>-1433346588</v>
      </c>
      <c r="C12" s="204">
        <v>618037013.5</v>
      </c>
      <c r="D12" s="147">
        <v>2472338.21</v>
      </c>
      <c r="E12" s="204">
        <v>23119861.41</v>
      </c>
      <c r="F12" s="147">
        <v>-789717374.88</v>
      </c>
      <c r="G12" s="8"/>
    </row>
    <row r="13" spans="1:10" ht="19.5" customHeight="1" thickBot="1">
      <c r="A13" s="251">
        <v>2002</v>
      </c>
      <c r="B13" s="147">
        <v>-1276900302</v>
      </c>
      <c r="C13" s="204">
        <v>976642734.75999999</v>
      </c>
      <c r="D13" s="147">
        <v>4263892.6399999997</v>
      </c>
      <c r="E13" s="204">
        <v>72321311.689999998</v>
      </c>
      <c r="F13" s="147">
        <v>-223672362.91000003</v>
      </c>
      <c r="G13" s="8"/>
    </row>
    <row r="14" spans="1:10" ht="19.5" customHeight="1" thickBot="1">
      <c r="A14" s="251">
        <v>2003</v>
      </c>
      <c r="B14" s="147">
        <v>-1199959344</v>
      </c>
      <c r="C14" s="204">
        <v>1406688222.5</v>
      </c>
      <c r="D14" s="147">
        <v>4842490.32</v>
      </c>
      <c r="E14" s="204">
        <v>188158567.50999999</v>
      </c>
      <c r="F14" s="147">
        <v>399729936.32999998</v>
      </c>
      <c r="G14" s="8"/>
    </row>
    <row r="15" spans="1:10" ht="19.5" customHeight="1" thickBot="1">
      <c r="A15" s="251">
        <v>2004</v>
      </c>
      <c r="B15" s="147">
        <v>-1391640712</v>
      </c>
      <c r="C15" s="204">
        <v>1634981205.5999999</v>
      </c>
      <c r="D15" s="147">
        <v>5236324.96</v>
      </c>
      <c r="E15" s="204">
        <v>265564837.19999999</v>
      </c>
      <c r="F15" s="147">
        <v>514141655.75999987</v>
      </c>
      <c r="G15" s="8"/>
    </row>
    <row r="16" spans="1:10" ht="19.5" customHeight="1" thickBot="1">
      <c r="A16" s="251">
        <v>2005</v>
      </c>
      <c r="B16" s="147">
        <v>-1649416138.25</v>
      </c>
      <c r="C16" s="204">
        <v>1546156469.1700001</v>
      </c>
      <c r="D16" s="147">
        <v>5085262.22</v>
      </c>
      <c r="E16" s="204">
        <v>269599080.74000001</v>
      </c>
      <c r="F16" s="147">
        <v>171424673.88000008</v>
      </c>
      <c r="G16" s="8"/>
    </row>
    <row r="17" spans="1:7" ht="30" customHeight="1" thickBot="1">
      <c r="A17" s="361">
        <v>2006</v>
      </c>
      <c r="B17" s="282">
        <v>-1546989478.8199999</v>
      </c>
      <c r="C17" s="283">
        <v>1652478712.1400001</v>
      </c>
      <c r="D17" s="282">
        <v>4831758.9400000004</v>
      </c>
      <c r="E17" s="283">
        <v>380628960.20999998</v>
      </c>
      <c r="F17" s="282">
        <v>490949952.47000015</v>
      </c>
      <c r="G17" s="362"/>
    </row>
    <row r="18" spans="1:7" ht="20" customHeight="1">
      <c r="A18" s="136" t="s">
        <v>452</v>
      </c>
      <c r="B18" s="136"/>
      <c r="C18" s="136"/>
      <c r="D18" s="136"/>
      <c r="E18" s="136"/>
      <c r="F18" s="136"/>
    </row>
    <row r="19" spans="1:7" ht="12.75" customHeight="1">
      <c r="A19" s="3"/>
      <c r="B19" s="3"/>
      <c r="C19" s="3"/>
      <c r="D19" s="3"/>
      <c r="E19" s="3"/>
      <c r="F19" s="3"/>
    </row>
    <row r="20" spans="1:7">
      <c r="A20" s="2" t="s">
        <v>756</v>
      </c>
    </row>
    <row r="23" spans="1:7">
      <c r="A23" s="2" t="s">
        <v>1955</v>
      </c>
    </row>
  </sheetData>
  <mergeCells count="1">
    <mergeCell ref="A2:E2"/>
  </mergeCells>
  <phoneticPr fontId="0" type="noConversion"/>
  <pageMargins left="0.6" right="0.65" top="1.01" bottom="0.49" header="0.53" footer="0.4921259845"/>
  <pageSetup paperSize="9" scale="97" orientation="portrait" horizontalDpi="4294967292" verticalDpi="429496729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A72B-3DD8-7846-9371-4B9DB1284907}">
  <sheetPr>
    <pageSetUpPr fitToPage="1"/>
  </sheetPr>
  <dimension ref="A1:J23"/>
  <sheetViews>
    <sheetView topLeftCell="A3" zoomScale="75" workbookViewId="0">
      <selection activeCell="A16" sqref="A16:IV16"/>
    </sheetView>
  </sheetViews>
  <sheetFormatPr baseColWidth="10" defaultColWidth="11.3984375" defaultRowHeight="13"/>
  <cols>
    <col min="1" max="1" width="14.3984375" style="2" customWidth="1"/>
    <col min="2" max="6" width="15.3984375" style="2" customWidth="1"/>
    <col min="7" max="16384" width="11.3984375" style="2"/>
  </cols>
  <sheetData>
    <row r="1" spans="1:10" s="1" customFormat="1" ht="14" customHeight="1"/>
    <row r="2" spans="1:10" s="1" customFormat="1" ht="39" customHeight="1">
      <c r="A2" s="1695" t="s">
        <v>757</v>
      </c>
      <c r="B2" s="1699"/>
      <c r="C2" s="1699"/>
      <c r="D2" s="1699"/>
      <c r="E2" s="1699"/>
      <c r="F2" s="265">
        <v>2006</v>
      </c>
    </row>
    <row r="3" spans="1:10" ht="24" customHeight="1">
      <c r="A3" s="113" t="s">
        <v>758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</row>
    <row r="4" spans="1:10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</row>
    <row r="5" spans="1:10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</row>
    <row r="6" spans="1:10" ht="24" customHeight="1">
      <c r="A6" s="249"/>
      <c r="B6" s="123"/>
      <c r="C6" s="122"/>
      <c r="D6" s="123"/>
      <c r="E6" s="183" t="s">
        <v>753</v>
      </c>
      <c r="F6" s="123"/>
    </row>
    <row r="7" spans="1:10" ht="22.5" customHeight="1" thickBot="1">
      <c r="A7" s="250">
        <v>1996</v>
      </c>
      <c r="B7" s="145">
        <v>-209.25119249563258</v>
      </c>
      <c r="C7" s="198">
        <v>287.88798918153714</v>
      </c>
      <c r="D7" s="145">
        <v>113.8133893919793</v>
      </c>
      <c r="E7" s="198">
        <v>40.26296485139558</v>
      </c>
      <c r="F7" s="145">
        <v>-44.467447531910054</v>
      </c>
    </row>
    <row r="8" spans="1:10" ht="20" customHeight="1" thickBot="1">
      <c r="A8" s="251">
        <v>1997</v>
      </c>
      <c r="B8" s="147">
        <v>-214.61582270081155</v>
      </c>
      <c r="C8" s="204">
        <v>306.33942450638875</v>
      </c>
      <c r="D8" s="147">
        <v>-176.63955107012353</v>
      </c>
      <c r="E8" s="204">
        <v>288.19554520703849</v>
      </c>
      <c r="F8" s="147">
        <v>9.7260962701001628</v>
      </c>
      <c r="H8" s="9"/>
      <c r="I8" s="9"/>
      <c r="J8" s="9"/>
    </row>
    <row r="9" spans="1:10" ht="20" customHeight="1" thickBot="1">
      <c r="A9" s="251">
        <v>1998</v>
      </c>
      <c r="B9" s="147">
        <v>-107.28033046607707</v>
      </c>
      <c r="C9" s="204">
        <v>131.29687859897859</v>
      </c>
      <c r="D9" s="147">
        <v>384.2379945891106</v>
      </c>
      <c r="E9" s="204">
        <v>138.27149421099506</v>
      </c>
      <c r="F9" s="147">
        <v>-4.5935747895146139E-3</v>
      </c>
    </row>
    <row r="10" spans="1:10" ht="20" customHeight="1" thickBot="1">
      <c r="A10" s="251">
        <v>1999</v>
      </c>
      <c r="B10" s="147">
        <v>-231.94750851767455</v>
      </c>
      <c r="C10" s="204">
        <v>303.95700464199626</v>
      </c>
      <c r="D10" s="147">
        <v>352.33505556638721</v>
      </c>
      <c r="E10" s="204">
        <v>90.53364520474635</v>
      </c>
      <c r="F10" s="147">
        <v>-6.7964685777290796</v>
      </c>
    </row>
    <row r="11" spans="1:10" ht="20" customHeight="1" thickBot="1">
      <c r="A11" s="251">
        <v>2000</v>
      </c>
      <c r="B11" s="147">
        <v>-281.80831964955939</v>
      </c>
      <c r="C11" s="204">
        <v>265.81296038591444</v>
      </c>
      <c r="D11" s="147">
        <v>395.23503618387525</v>
      </c>
      <c r="E11" s="204">
        <v>107.54256442516194</v>
      </c>
      <c r="F11" s="147">
        <v>-42.095410127886048</v>
      </c>
    </row>
    <row r="12" spans="1:10" ht="20" customHeight="1" thickBot="1">
      <c r="A12" s="251">
        <v>2001</v>
      </c>
      <c r="B12" s="147">
        <v>-369.21073383560986</v>
      </c>
      <c r="C12" s="204">
        <v>218.09355776804139</v>
      </c>
      <c r="D12" s="147">
        <v>264.67596724119471</v>
      </c>
      <c r="E12" s="204">
        <v>38.795684474417683</v>
      </c>
      <c r="F12" s="147">
        <v>-107.86592232759077</v>
      </c>
    </row>
    <row r="13" spans="1:10" ht="20" customHeight="1" thickBot="1">
      <c r="A13" s="251">
        <v>2002</v>
      </c>
      <c r="B13" s="147">
        <v>-334.90929649130862</v>
      </c>
      <c r="C13" s="204">
        <v>327.64230472151957</v>
      </c>
      <c r="D13" s="147">
        <v>482.61376796830785</v>
      </c>
      <c r="E13" s="204">
        <v>129.83261678350553</v>
      </c>
      <c r="F13" s="147">
        <v>-30.392888912290669</v>
      </c>
    </row>
    <row r="14" spans="1:10" ht="20" customHeight="1" thickBot="1">
      <c r="A14" s="251">
        <v>2003</v>
      </c>
      <c r="B14" s="147">
        <v>-326.58442193959615</v>
      </c>
      <c r="C14" s="204">
        <v>452.73392575127201</v>
      </c>
      <c r="D14" s="147">
        <v>582.24002885655887</v>
      </c>
      <c r="E14" s="204">
        <v>311.77683579562023</v>
      </c>
      <c r="F14" s="147">
        <v>54.067330132819563</v>
      </c>
    </row>
    <row r="15" spans="1:10" ht="20" customHeight="1" thickBot="1">
      <c r="A15" s="251">
        <v>2004</v>
      </c>
      <c r="B15" s="147">
        <v>-382.39377988050956</v>
      </c>
      <c r="C15" s="204">
        <v>540.52128193947215</v>
      </c>
      <c r="D15" s="147">
        <v>646.61953074833286</v>
      </c>
      <c r="E15" s="204">
        <v>355.14430610645576</v>
      </c>
      <c r="F15" s="147">
        <v>69.291571070195104</v>
      </c>
    </row>
    <row r="16" spans="1:10" ht="20" customHeight="1" thickBot="1">
      <c r="A16" s="251">
        <v>2005</v>
      </c>
      <c r="B16" s="147">
        <v>-457.46233703722402</v>
      </c>
      <c r="C16" s="204">
        <v>526.06943385550483</v>
      </c>
      <c r="D16" s="147">
        <v>659.48154843729731</v>
      </c>
      <c r="E16" s="204">
        <v>297.53361969202518</v>
      </c>
      <c r="F16" s="147">
        <v>22.983877251046639</v>
      </c>
    </row>
    <row r="17" spans="1:6" s="151" customFormat="1" ht="30" customHeight="1" thickBot="1">
      <c r="A17" s="361">
        <v>2006</v>
      </c>
      <c r="B17" s="282">
        <v>-460.949938416431</v>
      </c>
      <c r="C17" s="283">
        <v>592.83257515796822</v>
      </c>
      <c r="D17" s="282">
        <v>669.21868975069253</v>
      </c>
      <c r="E17" s="283">
        <v>280.53307562761364</v>
      </c>
      <c r="F17" s="282">
        <v>65.394207090333808</v>
      </c>
    </row>
    <row r="18" spans="1:6" ht="20" customHeight="1">
      <c r="A18" s="136" t="s">
        <v>452</v>
      </c>
      <c r="B18" s="136"/>
      <c r="C18" s="136"/>
      <c r="D18" s="136"/>
      <c r="E18" s="136"/>
      <c r="F18" s="136"/>
    </row>
    <row r="20" spans="1:6">
      <c r="A20" s="2" t="s">
        <v>759</v>
      </c>
    </row>
    <row r="23" spans="1:6">
      <c r="A23" s="2" t="s">
        <v>1955</v>
      </c>
    </row>
  </sheetData>
  <mergeCells count="1">
    <mergeCell ref="A2:E2"/>
  </mergeCells>
  <phoneticPr fontId="0" type="noConversion"/>
  <pageMargins left="0.57999999999999996" right="0.72" top="1.1000000000000001" bottom="0.49" header="0.57999999999999996" footer="0.4921259845"/>
  <pageSetup paperSize="9" scale="98" orientation="portrait" horizontalDpi="4294967292" verticalDpi="429496729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5850-F820-D946-8BF1-329D6C4CF6E6}">
  <sheetPr>
    <pageSetUpPr fitToPage="1"/>
  </sheetPr>
  <dimension ref="A1:J23"/>
  <sheetViews>
    <sheetView topLeftCell="A4" zoomScale="75" workbookViewId="0">
      <selection activeCell="E20" sqref="E20"/>
    </sheetView>
  </sheetViews>
  <sheetFormatPr baseColWidth="10" defaultColWidth="11.3984375" defaultRowHeight="13"/>
  <cols>
    <col min="1" max="1" width="14.3984375" style="2" customWidth="1"/>
    <col min="2" max="7" width="15.3984375" style="2" customWidth="1"/>
    <col min="8" max="8" width="17.796875" style="2" customWidth="1"/>
    <col min="9" max="16384" width="11.3984375" style="2"/>
  </cols>
  <sheetData>
    <row r="1" spans="1:10" s="1" customFormat="1" ht="14" customHeight="1"/>
    <row r="2" spans="1:10" s="1" customFormat="1" ht="28" customHeight="1">
      <c r="A2" s="112" t="s">
        <v>760</v>
      </c>
      <c r="H2" s="363">
        <v>2006</v>
      </c>
    </row>
    <row r="3" spans="1:10" ht="24" customHeight="1">
      <c r="A3" s="113" t="s">
        <v>758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  <c r="G3" s="115" t="s">
        <v>761</v>
      </c>
      <c r="H3" s="117" t="s">
        <v>762</v>
      </c>
    </row>
    <row r="4" spans="1:10" ht="15" customHeight="1">
      <c r="A4" s="248"/>
      <c r="B4" s="117" t="s">
        <v>745</v>
      </c>
      <c r="C4" s="118" t="s">
        <v>746</v>
      </c>
      <c r="D4" s="117" t="s">
        <v>747</v>
      </c>
      <c r="E4" s="118" t="s">
        <v>748</v>
      </c>
      <c r="F4" s="117"/>
      <c r="G4" s="118" t="s">
        <v>762</v>
      </c>
      <c r="H4" s="364" t="s">
        <v>763</v>
      </c>
    </row>
    <row r="5" spans="1:10" ht="15" customHeight="1">
      <c r="A5" s="248"/>
      <c r="B5" s="117" t="s">
        <v>749</v>
      </c>
      <c r="C5" s="118" t="s">
        <v>750</v>
      </c>
      <c r="D5" s="117" t="s">
        <v>751</v>
      </c>
      <c r="E5" s="118" t="s">
        <v>752</v>
      </c>
      <c r="F5" s="117"/>
      <c r="G5" s="365" t="s">
        <v>763</v>
      </c>
      <c r="H5" s="366" t="s">
        <v>764</v>
      </c>
    </row>
    <row r="6" spans="1:10" ht="24" customHeight="1">
      <c r="A6" s="249"/>
      <c r="B6" s="123"/>
      <c r="C6" s="122"/>
      <c r="D6" s="123"/>
      <c r="E6" s="122" t="s">
        <v>753</v>
      </c>
      <c r="F6" s="123"/>
      <c r="G6" s="122" t="s">
        <v>765</v>
      </c>
      <c r="H6" s="123"/>
    </row>
    <row r="7" spans="1:10" ht="22.5" customHeight="1" thickBot="1">
      <c r="A7" s="367">
        <v>1996</v>
      </c>
      <c r="B7" s="145">
        <v>649209078</v>
      </c>
      <c r="C7" s="198">
        <v>296204692</v>
      </c>
      <c r="D7" s="145">
        <v>2703444</v>
      </c>
      <c r="E7" s="198">
        <v>11710365</v>
      </c>
      <c r="F7" s="145">
        <v>959827579</v>
      </c>
      <c r="G7" s="146">
        <v>8.160992566527614E-2</v>
      </c>
      <c r="H7" s="145">
        <v>11761162275</v>
      </c>
    </row>
    <row r="8" spans="1:10" ht="20" customHeight="1" thickBot="1">
      <c r="A8" s="368">
        <v>1997</v>
      </c>
      <c r="B8" s="147">
        <v>500889187</v>
      </c>
      <c r="C8" s="204">
        <v>356202290</v>
      </c>
      <c r="D8" s="147">
        <v>947002</v>
      </c>
      <c r="E8" s="204">
        <v>35169957</v>
      </c>
      <c r="F8" s="147">
        <v>893208437</v>
      </c>
      <c r="G8" s="369">
        <v>7.2355407590263501E-2</v>
      </c>
      <c r="H8" s="147">
        <v>12344736444</v>
      </c>
      <c r="I8" s="9"/>
      <c r="J8" s="9"/>
    </row>
    <row r="9" spans="1:10" ht="20" customHeight="1" thickBot="1">
      <c r="A9" s="368">
        <v>1998</v>
      </c>
      <c r="B9" s="147">
        <v>457365467</v>
      </c>
      <c r="C9" s="204">
        <v>348237805</v>
      </c>
      <c r="D9" s="147">
        <v>775330</v>
      </c>
      <c r="E9" s="204">
        <v>48566196</v>
      </c>
      <c r="F9" s="147">
        <v>854944797</v>
      </c>
      <c r="G9" s="369">
        <v>6.5539994260804979E-2</v>
      </c>
      <c r="H9" s="147">
        <v>13044627279</v>
      </c>
    </row>
    <row r="10" spans="1:10" ht="20" customHeight="1" thickBot="1">
      <c r="A10" s="368">
        <v>1999</v>
      </c>
      <c r="B10" s="147">
        <v>466630422</v>
      </c>
      <c r="C10" s="204">
        <v>332810614</v>
      </c>
      <c r="D10" s="147">
        <v>653141</v>
      </c>
      <c r="E10" s="204">
        <v>54148946</v>
      </c>
      <c r="F10" s="147">
        <v>854243123</v>
      </c>
      <c r="G10" s="369">
        <v>6.3520258007815578E-2</v>
      </c>
      <c r="H10" s="147">
        <v>13448357261</v>
      </c>
    </row>
    <row r="11" spans="1:10" ht="20" customHeight="1" thickBot="1">
      <c r="A11" s="368">
        <v>2000</v>
      </c>
      <c r="B11" s="147">
        <v>463039687.31</v>
      </c>
      <c r="C11" s="204">
        <v>338664058.75</v>
      </c>
      <c r="D11" s="147">
        <v>692132.4</v>
      </c>
      <c r="E11" s="204">
        <v>60882478.25</v>
      </c>
      <c r="F11" s="147">
        <v>863278356.70999992</v>
      </c>
      <c r="G11" s="369">
        <v>6.0778319554744789E-2</v>
      </c>
      <c r="H11" s="147">
        <v>14203722035</v>
      </c>
    </row>
    <row r="12" spans="1:10" ht="20" customHeight="1" thickBot="1">
      <c r="A12" s="368">
        <v>2001</v>
      </c>
      <c r="B12" s="147">
        <v>473405802.30000001</v>
      </c>
      <c r="C12" s="204">
        <v>367784678.56</v>
      </c>
      <c r="D12" s="147">
        <v>749931.27</v>
      </c>
      <c r="E12" s="204">
        <v>66915939.469999999</v>
      </c>
      <c r="F12" s="147">
        <v>908856351.60000002</v>
      </c>
      <c r="G12" s="369">
        <v>6.0883052653460515E-2</v>
      </c>
      <c r="H12" s="147">
        <v>14927903776</v>
      </c>
    </row>
    <row r="13" spans="1:10" ht="20" customHeight="1" thickBot="1">
      <c r="A13" s="368">
        <v>2002</v>
      </c>
      <c r="B13" s="147">
        <v>472860051.04000002</v>
      </c>
      <c r="C13" s="204">
        <v>381940533.88</v>
      </c>
      <c r="D13" s="147">
        <v>686255.39</v>
      </c>
      <c r="E13" s="204">
        <v>68086548.329999998</v>
      </c>
      <c r="F13" s="147">
        <v>923573388.6400001</v>
      </c>
      <c r="G13" s="369">
        <v>5.9305732530714958E-2</v>
      </c>
      <c r="H13" s="147">
        <v>15573087950</v>
      </c>
    </row>
    <row r="14" spans="1:10" ht="20" customHeight="1" thickBot="1">
      <c r="A14" s="368">
        <v>2003</v>
      </c>
      <c r="B14" s="147">
        <v>470970297.86000001</v>
      </c>
      <c r="C14" s="204">
        <v>408594784.26000005</v>
      </c>
      <c r="D14" s="147">
        <v>692369.29</v>
      </c>
      <c r="E14" s="204">
        <v>68876407.299999997</v>
      </c>
      <c r="F14" s="147">
        <v>949133858.71000004</v>
      </c>
      <c r="G14" s="369">
        <v>5.7102364889053812E-2</v>
      </c>
      <c r="H14" s="147">
        <v>16621620848</v>
      </c>
    </row>
    <row r="15" spans="1:10" ht="20" customHeight="1" thickBot="1">
      <c r="A15" s="368">
        <v>2004</v>
      </c>
      <c r="B15" s="147">
        <v>484897853.29000002</v>
      </c>
      <c r="C15" s="204">
        <v>415930592.72000003</v>
      </c>
      <c r="D15" s="147">
        <v>723109.3</v>
      </c>
      <c r="E15" s="204">
        <v>85829196.189999998</v>
      </c>
      <c r="F15" s="147">
        <v>987380751.5</v>
      </c>
      <c r="G15" s="369">
        <v>5.6068315584587115E-2</v>
      </c>
      <c r="H15" s="147">
        <v>17610315937</v>
      </c>
    </row>
    <row r="16" spans="1:10" ht="20" customHeight="1" thickBot="1">
      <c r="A16" s="368">
        <v>2005</v>
      </c>
      <c r="B16" s="147">
        <v>499701726.70000005</v>
      </c>
      <c r="C16" s="204">
        <v>398938241.44999999</v>
      </c>
      <c r="D16" s="147">
        <v>733379.04</v>
      </c>
      <c r="E16" s="204">
        <v>99764105.649999991</v>
      </c>
      <c r="F16" s="147">
        <v>999137452.84000003</v>
      </c>
      <c r="G16" s="369">
        <v>5.3974609336098663E-2</v>
      </c>
      <c r="H16" s="147">
        <v>18511249365.759998</v>
      </c>
    </row>
    <row r="17" spans="1:9" ht="30" customHeight="1" thickBot="1">
      <c r="A17" s="370">
        <v>2006</v>
      </c>
      <c r="B17" s="282">
        <v>508338112.01999998</v>
      </c>
      <c r="C17" s="283">
        <v>413420689.21999997</v>
      </c>
      <c r="D17" s="282">
        <v>822420.13</v>
      </c>
      <c r="E17" s="283">
        <v>155371559.38</v>
      </c>
      <c r="F17" s="282">
        <v>1077952780.75</v>
      </c>
      <c r="G17" s="371">
        <v>5.6978300934543424E-2</v>
      </c>
      <c r="H17" s="277">
        <v>18918654348.580002</v>
      </c>
      <c r="I17" s="8"/>
    </row>
    <row r="18" spans="1:9" ht="20" customHeight="1">
      <c r="A18" s="136" t="s">
        <v>452</v>
      </c>
      <c r="B18" s="136"/>
      <c r="C18" s="136"/>
      <c r="D18" s="136"/>
      <c r="E18" s="136"/>
      <c r="F18" s="136"/>
      <c r="G18" s="136"/>
    </row>
    <row r="19" spans="1:9">
      <c r="F19" s="372"/>
    </row>
    <row r="20" spans="1:9">
      <c r="A20" s="2" t="s">
        <v>766</v>
      </c>
    </row>
    <row r="23" spans="1:9">
      <c r="A23" s="2" t="s">
        <v>1955</v>
      </c>
    </row>
  </sheetData>
  <phoneticPr fontId="0" type="noConversion"/>
  <pageMargins left="0.48" right="0.56000000000000005" top="0.94" bottom="0.49" header="0.57999999999999996" footer="0.4921259845"/>
  <pageSetup paperSize="9" scale="75" orientation="portrait" horizontalDpi="1200" verticalDpi="12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0EFD-BC73-9943-AD83-B9EE3036118E}">
  <sheetPr>
    <pageSetUpPr fitToPage="1"/>
  </sheetPr>
  <dimension ref="A1:J23"/>
  <sheetViews>
    <sheetView topLeftCell="A3" zoomScale="75" workbookViewId="0">
      <selection activeCell="A19" sqref="A19"/>
    </sheetView>
  </sheetViews>
  <sheetFormatPr baseColWidth="10" defaultColWidth="11.3984375" defaultRowHeight="13"/>
  <cols>
    <col min="1" max="1" width="18.796875" style="2" customWidth="1"/>
    <col min="2" max="7" width="14.796875" style="2" customWidth="1"/>
    <col min="8" max="8" width="9.19921875" style="2" customWidth="1"/>
    <col min="9" max="16384" width="11.3984375" style="2"/>
  </cols>
  <sheetData>
    <row r="1" spans="1:10" s="1" customFormat="1" ht="14" customHeight="1"/>
    <row r="2" spans="1:10" s="1" customFormat="1" ht="39" customHeight="1">
      <c r="A2" s="1695" t="s">
        <v>767</v>
      </c>
      <c r="B2" s="1699"/>
      <c r="C2" s="1699"/>
      <c r="D2" s="1699"/>
      <c r="E2" s="1699"/>
      <c r="F2" s="1699"/>
      <c r="G2" s="265">
        <v>2006</v>
      </c>
    </row>
    <row r="3" spans="1:10" ht="24" customHeight="1">
      <c r="A3" s="113" t="s">
        <v>758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  <c r="G3" s="115" t="s">
        <v>45</v>
      </c>
    </row>
    <row r="4" spans="1:10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  <c r="G4" s="118" t="s">
        <v>46</v>
      </c>
    </row>
    <row r="5" spans="1:10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  <c r="G5" s="118" t="s">
        <v>50</v>
      </c>
    </row>
    <row r="6" spans="1:10" ht="24" customHeight="1">
      <c r="A6" s="249"/>
      <c r="B6" s="123"/>
      <c r="C6" s="122"/>
      <c r="D6" s="123"/>
      <c r="E6" s="183" t="s">
        <v>753</v>
      </c>
      <c r="F6" s="123"/>
      <c r="G6" s="122"/>
    </row>
    <row r="7" spans="1:10" ht="22.5" customHeight="1" thickBot="1">
      <c r="A7" s="250">
        <v>1996</v>
      </c>
      <c r="B7" s="145">
        <v>136.97434362103451</v>
      </c>
      <c r="C7" s="198">
        <v>128.46694435673865</v>
      </c>
      <c r="D7" s="145">
        <v>97.148339801638642</v>
      </c>
      <c r="E7" s="198">
        <v>96.303927696179215</v>
      </c>
      <c r="F7" s="145">
        <v>133.40658749416588</v>
      </c>
      <c r="G7" s="146">
        <v>0.15128629508664851</v>
      </c>
    </row>
    <row r="8" spans="1:10" ht="20" customHeight="1" thickBot="1">
      <c r="A8" s="251">
        <v>1997</v>
      </c>
      <c r="B8" s="147">
        <v>122.6511004066257</v>
      </c>
      <c r="C8" s="204">
        <v>130.17357705334524</v>
      </c>
      <c r="D8" s="147">
        <v>82.390986601705237</v>
      </c>
      <c r="E8" s="204">
        <v>91.805271826945415</v>
      </c>
      <c r="F8" s="147">
        <v>123.8021591713151</v>
      </c>
      <c r="G8" s="148">
        <v>-7.1993658658503643E-2</v>
      </c>
      <c r="H8" s="9"/>
      <c r="I8" s="9"/>
      <c r="J8" s="9"/>
    </row>
    <row r="9" spans="1:10" ht="20" customHeight="1" thickBot="1">
      <c r="A9" s="251">
        <v>1998</v>
      </c>
      <c r="B9" s="147">
        <v>113.87825236718575</v>
      </c>
      <c r="C9" s="204">
        <v>127.72488252200283</v>
      </c>
      <c r="D9" s="147">
        <v>65.550388907676705</v>
      </c>
      <c r="E9" s="204">
        <v>98.304177799368475</v>
      </c>
      <c r="F9" s="147">
        <v>117.94614727831004</v>
      </c>
      <c r="G9" s="148">
        <v>-4.7301371253966752E-2</v>
      </c>
    </row>
    <row r="10" spans="1:10" ht="20" customHeight="1" thickBot="1">
      <c r="A10" s="251">
        <v>1999</v>
      </c>
      <c r="B10" s="147">
        <v>116.69424749371302</v>
      </c>
      <c r="C10" s="204">
        <v>122.55319883843305</v>
      </c>
      <c r="D10" s="147">
        <v>63.671378436342366</v>
      </c>
      <c r="E10" s="204">
        <v>99.926084629721899</v>
      </c>
      <c r="F10" s="147">
        <v>117.55853932562621</v>
      </c>
      <c r="G10" s="148">
        <v>-3.2863129625523811E-3</v>
      </c>
    </row>
    <row r="11" spans="1:10" ht="20" customHeight="1" thickBot="1">
      <c r="A11" s="251">
        <v>2000</v>
      </c>
      <c r="B11" s="147">
        <v>118.06454168111537</v>
      </c>
      <c r="C11" s="204">
        <v>122.76935680445337</v>
      </c>
      <c r="D11" s="147">
        <v>70.546570176332693</v>
      </c>
      <c r="E11" s="204">
        <v>105.36199101482934</v>
      </c>
      <c r="F11" s="147">
        <v>118.77616573412266</v>
      </c>
      <c r="G11" s="148">
        <v>1.0357617706730186E-2</v>
      </c>
    </row>
    <row r="12" spans="1:10" ht="20" customHeight="1" thickBot="1">
      <c r="A12" s="251">
        <v>2001</v>
      </c>
      <c r="B12" s="147">
        <v>121.94294466707073</v>
      </c>
      <c r="C12" s="204">
        <v>129.78424801045657</v>
      </c>
      <c r="D12" s="147">
        <v>80.283831495557223</v>
      </c>
      <c r="E12" s="204">
        <v>112.28655864106896</v>
      </c>
      <c r="F12" s="147">
        <v>124.13887771371346</v>
      </c>
      <c r="G12" s="148">
        <v>4.514973139977501E-2</v>
      </c>
    </row>
    <row r="13" spans="1:10" ht="20" customHeight="1" thickBot="1">
      <c r="A13" s="251">
        <v>2002</v>
      </c>
      <c r="B13" s="147">
        <v>124.02317297960094</v>
      </c>
      <c r="C13" s="204">
        <v>128.13270639622655</v>
      </c>
      <c r="D13" s="147">
        <v>77.674633842671199</v>
      </c>
      <c r="E13" s="204">
        <v>122.23028773775435</v>
      </c>
      <c r="F13" s="147">
        <v>125.49634223061366</v>
      </c>
      <c r="G13" s="148">
        <v>1.0935047439616501E-2</v>
      </c>
    </row>
    <row r="14" spans="1:10" ht="20" customHeight="1" thickBot="1">
      <c r="A14" s="251">
        <v>2003</v>
      </c>
      <c r="B14" s="147">
        <v>128.18064482468625</v>
      </c>
      <c r="C14" s="204">
        <v>131.50371046027854</v>
      </c>
      <c r="D14" s="147">
        <v>83.247479860526639</v>
      </c>
      <c r="E14" s="204">
        <v>114.12750752273389</v>
      </c>
      <c r="F14" s="147">
        <v>128.37951080237647</v>
      </c>
      <c r="G14" s="148">
        <v>2.2974124349095865E-2</v>
      </c>
    </row>
    <row r="15" spans="1:10" ht="20" customHeight="1" thickBot="1">
      <c r="A15" s="251">
        <v>2004</v>
      </c>
      <c r="B15" s="147">
        <v>133.23979485267307</v>
      </c>
      <c r="C15" s="204">
        <v>137.50576239336979</v>
      </c>
      <c r="D15" s="147">
        <v>89.294801185477908</v>
      </c>
      <c r="E15" s="204">
        <v>114.78082206198195</v>
      </c>
      <c r="F15" s="147">
        <v>133.07064842814813</v>
      </c>
      <c r="G15" s="148">
        <v>3.6541170755768453E-2</v>
      </c>
    </row>
    <row r="16" spans="1:10" ht="20" customHeight="1" thickBot="1">
      <c r="A16" s="251">
        <v>2005</v>
      </c>
      <c r="B16" s="147">
        <v>138.59129568130271</v>
      </c>
      <c r="C16" s="204">
        <v>135.73607782113612</v>
      </c>
      <c r="D16" s="147">
        <v>95.10816236545196</v>
      </c>
      <c r="E16" s="204">
        <v>110.10117463274447</v>
      </c>
      <c r="F16" s="147">
        <v>133.96001901729241</v>
      </c>
      <c r="G16" s="148">
        <v>6.6834467228473445E-3</v>
      </c>
    </row>
    <row r="17" spans="1:7" ht="30" customHeight="1" thickBot="1">
      <c r="A17" s="361">
        <v>2006</v>
      </c>
      <c r="B17" s="282">
        <v>151.46736589900746</v>
      </c>
      <c r="C17" s="283">
        <v>148.31613261539576</v>
      </c>
      <c r="D17" s="282">
        <v>113.9086052631579</v>
      </c>
      <c r="E17" s="283">
        <v>114.51273017660594</v>
      </c>
      <c r="F17" s="282">
        <v>143.58259334442883</v>
      </c>
      <c r="G17" s="150">
        <v>7.1831688273306951E-2</v>
      </c>
    </row>
    <row r="18" spans="1:7" ht="20.25" customHeight="1">
      <c r="A18" s="136" t="s">
        <v>452</v>
      </c>
      <c r="B18" s="136"/>
      <c r="C18" s="136"/>
      <c r="D18" s="136"/>
      <c r="E18" s="136"/>
      <c r="F18" s="136"/>
      <c r="G18" s="136"/>
    </row>
    <row r="20" spans="1:7">
      <c r="A20" s="2" t="s">
        <v>768</v>
      </c>
    </row>
    <row r="23" spans="1:7">
      <c r="A23" s="2" t="s">
        <v>1955</v>
      </c>
    </row>
  </sheetData>
  <mergeCells count="1">
    <mergeCell ref="A2:F2"/>
  </mergeCells>
  <phoneticPr fontId="0" type="noConversion"/>
  <pageMargins left="0.55000000000000004" right="0.55000000000000004" top="1.0900000000000001" bottom="0.49" header="0.53" footer="0.4921259845"/>
  <pageSetup paperSize="9" scale="86" orientation="portrait" horizontalDpi="4294967292" verticalDpi="429496729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937F-9642-3341-8346-C03B01194A5A}">
  <sheetPr>
    <pageSetUpPr fitToPage="1"/>
  </sheetPr>
  <dimension ref="A1:K26"/>
  <sheetViews>
    <sheetView zoomScale="75" workbookViewId="0">
      <selection activeCell="I9" sqref="I9"/>
    </sheetView>
  </sheetViews>
  <sheetFormatPr baseColWidth="10" defaultColWidth="11.3984375" defaultRowHeight="13"/>
  <cols>
    <col min="1" max="1" width="14.3984375" style="2" customWidth="1"/>
    <col min="2" max="2" width="17.19921875" style="2" customWidth="1"/>
    <col min="3" max="5" width="15.3984375" style="2" customWidth="1"/>
    <col min="6" max="6" width="16.19921875" style="446" customWidth="1"/>
    <col min="7" max="7" width="15.3984375" style="2" customWidth="1"/>
    <col min="8" max="16384" width="11.3984375" style="2"/>
  </cols>
  <sheetData>
    <row r="1" spans="1:11" s="1" customFormat="1" ht="14" customHeight="1">
      <c r="F1" s="452"/>
    </row>
    <row r="2" spans="1:11" s="1" customFormat="1" ht="28" customHeight="1">
      <c r="A2" s="112" t="s">
        <v>424</v>
      </c>
      <c r="F2" s="265">
        <v>2006</v>
      </c>
      <c r="G2" s="453"/>
    </row>
    <row r="3" spans="1:11" ht="24" customHeight="1">
      <c r="A3" s="113" t="s">
        <v>758</v>
      </c>
      <c r="B3" s="114" t="s">
        <v>425</v>
      </c>
      <c r="C3" s="115" t="s">
        <v>45</v>
      </c>
      <c r="D3" s="114" t="s">
        <v>434</v>
      </c>
      <c r="E3" s="115" t="s">
        <v>45</v>
      </c>
      <c r="F3" s="454" t="s">
        <v>426</v>
      </c>
      <c r="G3" s="455"/>
    </row>
    <row r="4" spans="1:11" ht="15" customHeight="1">
      <c r="A4" s="248"/>
      <c r="B4" s="143" t="s">
        <v>427</v>
      </c>
      <c r="C4" s="118" t="s">
        <v>46</v>
      </c>
      <c r="D4" s="143" t="s">
        <v>428</v>
      </c>
      <c r="E4" s="118" t="s">
        <v>46</v>
      </c>
      <c r="F4" s="456" t="s">
        <v>435</v>
      </c>
      <c r="G4" s="455"/>
    </row>
    <row r="5" spans="1:11" ht="15" customHeight="1">
      <c r="A5" s="248"/>
      <c r="B5" s="117" t="s">
        <v>1007</v>
      </c>
      <c r="C5" s="118" t="s">
        <v>50</v>
      </c>
      <c r="D5" s="117" t="s">
        <v>429</v>
      </c>
      <c r="E5" s="118" t="s">
        <v>50</v>
      </c>
      <c r="F5" s="456"/>
      <c r="G5" s="455"/>
    </row>
    <row r="6" spans="1:11" ht="24" customHeight="1">
      <c r="A6" s="249"/>
      <c r="B6" s="123"/>
      <c r="C6" s="122"/>
      <c r="D6" s="123" t="s">
        <v>430</v>
      </c>
      <c r="E6" s="122"/>
      <c r="F6" s="457"/>
      <c r="G6" s="458"/>
    </row>
    <row r="7" spans="1:11" ht="23.25" customHeight="1" thickBot="1">
      <c r="A7" s="250">
        <v>1996</v>
      </c>
      <c r="B7" s="145">
        <v>2856077149.5999999</v>
      </c>
      <c r="C7" s="146" t="s">
        <v>860</v>
      </c>
      <c r="D7" s="145">
        <v>394.88575237875602</v>
      </c>
      <c r="E7" s="146" t="s">
        <v>860</v>
      </c>
      <c r="F7" s="459">
        <v>0.25659604678130066</v>
      </c>
      <c r="G7" s="460"/>
    </row>
    <row r="8" spans="1:11" ht="20" customHeight="1" thickBot="1">
      <c r="A8" s="251">
        <v>1997</v>
      </c>
      <c r="B8" s="147">
        <v>2991879965.3000002</v>
      </c>
      <c r="C8" s="148">
        <v>4.7548721055738909E-2</v>
      </c>
      <c r="D8" s="147">
        <v>413.44461478530076</v>
      </c>
      <c r="E8" s="148">
        <v>4.6998055246986824E-2</v>
      </c>
      <c r="F8" s="461">
        <v>0.24848089473110047</v>
      </c>
      <c r="G8" s="460"/>
      <c r="I8" s="9"/>
      <c r="J8" s="9"/>
      <c r="K8" s="9"/>
    </row>
    <row r="9" spans="1:11" ht="20" customHeight="1" thickBot="1">
      <c r="A9" s="251">
        <v>1998</v>
      </c>
      <c r="B9" s="147">
        <v>2985530959.1999998</v>
      </c>
      <c r="C9" s="148">
        <v>-2.1220791521172401E-3</v>
      </c>
      <c r="D9" s="147">
        <v>411.98967338686089</v>
      </c>
      <c r="E9" s="148">
        <v>-3.5190720749752979E-3</v>
      </c>
      <c r="F9" s="461">
        <v>0.23492819435144413</v>
      </c>
      <c r="G9" s="460"/>
    </row>
    <row r="10" spans="1:11" ht="20" customHeight="1" thickBot="1">
      <c r="A10" s="251">
        <v>1999</v>
      </c>
      <c r="B10" s="147">
        <v>3077412147.1999998</v>
      </c>
      <c r="C10" s="148">
        <v>3.0775493289347901E-2</v>
      </c>
      <c r="D10" s="147">
        <v>423.27251702147385</v>
      </c>
      <c r="E10" s="148">
        <v>2.7386229227202737E-2</v>
      </c>
      <c r="F10" s="461">
        <v>0.23610935015841622</v>
      </c>
      <c r="G10" s="460"/>
    </row>
    <row r="11" spans="1:11" ht="20" customHeight="1" thickBot="1">
      <c r="A11" s="251">
        <v>2000</v>
      </c>
      <c r="B11" s="147">
        <v>2832106458.9000001</v>
      </c>
      <c r="C11" s="148">
        <v>-7.971167869834804E-2</v>
      </c>
      <c r="D11" s="147">
        <v>389.82276793217119</v>
      </c>
      <c r="E11" s="148">
        <v>-7.9911358461451809E-2</v>
      </c>
      <c r="F11" s="461">
        <v>0.21069626660407667</v>
      </c>
      <c r="G11" s="460"/>
    </row>
    <row r="12" spans="1:11" ht="20" customHeight="1" thickBot="1">
      <c r="A12" s="251">
        <v>2001</v>
      </c>
      <c r="B12" s="147">
        <v>2102639270.2</v>
      </c>
      <c r="C12" s="148">
        <v>-0.25757053955638648</v>
      </c>
      <c r="D12" s="147">
        <v>287.99008361810974</v>
      </c>
      <c r="E12" s="148">
        <v>-0.26296295607940356</v>
      </c>
      <c r="F12" s="461">
        <v>0.15021735666544661</v>
      </c>
      <c r="G12" s="460"/>
    </row>
    <row r="13" spans="1:11" ht="20" customHeight="1" thickBot="1">
      <c r="A13" s="251">
        <v>2002</v>
      </c>
      <c r="B13" s="147">
        <v>1965532086</v>
      </c>
      <c r="C13" s="148">
        <v>-6.5207183249725284E-2</v>
      </c>
      <c r="D13" s="147">
        <v>267.61478124431557</v>
      </c>
      <c r="E13" s="148">
        <v>-7.0043883274281363E-2</v>
      </c>
      <c r="F13" s="461">
        <v>0.12800562007019203</v>
      </c>
      <c r="G13" s="460"/>
    </row>
    <row r="14" spans="1:11" ht="20" customHeight="1" thickBot="1">
      <c r="A14" s="251">
        <v>2003</v>
      </c>
      <c r="B14" s="147">
        <v>2393706072.8000002</v>
      </c>
      <c r="C14" s="148">
        <v>0.2178412603130612</v>
      </c>
      <c r="D14" s="147">
        <v>324.68015590359045</v>
      </c>
      <c r="E14" s="148">
        <v>0.21226977410879197</v>
      </c>
      <c r="F14" s="461">
        <v>0.14231214354211111</v>
      </c>
      <c r="G14" s="460"/>
    </row>
    <row r="15" spans="1:11" ht="20" customHeight="1" thickBot="1">
      <c r="A15" s="251">
        <v>2004</v>
      </c>
      <c r="B15" s="147">
        <v>2968481015</v>
      </c>
      <c r="C15" s="148">
        <v>0.24011926473815803</v>
      </c>
      <c r="D15" s="147">
        <v>402.03849991887398</v>
      </c>
      <c r="E15" s="148">
        <v>0.23564245193190347</v>
      </c>
      <c r="F15" s="461">
        <v>0.16464390527007836</v>
      </c>
      <c r="G15" s="460"/>
    </row>
    <row r="16" spans="1:11" ht="20" customHeight="1" thickBot="1">
      <c r="A16" s="251">
        <v>2005</v>
      </c>
      <c r="B16" s="147">
        <v>3184488330</v>
      </c>
      <c r="C16" s="148">
        <v>7.2766951820980405E-2</v>
      </c>
      <c r="D16" s="147">
        <v>428.26064350549666</v>
      </c>
      <c r="E16" s="148">
        <v>6.72292781796449E-2</v>
      </c>
      <c r="F16" s="461">
        <v>0.17216782468933323</v>
      </c>
      <c r="G16" s="460"/>
    </row>
    <row r="17" spans="1:7" ht="30" customHeight="1" thickBot="1">
      <c r="A17" s="361">
        <v>2006</v>
      </c>
      <c r="B17" s="282">
        <v>3749008576.4000001</v>
      </c>
      <c r="C17" s="150">
        <v>0.17727188417738685</v>
      </c>
      <c r="D17" s="282">
        <v>501.3096435628392</v>
      </c>
      <c r="E17" s="150">
        <v>0.17057135920640573</v>
      </c>
      <c r="F17" s="462">
        <v>0.19410142905887745</v>
      </c>
      <c r="G17" s="463"/>
    </row>
    <row r="18" spans="1:7" ht="20" customHeight="1">
      <c r="A18" s="136" t="s">
        <v>452</v>
      </c>
      <c r="B18" s="136"/>
      <c r="C18" s="136"/>
      <c r="D18" s="136"/>
      <c r="E18" s="136"/>
      <c r="F18" s="436"/>
      <c r="G18" s="3"/>
    </row>
    <row r="19" spans="1:7" ht="14.25" customHeight="1">
      <c r="A19" s="3"/>
      <c r="B19" s="3"/>
      <c r="C19" s="3"/>
      <c r="D19" s="3"/>
      <c r="E19" s="3"/>
      <c r="F19" s="437"/>
      <c r="G19" s="3"/>
    </row>
    <row r="20" spans="1:7" ht="12.75" customHeight="1">
      <c r="A20" s="3" t="s">
        <v>431</v>
      </c>
      <c r="B20" s="3"/>
      <c r="C20" s="3"/>
      <c r="D20" s="3"/>
      <c r="E20" s="3"/>
      <c r="F20" s="437"/>
      <c r="G20" s="3"/>
    </row>
    <row r="21" spans="1:7">
      <c r="A21" s="2" t="s">
        <v>432</v>
      </c>
    </row>
    <row r="23" spans="1:7">
      <c r="A23" s="2" t="s">
        <v>433</v>
      </c>
    </row>
    <row r="26" spans="1:7">
      <c r="A26" s="2" t="s">
        <v>1955</v>
      </c>
    </row>
  </sheetData>
  <phoneticPr fontId="0" type="noConversion"/>
  <pageMargins left="0.57999999999999996" right="0.69" top="0.94" bottom="0.49" header="0.53" footer="0.4921259845"/>
  <pageSetup paperSize="9" scale="83" orientation="portrait" horizontalDpi="4294967292" verticalDpi="429496729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1126-B372-E841-B0CE-8CEC21C9D128}">
  <sheetPr>
    <pageSetUpPr fitToPage="1"/>
  </sheetPr>
  <dimension ref="A1:K26"/>
  <sheetViews>
    <sheetView zoomScale="75" workbookViewId="0">
      <selection activeCell="H16" sqref="H16"/>
    </sheetView>
  </sheetViews>
  <sheetFormatPr baseColWidth="10" defaultColWidth="11.3984375" defaultRowHeight="13"/>
  <cols>
    <col min="1" max="1" width="15.19921875" style="2" customWidth="1"/>
    <col min="2" max="2" width="16.796875" style="2" customWidth="1"/>
    <col min="3" max="5" width="15.19921875" style="2" customWidth="1"/>
    <col min="6" max="6" width="15.19921875" style="446" customWidth="1"/>
    <col min="7" max="7" width="15.19921875" style="2" customWidth="1"/>
    <col min="8" max="16384" width="11.3984375" style="2"/>
  </cols>
  <sheetData>
    <row r="1" spans="1:11" s="1" customFormat="1" ht="14" customHeight="1">
      <c r="F1" s="452"/>
    </row>
    <row r="2" spans="1:11" s="1" customFormat="1" ht="37.5" customHeight="1">
      <c r="A2" s="1695" t="s">
        <v>438</v>
      </c>
      <c r="B2" s="1699"/>
      <c r="C2" s="1699"/>
      <c r="D2" s="1699"/>
      <c r="E2" s="1699"/>
      <c r="F2" s="265">
        <v>2006</v>
      </c>
      <c r="G2" s="265"/>
    </row>
    <row r="3" spans="1:11" ht="24" customHeight="1">
      <c r="A3" s="113" t="s">
        <v>758</v>
      </c>
      <c r="B3" s="114" t="s">
        <v>425</v>
      </c>
      <c r="C3" s="115" t="s">
        <v>45</v>
      </c>
      <c r="D3" s="114" t="s">
        <v>439</v>
      </c>
      <c r="E3" s="115" t="s">
        <v>45</v>
      </c>
      <c r="F3" s="454" t="s">
        <v>440</v>
      </c>
      <c r="G3" s="455"/>
    </row>
    <row r="4" spans="1:11" ht="15" customHeight="1">
      <c r="A4" s="248"/>
      <c r="B4" s="143" t="s">
        <v>441</v>
      </c>
      <c r="C4" s="118" t="s">
        <v>46</v>
      </c>
      <c r="D4" s="143" t="s">
        <v>442</v>
      </c>
      <c r="E4" s="118" t="s">
        <v>46</v>
      </c>
      <c r="F4" s="456" t="s">
        <v>443</v>
      </c>
      <c r="G4" s="455"/>
    </row>
    <row r="5" spans="1:11" ht="15" customHeight="1">
      <c r="A5" s="248"/>
      <c r="B5" s="117" t="s">
        <v>444</v>
      </c>
      <c r="C5" s="118" t="s">
        <v>50</v>
      </c>
      <c r="D5" s="117" t="s">
        <v>445</v>
      </c>
      <c r="E5" s="118" t="s">
        <v>50</v>
      </c>
      <c r="F5" s="456" t="s">
        <v>446</v>
      </c>
      <c r="G5" s="455"/>
    </row>
    <row r="6" spans="1:11" ht="24" customHeight="1">
      <c r="A6" s="249"/>
      <c r="B6" s="123" t="s">
        <v>1007</v>
      </c>
      <c r="C6" s="122"/>
      <c r="D6" s="123" t="s">
        <v>449</v>
      </c>
      <c r="E6" s="122"/>
      <c r="F6" s="457" t="s">
        <v>450</v>
      </c>
      <c r="G6" s="458"/>
    </row>
    <row r="7" spans="1:11" ht="23.25" customHeight="1" thickBot="1">
      <c r="A7" s="250">
        <v>1996</v>
      </c>
      <c r="B7" s="145">
        <v>3454536792</v>
      </c>
      <c r="C7" s="146" t="s">
        <v>860</v>
      </c>
      <c r="D7" s="145">
        <v>477.62973077565988</v>
      </c>
      <c r="E7" s="146" t="s">
        <v>860</v>
      </c>
      <c r="F7" s="459">
        <v>0.3204435263250443</v>
      </c>
      <c r="G7" s="460"/>
    </row>
    <row r="8" spans="1:11" ht="20" customHeight="1" thickBot="1">
      <c r="A8" s="251">
        <v>1997</v>
      </c>
      <c r="B8" s="147">
        <v>3507897754</v>
      </c>
      <c r="C8" s="148">
        <v>1.5446632996809605E-2</v>
      </c>
      <c r="D8" s="147">
        <v>484.75254775428522</v>
      </c>
      <c r="E8" s="148">
        <v>1.4912842563334664E-2</v>
      </c>
      <c r="F8" s="461">
        <v>0.30878035637656381</v>
      </c>
      <c r="G8" s="460"/>
      <c r="I8" s="9"/>
      <c r="J8" s="9"/>
      <c r="K8" s="9"/>
    </row>
    <row r="9" spans="1:11" ht="20" customHeight="1" thickBot="1">
      <c r="A9" s="251">
        <v>1998</v>
      </c>
      <c r="B9" s="147">
        <v>3693957839</v>
      </c>
      <c r="C9" s="148">
        <v>5.3040338700818361E-2</v>
      </c>
      <c r="D9" s="147">
        <v>509.74935597525797</v>
      </c>
      <c r="E9" s="148">
        <v>5.1566120357232882E-2</v>
      </c>
      <c r="F9" s="461">
        <v>0.30971755221728081</v>
      </c>
      <c r="G9" s="460"/>
    </row>
    <row r="10" spans="1:11" ht="20" customHeight="1" thickBot="1">
      <c r="A10" s="251">
        <v>1999</v>
      </c>
      <c r="B10" s="147">
        <v>3810018376.6999998</v>
      </c>
      <c r="C10" s="148">
        <v>3.1419020670636247E-2</v>
      </c>
      <c r="D10" s="147">
        <v>524.03642778331459</v>
      </c>
      <c r="E10" s="148">
        <v>2.8027640723002865E-2</v>
      </c>
      <c r="F10" s="461">
        <v>0.30650294561819263</v>
      </c>
      <c r="G10" s="460"/>
    </row>
    <row r="11" spans="1:11" ht="20" customHeight="1" thickBot="1">
      <c r="A11" s="251">
        <v>2000</v>
      </c>
      <c r="B11" s="147">
        <v>3956218486.3000002</v>
      </c>
      <c r="C11" s="148">
        <v>3.8372547096906601E-2</v>
      </c>
      <c r="D11" s="147">
        <v>544.55016542757153</v>
      </c>
      <c r="E11" s="148">
        <v>3.8147245982659471E-2</v>
      </c>
      <c r="F11" s="461">
        <v>0.29993370263899466</v>
      </c>
      <c r="G11" s="460"/>
    </row>
    <row r="12" spans="1:11" ht="20" customHeight="1" thickBot="1">
      <c r="A12" s="251">
        <v>2001</v>
      </c>
      <c r="B12" s="147">
        <v>3996358840.3000002</v>
      </c>
      <c r="C12" s="148">
        <v>1.0146141862235905E-2</v>
      </c>
      <c r="D12" s="147">
        <v>547.35962635511339</v>
      </c>
      <c r="E12" s="148">
        <v>2.8092445053004324E-3</v>
      </c>
      <c r="F12" s="461">
        <v>0.28573440049664334</v>
      </c>
      <c r="G12" s="460"/>
    </row>
    <row r="13" spans="1:11" ht="20" customHeight="1" thickBot="1">
      <c r="A13" s="251">
        <v>2002</v>
      </c>
      <c r="B13" s="147">
        <v>4018023804.0999999</v>
      </c>
      <c r="C13" s="148">
        <v>5.4211757917047706E-3</v>
      </c>
      <c r="D13" s="147">
        <v>547.06945209780417</v>
      </c>
      <c r="E13" s="148">
        <v>2.1903844265401507E-4</v>
      </c>
      <c r="F13" s="461">
        <v>0.27534370592196139</v>
      </c>
      <c r="G13" s="460"/>
    </row>
    <row r="14" spans="1:11" ht="20" customHeight="1" thickBot="1">
      <c r="A14" s="251">
        <v>2003</v>
      </c>
      <c r="B14" s="147">
        <v>4264253540.5999999</v>
      </c>
      <c r="C14" s="148">
        <v>6.1281303572354812E-2</v>
      </c>
      <c r="D14" s="147">
        <v>578.39954541909435</v>
      </c>
      <c r="E14" s="148">
        <v>5.6426061485892479E-2</v>
      </c>
      <c r="F14" s="461">
        <v>0.27806202962780097</v>
      </c>
      <c r="G14" s="460"/>
    </row>
    <row r="15" spans="1:11" ht="20" customHeight="1" thickBot="1">
      <c r="A15" s="251">
        <v>2004</v>
      </c>
      <c r="B15" s="147">
        <v>4487986097.3999996</v>
      </c>
      <c r="C15" s="148">
        <v>5.246699209365481E-2</v>
      </c>
      <c r="D15" s="147">
        <v>607.83383459013214</v>
      </c>
      <c r="E15" s="148">
        <v>4.866760130735015E-2</v>
      </c>
      <c r="F15" s="461">
        <v>0.27520979583864619</v>
      </c>
      <c r="G15" s="460"/>
    </row>
    <row r="16" spans="1:11" ht="20" customHeight="1" thickBot="1">
      <c r="A16" s="251">
        <v>2005</v>
      </c>
      <c r="B16" s="147">
        <v>4710406318.5</v>
      </c>
      <c r="C16" s="148">
        <v>4.9559026314465161E-2</v>
      </c>
      <c r="D16" s="147">
        <v>633.47119917588623</v>
      </c>
      <c r="E16" s="148">
        <v>4.4141153080039422E-2</v>
      </c>
      <c r="F16" s="461">
        <v>0.27145060304290114</v>
      </c>
      <c r="G16" s="460"/>
    </row>
    <row r="17" spans="1:7" ht="30" customHeight="1" thickBot="1">
      <c r="A17" s="361">
        <v>2006</v>
      </c>
      <c r="B17" s="282">
        <v>4989972486.6999998</v>
      </c>
      <c r="C17" s="150">
        <v>5.9350754329198917E-2</v>
      </c>
      <c r="D17" s="282">
        <v>667.24876129732593</v>
      </c>
      <c r="E17" s="150">
        <v>5.3321385668965833E-2</v>
      </c>
      <c r="F17" s="462">
        <v>0.28410364747524469</v>
      </c>
      <c r="G17" s="463"/>
    </row>
    <row r="18" spans="1:7" ht="20" customHeight="1">
      <c r="A18" s="136" t="s">
        <v>452</v>
      </c>
      <c r="B18" s="136"/>
      <c r="C18" s="136"/>
      <c r="D18" s="136"/>
      <c r="E18" s="136"/>
      <c r="F18" s="436"/>
      <c r="G18" s="3"/>
    </row>
    <row r="19" spans="1:7" ht="12.75" customHeight="1">
      <c r="A19" s="3"/>
      <c r="B19" s="3"/>
      <c r="C19" s="3"/>
      <c r="D19" s="3"/>
      <c r="E19" s="3"/>
      <c r="F19" s="437"/>
      <c r="G19" s="3"/>
    </row>
    <row r="20" spans="1:7" ht="12.75" customHeight="1">
      <c r="A20" s="2" t="s">
        <v>431</v>
      </c>
      <c r="B20" s="3"/>
      <c r="C20" s="3"/>
      <c r="D20" s="3"/>
      <c r="E20" s="3"/>
      <c r="F20" s="437"/>
      <c r="G20" s="3"/>
    </row>
    <row r="21" spans="1:7" ht="12.75" customHeight="1">
      <c r="A21" s="2" t="s">
        <v>447</v>
      </c>
    </row>
    <row r="23" spans="1:7">
      <c r="A23" s="2" t="s">
        <v>448</v>
      </c>
    </row>
    <row r="26" spans="1:7">
      <c r="A26" s="2" t="s">
        <v>1955</v>
      </c>
    </row>
  </sheetData>
  <mergeCells count="1">
    <mergeCell ref="A2:E2"/>
  </mergeCells>
  <phoneticPr fontId="0" type="noConversion"/>
  <pageMargins left="0.62" right="0.78740157480314965" top="0.99" bottom="0.49" header="0.6" footer="0.4921259845"/>
  <pageSetup paperSize="9" scale="82" orientation="portrait" horizontalDpi="4294967292" verticalDpi="429496729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F7A5-0109-EA4E-B9A3-99B7480C82CF}">
  <dimension ref="A1:B28"/>
  <sheetViews>
    <sheetView topLeftCell="A8" workbookViewId="0">
      <selection activeCell="A26" sqref="A26:IV26"/>
    </sheetView>
  </sheetViews>
  <sheetFormatPr baseColWidth="10" defaultColWidth="11.3984375" defaultRowHeight="13"/>
  <cols>
    <col min="1" max="1" width="5.59765625" style="162" customWidth="1"/>
    <col min="2" max="16384" width="11.3984375" style="162"/>
  </cols>
  <sheetData>
    <row r="1" spans="1:2" ht="16">
      <c r="A1" s="161" t="s">
        <v>122</v>
      </c>
    </row>
    <row r="2" spans="1:2" ht="16">
      <c r="A2" s="161"/>
    </row>
    <row r="3" spans="1:2" s="165" customFormat="1">
      <c r="A3" s="163">
        <v>2.0099999999999998</v>
      </c>
      <c r="B3" s="164" t="s">
        <v>2011</v>
      </c>
    </row>
    <row r="4" spans="1:2" s="165" customFormat="1">
      <c r="A4" s="163">
        <v>2.02</v>
      </c>
      <c r="B4" s="164" t="s">
        <v>2012</v>
      </c>
    </row>
    <row r="5" spans="1:2" s="165" customFormat="1">
      <c r="A5" s="163">
        <v>2.0299999999999998</v>
      </c>
      <c r="B5" s="163" t="s">
        <v>2013</v>
      </c>
    </row>
    <row r="6" spans="1:2" s="165" customFormat="1">
      <c r="A6" s="163">
        <v>2.04</v>
      </c>
      <c r="B6" s="163" t="s">
        <v>2014</v>
      </c>
    </row>
    <row r="7" spans="1:2" s="165" customFormat="1">
      <c r="A7" s="163">
        <v>2.0499999999999998</v>
      </c>
      <c r="B7" s="163" t="s">
        <v>2015</v>
      </c>
    </row>
    <row r="8" spans="1:2" s="165" customFormat="1">
      <c r="A8" s="163">
        <v>2.06</v>
      </c>
      <c r="B8" s="163" t="s">
        <v>2016</v>
      </c>
    </row>
    <row r="9" spans="1:2" s="165" customFormat="1">
      <c r="A9" s="163">
        <v>2.0699999999999998</v>
      </c>
      <c r="B9" s="163" t="s">
        <v>2017</v>
      </c>
    </row>
    <row r="10" spans="1:2" s="165" customFormat="1">
      <c r="A10" s="163">
        <v>2.08</v>
      </c>
      <c r="B10" s="163" t="s">
        <v>2018</v>
      </c>
    </row>
    <row r="11" spans="1:2" s="165" customFormat="1">
      <c r="A11" s="163">
        <v>2.09</v>
      </c>
      <c r="B11" s="163" t="s">
        <v>2019</v>
      </c>
    </row>
    <row r="12" spans="1:2">
      <c r="A12" s="166">
        <v>2.1</v>
      </c>
      <c r="B12" s="164" t="s">
        <v>2020</v>
      </c>
    </row>
    <row r="13" spans="1:2">
      <c r="A13" s="166">
        <v>2.11</v>
      </c>
      <c r="B13" s="164" t="s">
        <v>2021</v>
      </c>
    </row>
    <row r="14" spans="1:2">
      <c r="A14" s="163">
        <v>2.12</v>
      </c>
      <c r="B14" s="163" t="s">
        <v>2022</v>
      </c>
    </row>
    <row r="15" spans="1:2">
      <c r="A15" s="163">
        <v>2.13</v>
      </c>
      <c r="B15" s="164" t="s">
        <v>2023</v>
      </c>
    </row>
    <row r="16" spans="1:2">
      <c r="A16" s="163">
        <v>2.14</v>
      </c>
      <c r="B16" s="164" t="s">
        <v>2024</v>
      </c>
    </row>
    <row r="17" spans="1:2">
      <c r="A17" s="163">
        <v>2.15</v>
      </c>
      <c r="B17" s="164" t="s">
        <v>2025</v>
      </c>
    </row>
    <row r="18" spans="1:2">
      <c r="A18" s="163">
        <v>2.16</v>
      </c>
      <c r="B18" s="164" t="s">
        <v>2026</v>
      </c>
    </row>
    <row r="19" spans="1:2">
      <c r="A19" s="163">
        <v>2.17</v>
      </c>
      <c r="B19" s="164" t="s">
        <v>2027</v>
      </c>
    </row>
    <row r="20" spans="1:2">
      <c r="A20" s="163">
        <v>2.1800000000000002</v>
      </c>
      <c r="B20" s="164" t="s">
        <v>2028</v>
      </c>
    </row>
    <row r="21" spans="1:2">
      <c r="A21" s="163">
        <v>2.19</v>
      </c>
      <c r="B21" s="164" t="s">
        <v>2029</v>
      </c>
    </row>
    <row r="22" spans="1:2">
      <c r="A22" s="167" t="s">
        <v>1511</v>
      </c>
      <c r="B22" s="164" t="s">
        <v>2030</v>
      </c>
    </row>
    <row r="23" spans="1:2">
      <c r="A23" s="163">
        <v>2.21</v>
      </c>
      <c r="B23" s="164" t="s">
        <v>2031</v>
      </c>
    </row>
    <row r="24" spans="1:2">
      <c r="A24" s="163">
        <v>2.2200000000000002</v>
      </c>
      <c r="B24" s="164" t="s">
        <v>2032</v>
      </c>
    </row>
    <row r="25" spans="1:2">
      <c r="A25" s="163">
        <v>2.23</v>
      </c>
      <c r="B25" s="164" t="s">
        <v>1791</v>
      </c>
    </row>
    <row r="28" spans="1:2">
      <c r="A28" s="168" t="s">
        <v>1955</v>
      </c>
    </row>
  </sheetData>
  <phoneticPr fontId="30" type="noConversion"/>
  <pageMargins left="0.46" right="0.35" top="0.88" bottom="0.984251969" header="0.4921259845" footer="0.4921259845"/>
  <pageSetup paperSize="9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2F17-78B9-E942-B502-81ABF189C2BF}">
  <sheetPr>
    <pageSetUpPr fitToPage="1"/>
  </sheetPr>
  <dimension ref="A1:J23"/>
  <sheetViews>
    <sheetView topLeftCell="A4" zoomScale="75" workbookViewId="0">
      <selection activeCell="I11" sqref="I11"/>
    </sheetView>
  </sheetViews>
  <sheetFormatPr baseColWidth="10" defaultColWidth="11.3984375" defaultRowHeight="13"/>
  <cols>
    <col min="1" max="1" width="12.796875" style="2" customWidth="1"/>
    <col min="2" max="6" width="15.3984375" style="2" customWidth="1"/>
    <col min="7" max="7" width="14.796875" style="2" customWidth="1"/>
    <col min="8" max="16384" width="11.3984375" style="2"/>
  </cols>
  <sheetData>
    <row r="1" spans="1:10" s="1" customFormat="1" ht="14" customHeight="1">
      <c r="A1" s="718"/>
      <c r="B1" s="718"/>
      <c r="C1" s="718"/>
      <c r="D1" s="718"/>
      <c r="E1" s="718"/>
      <c r="F1" s="718"/>
      <c r="G1" s="718"/>
    </row>
    <row r="2" spans="1:10" s="1" customFormat="1" ht="39" customHeight="1">
      <c r="A2" s="1700" t="s">
        <v>1231</v>
      </c>
      <c r="B2" s="1699"/>
      <c r="C2" s="1699"/>
      <c r="D2" s="1699"/>
      <c r="E2" s="1699"/>
      <c r="F2" s="1699"/>
      <c r="G2" s="748">
        <v>2006</v>
      </c>
    </row>
    <row r="3" spans="1:10" ht="24" customHeight="1">
      <c r="A3" s="113" t="s">
        <v>758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  <c r="G3" s="115" t="s">
        <v>45</v>
      </c>
    </row>
    <row r="4" spans="1:10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  <c r="G4" s="118" t="s">
        <v>46</v>
      </c>
    </row>
    <row r="5" spans="1:10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  <c r="G5" s="118" t="s">
        <v>50</v>
      </c>
    </row>
    <row r="6" spans="1:10" ht="24" customHeight="1">
      <c r="A6" s="249"/>
      <c r="B6" s="123"/>
      <c r="C6" s="122"/>
      <c r="D6" s="123"/>
      <c r="E6" s="183" t="s">
        <v>753</v>
      </c>
      <c r="F6" s="123"/>
      <c r="G6" s="122"/>
    </row>
    <row r="7" spans="1:10" ht="23.25" customHeight="1" thickBot="1">
      <c r="A7" s="250">
        <v>1996</v>
      </c>
      <c r="B7" s="637">
        <v>1089.2648005000001</v>
      </c>
      <c r="C7" s="257">
        <v>580.10166180000022</v>
      </c>
      <c r="D7" s="637">
        <v>4.3753463500000001</v>
      </c>
      <c r="E7" s="257">
        <v>4.7899289500000002</v>
      </c>
      <c r="F7" s="637">
        <v>1678.5317376000003</v>
      </c>
      <c r="G7" s="146" t="s">
        <v>1412</v>
      </c>
    </row>
    <row r="8" spans="1:10" ht="20" customHeight="1" thickBot="1">
      <c r="A8" s="251">
        <v>1997</v>
      </c>
      <c r="B8" s="638">
        <v>879.95045900000002</v>
      </c>
      <c r="C8" s="546">
        <v>850.70337900000004</v>
      </c>
      <c r="D8" s="638">
        <v>1.7040200000000001</v>
      </c>
      <c r="E8" s="546">
        <v>45.624484000000002</v>
      </c>
      <c r="F8" s="638">
        <v>1777.9823429999999</v>
      </c>
      <c r="G8" s="148">
        <v>5.9248570147500512E-2</v>
      </c>
      <c r="H8" s="9"/>
      <c r="I8" s="9"/>
      <c r="J8" s="9"/>
    </row>
    <row r="9" spans="1:10" ht="20" customHeight="1" thickBot="1">
      <c r="A9" s="251">
        <v>1998</v>
      </c>
      <c r="B9" s="638">
        <v>1013.8999679999999</v>
      </c>
      <c r="C9" s="546">
        <v>981.74108000000001</v>
      </c>
      <c r="D9" s="638">
        <v>1.2942830000000001</v>
      </c>
      <c r="E9" s="546">
        <v>100.29746900000001</v>
      </c>
      <c r="F9" s="638">
        <v>2097.2328000000002</v>
      </c>
      <c r="G9" s="148">
        <v>0.17955772072591403</v>
      </c>
    </row>
    <row r="10" spans="1:10" ht="20" customHeight="1" thickBot="1">
      <c r="A10" s="251">
        <v>1999</v>
      </c>
      <c r="B10" s="638">
        <v>1011.36115</v>
      </c>
      <c r="C10" s="546">
        <v>1055.56864</v>
      </c>
      <c r="D10" s="638">
        <v>0.79245500000000002</v>
      </c>
      <c r="E10" s="546">
        <v>122.17894</v>
      </c>
      <c r="F10" s="638">
        <v>2189.9011839999998</v>
      </c>
      <c r="G10" s="148">
        <v>4.4186026463061134E-2</v>
      </c>
    </row>
    <row r="11" spans="1:10" ht="20" customHeight="1" thickBot="1">
      <c r="A11" s="251">
        <v>2000</v>
      </c>
      <c r="B11" s="638">
        <v>1054.450601</v>
      </c>
      <c r="C11" s="546">
        <v>1090.7209829999999</v>
      </c>
      <c r="D11" s="638">
        <v>1.2512209999999999</v>
      </c>
      <c r="E11" s="546">
        <v>141.59474</v>
      </c>
      <c r="F11" s="638">
        <v>2288.0175450000002</v>
      </c>
      <c r="G11" s="148">
        <v>4.4804012946732197E-2</v>
      </c>
    </row>
    <row r="12" spans="1:10" ht="20" customHeight="1" thickBot="1">
      <c r="A12" s="251">
        <v>2001</v>
      </c>
      <c r="B12" s="638">
        <v>1083.514122</v>
      </c>
      <c r="C12" s="546">
        <v>1158.4133609999999</v>
      </c>
      <c r="D12" s="638">
        <v>1.2681009299999999</v>
      </c>
      <c r="E12" s="546">
        <v>156.9939449</v>
      </c>
      <c r="F12" s="638">
        <v>2400.1895288299997</v>
      </c>
      <c r="G12" s="148">
        <v>4.9025840765569706E-2</v>
      </c>
    </row>
    <row r="13" spans="1:10" ht="20" customHeight="1" thickBot="1">
      <c r="A13" s="251">
        <v>2002</v>
      </c>
      <c r="B13" s="638">
        <v>1089.8289460000001</v>
      </c>
      <c r="C13" s="546">
        <v>1244.155033</v>
      </c>
      <c r="D13" s="638">
        <v>1.2603006499999998</v>
      </c>
      <c r="E13" s="546">
        <v>167.5860868</v>
      </c>
      <c r="F13" s="638">
        <v>2502.8303664500004</v>
      </c>
      <c r="G13" s="148">
        <v>4.2763638615669786E-2</v>
      </c>
    </row>
    <row r="14" spans="1:10" ht="20" customHeight="1" thickBot="1">
      <c r="A14" s="251">
        <v>2003</v>
      </c>
      <c r="B14" s="638">
        <v>1079.925866</v>
      </c>
      <c r="C14" s="546">
        <v>1341.49136</v>
      </c>
      <c r="D14" s="638">
        <v>1.2206523200000001</v>
      </c>
      <c r="E14" s="546">
        <v>165.86177330000001</v>
      </c>
      <c r="F14" s="638">
        <v>2588.4996516200003</v>
      </c>
      <c r="G14" s="148">
        <v>3.4228961865886642E-2</v>
      </c>
    </row>
    <row r="15" spans="1:10" ht="20" customHeight="1" thickBot="1">
      <c r="A15" s="251">
        <v>2004</v>
      </c>
      <c r="B15" s="638">
        <v>1255.4702629999999</v>
      </c>
      <c r="C15" s="546">
        <v>1341.301393</v>
      </c>
      <c r="D15" s="638">
        <v>1.3776067599999999</v>
      </c>
      <c r="E15" s="546">
        <v>234.16313299999999</v>
      </c>
      <c r="F15" s="638">
        <v>2832.3123957600001</v>
      </c>
      <c r="G15" s="148">
        <v>9.4190757950232129E-2</v>
      </c>
    </row>
    <row r="16" spans="1:10" ht="20" customHeight="1" thickBot="1">
      <c r="A16" s="251">
        <v>2005</v>
      </c>
      <c r="B16" s="638">
        <v>1328.0246323900001</v>
      </c>
      <c r="C16" s="546">
        <v>1371.8229592</v>
      </c>
      <c r="D16" s="638">
        <v>1.4003180399999999</v>
      </c>
      <c r="E16" s="546">
        <v>293.73870004000003</v>
      </c>
      <c r="F16" s="638">
        <v>2994.9866096700002</v>
      </c>
      <c r="G16" s="148">
        <v>5.7435124089251222E-2</v>
      </c>
    </row>
    <row r="17" spans="1:7" ht="30" customHeight="1" thickBot="1">
      <c r="A17" s="361">
        <v>2006</v>
      </c>
      <c r="B17" s="844">
        <v>1275.3436029700001</v>
      </c>
      <c r="C17" s="845">
        <v>1332.0194115899999</v>
      </c>
      <c r="D17" s="844">
        <v>1.24792378</v>
      </c>
      <c r="E17" s="845">
        <v>430.10038037999999</v>
      </c>
      <c r="F17" s="844">
        <v>3038.7113187199998</v>
      </c>
      <c r="G17" s="150">
        <v>1.4599300347061472E-2</v>
      </c>
    </row>
    <row r="18" spans="1:7" ht="20" customHeight="1">
      <c r="A18" s="846" t="s">
        <v>453</v>
      </c>
      <c r="B18" s="846"/>
      <c r="C18" s="846"/>
      <c r="D18" s="846"/>
      <c r="E18" s="846"/>
      <c r="F18" s="846"/>
      <c r="G18" s="846"/>
    </row>
    <row r="20" spans="1:7">
      <c r="A20" s="2" t="s">
        <v>1232</v>
      </c>
    </row>
    <row r="23" spans="1:7">
      <c r="A23" s="2" t="s">
        <v>1955</v>
      </c>
    </row>
  </sheetData>
  <mergeCells count="1">
    <mergeCell ref="A2:F2"/>
  </mergeCells>
  <phoneticPr fontId="0" type="noConversion"/>
  <pageMargins left="0.53" right="0.6" top="1.1200000000000001" bottom="0.49" header="0.63" footer="0.4921259845"/>
  <pageSetup paperSize="9" scale="88" orientation="portrait" horizontalDpi="4294967292" verticalDpi="429496729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6CE3-163C-7743-A701-CF793991AB49}">
  <sheetPr>
    <pageSetUpPr fitToPage="1"/>
  </sheetPr>
  <dimension ref="A1:J82"/>
  <sheetViews>
    <sheetView topLeftCell="A61" zoomScale="75" workbookViewId="0">
      <selection activeCell="G3" sqref="G3"/>
    </sheetView>
  </sheetViews>
  <sheetFormatPr baseColWidth="10" defaultColWidth="11.3984375" defaultRowHeight="13"/>
  <cols>
    <col min="1" max="1" width="21.796875" style="2" customWidth="1"/>
    <col min="2" max="3" width="15.796875" style="2" customWidth="1"/>
    <col min="4" max="4" width="15.59765625" style="2" customWidth="1"/>
    <col min="5" max="5" width="16.3984375" style="2" customWidth="1"/>
    <col min="6" max="6" width="16.796875" style="2" customWidth="1"/>
    <col min="7" max="7" width="17.1992187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9.75" customHeight="1">
      <c r="A2" s="1695" t="s">
        <v>2354</v>
      </c>
      <c r="B2" s="1699"/>
      <c r="C2" s="1699"/>
      <c r="D2" s="1699"/>
      <c r="E2" s="1699"/>
      <c r="F2" s="112"/>
      <c r="G2" s="112">
        <v>2006</v>
      </c>
    </row>
    <row r="3" spans="1:10" ht="24" customHeight="1">
      <c r="A3" s="328" t="s">
        <v>2355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  <c r="G3" s="170" t="s">
        <v>45</v>
      </c>
    </row>
    <row r="4" spans="1:10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  <c r="G4" s="116" t="s">
        <v>46</v>
      </c>
    </row>
    <row r="5" spans="1:10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  <c r="G5" s="116" t="s">
        <v>50</v>
      </c>
    </row>
    <row r="6" spans="1:10" ht="24" customHeight="1">
      <c r="A6" s="314" t="s">
        <v>740</v>
      </c>
      <c r="B6" s="123"/>
      <c r="C6" s="122"/>
      <c r="D6" s="123"/>
      <c r="E6" s="183" t="s">
        <v>753</v>
      </c>
      <c r="F6" s="123"/>
      <c r="G6" s="182"/>
    </row>
    <row r="7" spans="1:10" ht="20" customHeight="1" thickBot="1">
      <c r="A7" s="250">
        <v>1996</v>
      </c>
      <c r="B7" s="145">
        <v>228.61851592074831</v>
      </c>
      <c r="C7" s="198">
        <v>250.28080917066114</v>
      </c>
      <c r="D7" s="145">
        <v>156.40767594799246</v>
      </c>
      <c r="E7" s="198">
        <v>39.181749983856008</v>
      </c>
      <c r="F7" s="145">
        <v>232.07567799264095</v>
      </c>
      <c r="G7" s="421" t="s">
        <v>1412</v>
      </c>
    </row>
    <row r="8" spans="1:10" ht="20" customHeight="1" thickBot="1">
      <c r="A8" s="251">
        <v>1997</v>
      </c>
      <c r="B8" s="147">
        <v>214.82091350284739</v>
      </c>
      <c r="C8" s="204">
        <v>309.95377266694288</v>
      </c>
      <c r="D8" s="147">
        <v>147.80819168288531</v>
      </c>
      <c r="E8" s="204">
        <v>118.73527169724866</v>
      </c>
      <c r="F8" s="147">
        <v>245.69341951346181</v>
      </c>
      <c r="G8" s="499">
        <v>5.8678021060236452E-2</v>
      </c>
      <c r="H8" s="9"/>
      <c r="I8" s="9"/>
      <c r="J8" s="9"/>
    </row>
    <row r="9" spans="1:10" ht="20" customHeight="1" thickBot="1">
      <c r="A9" s="251">
        <v>1998</v>
      </c>
      <c r="B9" s="147">
        <v>252.5128510168046</v>
      </c>
      <c r="C9" s="204">
        <v>360.17625657491357</v>
      </c>
      <c r="D9" s="147">
        <v>109.45734992662796</v>
      </c>
      <c r="E9" s="204">
        <v>203.07165413877752</v>
      </c>
      <c r="F9" s="147">
        <v>289.40816378154983</v>
      </c>
      <c r="G9" s="499">
        <v>0.17792395235759595</v>
      </c>
    </row>
    <row r="10" spans="1:10" ht="20" customHeight="1" thickBot="1">
      <c r="A10" s="251">
        <v>1999</v>
      </c>
      <c r="B10" s="147">
        <v>252.78194503280005</v>
      </c>
      <c r="C10" s="204">
        <v>388.48632413108436</v>
      </c>
      <c r="D10" s="147">
        <v>77.211639339766236</v>
      </c>
      <c r="E10" s="204">
        <v>225.34003908380205</v>
      </c>
      <c r="F10" s="147">
        <v>301.19915324099151</v>
      </c>
      <c r="G10" s="499">
        <v>4.0741730659476838E-2</v>
      </c>
    </row>
    <row r="11" spans="1:10" ht="20" customHeight="1" thickBot="1">
      <c r="A11" s="251">
        <v>2000</v>
      </c>
      <c r="B11" s="147">
        <v>268.97415894253976</v>
      </c>
      <c r="C11" s="204">
        <v>395.55641048968283</v>
      </c>
      <c r="D11" s="147">
        <v>127.58078154223918</v>
      </c>
      <c r="E11" s="204">
        <v>245.13884972744927</v>
      </c>
      <c r="F11" s="147">
        <v>314.93035979343995</v>
      </c>
      <c r="G11" s="499">
        <v>4.5588463329649498E-2</v>
      </c>
    </row>
    <row r="12" spans="1:10" ht="20" customHeight="1" thickBot="1">
      <c r="A12" s="251">
        <v>2001</v>
      </c>
      <c r="B12" s="147">
        <v>279.87221622151498</v>
      </c>
      <c r="C12" s="204">
        <v>409.91519673787701</v>
      </c>
      <c r="D12" s="147">
        <v>136.13273133558098</v>
      </c>
      <c r="E12" s="204">
        <v>264.16982213438177</v>
      </c>
      <c r="F12" s="147">
        <v>328.74580078618828</v>
      </c>
      <c r="G12" s="499">
        <v>4.3868241225805571E-2</v>
      </c>
    </row>
    <row r="13" spans="1:10" ht="20" customHeight="1" thickBot="1">
      <c r="A13" s="251">
        <v>2002</v>
      </c>
      <c r="B13" s="147">
        <v>286.4170414821387</v>
      </c>
      <c r="C13" s="204">
        <v>418.22409665521263</v>
      </c>
      <c r="D13" s="147">
        <v>142.93477715564441</v>
      </c>
      <c r="E13" s="204">
        <v>301.45728171382285</v>
      </c>
      <c r="F13" s="147">
        <v>340.77001631259407</v>
      </c>
      <c r="G13" s="499">
        <v>3.6576027732217797E-2</v>
      </c>
    </row>
    <row r="14" spans="1:10" ht="20" customHeight="1" thickBot="1">
      <c r="A14" s="251">
        <v>2003</v>
      </c>
      <c r="B14" s="147">
        <v>294.74032000405879</v>
      </c>
      <c r="C14" s="204">
        <v>432.96196147343414</v>
      </c>
      <c r="D14" s="147">
        <v>147.17768028203764</v>
      </c>
      <c r="E14" s="204">
        <v>275.60229235265177</v>
      </c>
      <c r="F14" s="147">
        <v>351.10178312798706</v>
      </c>
      <c r="G14" s="499">
        <v>3.0318884645988087E-2</v>
      </c>
    </row>
    <row r="15" spans="1:10" ht="20" customHeight="1" thickBot="1">
      <c r="A15" s="251">
        <v>2004</v>
      </c>
      <c r="B15" s="147">
        <v>346.67767559714537</v>
      </c>
      <c r="C15" s="204">
        <v>445.61742079017637</v>
      </c>
      <c r="D15" s="147">
        <v>170.9555657016069</v>
      </c>
      <c r="E15" s="204">
        <v>314.69406860308436</v>
      </c>
      <c r="F15" s="147">
        <v>383.59639867630506</v>
      </c>
      <c r="G15" s="499">
        <v>9.2550414466202602E-2</v>
      </c>
    </row>
    <row r="16" spans="1:10" ht="20" customHeight="1" thickBot="1">
      <c r="A16" s="251">
        <v>2005</v>
      </c>
      <c r="B16" s="147">
        <v>369.44498634392721</v>
      </c>
      <c r="C16" s="204">
        <v>468.17286197785694</v>
      </c>
      <c r="D16" s="147">
        <v>182.15224262282666</v>
      </c>
      <c r="E16" s="204">
        <v>325.16017542364909</v>
      </c>
      <c r="F16" s="147">
        <v>402.77581823634506</v>
      </c>
      <c r="G16" s="499">
        <v>4.9998956262945482E-2</v>
      </c>
    </row>
    <row r="17" spans="1:7" ht="21.75" customHeight="1" thickBot="1">
      <c r="A17" s="361">
        <v>2006</v>
      </c>
      <c r="B17" s="282">
        <v>381.48826099648591</v>
      </c>
      <c r="C17" s="283">
        <v>479.72716225398437</v>
      </c>
      <c r="D17" s="282">
        <v>173.51556238627722</v>
      </c>
      <c r="E17" s="283">
        <v>318.22891670236891</v>
      </c>
      <c r="F17" s="282">
        <v>406.33016890579557</v>
      </c>
      <c r="G17" s="610">
        <v>8.8246376979981278E-3</v>
      </c>
    </row>
    <row r="18" spans="1:7" ht="17.25" customHeight="1">
      <c r="A18" s="136" t="s">
        <v>453</v>
      </c>
      <c r="B18" s="136"/>
      <c r="C18" s="136"/>
      <c r="D18" s="136"/>
      <c r="E18" s="136"/>
      <c r="F18" s="136"/>
      <c r="G18" s="414"/>
    </row>
    <row r="19" spans="1:7">
      <c r="G19" s="415"/>
    </row>
    <row r="20" spans="1:7">
      <c r="A20" s="2" t="s">
        <v>2348</v>
      </c>
      <c r="G20" s="415"/>
    </row>
    <row r="21" spans="1:7">
      <c r="G21" s="415"/>
    </row>
    <row r="22" spans="1:7">
      <c r="G22" s="415"/>
    </row>
    <row r="23" spans="1:7" ht="16">
      <c r="A23" s="843" t="s">
        <v>2349</v>
      </c>
      <c r="G23" s="415"/>
    </row>
    <row r="24" spans="1:7">
      <c r="G24" s="415"/>
    </row>
    <row r="25" spans="1:7" ht="18" customHeight="1">
      <c r="A25" s="328" t="s">
        <v>42</v>
      </c>
      <c r="B25" s="114" t="s">
        <v>741</v>
      </c>
      <c r="C25" s="115" t="s">
        <v>742</v>
      </c>
      <c r="D25" s="114" t="s">
        <v>743</v>
      </c>
      <c r="E25" s="115" t="s">
        <v>744</v>
      </c>
      <c r="F25" s="114" t="s">
        <v>1951</v>
      </c>
      <c r="G25" s="394" t="s">
        <v>45</v>
      </c>
    </row>
    <row r="26" spans="1:7" ht="18" customHeight="1">
      <c r="A26" s="847" t="s">
        <v>47</v>
      </c>
      <c r="B26" s="117" t="s">
        <v>745</v>
      </c>
      <c r="C26" s="118" t="s">
        <v>746</v>
      </c>
      <c r="D26" s="117" t="s">
        <v>747</v>
      </c>
      <c r="E26" s="180" t="s">
        <v>748</v>
      </c>
      <c r="F26" s="117"/>
      <c r="G26" s="494" t="s">
        <v>46</v>
      </c>
    </row>
    <row r="27" spans="1:7" ht="18" customHeight="1">
      <c r="A27" s="248"/>
      <c r="B27" s="117" t="s">
        <v>749</v>
      </c>
      <c r="C27" s="118" t="s">
        <v>750</v>
      </c>
      <c r="D27" s="117" t="s">
        <v>751</v>
      </c>
      <c r="E27" s="180" t="s">
        <v>752</v>
      </c>
      <c r="F27" s="117"/>
      <c r="G27" s="494" t="s">
        <v>50</v>
      </c>
    </row>
    <row r="28" spans="1:7" ht="18" customHeight="1">
      <c r="A28" s="249" t="s">
        <v>758</v>
      </c>
      <c r="B28" s="123"/>
      <c r="C28" s="122"/>
      <c r="D28" s="123"/>
      <c r="E28" s="183" t="s">
        <v>753</v>
      </c>
      <c r="F28" s="123"/>
      <c r="G28" s="395"/>
    </row>
    <row r="29" spans="1:7" ht="18" customHeight="1" thickBot="1">
      <c r="A29" s="250">
        <v>1996</v>
      </c>
      <c r="B29" s="145" t="s">
        <v>1412</v>
      </c>
      <c r="C29" s="198" t="s">
        <v>1412</v>
      </c>
      <c r="D29" s="145" t="s">
        <v>1412</v>
      </c>
      <c r="E29" s="198" t="s">
        <v>1412</v>
      </c>
      <c r="F29" s="145" t="s">
        <v>1412</v>
      </c>
      <c r="G29" s="421" t="s">
        <v>1412</v>
      </c>
    </row>
    <row r="30" spans="1:7" ht="18" customHeight="1" thickBot="1">
      <c r="A30" s="251">
        <v>1997</v>
      </c>
      <c r="B30" s="147">
        <v>51.63</v>
      </c>
      <c r="C30" s="204">
        <v>148.74</v>
      </c>
      <c r="D30" s="147" t="s">
        <v>1412</v>
      </c>
      <c r="E30" s="204">
        <v>35.81</v>
      </c>
      <c r="F30" s="147">
        <v>63.73</v>
      </c>
      <c r="G30" s="499" t="s">
        <v>1412</v>
      </c>
    </row>
    <row r="31" spans="1:7" ht="18" customHeight="1" thickBot="1">
      <c r="A31" s="251">
        <v>1998</v>
      </c>
      <c r="B31" s="147">
        <v>54.92</v>
      </c>
      <c r="C31" s="204">
        <v>162.55000000000001</v>
      </c>
      <c r="D31" s="147">
        <v>31.98</v>
      </c>
      <c r="E31" s="204">
        <v>44.35</v>
      </c>
      <c r="F31" s="147">
        <v>67.75</v>
      </c>
      <c r="G31" s="499">
        <v>6.3078612898164188E-2</v>
      </c>
    </row>
    <row r="32" spans="1:7" ht="18" customHeight="1" thickBot="1">
      <c r="A32" s="251">
        <v>1999</v>
      </c>
      <c r="B32" s="147">
        <v>55.76</v>
      </c>
      <c r="C32" s="204">
        <v>166.26</v>
      </c>
      <c r="D32" s="147">
        <v>37.880000000000003</v>
      </c>
      <c r="E32" s="204">
        <v>46.78</v>
      </c>
      <c r="F32" s="147">
        <v>68.52</v>
      </c>
      <c r="G32" s="499">
        <v>1.1365313653136422E-2</v>
      </c>
    </row>
    <row r="33" spans="1:7" ht="18" customHeight="1" thickBot="1">
      <c r="A33" s="251">
        <v>2000</v>
      </c>
      <c r="B33" s="147">
        <v>58.29</v>
      </c>
      <c r="C33" s="204">
        <v>178</v>
      </c>
      <c r="D33" s="147">
        <v>32.72</v>
      </c>
      <c r="E33" s="204">
        <v>49.53</v>
      </c>
      <c r="F33" s="147">
        <v>71.95</v>
      </c>
      <c r="G33" s="499">
        <v>5.0058377116170671E-2</v>
      </c>
    </row>
    <row r="34" spans="1:7" ht="18" customHeight="1" thickBot="1">
      <c r="A34" s="251">
        <v>2001</v>
      </c>
      <c r="B34" s="147">
        <v>62.02</v>
      </c>
      <c r="C34" s="204">
        <v>181.8</v>
      </c>
      <c r="D34" s="147">
        <v>40.770000000000003</v>
      </c>
      <c r="E34" s="204">
        <v>52.32</v>
      </c>
      <c r="F34" s="147">
        <v>75.150000000000006</v>
      </c>
      <c r="G34" s="499">
        <v>4.4475330090340659E-2</v>
      </c>
    </row>
    <row r="35" spans="1:7" ht="18" customHeight="1" thickBot="1">
      <c r="A35" s="251">
        <v>2002</v>
      </c>
      <c r="B35" s="147">
        <v>62.42</v>
      </c>
      <c r="C35" s="204">
        <v>181.75</v>
      </c>
      <c r="D35" s="147">
        <v>41.36</v>
      </c>
      <c r="E35" s="204">
        <v>55.65</v>
      </c>
      <c r="F35" s="147">
        <v>75.16</v>
      </c>
      <c r="G35" s="499">
        <v>1.3306719893524388E-4</v>
      </c>
    </row>
    <row r="36" spans="1:7" ht="18" customHeight="1" thickBot="1">
      <c r="A36" s="251">
        <v>2003</v>
      </c>
      <c r="B36" s="147">
        <v>64.510000000000005</v>
      </c>
      <c r="C36" s="204">
        <v>182.29</v>
      </c>
      <c r="D36" s="147">
        <v>41.28</v>
      </c>
      <c r="E36" s="204">
        <v>58.02</v>
      </c>
      <c r="F36" s="147">
        <v>77.430000000000007</v>
      </c>
      <c r="G36" s="499">
        <v>3.0202235231506336E-2</v>
      </c>
    </row>
    <row r="37" spans="1:7" ht="18" customHeight="1" thickBot="1">
      <c r="A37" s="251">
        <v>2004</v>
      </c>
      <c r="B37" s="147">
        <v>68.11</v>
      </c>
      <c r="C37" s="204">
        <v>184</v>
      </c>
      <c r="D37" s="147">
        <v>40.950000000000003</v>
      </c>
      <c r="E37" s="204">
        <v>64.13</v>
      </c>
      <c r="F37" s="147">
        <v>80.83</v>
      </c>
      <c r="G37" s="499">
        <v>4.391062895518516E-2</v>
      </c>
    </row>
    <row r="38" spans="1:7" ht="18" customHeight="1" thickBot="1">
      <c r="A38" s="251">
        <v>2005</v>
      </c>
      <c r="B38" s="147">
        <v>73.78</v>
      </c>
      <c r="C38" s="204">
        <v>202.48</v>
      </c>
      <c r="D38" s="147">
        <v>42.34</v>
      </c>
      <c r="E38" s="204">
        <v>69.78</v>
      </c>
      <c r="F38" s="147">
        <v>88.02</v>
      </c>
      <c r="G38" s="499">
        <v>8.8952121736978862E-2</v>
      </c>
    </row>
    <row r="39" spans="1:7" ht="18" customHeight="1" thickBot="1">
      <c r="A39" s="848">
        <v>2006</v>
      </c>
      <c r="B39" s="277">
        <v>75.63</v>
      </c>
      <c r="C39" s="645">
        <v>208.56</v>
      </c>
      <c r="D39" s="277">
        <v>39.409999999999997</v>
      </c>
      <c r="E39" s="645">
        <v>72.010000000000005</v>
      </c>
      <c r="F39" s="277">
        <v>89.58</v>
      </c>
      <c r="G39" s="610">
        <v>1.7723244717109843E-2</v>
      </c>
    </row>
    <row r="40" spans="1:7">
      <c r="A40" s="136"/>
      <c r="G40" s="415"/>
    </row>
    <row r="41" spans="1:7">
      <c r="G41" s="415"/>
    </row>
    <row r="42" spans="1:7" ht="18" customHeight="1">
      <c r="A42" s="328" t="s">
        <v>1380</v>
      </c>
      <c r="B42" s="114" t="s">
        <v>741</v>
      </c>
      <c r="C42" s="115" t="s">
        <v>742</v>
      </c>
      <c r="D42" s="114" t="s">
        <v>743</v>
      </c>
      <c r="E42" s="115" t="s">
        <v>744</v>
      </c>
      <c r="F42" s="114" t="s">
        <v>1951</v>
      </c>
      <c r="G42" s="394" t="s">
        <v>45</v>
      </c>
    </row>
    <row r="43" spans="1:7" ht="18" customHeight="1">
      <c r="A43" s="847" t="s">
        <v>48</v>
      </c>
      <c r="B43" s="117" t="s">
        <v>745</v>
      </c>
      <c r="C43" s="118" t="s">
        <v>746</v>
      </c>
      <c r="D43" s="117" t="s">
        <v>747</v>
      </c>
      <c r="E43" s="180" t="s">
        <v>748</v>
      </c>
      <c r="F43" s="117"/>
      <c r="G43" s="494" t="s">
        <v>46</v>
      </c>
    </row>
    <row r="44" spans="1:7" ht="18" customHeight="1">
      <c r="A44" s="248"/>
      <c r="B44" s="117" t="s">
        <v>749</v>
      </c>
      <c r="C44" s="118" t="s">
        <v>750</v>
      </c>
      <c r="D44" s="117" t="s">
        <v>751</v>
      </c>
      <c r="E44" s="180" t="s">
        <v>752</v>
      </c>
      <c r="F44" s="117"/>
      <c r="G44" s="494" t="s">
        <v>50</v>
      </c>
    </row>
    <row r="45" spans="1:7" ht="18" customHeight="1">
      <c r="A45" s="249" t="s">
        <v>758</v>
      </c>
      <c r="B45" s="123"/>
      <c r="C45" s="122"/>
      <c r="D45" s="123"/>
      <c r="E45" s="183" t="s">
        <v>753</v>
      </c>
      <c r="F45" s="123"/>
      <c r="G45" s="395"/>
    </row>
    <row r="46" spans="1:7" ht="18" customHeight="1" thickBot="1">
      <c r="A46" s="250">
        <v>1996</v>
      </c>
      <c r="B46" s="145" t="s">
        <v>1412</v>
      </c>
      <c r="C46" s="198" t="s">
        <v>1412</v>
      </c>
      <c r="D46" s="145" t="s">
        <v>1412</v>
      </c>
      <c r="E46" s="198" t="s">
        <v>1412</v>
      </c>
      <c r="F46" s="145" t="s">
        <v>1412</v>
      </c>
      <c r="G46" s="421" t="s">
        <v>1412</v>
      </c>
    </row>
    <row r="47" spans="1:7" ht="18" customHeight="1" thickBot="1">
      <c r="A47" s="251">
        <v>1997</v>
      </c>
      <c r="B47" s="147">
        <v>169.25</v>
      </c>
      <c r="C47" s="204">
        <v>204.77</v>
      </c>
      <c r="D47" s="147">
        <v>139.54</v>
      </c>
      <c r="E47" s="204">
        <v>123.68</v>
      </c>
      <c r="F47" s="147">
        <v>181.03</v>
      </c>
      <c r="G47" s="499" t="s">
        <v>1412</v>
      </c>
    </row>
    <row r="48" spans="1:7" ht="18" customHeight="1" thickBot="1">
      <c r="A48" s="251">
        <v>1998</v>
      </c>
      <c r="B48" s="147">
        <v>207.47</v>
      </c>
      <c r="C48" s="204">
        <v>240.93</v>
      </c>
      <c r="D48" s="147">
        <v>126.04</v>
      </c>
      <c r="E48" s="204">
        <v>172.49</v>
      </c>
      <c r="F48" s="147">
        <v>220.5</v>
      </c>
      <c r="G48" s="499">
        <v>0.21803016074683756</v>
      </c>
    </row>
    <row r="49" spans="1:7" ht="18" customHeight="1" thickBot="1">
      <c r="A49" s="251">
        <v>1999</v>
      </c>
      <c r="B49" s="147">
        <v>214.13</v>
      </c>
      <c r="C49" s="204">
        <v>264.01</v>
      </c>
      <c r="D49" s="147">
        <v>129.1</v>
      </c>
      <c r="E49" s="204">
        <v>191.92</v>
      </c>
      <c r="F49" s="147">
        <v>233.83</v>
      </c>
      <c r="G49" s="499">
        <v>6.0453514739229108E-2</v>
      </c>
    </row>
    <row r="50" spans="1:7" ht="18" customHeight="1" thickBot="1">
      <c r="A50" s="251">
        <v>2000</v>
      </c>
      <c r="B50" s="147">
        <v>220.74</v>
      </c>
      <c r="C50" s="204">
        <v>273.89</v>
      </c>
      <c r="D50" s="147">
        <v>119.04</v>
      </c>
      <c r="E50" s="204">
        <v>199.02</v>
      </c>
      <c r="F50" s="147">
        <v>241.33</v>
      </c>
      <c r="G50" s="499">
        <v>3.2074584099559544E-2</v>
      </c>
    </row>
    <row r="51" spans="1:7" ht="18" customHeight="1" thickBot="1">
      <c r="A51" s="251">
        <v>2001</v>
      </c>
      <c r="B51" s="147">
        <v>230.24</v>
      </c>
      <c r="C51" s="204">
        <v>287.45999999999998</v>
      </c>
      <c r="D51" s="147" t="s">
        <v>1412</v>
      </c>
      <c r="E51" s="204">
        <v>211.59</v>
      </c>
      <c r="F51" s="147">
        <v>252.17</v>
      </c>
      <c r="G51" s="499">
        <v>4.4917747482699832E-2</v>
      </c>
    </row>
    <row r="52" spans="1:7" ht="18" customHeight="1" thickBot="1">
      <c r="A52" s="251">
        <v>2002</v>
      </c>
      <c r="B52" s="147">
        <v>237.21</v>
      </c>
      <c r="C52" s="204">
        <v>287.24</v>
      </c>
      <c r="D52" s="147" t="s">
        <v>1412</v>
      </c>
      <c r="E52" s="204">
        <v>230.84</v>
      </c>
      <c r="F52" s="147">
        <v>258.77</v>
      </c>
      <c r="G52" s="499">
        <v>2.6172819923067747E-2</v>
      </c>
    </row>
    <row r="53" spans="1:7" ht="18" customHeight="1" thickBot="1">
      <c r="A53" s="251">
        <v>2003</v>
      </c>
      <c r="B53" s="147">
        <v>243.83</v>
      </c>
      <c r="C53" s="204">
        <v>296.85000000000002</v>
      </c>
      <c r="D53" s="147" t="s">
        <v>1412</v>
      </c>
      <c r="E53" s="204">
        <v>231.38</v>
      </c>
      <c r="F53" s="147">
        <v>267.27999999999997</v>
      </c>
      <c r="G53" s="499">
        <v>3.2886346949028145E-2</v>
      </c>
    </row>
    <row r="54" spans="1:7" ht="18" customHeight="1" thickBot="1">
      <c r="A54" s="251">
        <v>2004</v>
      </c>
      <c r="B54" s="147">
        <v>275.08999999999997</v>
      </c>
      <c r="C54" s="204">
        <v>311.98</v>
      </c>
      <c r="D54" s="147" t="s">
        <v>1412</v>
      </c>
      <c r="E54" s="204">
        <v>258.14999999999998</v>
      </c>
      <c r="F54" s="147">
        <v>289.83</v>
      </c>
      <c r="G54" s="499">
        <v>8.4368452559114182E-2</v>
      </c>
    </row>
    <row r="55" spans="1:7" ht="18" customHeight="1" thickBot="1">
      <c r="A55" s="251">
        <v>2005</v>
      </c>
      <c r="B55" s="147">
        <v>298.60000000000002</v>
      </c>
      <c r="C55" s="204">
        <v>319.54000000000002</v>
      </c>
      <c r="D55" s="147">
        <v>184.86</v>
      </c>
      <c r="E55" s="204">
        <v>254.69</v>
      </c>
      <c r="F55" s="147">
        <v>302.69</v>
      </c>
      <c r="G55" s="499">
        <v>4.4370838077493646E-2</v>
      </c>
    </row>
    <row r="56" spans="1:7" ht="18" customHeight="1" thickBot="1">
      <c r="A56" s="848">
        <v>2006</v>
      </c>
      <c r="B56" s="277">
        <v>300.02999999999997</v>
      </c>
      <c r="C56" s="645">
        <v>323.97000000000003</v>
      </c>
      <c r="D56" s="277">
        <v>169.61</v>
      </c>
      <c r="E56" s="645">
        <v>265.02</v>
      </c>
      <c r="F56" s="277">
        <v>304.13</v>
      </c>
      <c r="G56" s="610">
        <v>4.7573424956226518E-3</v>
      </c>
    </row>
    <row r="57" spans="1:7">
      <c r="D57" s="4"/>
      <c r="E57" s="4"/>
      <c r="F57" s="4"/>
      <c r="G57" s="415"/>
    </row>
    <row r="58" spans="1:7">
      <c r="D58" s="4"/>
      <c r="E58" s="4"/>
      <c r="F58" s="4"/>
      <c r="G58" s="415"/>
    </row>
    <row r="59" spans="1:7" ht="18.75" customHeight="1">
      <c r="A59" s="328" t="s">
        <v>2350</v>
      </c>
      <c r="B59" s="114" t="s">
        <v>741</v>
      </c>
      <c r="C59" s="115" t="s">
        <v>742</v>
      </c>
      <c r="D59" s="114" t="s">
        <v>743</v>
      </c>
      <c r="E59" s="115" t="s">
        <v>744</v>
      </c>
      <c r="F59" s="114" t="s">
        <v>1951</v>
      </c>
      <c r="G59" s="394" t="s">
        <v>45</v>
      </c>
    </row>
    <row r="60" spans="1:7" ht="18.75" customHeight="1">
      <c r="A60" s="847" t="s">
        <v>2351</v>
      </c>
      <c r="B60" s="117" t="s">
        <v>745</v>
      </c>
      <c r="C60" s="118" t="s">
        <v>746</v>
      </c>
      <c r="D60" s="117" t="s">
        <v>747</v>
      </c>
      <c r="E60" s="180" t="s">
        <v>748</v>
      </c>
      <c r="F60" s="117"/>
      <c r="G60" s="494" t="s">
        <v>46</v>
      </c>
    </row>
    <row r="61" spans="1:7" ht="18.75" customHeight="1">
      <c r="A61" s="248"/>
      <c r="B61" s="117" t="s">
        <v>749</v>
      </c>
      <c r="C61" s="118" t="s">
        <v>750</v>
      </c>
      <c r="D61" s="117" t="s">
        <v>751</v>
      </c>
      <c r="E61" s="180" t="s">
        <v>752</v>
      </c>
      <c r="F61" s="117"/>
      <c r="G61" s="494" t="s">
        <v>50</v>
      </c>
    </row>
    <row r="62" spans="1:7" ht="18.75" customHeight="1">
      <c r="A62" s="249" t="s">
        <v>758</v>
      </c>
      <c r="B62" s="123"/>
      <c r="C62" s="122"/>
      <c r="D62" s="123"/>
      <c r="E62" s="183" t="s">
        <v>753</v>
      </c>
      <c r="F62" s="123"/>
      <c r="G62" s="395"/>
    </row>
    <row r="63" spans="1:7" ht="18.75" customHeight="1" thickBot="1">
      <c r="A63" s="250">
        <v>1996</v>
      </c>
      <c r="B63" s="145" t="s">
        <v>1412</v>
      </c>
      <c r="C63" s="198" t="s">
        <v>1412</v>
      </c>
      <c r="D63" s="145" t="s">
        <v>1412</v>
      </c>
      <c r="E63" s="198" t="s">
        <v>1412</v>
      </c>
      <c r="F63" s="145" t="s">
        <v>1412</v>
      </c>
      <c r="G63" s="421" t="s">
        <v>1412</v>
      </c>
    </row>
    <row r="64" spans="1:7" ht="18.75" customHeight="1" thickBot="1">
      <c r="A64" s="251">
        <v>1997</v>
      </c>
      <c r="B64" s="147">
        <v>310.10000000000002</v>
      </c>
      <c r="C64" s="204">
        <v>333.59</v>
      </c>
      <c r="D64" s="147">
        <v>142.05000000000001</v>
      </c>
      <c r="E64" s="204">
        <v>189.89</v>
      </c>
      <c r="F64" s="147">
        <v>315.33</v>
      </c>
      <c r="G64" s="499" t="s">
        <v>1412</v>
      </c>
    </row>
    <row r="65" spans="1:7" ht="18.75" customHeight="1" thickBot="1">
      <c r="A65" s="251">
        <v>1998</v>
      </c>
      <c r="B65" s="147">
        <v>355.16</v>
      </c>
      <c r="C65" s="204">
        <v>400.22</v>
      </c>
      <c r="D65" s="147">
        <v>115.26</v>
      </c>
      <c r="E65" s="204">
        <v>275</v>
      </c>
      <c r="F65" s="147">
        <v>369.64</v>
      </c>
      <c r="G65" s="499">
        <v>0.17223226461167673</v>
      </c>
    </row>
    <row r="66" spans="1:7" ht="18.75" customHeight="1" thickBot="1">
      <c r="A66" s="251">
        <v>1999</v>
      </c>
      <c r="B66" s="147">
        <v>372.47</v>
      </c>
      <c r="C66" s="204">
        <v>413.21</v>
      </c>
      <c r="D66" s="147">
        <v>127.76</v>
      </c>
      <c r="E66" s="204">
        <v>302.17</v>
      </c>
      <c r="F66" s="147">
        <v>384.99</v>
      </c>
      <c r="G66" s="499">
        <v>4.1526891029109558E-2</v>
      </c>
    </row>
    <row r="67" spans="1:7" ht="18.75" customHeight="1" thickBot="1">
      <c r="A67" s="251">
        <v>2000</v>
      </c>
      <c r="B67" s="147">
        <v>392.52</v>
      </c>
      <c r="C67" s="204">
        <v>434.32</v>
      </c>
      <c r="D67" s="147">
        <v>105.26</v>
      </c>
      <c r="E67" s="204">
        <v>321.52</v>
      </c>
      <c r="F67" s="147">
        <v>405.65</v>
      </c>
      <c r="G67" s="499">
        <v>5.3663731525493974E-2</v>
      </c>
    </row>
    <row r="68" spans="1:7" ht="18.75" customHeight="1" thickBot="1">
      <c r="A68" s="251">
        <v>2001</v>
      </c>
      <c r="B68" s="147">
        <v>410.07</v>
      </c>
      <c r="C68" s="204">
        <v>451.53</v>
      </c>
      <c r="D68" s="147">
        <v>133.74</v>
      </c>
      <c r="E68" s="204">
        <v>333.68</v>
      </c>
      <c r="F68" s="147">
        <v>422.68</v>
      </c>
      <c r="G68" s="499">
        <v>4.1982004190805E-2</v>
      </c>
    </row>
    <row r="69" spans="1:7" ht="18.75" customHeight="1" thickBot="1">
      <c r="A69" s="251">
        <v>2002</v>
      </c>
      <c r="B69" s="147">
        <v>421.47</v>
      </c>
      <c r="C69" s="204">
        <v>460.31</v>
      </c>
      <c r="D69" s="147">
        <v>149.01</v>
      </c>
      <c r="E69" s="204">
        <v>357.87</v>
      </c>
      <c r="F69" s="147">
        <v>434.56</v>
      </c>
      <c r="G69" s="499">
        <v>2.8106368884262212E-2</v>
      </c>
    </row>
    <row r="70" spans="1:7" ht="18.75" customHeight="1" thickBot="1">
      <c r="A70" s="251">
        <v>2003</v>
      </c>
      <c r="B70" s="147">
        <v>437.89</v>
      </c>
      <c r="C70" s="204">
        <v>468.48</v>
      </c>
      <c r="D70" s="147">
        <v>148.11000000000001</v>
      </c>
      <c r="E70" s="204">
        <v>343.32</v>
      </c>
      <c r="F70" s="147">
        <v>445.21</v>
      </c>
      <c r="G70" s="499">
        <v>2.4507547864506485E-2</v>
      </c>
    </row>
    <row r="71" spans="1:7" ht="18.75" customHeight="1" thickBot="1">
      <c r="A71" s="251">
        <v>2004</v>
      </c>
      <c r="B71" s="147">
        <v>503.44</v>
      </c>
      <c r="C71" s="204">
        <v>487.48</v>
      </c>
      <c r="D71" s="147">
        <v>187.52</v>
      </c>
      <c r="E71" s="204">
        <v>395</v>
      </c>
      <c r="F71" s="147">
        <v>485.65</v>
      </c>
      <c r="G71" s="499">
        <v>9.0833539228678539E-2</v>
      </c>
    </row>
    <row r="72" spans="1:7" ht="18.75" customHeight="1" thickBot="1">
      <c r="A72" s="251">
        <v>2005</v>
      </c>
      <c r="B72" s="147">
        <v>530.58000000000004</v>
      </c>
      <c r="C72" s="204">
        <v>503.35</v>
      </c>
      <c r="D72" s="147">
        <v>192.02</v>
      </c>
      <c r="E72" s="204">
        <v>404.54</v>
      </c>
      <c r="F72" s="147">
        <v>505.01</v>
      </c>
      <c r="G72" s="499">
        <v>3.9864099660249286E-2</v>
      </c>
    </row>
    <row r="73" spans="1:7" ht="18.75" customHeight="1" thickBot="1">
      <c r="A73" s="848">
        <v>2006</v>
      </c>
      <c r="B73" s="277">
        <v>540.11</v>
      </c>
      <c r="C73" s="645">
        <v>509.8</v>
      </c>
      <c r="D73" s="277">
        <v>186.6</v>
      </c>
      <c r="E73" s="645">
        <v>419.01</v>
      </c>
      <c r="F73" s="277">
        <v>510.09</v>
      </c>
      <c r="G73" s="610">
        <v>1.0059206748381122E-2</v>
      </c>
    </row>
    <row r="74" spans="1:7" ht="15" customHeight="1">
      <c r="A74" s="660" t="s">
        <v>1245</v>
      </c>
    </row>
    <row r="76" spans="1:7">
      <c r="A76" s="3" t="s">
        <v>2352</v>
      </c>
    </row>
    <row r="78" spans="1:7">
      <c r="A78" s="207" t="s">
        <v>2342</v>
      </c>
    </row>
    <row r="79" spans="1:7">
      <c r="A79" s="2" t="s">
        <v>2353</v>
      </c>
    </row>
    <row r="82" spans="1:1">
      <c r="A82" s="2" t="s">
        <v>1955</v>
      </c>
    </row>
  </sheetData>
  <mergeCells count="1">
    <mergeCell ref="A2:E2"/>
  </mergeCells>
  <phoneticPr fontId="0" type="noConversion"/>
  <pageMargins left="0.56000000000000005" right="0.38" top="0.64" bottom="0.49" header="0.36" footer="0.4921259845"/>
  <pageSetup paperSize="9" scale="54" orientation="portrait" horizontalDpi="1200" verticalDpi="12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8BEC-F441-014A-871C-6EEF5314FCCC}">
  <sheetPr>
    <pageSetUpPr fitToPage="1"/>
  </sheetPr>
  <dimension ref="A1:L41"/>
  <sheetViews>
    <sheetView topLeftCell="A21" zoomScale="75" workbookViewId="0">
      <selection activeCell="A36" sqref="A36"/>
    </sheetView>
  </sheetViews>
  <sheetFormatPr baseColWidth="10" defaultColWidth="11.3984375" defaultRowHeight="13"/>
  <cols>
    <col min="1" max="1" width="12.3984375" style="2" customWidth="1"/>
    <col min="2" max="12" width="10.3984375" style="2" customWidth="1"/>
    <col min="13" max="16384" width="11.3984375" style="2"/>
  </cols>
  <sheetData>
    <row r="1" spans="1:12" s="1" customFormat="1" ht="14" customHeight="1"/>
    <row r="2" spans="1:12" s="1" customFormat="1" ht="33" customHeight="1">
      <c r="A2" s="1695" t="s">
        <v>1235</v>
      </c>
      <c r="B2" s="1699"/>
      <c r="C2" s="1699"/>
      <c r="D2" s="1699"/>
      <c r="E2" s="1699"/>
      <c r="F2" s="1699"/>
      <c r="G2" s="1699"/>
      <c r="H2" s="1699"/>
      <c r="I2" s="1699"/>
      <c r="J2" s="112"/>
      <c r="K2" s="112"/>
      <c r="L2" s="112">
        <v>2006</v>
      </c>
    </row>
    <row r="3" spans="1:12" ht="24" customHeight="1">
      <c r="A3" s="113" t="s">
        <v>41</v>
      </c>
      <c r="B3" s="114">
        <v>1996</v>
      </c>
      <c r="C3" s="115">
        <v>1997</v>
      </c>
      <c r="D3" s="114">
        <v>1998</v>
      </c>
      <c r="E3" s="115">
        <v>1999</v>
      </c>
      <c r="F3" s="114">
        <v>2000</v>
      </c>
      <c r="G3" s="115">
        <v>2001</v>
      </c>
      <c r="H3" s="114">
        <v>2002</v>
      </c>
      <c r="I3" s="115">
        <v>2003</v>
      </c>
      <c r="J3" s="114">
        <v>2004</v>
      </c>
      <c r="K3" s="115">
        <v>2005</v>
      </c>
      <c r="L3" s="114">
        <v>2006</v>
      </c>
    </row>
    <row r="4" spans="1:12" ht="15" customHeight="1">
      <c r="A4" s="248"/>
      <c r="B4" s="117"/>
      <c r="C4" s="118"/>
      <c r="D4" s="117"/>
      <c r="E4" s="118"/>
      <c r="F4" s="143"/>
      <c r="G4" s="180"/>
      <c r="H4" s="117"/>
      <c r="I4" s="118"/>
      <c r="J4" s="117"/>
      <c r="K4" s="118"/>
      <c r="L4" s="117"/>
    </row>
    <row r="5" spans="1:12" ht="16" customHeight="1">
      <c r="A5" s="249"/>
      <c r="B5" s="123"/>
      <c r="C5" s="122"/>
      <c r="D5" s="123"/>
      <c r="E5" s="122"/>
      <c r="F5" s="144"/>
      <c r="G5" s="183"/>
      <c r="H5" s="123"/>
      <c r="I5" s="122"/>
      <c r="J5" s="123"/>
      <c r="K5" s="122"/>
      <c r="L5" s="123"/>
    </row>
    <row r="6" spans="1:12" ht="30" customHeight="1" thickBot="1">
      <c r="A6" s="268" t="s">
        <v>51</v>
      </c>
      <c r="B6" s="270">
        <v>1549.9656909542132</v>
      </c>
      <c r="C6" s="271">
        <v>1574.74</v>
      </c>
      <c r="D6" s="270">
        <v>1712.02</v>
      </c>
      <c r="E6" s="271">
        <v>1767.1</v>
      </c>
      <c r="F6" s="270">
        <v>1853.81</v>
      </c>
      <c r="G6" s="271">
        <v>1945.7</v>
      </c>
      <c r="H6" s="270">
        <v>1997.6</v>
      </c>
      <c r="I6" s="198">
        <v>2040.72</v>
      </c>
      <c r="J6" s="145">
        <v>2204.77</v>
      </c>
      <c r="K6" s="198">
        <v>2262.65</v>
      </c>
      <c r="L6" s="145">
        <v>2279.52</v>
      </c>
    </row>
    <row r="7" spans="1:12" ht="20" customHeight="1" thickBot="1">
      <c r="A7" s="272" t="s">
        <v>52</v>
      </c>
      <c r="B7" s="147">
        <v>1408.151066328636</v>
      </c>
      <c r="C7" s="204">
        <v>1405.21</v>
      </c>
      <c r="D7" s="147">
        <v>1555.67</v>
      </c>
      <c r="E7" s="204">
        <v>1637.63</v>
      </c>
      <c r="F7" s="147">
        <v>1832.02</v>
      </c>
      <c r="G7" s="204">
        <v>1887.26</v>
      </c>
      <c r="H7" s="147">
        <v>1965.91</v>
      </c>
      <c r="I7" s="198">
        <v>2126.35</v>
      </c>
      <c r="J7" s="145">
        <v>2366.1</v>
      </c>
      <c r="K7" s="198">
        <v>2494.56</v>
      </c>
      <c r="L7" s="145">
        <v>2565.0300000000002</v>
      </c>
    </row>
    <row r="8" spans="1:12" ht="20" customHeight="1" thickBot="1">
      <c r="A8" s="272" t="s">
        <v>53</v>
      </c>
      <c r="B8" s="147">
        <v>1131.4590410167589</v>
      </c>
      <c r="C8" s="204">
        <v>1184.71</v>
      </c>
      <c r="D8" s="147">
        <v>1246.68</v>
      </c>
      <c r="E8" s="204">
        <v>1319.84</v>
      </c>
      <c r="F8" s="147">
        <v>1425.18</v>
      </c>
      <c r="G8" s="204">
        <v>1529.85</v>
      </c>
      <c r="H8" s="147">
        <v>1579.99</v>
      </c>
      <c r="I8" s="198">
        <v>1686.93</v>
      </c>
      <c r="J8" s="145">
        <v>1800.15</v>
      </c>
      <c r="K8" s="198">
        <v>1960.76</v>
      </c>
      <c r="L8" s="145">
        <v>1926.27</v>
      </c>
    </row>
    <row r="9" spans="1:12" ht="20" customHeight="1" thickBot="1">
      <c r="A9" s="272" t="s">
        <v>54</v>
      </c>
      <c r="B9" s="147">
        <v>1141.6866160362115</v>
      </c>
      <c r="C9" s="204">
        <v>1223.1600000000001</v>
      </c>
      <c r="D9" s="147">
        <v>1225.93</v>
      </c>
      <c r="E9" s="204">
        <v>1305.03</v>
      </c>
      <c r="F9" s="147">
        <v>1419.01</v>
      </c>
      <c r="G9" s="204">
        <v>1569.55</v>
      </c>
      <c r="H9" s="147">
        <v>1489.15</v>
      </c>
      <c r="I9" s="198">
        <v>1621.62</v>
      </c>
      <c r="J9" s="145">
        <v>1668.24</v>
      </c>
      <c r="K9" s="198">
        <v>1854.56</v>
      </c>
      <c r="L9" s="145">
        <v>1860.39</v>
      </c>
    </row>
    <row r="10" spans="1:12" ht="20" customHeight="1" thickBot="1">
      <c r="A10" s="272" t="s">
        <v>55</v>
      </c>
      <c r="B10" s="147">
        <v>1184.2057139739125</v>
      </c>
      <c r="C10" s="204">
        <v>1225.3599999999999</v>
      </c>
      <c r="D10" s="147">
        <v>1219.58</v>
      </c>
      <c r="E10" s="204">
        <v>1329.14</v>
      </c>
      <c r="F10" s="147">
        <v>1433.5</v>
      </c>
      <c r="G10" s="204">
        <v>1590.79</v>
      </c>
      <c r="H10" s="147">
        <v>1578.63</v>
      </c>
      <c r="I10" s="198">
        <v>1700.18</v>
      </c>
      <c r="J10" s="145">
        <v>1790.74</v>
      </c>
      <c r="K10" s="198">
        <v>1891.09</v>
      </c>
      <c r="L10" s="145">
        <v>1938.8</v>
      </c>
    </row>
    <row r="11" spans="1:12" ht="20" customHeight="1" thickBot="1">
      <c r="A11" s="272" t="s">
        <v>56</v>
      </c>
      <c r="B11" s="147">
        <v>1136.7895750681751</v>
      </c>
      <c r="C11" s="204">
        <v>1181.44</v>
      </c>
      <c r="D11" s="147">
        <v>1263.81</v>
      </c>
      <c r="E11" s="204">
        <v>1289.94</v>
      </c>
      <c r="F11" s="147">
        <v>1396.65</v>
      </c>
      <c r="G11" s="204">
        <v>1431.96</v>
      </c>
      <c r="H11" s="147">
        <v>1455.13</v>
      </c>
      <c r="I11" s="198">
        <v>1567.61</v>
      </c>
      <c r="J11" s="145">
        <v>1619.38</v>
      </c>
      <c r="K11" s="198">
        <v>1745.05</v>
      </c>
      <c r="L11" s="145">
        <v>1793.54</v>
      </c>
    </row>
    <row r="12" spans="1:12" ht="20" customHeight="1" thickBot="1">
      <c r="A12" s="272" t="s">
        <v>57</v>
      </c>
      <c r="B12" s="147">
        <v>1092.8342113620542</v>
      </c>
      <c r="C12" s="204">
        <v>1090.96</v>
      </c>
      <c r="D12" s="147">
        <v>1128.8900000000001</v>
      </c>
      <c r="E12" s="204">
        <v>1207.8499999999999</v>
      </c>
      <c r="F12" s="147">
        <v>1351.49</v>
      </c>
      <c r="G12" s="204">
        <v>1381.42</v>
      </c>
      <c r="H12" s="147">
        <v>1410.12</v>
      </c>
      <c r="I12" s="198">
        <v>1526.73</v>
      </c>
      <c r="J12" s="145">
        <v>1555.61</v>
      </c>
      <c r="K12" s="198">
        <v>1650.2</v>
      </c>
      <c r="L12" s="145">
        <v>1705.83</v>
      </c>
    </row>
    <row r="13" spans="1:12" ht="20" customHeight="1" thickBot="1">
      <c r="A13" s="272" t="s">
        <v>58</v>
      </c>
      <c r="B13" s="147">
        <v>1227.2463426697566</v>
      </c>
      <c r="C13" s="204">
        <v>1304</v>
      </c>
      <c r="D13" s="147">
        <v>1339.52</v>
      </c>
      <c r="E13" s="204">
        <v>1481.14</v>
      </c>
      <c r="F13" s="147">
        <v>1589.34</v>
      </c>
      <c r="G13" s="204">
        <v>1656.5</v>
      </c>
      <c r="H13" s="147">
        <v>1719.94</v>
      </c>
      <c r="I13" s="198">
        <v>1747.83</v>
      </c>
      <c r="J13" s="145">
        <v>1865.56</v>
      </c>
      <c r="K13" s="198">
        <v>1970.12</v>
      </c>
      <c r="L13" s="145">
        <v>1960.34</v>
      </c>
    </row>
    <row r="14" spans="1:12" ht="20" customHeight="1" thickBot="1">
      <c r="A14" s="272" t="s">
        <v>59</v>
      </c>
      <c r="B14" s="147">
        <v>1146.3266629686498</v>
      </c>
      <c r="C14" s="204">
        <v>1159.56</v>
      </c>
      <c r="D14" s="147">
        <v>1229.81</v>
      </c>
      <c r="E14" s="204">
        <v>1290.81</v>
      </c>
      <c r="F14" s="147">
        <v>1395.64</v>
      </c>
      <c r="G14" s="204">
        <v>1563.95</v>
      </c>
      <c r="H14" s="147">
        <v>1651.83</v>
      </c>
      <c r="I14" s="198">
        <v>1695.75</v>
      </c>
      <c r="J14" s="145">
        <v>1773.25</v>
      </c>
      <c r="K14" s="198">
        <v>1866.95</v>
      </c>
      <c r="L14" s="145">
        <v>1885.95</v>
      </c>
    </row>
    <row r="15" spans="1:12" ht="20" customHeight="1" thickBot="1">
      <c r="A15" s="272" t="s">
        <v>60</v>
      </c>
      <c r="B15" s="147">
        <v>1415.2903794584126</v>
      </c>
      <c r="C15" s="204">
        <v>1675.91</v>
      </c>
      <c r="D15" s="147">
        <v>1574.84</v>
      </c>
      <c r="E15" s="204">
        <v>1642.48</v>
      </c>
      <c r="F15" s="147">
        <v>1704.33</v>
      </c>
      <c r="G15" s="204">
        <v>1823.19</v>
      </c>
      <c r="H15" s="147">
        <v>1920.23</v>
      </c>
      <c r="I15" s="198">
        <v>1947.27</v>
      </c>
      <c r="J15" s="145">
        <v>2008.7</v>
      </c>
      <c r="K15" s="198">
        <v>2140.27</v>
      </c>
      <c r="L15" s="145">
        <v>2205.13</v>
      </c>
    </row>
    <row r="16" spans="1:12" ht="20" customHeight="1" thickBot="1">
      <c r="A16" s="272" t="s">
        <v>61</v>
      </c>
      <c r="B16" s="147">
        <v>1431.3195165662285</v>
      </c>
      <c r="C16" s="204">
        <v>1324.05</v>
      </c>
      <c r="D16" s="147">
        <v>1482.28</v>
      </c>
      <c r="E16" s="204">
        <v>1547.69</v>
      </c>
      <c r="F16" s="147">
        <v>1646.33</v>
      </c>
      <c r="G16" s="204">
        <v>1724.47</v>
      </c>
      <c r="H16" s="147">
        <v>1839.3</v>
      </c>
      <c r="I16" s="198">
        <v>2005.14</v>
      </c>
      <c r="J16" s="145">
        <v>2081.4</v>
      </c>
      <c r="K16" s="198">
        <v>2189.8200000000002</v>
      </c>
      <c r="L16" s="145">
        <v>2259.56</v>
      </c>
    </row>
    <row r="17" spans="1:12" ht="20" customHeight="1" thickBot="1">
      <c r="A17" s="272" t="s">
        <v>62</v>
      </c>
      <c r="B17" s="147">
        <v>2130.3652186055947</v>
      </c>
      <c r="C17" s="204">
        <v>2231.2399999999998</v>
      </c>
      <c r="D17" s="147">
        <v>2342.92</v>
      </c>
      <c r="E17" s="204">
        <v>2423.2199999999998</v>
      </c>
      <c r="F17" s="147">
        <v>2585.5100000000002</v>
      </c>
      <c r="G17" s="204">
        <v>2736.33</v>
      </c>
      <c r="H17" s="147">
        <v>2755.5</v>
      </c>
      <c r="I17" s="198">
        <v>2805.3</v>
      </c>
      <c r="J17" s="145">
        <v>2883.22</v>
      </c>
      <c r="K17" s="198">
        <v>3141.52</v>
      </c>
      <c r="L17" s="145">
        <v>3162.18</v>
      </c>
    </row>
    <row r="18" spans="1:12" ht="20" customHeight="1" thickBot="1">
      <c r="A18" s="272" t="s">
        <v>63</v>
      </c>
      <c r="B18" s="147">
        <v>1577.9818446320662</v>
      </c>
      <c r="C18" s="204">
        <v>1605.13</v>
      </c>
      <c r="D18" s="147">
        <v>1649.3</v>
      </c>
      <c r="E18" s="204">
        <v>1769.72</v>
      </c>
      <c r="F18" s="147">
        <v>1894.49</v>
      </c>
      <c r="G18" s="204">
        <v>2012</v>
      </c>
      <c r="H18" s="147">
        <v>2085.25</v>
      </c>
      <c r="I18" s="198">
        <v>2167.37</v>
      </c>
      <c r="J18" s="145">
        <v>2197.11</v>
      </c>
      <c r="K18" s="198">
        <v>2359.2199999999998</v>
      </c>
      <c r="L18" s="145">
        <v>2386.52</v>
      </c>
    </row>
    <row r="19" spans="1:12" ht="20" customHeight="1" thickBot="1">
      <c r="A19" s="272" t="s">
        <v>64</v>
      </c>
      <c r="B19" s="147">
        <v>1356.1690949674651</v>
      </c>
      <c r="C19" s="204">
        <v>1457.88</v>
      </c>
      <c r="D19" s="147">
        <v>1533.8</v>
      </c>
      <c r="E19" s="204">
        <v>1735.7</v>
      </c>
      <c r="F19" s="147">
        <v>1831.18</v>
      </c>
      <c r="G19" s="204">
        <v>1926.28</v>
      </c>
      <c r="H19" s="147">
        <v>1971.15</v>
      </c>
      <c r="I19" s="198">
        <v>2049.35</v>
      </c>
      <c r="J19" s="145">
        <v>2120.3000000000002</v>
      </c>
      <c r="K19" s="198">
        <v>2204.77</v>
      </c>
      <c r="L19" s="145">
        <v>2202.85</v>
      </c>
    </row>
    <row r="20" spans="1:12" ht="20" customHeight="1" thickBot="1">
      <c r="A20" s="272" t="s">
        <v>65</v>
      </c>
      <c r="B20" s="147">
        <v>1093.0240406812793</v>
      </c>
      <c r="C20" s="204">
        <v>1156.06</v>
      </c>
      <c r="D20" s="147">
        <v>1200.6099999999999</v>
      </c>
      <c r="E20" s="204">
        <v>1317.39</v>
      </c>
      <c r="F20" s="147">
        <v>1421.13</v>
      </c>
      <c r="G20" s="204">
        <v>1480.04</v>
      </c>
      <c r="H20" s="147">
        <v>1518.84</v>
      </c>
      <c r="I20" s="198">
        <v>1649</v>
      </c>
      <c r="J20" s="145">
        <v>1698.48</v>
      </c>
      <c r="K20" s="198">
        <v>1773.7</v>
      </c>
      <c r="L20" s="145">
        <v>1775.69</v>
      </c>
    </row>
    <row r="21" spans="1:12" ht="20" customHeight="1" thickBot="1">
      <c r="A21" s="272" t="s">
        <v>66</v>
      </c>
      <c r="B21" s="147">
        <v>937.42437897050047</v>
      </c>
      <c r="C21" s="204">
        <v>977.88</v>
      </c>
      <c r="D21" s="147">
        <v>980.34</v>
      </c>
      <c r="E21" s="204">
        <v>1110.8599999999999</v>
      </c>
      <c r="F21" s="147">
        <v>1222.43</v>
      </c>
      <c r="G21" s="204">
        <v>1303.8599999999999</v>
      </c>
      <c r="H21" s="147">
        <v>1422.39</v>
      </c>
      <c r="I21" s="198">
        <v>1474.35</v>
      </c>
      <c r="J21" s="145">
        <v>1464.82</v>
      </c>
      <c r="K21" s="198">
        <v>1571.68</v>
      </c>
      <c r="L21" s="145">
        <v>1525.3</v>
      </c>
    </row>
    <row r="22" spans="1:12" ht="20" customHeight="1" thickBot="1">
      <c r="A22" s="272" t="s">
        <v>67</v>
      </c>
      <c r="B22" s="147">
        <v>1137.9708474039455</v>
      </c>
      <c r="C22" s="204">
        <v>1220.83</v>
      </c>
      <c r="D22" s="147">
        <v>1268.57</v>
      </c>
      <c r="E22" s="204">
        <v>1372.38</v>
      </c>
      <c r="F22" s="147">
        <v>1447.46</v>
      </c>
      <c r="G22" s="204">
        <v>1518.72</v>
      </c>
      <c r="H22" s="147">
        <v>1603.49</v>
      </c>
      <c r="I22" s="198">
        <v>1748.34</v>
      </c>
      <c r="J22" s="145">
        <v>1828.82</v>
      </c>
      <c r="K22" s="198">
        <v>1892.44</v>
      </c>
      <c r="L22" s="145">
        <v>1898.79</v>
      </c>
    </row>
    <row r="23" spans="1:12" ht="20" customHeight="1" thickBot="1">
      <c r="A23" s="272" t="s">
        <v>68</v>
      </c>
      <c r="B23" s="147">
        <v>1090.0492624648118</v>
      </c>
      <c r="C23" s="204">
        <v>1241.78</v>
      </c>
      <c r="D23" s="147">
        <v>1273.6199999999999</v>
      </c>
      <c r="E23" s="204">
        <v>1397.39</v>
      </c>
      <c r="F23" s="147">
        <v>1553.84</v>
      </c>
      <c r="G23" s="204">
        <v>1573.39</v>
      </c>
      <c r="H23" s="147">
        <v>1596.96</v>
      </c>
      <c r="I23" s="198">
        <v>1798.77</v>
      </c>
      <c r="J23" s="145">
        <v>1865.58</v>
      </c>
      <c r="K23" s="198">
        <v>1943.18</v>
      </c>
      <c r="L23" s="145">
        <v>1998.89</v>
      </c>
    </row>
    <row r="24" spans="1:12" ht="20" customHeight="1" thickBot="1">
      <c r="A24" s="272" t="s">
        <v>69</v>
      </c>
      <c r="B24" s="147">
        <v>1235.8587040964603</v>
      </c>
      <c r="C24" s="204">
        <v>1261.31</v>
      </c>
      <c r="D24" s="147">
        <v>1367.78</v>
      </c>
      <c r="E24" s="204">
        <v>1484.07</v>
      </c>
      <c r="F24" s="147">
        <v>1600.06</v>
      </c>
      <c r="G24" s="204">
        <v>1688.86</v>
      </c>
      <c r="H24" s="147">
        <v>1759.97</v>
      </c>
      <c r="I24" s="198">
        <v>1853.89</v>
      </c>
      <c r="J24" s="145">
        <v>1912.21</v>
      </c>
      <c r="K24" s="198">
        <v>2044</v>
      </c>
      <c r="L24" s="145">
        <v>2096.9699999999998</v>
      </c>
    </row>
    <row r="25" spans="1:12" ht="20" customHeight="1" thickBot="1">
      <c r="A25" s="272" t="s">
        <v>70</v>
      </c>
      <c r="B25" s="147">
        <v>1183.2025693703608</v>
      </c>
      <c r="C25" s="204">
        <v>1446.55</v>
      </c>
      <c r="D25" s="147">
        <v>1489.6</v>
      </c>
      <c r="E25" s="204">
        <v>1562.52</v>
      </c>
      <c r="F25" s="147">
        <v>1631.21</v>
      </c>
      <c r="G25" s="204">
        <v>1694.01</v>
      </c>
      <c r="H25" s="147">
        <v>1826.69</v>
      </c>
      <c r="I25" s="198">
        <v>1914.58</v>
      </c>
      <c r="J25" s="145">
        <v>1906.85</v>
      </c>
      <c r="K25" s="198">
        <v>1972.24</v>
      </c>
      <c r="L25" s="145">
        <v>1962.29</v>
      </c>
    </row>
    <row r="26" spans="1:12" ht="20" customHeight="1" thickBot="1">
      <c r="A26" s="272" t="s">
        <v>71</v>
      </c>
      <c r="B26" s="147">
        <v>1908.365144989446</v>
      </c>
      <c r="C26" s="204">
        <v>1954.92</v>
      </c>
      <c r="D26" s="147">
        <v>1985.34</v>
      </c>
      <c r="E26" s="204">
        <v>2047.88</v>
      </c>
      <c r="F26" s="147">
        <v>2244.37</v>
      </c>
      <c r="G26" s="204">
        <v>2358.9899999999998</v>
      </c>
      <c r="H26" s="147">
        <v>2511</v>
      </c>
      <c r="I26" s="198">
        <v>2651.52</v>
      </c>
      <c r="J26" s="145">
        <v>2632.57</v>
      </c>
      <c r="K26" s="198">
        <v>2809.82</v>
      </c>
      <c r="L26" s="145">
        <v>2816.03</v>
      </c>
    </row>
    <row r="27" spans="1:12" ht="20" customHeight="1" thickBot="1">
      <c r="A27" s="272" t="s">
        <v>72</v>
      </c>
      <c r="B27" s="147">
        <v>1892.6037074686208</v>
      </c>
      <c r="C27" s="204">
        <v>2044.73</v>
      </c>
      <c r="D27" s="147">
        <v>2059.25</v>
      </c>
      <c r="E27" s="204">
        <v>2097.46</v>
      </c>
      <c r="F27" s="147">
        <v>2268.5100000000002</v>
      </c>
      <c r="G27" s="204">
        <v>2422.64</v>
      </c>
      <c r="H27" s="147">
        <v>2479.8000000000002</v>
      </c>
      <c r="I27" s="198">
        <v>2575.5300000000002</v>
      </c>
      <c r="J27" s="145">
        <v>2616.02</v>
      </c>
      <c r="K27" s="198">
        <v>2740.2</v>
      </c>
      <c r="L27" s="145">
        <v>2732.29</v>
      </c>
    </row>
    <row r="28" spans="1:12" ht="20" customHeight="1" thickBot="1">
      <c r="A28" s="272" t="s">
        <v>73</v>
      </c>
      <c r="B28" s="147">
        <v>1297.6860350834741</v>
      </c>
      <c r="C28" s="204">
        <v>1415.95</v>
      </c>
      <c r="D28" s="147">
        <v>1391.67</v>
      </c>
      <c r="E28" s="204">
        <v>1477.29</v>
      </c>
      <c r="F28" s="147">
        <v>1625.44</v>
      </c>
      <c r="G28" s="204">
        <v>1716.24</v>
      </c>
      <c r="H28" s="147">
        <v>1795.24</v>
      </c>
      <c r="I28" s="198">
        <v>1906.24</v>
      </c>
      <c r="J28" s="145">
        <v>1912.21</v>
      </c>
      <c r="K28" s="198">
        <v>2033.28</v>
      </c>
      <c r="L28" s="145">
        <v>2086.69</v>
      </c>
    </row>
    <row r="29" spans="1:12" ht="20" customHeight="1" thickBot="1">
      <c r="A29" s="272" t="s">
        <v>74</v>
      </c>
      <c r="B29" s="147">
        <v>1799.8782022959908</v>
      </c>
      <c r="C29" s="204">
        <v>1793.44</v>
      </c>
      <c r="D29" s="147">
        <v>2003.05</v>
      </c>
      <c r="E29" s="204">
        <v>1859.86</v>
      </c>
      <c r="F29" s="147">
        <v>2231.21</v>
      </c>
      <c r="G29" s="204">
        <v>2345.88</v>
      </c>
      <c r="H29" s="147">
        <v>2370.9899999999998</v>
      </c>
      <c r="I29" s="198">
        <v>2463.52</v>
      </c>
      <c r="J29" s="145">
        <v>2659.11</v>
      </c>
      <c r="K29" s="198">
        <v>2678.97</v>
      </c>
      <c r="L29" s="145">
        <v>2569.15</v>
      </c>
    </row>
    <row r="30" spans="1:12" ht="20" customHeight="1" thickBot="1">
      <c r="A30" s="272" t="s">
        <v>75</v>
      </c>
      <c r="B30" s="147">
        <v>2223.6590110457428</v>
      </c>
      <c r="C30" s="204">
        <v>2354.1799999999998</v>
      </c>
      <c r="D30" s="147">
        <v>2570.25</v>
      </c>
      <c r="E30" s="204">
        <v>2550.08</v>
      </c>
      <c r="F30" s="147">
        <v>2671.53</v>
      </c>
      <c r="G30" s="204">
        <v>2915.74</v>
      </c>
      <c r="H30" s="147">
        <v>3015.51</v>
      </c>
      <c r="I30" s="198">
        <v>2871.83</v>
      </c>
      <c r="J30" s="145">
        <v>2997.66</v>
      </c>
      <c r="K30" s="198">
        <v>3226.97</v>
      </c>
      <c r="L30" s="145">
        <v>3180.86</v>
      </c>
    </row>
    <row r="31" spans="1:12" ht="20" customHeight="1" thickBot="1">
      <c r="A31" s="272" t="s">
        <v>76</v>
      </c>
      <c r="B31" s="147">
        <v>1667.2287091725777</v>
      </c>
      <c r="C31" s="204">
        <v>1743.78</v>
      </c>
      <c r="D31" s="147">
        <v>1825.7</v>
      </c>
      <c r="E31" s="204">
        <v>2010.66</v>
      </c>
      <c r="F31" s="147">
        <v>2029.99</v>
      </c>
      <c r="G31" s="204">
        <v>2178.44</v>
      </c>
      <c r="H31" s="147">
        <v>2254.27</v>
      </c>
      <c r="I31" s="198">
        <v>2091.5700000000002</v>
      </c>
      <c r="J31" s="145">
        <v>2253.96</v>
      </c>
      <c r="K31" s="198">
        <v>2461.69</v>
      </c>
      <c r="L31" s="145">
        <v>2362.73</v>
      </c>
    </row>
    <row r="32" spans="1:12" ht="30" customHeight="1" thickBot="1">
      <c r="A32" s="132" t="s">
        <v>1944</v>
      </c>
      <c r="B32" s="282">
        <v>1499.0281923645668</v>
      </c>
      <c r="C32" s="283">
        <v>1557.27</v>
      </c>
      <c r="D32" s="282">
        <v>1647.56</v>
      </c>
      <c r="E32" s="283">
        <v>1717.23</v>
      </c>
      <c r="F32" s="282">
        <v>1846.79</v>
      </c>
      <c r="G32" s="283">
        <v>1946.82</v>
      </c>
      <c r="H32" s="282">
        <v>2014.31</v>
      </c>
      <c r="I32" s="200">
        <v>2108.92</v>
      </c>
      <c r="J32" s="277">
        <v>2211.54</v>
      </c>
      <c r="K32" s="645">
        <v>2330.34</v>
      </c>
      <c r="L32" s="277">
        <v>2350.5300000000002</v>
      </c>
    </row>
    <row r="33" spans="1:9" ht="20" customHeight="1">
      <c r="A33" s="136" t="s">
        <v>1245</v>
      </c>
      <c r="B33" s="279"/>
      <c r="C33" s="279"/>
      <c r="D33" s="279"/>
      <c r="E33" s="279"/>
      <c r="F33" s="279"/>
      <c r="G33" s="279"/>
      <c r="H33" s="279"/>
      <c r="I33" s="589"/>
    </row>
    <row r="34" spans="1:9" ht="15.75" customHeight="1">
      <c r="A34" s="3"/>
      <c r="B34" s="281"/>
      <c r="C34" s="281"/>
      <c r="D34" s="281"/>
      <c r="E34" s="281"/>
      <c r="F34" s="281"/>
      <c r="G34" s="281"/>
      <c r="H34" s="281"/>
      <c r="I34" s="590"/>
    </row>
    <row r="35" spans="1:9" ht="14.25" customHeight="1">
      <c r="A35" s="3" t="s">
        <v>1233</v>
      </c>
      <c r="B35" s="281"/>
      <c r="C35" s="281"/>
      <c r="D35" s="281"/>
      <c r="E35" s="281"/>
      <c r="F35" s="281"/>
      <c r="G35" s="281"/>
      <c r="H35" s="281"/>
      <c r="I35" s="590"/>
    </row>
    <row r="36" spans="1:9" ht="13.5" customHeight="1">
      <c r="A36" s="3"/>
      <c r="B36" s="281"/>
      <c r="C36" s="281"/>
      <c r="D36" s="281"/>
      <c r="E36" s="281"/>
      <c r="F36" s="281"/>
      <c r="G36" s="281"/>
      <c r="H36" s="281"/>
      <c r="I36" s="590"/>
    </row>
    <row r="37" spans="1:9" ht="12.75" customHeight="1">
      <c r="A37" s="3" t="s">
        <v>1234</v>
      </c>
      <c r="B37" s="281"/>
      <c r="C37" s="281"/>
      <c r="D37" s="281"/>
      <c r="E37" s="281"/>
      <c r="F37" s="281"/>
      <c r="G37" s="281"/>
      <c r="H37" s="281"/>
      <c r="I37" s="590"/>
    </row>
    <row r="38" spans="1:9" ht="12.75" customHeight="1">
      <c r="A38" s="3" t="s">
        <v>1236</v>
      </c>
      <c r="B38" s="281"/>
      <c r="C38" s="281"/>
      <c r="D38" s="281"/>
      <c r="E38" s="281"/>
      <c r="F38" s="281"/>
      <c r="G38" s="281"/>
      <c r="H38" s="281"/>
      <c r="I38" s="590"/>
    </row>
    <row r="40" spans="1:9">
      <c r="A40" s="3"/>
    </row>
    <row r="41" spans="1:9">
      <c r="A41" s="3" t="s">
        <v>1955</v>
      </c>
    </row>
  </sheetData>
  <mergeCells count="1">
    <mergeCell ref="A2:I2"/>
  </mergeCells>
  <phoneticPr fontId="0" type="noConversion"/>
  <pageMargins left="0.45" right="0.49" top="0.76" bottom="0.49" header="0.56000000000000005" footer="0.4921259845"/>
  <pageSetup paperSize="9" scale="74" orientation="portrait" horizontalDpi="4294967292" verticalDpi="4294967292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D7AC-5DED-7440-BA85-33FDED5CDE92}">
  <dimension ref="A1:I42"/>
  <sheetViews>
    <sheetView topLeftCell="A22" zoomScale="75" workbookViewId="0">
      <selection activeCell="I29" sqref="I29"/>
    </sheetView>
  </sheetViews>
  <sheetFormatPr baseColWidth="10" defaultColWidth="11.3984375" defaultRowHeight="13"/>
  <cols>
    <col min="1" max="3" width="14.796875" style="2" customWidth="1"/>
    <col min="4" max="4" width="16" style="2" customWidth="1"/>
    <col min="5" max="5" width="17" style="2" customWidth="1"/>
    <col min="6" max="6" width="16.3984375" style="2" customWidth="1"/>
    <col min="7" max="7" width="14.796875" style="97" customWidth="1"/>
    <col min="8" max="8" width="11.3984375" style="2"/>
    <col min="9" max="9" width="14.59765625" style="2" customWidth="1"/>
    <col min="10" max="16384" width="11.3984375" style="2"/>
  </cols>
  <sheetData>
    <row r="1" spans="1:9" s="1" customFormat="1" ht="14" customHeight="1">
      <c r="G1" s="169"/>
    </row>
    <row r="2" spans="1:9" s="1" customFormat="1" ht="28" customHeight="1">
      <c r="A2" s="112" t="s">
        <v>1793</v>
      </c>
      <c r="G2" s="112">
        <v>2006</v>
      </c>
    </row>
    <row r="3" spans="1:9" ht="27" customHeight="1">
      <c r="A3" s="113" t="s">
        <v>41</v>
      </c>
      <c r="B3" s="114" t="s">
        <v>42</v>
      </c>
      <c r="C3" s="115" t="s">
        <v>115</v>
      </c>
      <c r="D3" s="114" t="s">
        <v>116</v>
      </c>
      <c r="E3" s="115" t="s">
        <v>1951</v>
      </c>
      <c r="F3" s="114" t="s">
        <v>1951</v>
      </c>
      <c r="G3" s="170" t="s">
        <v>45</v>
      </c>
    </row>
    <row r="4" spans="1:9" ht="15" customHeight="1">
      <c r="A4" s="116"/>
      <c r="B4" s="117"/>
      <c r="C4" s="116"/>
      <c r="D4" s="119"/>
      <c r="E4" s="118" t="s">
        <v>117</v>
      </c>
      <c r="F4" s="117" t="s">
        <v>118</v>
      </c>
      <c r="G4" s="116" t="s">
        <v>46</v>
      </c>
    </row>
    <row r="5" spans="1:9" ht="15" customHeight="1">
      <c r="A5" s="116"/>
      <c r="B5" s="117"/>
      <c r="C5" s="116"/>
      <c r="D5" s="119"/>
      <c r="E5" s="118" t="s">
        <v>119</v>
      </c>
      <c r="F5" s="117" t="s">
        <v>44</v>
      </c>
      <c r="G5" s="116" t="s">
        <v>50</v>
      </c>
    </row>
    <row r="6" spans="1:9" ht="24" customHeight="1">
      <c r="A6" s="120"/>
      <c r="B6" s="121"/>
      <c r="C6" s="120"/>
      <c r="D6" s="121"/>
      <c r="E6" s="122"/>
      <c r="F6" s="123"/>
      <c r="G6" s="120"/>
    </row>
    <row r="7" spans="1:9" ht="30" customHeight="1" thickBot="1">
      <c r="A7" s="125" t="s">
        <v>51</v>
      </c>
      <c r="B7" s="126">
        <v>214863678</v>
      </c>
      <c r="C7" s="127">
        <v>1305491746</v>
      </c>
      <c r="D7" s="126">
        <v>1929677332</v>
      </c>
      <c r="E7" s="127">
        <v>3235169078</v>
      </c>
      <c r="F7" s="126">
        <v>3450032756</v>
      </c>
      <c r="G7" s="171">
        <v>1.2709648129797343E-2</v>
      </c>
      <c r="I7" s="129"/>
    </row>
    <row r="8" spans="1:9" ht="20" customHeight="1" thickBot="1">
      <c r="A8" s="130" t="s">
        <v>52</v>
      </c>
      <c r="B8" s="126">
        <v>136155931</v>
      </c>
      <c r="C8" s="127">
        <v>1105581806</v>
      </c>
      <c r="D8" s="126">
        <v>1591329651</v>
      </c>
      <c r="E8" s="127">
        <v>2696911457</v>
      </c>
      <c r="F8" s="126">
        <v>2833067388</v>
      </c>
      <c r="G8" s="171">
        <v>2.4839054075853448E-2</v>
      </c>
      <c r="I8" s="129"/>
    </row>
    <row r="9" spans="1:9" ht="20" customHeight="1" thickBot="1">
      <c r="A9" s="130" t="s">
        <v>53</v>
      </c>
      <c r="B9" s="126">
        <v>48941648</v>
      </c>
      <c r="C9" s="127">
        <v>315623329</v>
      </c>
      <c r="D9" s="126">
        <v>450592575</v>
      </c>
      <c r="E9" s="127">
        <v>766215904</v>
      </c>
      <c r="F9" s="126">
        <v>815157552</v>
      </c>
      <c r="G9" s="171">
        <v>-1.2207269454623281E-3</v>
      </c>
      <c r="I9" s="129"/>
    </row>
    <row r="10" spans="1:9" ht="20" customHeight="1" thickBot="1">
      <c r="A10" s="130" t="s">
        <v>54</v>
      </c>
      <c r="B10" s="126">
        <v>4600720</v>
      </c>
      <c r="C10" s="127">
        <v>30790367</v>
      </c>
      <c r="D10" s="126">
        <v>42178520</v>
      </c>
      <c r="E10" s="127">
        <v>72968887</v>
      </c>
      <c r="F10" s="126">
        <v>77569607</v>
      </c>
      <c r="G10" s="171">
        <v>5.517906307448619E-3</v>
      </c>
      <c r="I10" s="129"/>
    </row>
    <row r="11" spans="1:9" ht="20" customHeight="1" thickBot="1">
      <c r="A11" s="130" t="s">
        <v>55</v>
      </c>
      <c r="B11" s="126">
        <v>24933781</v>
      </c>
      <c r="C11" s="127">
        <v>124881304</v>
      </c>
      <c r="D11" s="126">
        <v>168045784</v>
      </c>
      <c r="E11" s="127">
        <v>292927088</v>
      </c>
      <c r="F11" s="126">
        <v>317860869</v>
      </c>
      <c r="G11" s="171">
        <v>3.4172057180780369E-2</v>
      </c>
      <c r="I11" s="129"/>
    </row>
    <row r="12" spans="1:9" ht="20" customHeight="1" thickBot="1">
      <c r="A12" s="130" t="s">
        <v>56</v>
      </c>
      <c r="B12" s="126">
        <v>5107107</v>
      </c>
      <c r="C12" s="127">
        <v>27814101</v>
      </c>
      <c r="D12" s="126">
        <v>39581948</v>
      </c>
      <c r="E12" s="127">
        <v>67396049</v>
      </c>
      <c r="F12" s="126">
        <v>72503156</v>
      </c>
      <c r="G12" s="171">
        <v>3.1204262303676324E-2</v>
      </c>
      <c r="I12" s="129"/>
    </row>
    <row r="13" spans="1:9" ht="20" customHeight="1" thickBot="1">
      <c r="A13" s="130" t="s">
        <v>57</v>
      </c>
      <c r="B13" s="126">
        <v>5062213</v>
      </c>
      <c r="C13" s="127">
        <v>31356985</v>
      </c>
      <c r="D13" s="126">
        <v>44008305</v>
      </c>
      <c r="E13" s="127">
        <v>75365290</v>
      </c>
      <c r="F13" s="126">
        <v>80427503</v>
      </c>
      <c r="G13" s="171">
        <v>3.8008085434473364E-2</v>
      </c>
      <c r="I13" s="129"/>
    </row>
    <row r="14" spans="1:9" ht="20" customHeight="1" thickBot="1">
      <c r="A14" s="130" t="s">
        <v>58</v>
      </c>
      <c r="B14" s="126">
        <v>6513603</v>
      </c>
      <c r="C14" s="127">
        <v>34598951</v>
      </c>
      <c r="D14" s="126">
        <v>48634741</v>
      </c>
      <c r="E14" s="127">
        <v>83233692</v>
      </c>
      <c r="F14" s="126">
        <v>89747295</v>
      </c>
      <c r="G14" s="171">
        <v>-3.8312086012793657E-3</v>
      </c>
      <c r="I14" s="129"/>
    </row>
    <row r="15" spans="1:9" ht="20" customHeight="1" thickBot="1">
      <c r="A15" s="130" t="s">
        <v>59</v>
      </c>
      <c r="B15" s="126">
        <v>14271412</v>
      </c>
      <c r="C15" s="127">
        <v>90603323</v>
      </c>
      <c r="D15" s="126">
        <v>131713286</v>
      </c>
      <c r="E15" s="127">
        <v>222316609</v>
      </c>
      <c r="F15" s="126">
        <v>236588021</v>
      </c>
      <c r="G15" s="171">
        <v>1.7858346946443945E-2</v>
      </c>
      <c r="I15" s="129"/>
    </row>
    <row r="16" spans="1:9" ht="20" customHeight="1" thickBot="1">
      <c r="A16" s="130" t="s">
        <v>60</v>
      </c>
      <c r="B16" s="126">
        <v>47494685</v>
      </c>
      <c r="C16" s="127">
        <v>254787841</v>
      </c>
      <c r="D16" s="126">
        <v>364313850</v>
      </c>
      <c r="E16" s="127">
        <v>619101691</v>
      </c>
      <c r="F16" s="126">
        <v>666596376</v>
      </c>
      <c r="G16" s="171">
        <v>4.2312677052218646E-2</v>
      </c>
      <c r="I16" s="129"/>
    </row>
    <row r="17" spans="1:9" ht="20" customHeight="1" thickBot="1">
      <c r="A17" s="130" t="s">
        <v>61</v>
      </c>
      <c r="B17" s="126">
        <v>40978772</v>
      </c>
      <c r="C17" s="127">
        <v>262144557</v>
      </c>
      <c r="D17" s="126">
        <v>357247974</v>
      </c>
      <c r="E17" s="127">
        <v>619392531</v>
      </c>
      <c r="F17" s="126">
        <v>660371303</v>
      </c>
      <c r="G17" s="171">
        <v>2.9599474153027865E-2</v>
      </c>
      <c r="I17" s="129"/>
    </row>
    <row r="18" spans="1:9" ht="20" customHeight="1" thickBot="1">
      <c r="A18" s="130" t="s">
        <v>62</v>
      </c>
      <c r="B18" s="126">
        <v>32331859</v>
      </c>
      <c r="C18" s="127">
        <v>255068244</v>
      </c>
      <c r="D18" s="126">
        <v>399469194</v>
      </c>
      <c r="E18" s="127">
        <v>654537438</v>
      </c>
      <c r="F18" s="126">
        <v>686869297</v>
      </c>
      <c r="G18" s="171">
        <v>1.8192546967018455E-3</v>
      </c>
      <c r="I18" s="129"/>
    </row>
    <row r="19" spans="1:9" ht="20" customHeight="1" thickBot="1">
      <c r="A19" s="130" t="s">
        <v>63</v>
      </c>
      <c r="B19" s="126">
        <v>49568059</v>
      </c>
      <c r="C19" s="127">
        <v>300002206</v>
      </c>
      <c r="D19" s="126">
        <v>415257622</v>
      </c>
      <c r="E19" s="127">
        <v>715259828</v>
      </c>
      <c r="F19" s="126">
        <v>764827887</v>
      </c>
      <c r="G19" s="171">
        <v>1.0215916757534683E-2</v>
      </c>
      <c r="I19" s="129"/>
    </row>
    <row r="20" spans="1:9" ht="20" customHeight="1" thickBot="1">
      <c r="A20" s="130" t="s">
        <v>64</v>
      </c>
      <c r="B20" s="126">
        <v>10176458</v>
      </c>
      <c r="C20" s="127">
        <v>73357967</v>
      </c>
      <c r="D20" s="126">
        <v>112010189</v>
      </c>
      <c r="E20" s="127">
        <v>185368156</v>
      </c>
      <c r="F20" s="126">
        <v>195544614</v>
      </c>
      <c r="G20" s="171">
        <v>-6.042741440623414E-4</v>
      </c>
      <c r="I20" s="129"/>
    </row>
    <row r="21" spans="1:9" ht="20" customHeight="1" thickBot="1">
      <c r="A21" s="130" t="s">
        <v>65</v>
      </c>
      <c r="B21" s="126">
        <v>7363054</v>
      </c>
      <c r="C21" s="127">
        <v>43705354</v>
      </c>
      <c r="D21" s="126">
        <v>59807309</v>
      </c>
      <c r="E21" s="127">
        <v>103512663</v>
      </c>
      <c r="F21" s="126">
        <v>110875717</v>
      </c>
      <c r="G21" s="171">
        <v>-3.5795862955698417E-3</v>
      </c>
      <c r="I21" s="129"/>
    </row>
    <row r="22" spans="1:9" ht="20" customHeight="1" thickBot="1">
      <c r="A22" s="130" t="s">
        <v>66</v>
      </c>
      <c r="B22" s="126">
        <v>2182873</v>
      </c>
      <c r="C22" s="127">
        <v>11540902</v>
      </c>
      <c r="D22" s="126">
        <v>14242647</v>
      </c>
      <c r="E22" s="127">
        <v>25783549</v>
      </c>
      <c r="F22" s="126">
        <v>27966422</v>
      </c>
      <c r="G22" s="171">
        <v>-2.3173670965408377E-3</v>
      </c>
      <c r="I22" s="129"/>
    </row>
    <row r="23" spans="1:9" ht="20" customHeight="1" thickBot="1">
      <c r="A23" s="130" t="s">
        <v>67</v>
      </c>
      <c r="B23" s="126">
        <v>75916429</v>
      </c>
      <c r="C23" s="127">
        <v>402559726</v>
      </c>
      <c r="D23" s="126">
        <v>569699334</v>
      </c>
      <c r="E23" s="127">
        <v>972259060</v>
      </c>
      <c r="F23" s="126">
        <v>1048175489</v>
      </c>
      <c r="G23" s="171">
        <v>7.16125307668558E-3</v>
      </c>
      <c r="I23" s="129"/>
    </row>
    <row r="24" spans="1:9" ht="20" customHeight="1" thickBot="1">
      <c r="A24" s="130" t="s">
        <v>68</v>
      </c>
      <c r="B24" s="126">
        <v>28543513</v>
      </c>
      <c r="C24" s="127">
        <v>173900435</v>
      </c>
      <c r="D24" s="126">
        <v>247679384</v>
      </c>
      <c r="E24" s="127">
        <v>421579819</v>
      </c>
      <c r="F24" s="126">
        <v>450123332</v>
      </c>
      <c r="G24" s="171">
        <v>2.0963450754344914E-2</v>
      </c>
      <c r="I24" s="129"/>
    </row>
    <row r="25" spans="1:9" ht="20" customHeight="1" thickBot="1">
      <c r="A25" s="130" t="s">
        <v>69</v>
      </c>
      <c r="B25" s="126">
        <v>94248391</v>
      </c>
      <c r="C25" s="127">
        <v>561595149</v>
      </c>
      <c r="D25" s="126">
        <v>765558183</v>
      </c>
      <c r="E25" s="127">
        <v>1327153332</v>
      </c>
      <c r="F25" s="126">
        <v>1421401723</v>
      </c>
      <c r="G25" s="171">
        <v>3.7962255079231906E-2</v>
      </c>
      <c r="I25" s="129"/>
    </row>
    <row r="26" spans="1:9" ht="20" customHeight="1" thickBot="1">
      <c r="A26" s="130" t="s">
        <v>70</v>
      </c>
      <c r="B26" s="126">
        <v>39041492</v>
      </c>
      <c r="C26" s="127">
        <v>214757829</v>
      </c>
      <c r="D26" s="126">
        <v>293490111</v>
      </c>
      <c r="E26" s="127">
        <v>508247940</v>
      </c>
      <c r="F26" s="126">
        <v>547289432</v>
      </c>
      <c r="G26" s="171">
        <v>2.9194958366162492E-3</v>
      </c>
      <c r="I26" s="129"/>
    </row>
    <row r="27" spans="1:9" ht="20" customHeight="1" thickBot="1">
      <c r="A27" s="130" t="s">
        <v>71</v>
      </c>
      <c r="B27" s="126">
        <v>51895822</v>
      </c>
      <c r="C27" s="127">
        <v>408320767</v>
      </c>
      <c r="D27" s="126">
        <v>578777307</v>
      </c>
      <c r="E27" s="127">
        <v>987098074</v>
      </c>
      <c r="F27" s="126">
        <v>1038993896</v>
      </c>
      <c r="G27" s="171">
        <v>5.6016771936823846E-4</v>
      </c>
      <c r="I27" s="129"/>
    </row>
    <row r="28" spans="1:9" ht="20" customHeight="1" thickBot="1">
      <c r="A28" s="130" t="s">
        <v>72</v>
      </c>
      <c r="B28" s="126">
        <v>148146686</v>
      </c>
      <c r="C28" s="127">
        <v>764244553</v>
      </c>
      <c r="D28" s="126">
        <v>1161743302</v>
      </c>
      <c r="E28" s="127">
        <v>1925987855</v>
      </c>
      <c r="F28" s="126">
        <v>2074134541</v>
      </c>
      <c r="G28" s="171">
        <v>-1.5108284200518621E-3</v>
      </c>
      <c r="I28" s="129"/>
    </row>
    <row r="29" spans="1:9" ht="20" customHeight="1" thickBot="1">
      <c r="A29" s="130" t="s">
        <v>73</v>
      </c>
      <c r="B29" s="126">
        <v>47654854</v>
      </c>
      <c r="C29" s="127">
        <v>293144670</v>
      </c>
      <c r="D29" s="126">
        <v>403791488</v>
      </c>
      <c r="E29" s="127">
        <v>696936158</v>
      </c>
      <c r="F29" s="126">
        <v>744591012</v>
      </c>
      <c r="G29" s="171">
        <v>5.8488578481083964E-2</v>
      </c>
      <c r="I29" s="129"/>
    </row>
    <row r="30" spans="1:9" ht="20" customHeight="1" thickBot="1">
      <c r="A30" s="130" t="s">
        <v>74</v>
      </c>
      <c r="B30" s="126">
        <v>30940789</v>
      </c>
      <c r="C30" s="127">
        <v>185524566</v>
      </c>
      <c r="D30" s="126">
        <v>288607710</v>
      </c>
      <c r="E30" s="127">
        <v>474132276</v>
      </c>
      <c r="F30" s="126">
        <v>505073065</v>
      </c>
      <c r="G30" s="171">
        <v>-4.1113031238112177E-2</v>
      </c>
      <c r="I30" s="129"/>
    </row>
    <row r="31" spans="1:9" ht="20" customHeight="1" thickBot="1">
      <c r="A31" s="130" t="s">
        <v>75</v>
      </c>
      <c r="B31" s="126">
        <v>103589247</v>
      </c>
      <c r="C31" s="127">
        <v>532319177</v>
      </c>
      <c r="D31" s="126">
        <v>847003081</v>
      </c>
      <c r="E31" s="127">
        <v>1379322258</v>
      </c>
      <c r="F31" s="126">
        <v>1482911505</v>
      </c>
      <c r="G31" s="171">
        <v>-1.0863220954152795E-2</v>
      </c>
      <c r="I31" s="129"/>
    </row>
    <row r="32" spans="1:9" ht="20" customHeight="1" thickBot="1">
      <c r="A32" s="131" t="s">
        <v>76</v>
      </c>
      <c r="B32" s="126">
        <v>12975568</v>
      </c>
      <c r="C32" s="127">
        <v>76302696</v>
      </c>
      <c r="D32" s="126">
        <v>107120682</v>
      </c>
      <c r="E32" s="127">
        <v>183423378</v>
      </c>
      <c r="F32" s="126">
        <v>196398946</v>
      </c>
      <c r="G32" s="171">
        <v>-3.6342411517383287E-2</v>
      </c>
      <c r="I32" s="129"/>
    </row>
    <row r="33" spans="1:9" ht="30" customHeight="1" thickBot="1">
      <c r="A33" s="132" t="s">
        <v>1944</v>
      </c>
      <c r="B33" s="133">
        <v>1283498644</v>
      </c>
      <c r="C33" s="134">
        <v>7880018551</v>
      </c>
      <c r="D33" s="133">
        <v>11431581509</v>
      </c>
      <c r="E33" s="134">
        <v>19311600060</v>
      </c>
      <c r="F33" s="133">
        <v>20595098704</v>
      </c>
      <c r="G33" s="172">
        <v>1.2228227332326924E-2</v>
      </c>
      <c r="I33" s="129"/>
    </row>
    <row r="34" spans="1:9" ht="20" customHeight="1">
      <c r="A34" s="136" t="s">
        <v>2284</v>
      </c>
      <c r="B34" s="136"/>
      <c r="C34" s="136"/>
      <c r="D34" s="136"/>
      <c r="E34" s="136"/>
      <c r="F34" s="136"/>
      <c r="G34" s="173"/>
    </row>
    <row r="35" spans="1:9" ht="13.5" customHeight="1">
      <c r="A35" s="3"/>
      <c r="B35" s="3"/>
      <c r="C35" s="3"/>
      <c r="D35" s="3"/>
      <c r="E35" s="3"/>
      <c r="F35" s="3"/>
      <c r="G35" s="174"/>
    </row>
    <row r="36" spans="1:9" ht="13.5" customHeight="1">
      <c r="A36" s="3" t="s">
        <v>77</v>
      </c>
      <c r="B36" s="3"/>
      <c r="C36" s="3"/>
      <c r="D36" s="3"/>
      <c r="E36" s="3"/>
      <c r="F36" s="3"/>
      <c r="G36" s="174"/>
    </row>
    <row r="37" spans="1:9" ht="12.75" customHeight="1">
      <c r="A37" s="3"/>
      <c r="B37" s="3"/>
      <c r="C37" s="3"/>
      <c r="D37" s="3"/>
      <c r="E37" s="3"/>
      <c r="F37" s="3"/>
      <c r="G37" s="174"/>
    </row>
    <row r="38" spans="1:9" ht="12" customHeight="1">
      <c r="A38" s="3" t="s">
        <v>153</v>
      </c>
    </row>
    <row r="39" spans="1:9" ht="12" customHeight="1">
      <c r="A39" s="2" t="s">
        <v>1792</v>
      </c>
    </row>
    <row r="40" spans="1:9" ht="12" customHeight="1"/>
    <row r="41" spans="1:9" ht="12" customHeight="1"/>
    <row r="42" spans="1:9">
      <c r="A42" s="3" t="s">
        <v>1955</v>
      </c>
    </row>
  </sheetData>
  <phoneticPr fontId="0" type="noConversion"/>
  <pageMargins left="0.56000000000000005" right="0.64" top="0.81" bottom="0.49" header="0.44" footer="0.4921259845"/>
  <pageSetup paperSize="9" scale="80" orientation="portrait" horizontalDpi="1200" verticalDpi="12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B662-01D7-564D-9899-2C34077DF568}">
  <dimension ref="A1:I41"/>
  <sheetViews>
    <sheetView zoomScale="75" workbookViewId="0">
      <selection activeCell="A37" sqref="A37"/>
    </sheetView>
  </sheetViews>
  <sheetFormatPr baseColWidth="10" defaultColWidth="11.3984375" defaultRowHeight="13"/>
  <cols>
    <col min="1" max="1" width="14.796875" style="2" customWidth="1"/>
    <col min="2" max="6" width="14.796875" style="8" customWidth="1"/>
    <col min="7" max="7" width="14.796875" style="159" customWidth="1"/>
    <col min="8" max="8" width="11.3984375" style="2"/>
    <col min="9" max="9" width="0" style="2" hidden="1" customWidth="1"/>
    <col min="10" max="16384" width="11.3984375" style="2"/>
  </cols>
  <sheetData>
    <row r="1" spans="1:9" s="1" customFormat="1" ht="14" customHeight="1">
      <c r="B1" s="175"/>
      <c r="C1" s="175"/>
      <c r="D1" s="175"/>
      <c r="E1" s="175"/>
      <c r="F1" s="175"/>
      <c r="G1" s="139"/>
    </row>
    <row r="2" spans="1:9" s="1" customFormat="1" ht="39.75" customHeight="1">
      <c r="A2" s="1695" t="s">
        <v>155</v>
      </c>
      <c r="B2" s="1699"/>
      <c r="C2" s="1699"/>
      <c r="D2" s="1699"/>
      <c r="E2" s="1699"/>
      <c r="F2" s="1699"/>
      <c r="G2" s="176">
        <v>2006</v>
      </c>
      <c r="H2" s="176"/>
    </row>
    <row r="3" spans="1:9" ht="27" customHeight="1">
      <c r="A3" s="113" t="s">
        <v>41</v>
      </c>
      <c r="B3" s="142" t="s">
        <v>42</v>
      </c>
      <c r="C3" s="177" t="s">
        <v>115</v>
      </c>
      <c r="D3" s="142" t="s">
        <v>116</v>
      </c>
      <c r="E3" s="177" t="s">
        <v>1951</v>
      </c>
      <c r="F3" s="142" t="s">
        <v>1951</v>
      </c>
      <c r="G3" s="115" t="s">
        <v>45</v>
      </c>
    </row>
    <row r="4" spans="1:9" ht="15" customHeight="1">
      <c r="A4" s="116"/>
      <c r="B4" s="143"/>
      <c r="C4" s="178"/>
      <c r="D4" s="179"/>
      <c r="E4" s="180" t="s">
        <v>117</v>
      </c>
      <c r="F4" s="143" t="s">
        <v>118</v>
      </c>
      <c r="G4" s="118" t="s">
        <v>46</v>
      </c>
    </row>
    <row r="5" spans="1:9" ht="15" customHeight="1">
      <c r="A5" s="116"/>
      <c r="B5" s="143"/>
      <c r="C5" s="178"/>
      <c r="D5" s="179"/>
      <c r="E5" s="180" t="s">
        <v>119</v>
      </c>
      <c r="F5" s="143" t="s">
        <v>44</v>
      </c>
      <c r="G5" s="118" t="s">
        <v>50</v>
      </c>
    </row>
    <row r="6" spans="1:9" ht="24" customHeight="1">
      <c r="A6" s="120"/>
      <c r="B6" s="181"/>
      <c r="C6" s="182"/>
      <c r="D6" s="181"/>
      <c r="E6" s="183"/>
      <c r="F6" s="144"/>
      <c r="G6" s="122"/>
    </row>
    <row r="7" spans="1:9" ht="30" customHeight="1" thickBot="1">
      <c r="A7" s="125" t="s">
        <v>51</v>
      </c>
      <c r="B7" s="184">
        <v>73.899091599461812</v>
      </c>
      <c r="C7" s="185">
        <v>214.95690395556133</v>
      </c>
      <c r="D7" s="184">
        <v>299.78047614964061</v>
      </c>
      <c r="E7" s="185">
        <v>258.60118363609274</v>
      </c>
      <c r="F7" s="184">
        <v>223.76957452792203</v>
      </c>
      <c r="G7" s="146">
        <v>4.6209985417568107E-3</v>
      </c>
      <c r="I7" s="129">
        <v>172.8785586534616</v>
      </c>
    </row>
    <row r="8" spans="1:9" ht="20" customHeight="1" thickBot="1">
      <c r="A8" s="130" t="s">
        <v>52</v>
      </c>
      <c r="B8" s="184">
        <v>61.239806254059239</v>
      </c>
      <c r="C8" s="185">
        <v>248.32972287959402</v>
      </c>
      <c r="D8" s="184">
        <v>328.50476677070947</v>
      </c>
      <c r="E8" s="185">
        <v>290.10951773329788</v>
      </c>
      <c r="F8" s="184">
        <v>245.93649207934922</v>
      </c>
      <c r="G8" s="148">
        <v>2.3263296732241943E-2</v>
      </c>
      <c r="I8" s="129">
        <v>161.49387493756916</v>
      </c>
    </row>
    <row r="9" spans="1:9" ht="20" customHeight="1" thickBot="1">
      <c r="A9" s="130" t="s">
        <v>53</v>
      </c>
      <c r="B9" s="184">
        <v>52.491321097926154</v>
      </c>
      <c r="C9" s="185">
        <v>191.09091101730829</v>
      </c>
      <c r="D9" s="184">
        <v>258.56181657301823</v>
      </c>
      <c r="E9" s="185">
        <v>225.72914243560874</v>
      </c>
      <c r="F9" s="184">
        <v>188.39767476689428</v>
      </c>
      <c r="G9" s="148">
        <v>-5.1929524951818485E-3</v>
      </c>
      <c r="I9" s="129">
        <v>129.41591119853354</v>
      </c>
    </row>
    <row r="10" spans="1:9" ht="20" customHeight="1" thickBot="1">
      <c r="A10" s="130" t="s">
        <v>54</v>
      </c>
      <c r="B10" s="184">
        <v>51.310670949321917</v>
      </c>
      <c r="C10" s="185">
        <v>185.74373220404422</v>
      </c>
      <c r="D10" s="184">
        <v>252.61439317713575</v>
      </c>
      <c r="E10" s="185">
        <v>219.31546502680999</v>
      </c>
      <c r="F10" s="184">
        <v>183.65060278046101</v>
      </c>
      <c r="G10" s="148">
        <v>6.5749027996747055E-3</v>
      </c>
      <c r="I10" s="129">
        <v>126.90557061409594</v>
      </c>
    </row>
    <row r="11" spans="1:9" ht="20" customHeight="1" thickBot="1">
      <c r="A11" s="130" t="s">
        <v>55</v>
      </c>
      <c r="B11" s="184">
        <v>69.251269275207747</v>
      </c>
      <c r="C11" s="185">
        <v>189.65202072664761</v>
      </c>
      <c r="D11" s="184">
        <v>260.59427841254484</v>
      </c>
      <c r="E11" s="185">
        <v>224.75040204274543</v>
      </c>
      <c r="F11" s="184">
        <v>191.09335750099194</v>
      </c>
      <c r="G11" s="148">
        <v>2.3920984738646418E-2</v>
      </c>
      <c r="I11" s="129">
        <v>131.64111605385247</v>
      </c>
    </row>
    <row r="12" spans="1:9" ht="20" customHeight="1" thickBot="1">
      <c r="A12" s="130" t="s">
        <v>56</v>
      </c>
      <c r="B12" s="184">
        <v>55.947449717365579</v>
      </c>
      <c r="C12" s="185">
        <v>174.95786156400968</v>
      </c>
      <c r="D12" s="184">
        <v>248.39940256545424</v>
      </c>
      <c r="E12" s="185">
        <v>211.73750863964813</v>
      </c>
      <c r="F12" s="184">
        <v>177.01657291300441</v>
      </c>
      <c r="G12" s="148">
        <v>2.4617993430413668E-2</v>
      </c>
      <c r="I12" s="129">
        <v>125.19129183854066</v>
      </c>
    </row>
    <row r="13" spans="1:9" ht="20" customHeight="1" thickBot="1">
      <c r="A13" s="130" t="s">
        <v>57</v>
      </c>
      <c r="B13" s="184">
        <v>52.52130021580345</v>
      </c>
      <c r="C13" s="185">
        <v>164.90483928646555</v>
      </c>
      <c r="D13" s="184">
        <v>233.07014617095646</v>
      </c>
      <c r="E13" s="185">
        <v>198.86769998838963</v>
      </c>
      <c r="F13" s="184">
        <v>169.19425230774411</v>
      </c>
      <c r="G13" s="148">
        <v>3.0959283905130336E-2</v>
      </c>
      <c r="I13" s="129">
        <v>117.8833340734285</v>
      </c>
    </row>
    <row r="14" spans="1:9" ht="20" customHeight="1" thickBot="1">
      <c r="A14" s="130" t="s">
        <v>58</v>
      </c>
      <c r="B14" s="184">
        <v>68.156736564540424</v>
      </c>
      <c r="C14" s="185">
        <v>193.45450326534262</v>
      </c>
      <c r="D14" s="184">
        <v>261.62901577259913</v>
      </c>
      <c r="E14" s="185">
        <v>228.2075738632625</v>
      </c>
      <c r="F14" s="184">
        <v>194.97735153031962</v>
      </c>
      <c r="G14" s="148">
        <v>6.3568310633260966E-4</v>
      </c>
      <c r="I14" s="129">
        <v>140.25371771237261</v>
      </c>
    </row>
    <row r="15" spans="1:9" ht="20" customHeight="1" thickBot="1">
      <c r="A15" s="130" t="s">
        <v>59</v>
      </c>
      <c r="B15" s="184">
        <v>55.659864900703582</v>
      </c>
      <c r="C15" s="185">
        <v>176.904332630428</v>
      </c>
      <c r="D15" s="184">
        <v>257.18419716637771</v>
      </c>
      <c r="E15" s="185">
        <v>217.03823902686659</v>
      </c>
      <c r="F15" s="184">
        <v>184.72990355455195</v>
      </c>
      <c r="G15" s="148">
        <v>5.2027112928799872E-3</v>
      </c>
      <c r="I15" s="129">
        <v>131.3336445580656</v>
      </c>
    </row>
    <row r="16" spans="1:9" ht="20" customHeight="1" thickBot="1">
      <c r="A16" s="130" t="s">
        <v>60</v>
      </c>
      <c r="B16" s="184">
        <v>65.68676630043926</v>
      </c>
      <c r="C16" s="185">
        <v>216.06765326440549</v>
      </c>
      <c r="D16" s="184">
        <v>300.55625129936345</v>
      </c>
      <c r="E16" s="185">
        <v>258.89494313610368</v>
      </c>
      <c r="F16" s="184">
        <v>214.03877764120662</v>
      </c>
      <c r="G16" s="148">
        <v>1.983836091740528E-2</v>
      </c>
      <c r="I16" s="129">
        <v>163.19734143075968</v>
      </c>
    </row>
    <row r="17" spans="1:9" ht="20" customHeight="1" thickBot="1">
      <c r="A17" s="130" t="s">
        <v>61</v>
      </c>
      <c r="B17" s="184">
        <v>67.836664018010865</v>
      </c>
      <c r="C17" s="185">
        <v>224.05747494846102</v>
      </c>
      <c r="D17" s="184">
        <v>290.16525014863691</v>
      </c>
      <c r="E17" s="185">
        <v>257.94995652195638</v>
      </c>
      <c r="F17" s="184">
        <v>219.73615309261129</v>
      </c>
      <c r="G17" s="148">
        <v>2.6421558422295644E-2</v>
      </c>
      <c r="I17" s="129">
        <v>156.59253023292777</v>
      </c>
    </row>
    <row r="18" spans="1:9" ht="20" customHeight="1" thickBot="1">
      <c r="A18" s="130" t="s">
        <v>62</v>
      </c>
      <c r="B18" s="184">
        <v>94.560824880964915</v>
      </c>
      <c r="C18" s="185">
        <v>302.3697597337013</v>
      </c>
      <c r="D18" s="184">
        <v>413.94570312985735</v>
      </c>
      <c r="E18" s="185">
        <v>361.90682082075438</v>
      </c>
      <c r="F18" s="184">
        <v>319.40040669687363</v>
      </c>
      <c r="G18" s="148">
        <v>1.91378791501324E-2</v>
      </c>
      <c r="I18" s="129">
        <v>239.48436004651805</v>
      </c>
    </row>
    <row r="19" spans="1:9" ht="20" customHeight="1" thickBot="1">
      <c r="A19" s="130" t="s">
        <v>63</v>
      </c>
      <c r="B19" s="184">
        <v>81.78575977771618</v>
      </c>
      <c r="C19" s="185">
        <v>238.23993284859804</v>
      </c>
      <c r="D19" s="184">
        <v>310.04553124514689</v>
      </c>
      <c r="E19" s="185">
        <v>275.25068652985328</v>
      </c>
      <c r="F19" s="184">
        <v>238.662058048185</v>
      </c>
      <c r="G19" s="148">
        <v>6.6373736267346991E-3</v>
      </c>
      <c r="I19" s="129">
        <v>177.06647582891381</v>
      </c>
    </row>
    <row r="20" spans="1:9" ht="20" customHeight="1" thickBot="1">
      <c r="A20" s="130" t="s">
        <v>64</v>
      </c>
      <c r="B20" s="184">
        <v>58.724338111395788</v>
      </c>
      <c r="C20" s="185">
        <v>207.83884393522138</v>
      </c>
      <c r="D20" s="184">
        <v>296.39852713916758</v>
      </c>
      <c r="E20" s="185">
        <v>253.62601933033417</v>
      </c>
      <c r="F20" s="184">
        <v>216.27404905369895</v>
      </c>
      <c r="G20" s="148">
        <v>-4.1192565897371983E-3</v>
      </c>
      <c r="I20" s="129">
        <v>165.60622548393192</v>
      </c>
    </row>
    <row r="21" spans="1:9" ht="20" customHeight="1" thickBot="1">
      <c r="A21" s="130" t="s">
        <v>65</v>
      </c>
      <c r="B21" s="184">
        <v>53.318372726219444</v>
      </c>
      <c r="C21" s="185">
        <v>178.22915749123237</v>
      </c>
      <c r="D21" s="184">
        <v>234.17480696643645</v>
      </c>
      <c r="E21" s="185">
        <v>206.77554114629527</v>
      </c>
      <c r="F21" s="184">
        <v>173.5959245342101</v>
      </c>
      <c r="G21" s="148">
        <v>8.9711986930136921E-5</v>
      </c>
      <c r="I21" s="129">
        <v>125.02923450612184</v>
      </c>
    </row>
    <row r="22" spans="1:9" ht="20" customHeight="1" thickBot="1">
      <c r="A22" s="130" t="s">
        <v>66</v>
      </c>
      <c r="B22" s="184">
        <v>48.677035946837925</v>
      </c>
      <c r="C22" s="185">
        <v>163.31156959302655</v>
      </c>
      <c r="D22" s="184">
        <v>209.40142025405785</v>
      </c>
      <c r="E22" s="185">
        <v>185.89973034550383</v>
      </c>
      <c r="F22" s="184">
        <v>152.37235480004358</v>
      </c>
      <c r="G22" s="148">
        <v>-1.2166996228180155E-2</v>
      </c>
      <c r="I22" s="129">
        <v>109.87124540182084</v>
      </c>
    </row>
    <row r="23" spans="1:9" ht="20" customHeight="1" thickBot="1">
      <c r="A23" s="130" t="s">
        <v>67</v>
      </c>
      <c r="B23" s="184">
        <v>62.241070052372841</v>
      </c>
      <c r="C23" s="185">
        <v>189.17849315016994</v>
      </c>
      <c r="D23" s="184">
        <v>255.59066951643641</v>
      </c>
      <c r="E23" s="185">
        <v>223.15386169065161</v>
      </c>
      <c r="F23" s="184">
        <v>187.95905778701635</v>
      </c>
      <c r="G23" s="148">
        <v>3.7911754198393537E-3</v>
      </c>
      <c r="I23" s="129">
        <v>134.24530167185685</v>
      </c>
    </row>
    <row r="24" spans="1:9" ht="20" customHeight="1" thickBot="1">
      <c r="A24" s="130" t="s">
        <v>68</v>
      </c>
      <c r="B24" s="184">
        <v>64.136384267622972</v>
      </c>
      <c r="C24" s="185">
        <v>187.33780077391111</v>
      </c>
      <c r="D24" s="184">
        <v>260.75027372109088</v>
      </c>
      <c r="E24" s="185">
        <v>224.46761942185105</v>
      </c>
      <c r="F24" s="184">
        <v>193.75243501602108</v>
      </c>
      <c r="G24" s="148">
        <v>2.0103854152745917E-2</v>
      </c>
      <c r="I24" s="129">
        <v>132.91701511018809</v>
      </c>
    </row>
    <row r="25" spans="1:9" ht="20" customHeight="1" thickBot="1">
      <c r="A25" s="130" t="s">
        <v>69</v>
      </c>
      <c r="B25" s="184">
        <v>65.240414859978173</v>
      </c>
      <c r="C25" s="185">
        <v>206.83350090821907</v>
      </c>
      <c r="D25" s="184">
        <v>274.53176544755854</v>
      </c>
      <c r="E25" s="185">
        <v>241.1340041425924</v>
      </c>
      <c r="F25" s="184">
        <v>204.56438560527036</v>
      </c>
      <c r="G25" s="148">
        <v>2.9047807109659984E-2</v>
      </c>
      <c r="I25" s="129">
        <v>145.05617363699608</v>
      </c>
    </row>
    <row r="26" spans="1:9" ht="20" customHeight="1" thickBot="1">
      <c r="A26" s="130" t="s">
        <v>70</v>
      </c>
      <c r="B26" s="184">
        <v>61.685108292411627</v>
      </c>
      <c r="C26" s="185">
        <v>196.48546655248512</v>
      </c>
      <c r="D26" s="184">
        <v>261.83807691072406</v>
      </c>
      <c r="E26" s="185">
        <v>229.57214715080954</v>
      </c>
      <c r="F26" s="184">
        <v>192.2466959485852</v>
      </c>
      <c r="G26" s="148">
        <v>-4.6478254476329736E-3</v>
      </c>
      <c r="I26" s="129">
        <v>145.7338374894791</v>
      </c>
    </row>
    <row r="27" spans="1:9" ht="20" customHeight="1" thickBot="1">
      <c r="A27" s="130" t="s">
        <v>71</v>
      </c>
      <c r="B27" s="184">
        <v>74.963630322990696</v>
      </c>
      <c r="C27" s="185">
        <v>275.34841097723148</v>
      </c>
      <c r="D27" s="184">
        <v>349.29059304481331</v>
      </c>
      <c r="E27" s="185">
        <v>314.36805051300274</v>
      </c>
      <c r="F27" s="184">
        <v>271.12034578354502</v>
      </c>
      <c r="G27" s="148">
        <v>-4.559309578577064E-3</v>
      </c>
      <c r="I27" s="129">
        <v>199.67764846714121</v>
      </c>
    </row>
    <row r="28" spans="1:9" ht="20" customHeight="1" thickBot="1">
      <c r="A28" s="130" t="s">
        <v>72</v>
      </c>
      <c r="B28" s="184">
        <v>86.544389531487312</v>
      </c>
      <c r="C28" s="185">
        <v>262.07798131474408</v>
      </c>
      <c r="D28" s="184">
        <v>362.14259413735527</v>
      </c>
      <c r="E28" s="185">
        <v>314.49300256821243</v>
      </c>
      <c r="F28" s="184">
        <v>264.69626746320529</v>
      </c>
      <c r="G28" s="148">
        <v>-1.029244184316213E-2</v>
      </c>
      <c r="I28" s="129">
        <v>203.24357993536964</v>
      </c>
    </row>
    <row r="29" spans="1:9" ht="20" customHeight="1" thickBot="1">
      <c r="A29" s="130" t="s">
        <v>73</v>
      </c>
      <c r="B29" s="184">
        <v>64.33863381072733</v>
      </c>
      <c r="C29" s="185">
        <v>210.85782536640943</v>
      </c>
      <c r="D29" s="184">
        <v>277.46957802845395</v>
      </c>
      <c r="E29" s="185">
        <v>244.92262898800084</v>
      </c>
      <c r="F29" s="184">
        <v>207.62534967140925</v>
      </c>
      <c r="G29" s="148">
        <v>4.9311648405847619E-2</v>
      </c>
      <c r="I29" s="129">
        <v>144.85185631308477</v>
      </c>
    </row>
    <row r="30" spans="1:9" ht="20" customHeight="1" thickBot="1">
      <c r="A30" s="130" t="s">
        <v>74</v>
      </c>
      <c r="B30" s="184">
        <v>71.173408875516415</v>
      </c>
      <c r="C30" s="185">
        <v>243.2483794329589</v>
      </c>
      <c r="D30" s="184">
        <v>344.41704854646997</v>
      </c>
      <c r="E30" s="185">
        <v>296.21344658774842</v>
      </c>
      <c r="F30" s="184">
        <v>248.14974137202535</v>
      </c>
      <c r="G30" s="148">
        <v>-4.5172159038286724E-2</v>
      </c>
      <c r="I30" s="129">
        <v>184.5803903521614</v>
      </c>
    </row>
    <row r="31" spans="1:9" ht="20" customHeight="1" thickBot="1">
      <c r="A31" s="130" t="s">
        <v>75</v>
      </c>
      <c r="B31" s="184">
        <v>99.032182108113076</v>
      </c>
      <c r="C31" s="185">
        <v>295.16026519662967</v>
      </c>
      <c r="D31" s="184">
        <v>419.60841363826421</v>
      </c>
      <c r="E31" s="185">
        <v>360.88451201707977</v>
      </c>
      <c r="F31" s="184">
        <v>304.61962898689336</v>
      </c>
      <c r="G31" s="148">
        <v>-2.1128301055079016E-2</v>
      </c>
      <c r="I31" s="129">
        <v>244.01642882305748</v>
      </c>
    </row>
    <row r="32" spans="1:9" ht="20" customHeight="1" thickBot="1">
      <c r="A32" s="131" t="s">
        <v>76</v>
      </c>
      <c r="B32" s="184">
        <v>69.416276133615796</v>
      </c>
      <c r="C32" s="185">
        <v>243.22220097157938</v>
      </c>
      <c r="D32" s="184">
        <v>320.42512294052193</v>
      </c>
      <c r="E32" s="185">
        <v>283.0607685185185</v>
      </c>
      <c r="F32" s="184">
        <v>235.22972869386913</v>
      </c>
      <c r="G32" s="148">
        <v>-3.6702517548119769E-2</v>
      </c>
      <c r="I32" s="129">
        <v>200.58331332206401</v>
      </c>
    </row>
    <row r="33" spans="1:9" s="188" customFormat="1" ht="30" customHeight="1" thickBot="1">
      <c r="A33" s="132" t="s">
        <v>1944</v>
      </c>
      <c r="B33" s="186">
        <v>70.372389255618884</v>
      </c>
      <c r="C33" s="187">
        <v>227.11709965805699</v>
      </c>
      <c r="D33" s="186">
        <v>309.54548191648809</v>
      </c>
      <c r="E33" s="187">
        <v>269.61678747737</v>
      </c>
      <c r="F33" s="186">
        <v>229.17880940203926</v>
      </c>
      <c r="G33" s="150">
        <v>6.282101360556569E-3</v>
      </c>
      <c r="I33" s="189">
        <v>167.9825427102873</v>
      </c>
    </row>
    <row r="34" spans="1:9" ht="20" customHeight="1">
      <c r="A34" s="136" t="s">
        <v>2284</v>
      </c>
      <c r="B34" s="190"/>
      <c r="C34" s="190"/>
      <c r="D34" s="190"/>
      <c r="E34" s="190"/>
      <c r="F34" s="190"/>
      <c r="G34" s="154"/>
    </row>
    <row r="35" spans="1:9" ht="14.25" customHeight="1">
      <c r="A35" s="3"/>
      <c r="B35" s="191"/>
      <c r="C35" s="191"/>
      <c r="D35" s="191"/>
      <c r="E35" s="191"/>
      <c r="F35" s="191"/>
      <c r="G35" s="156"/>
    </row>
    <row r="36" spans="1:9" ht="20" customHeight="1">
      <c r="A36" s="3" t="s">
        <v>154</v>
      </c>
      <c r="B36" s="191"/>
      <c r="C36" s="191"/>
      <c r="D36" s="191"/>
      <c r="E36" s="191"/>
      <c r="F36" s="191"/>
      <c r="G36" s="156"/>
    </row>
    <row r="37" spans="1:9" ht="9.75" customHeight="1">
      <c r="A37" s="3"/>
      <c r="B37" s="191"/>
      <c r="C37" s="191"/>
      <c r="D37" s="191"/>
      <c r="E37" s="191"/>
      <c r="F37" s="191"/>
      <c r="G37" s="156"/>
    </row>
    <row r="38" spans="1:9" ht="12" customHeight="1">
      <c r="A38" s="3" t="s">
        <v>156</v>
      </c>
    </row>
    <row r="39" spans="1:9" ht="12" customHeight="1"/>
    <row r="40" spans="1:9" ht="12" customHeight="1"/>
    <row r="41" spans="1:9">
      <c r="A41" s="3" t="s">
        <v>1955</v>
      </c>
    </row>
  </sheetData>
  <mergeCells count="1">
    <mergeCell ref="A2:F2"/>
  </mergeCells>
  <phoneticPr fontId="0" type="noConversion"/>
  <pageMargins left="0.78740157480314965" right="0.78740157480314965" top="1.48" bottom="0.49" header="0.92" footer="0.4921259845"/>
  <pageSetup paperSize="9" scale="80" orientation="portrait" horizontalDpi="4294967292" verticalDpi="4294967292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B5E9-F2B9-4745-866D-B8E993226AF6}">
  <dimension ref="A1:K31"/>
  <sheetViews>
    <sheetView topLeftCell="A20" zoomScale="75" workbookViewId="0">
      <selection activeCell="B41" sqref="B41"/>
    </sheetView>
  </sheetViews>
  <sheetFormatPr baseColWidth="10" defaultColWidth="11.3984375" defaultRowHeight="13"/>
  <cols>
    <col min="1" max="1" width="13.796875" style="2" customWidth="1"/>
    <col min="2" max="2" width="14.796875" style="158" customWidth="1"/>
    <col min="3" max="3" width="14.796875" style="159" customWidth="1"/>
    <col min="4" max="4" width="14.796875" style="158" customWidth="1"/>
    <col min="5" max="5" width="14.796875" style="159" customWidth="1"/>
    <col min="6" max="6" width="14.796875" style="158" customWidth="1"/>
    <col min="7" max="7" width="14.796875" style="159" customWidth="1"/>
    <col min="8" max="8" width="7.3984375" style="2" customWidth="1"/>
    <col min="9" max="9" width="8" style="2" customWidth="1"/>
    <col min="10" max="10" width="7.796875" style="2" customWidth="1"/>
    <col min="11" max="11" width="9" style="2" customWidth="1"/>
    <col min="12" max="16384" width="11.3984375" style="2"/>
  </cols>
  <sheetData>
    <row r="1" spans="1:11" s="1" customFormat="1" ht="14.25" customHeight="1">
      <c r="A1" s="137"/>
      <c r="B1" s="138"/>
      <c r="C1" s="139"/>
      <c r="D1" s="140"/>
      <c r="E1" s="139"/>
      <c r="F1" s="140"/>
      <c r="G1" s="139"/>
    </row>
    <row r="2" spans="1:11" s="1" customFormat="1" ht="43.5" customHeight="1">
      <c r="A2" s="1701" t="s">
        <v>157</v>
      </c>
      <c r="B2" s="1699"/>
      <c r="C2" s="1699"/>
      <c r="D2" s="1699"/>
      <c r="E2" s="1699"/>
      <c r="F2" s="1699"/>
      <c r="G2" s="176">
        <v>2006</v>
      </c>
    </row>
    <row r="3" spans="1:11" ht="27" customHeight="1">
      <c r="A3" s="113" t="s">
        <v>92</v>
      </c>
      <c r="B3" s="142" t="s">
        <v>93</v>
      </c>
      <c r="C3" s="115" t="s">
        <v>45</v>
      </c>
      <c r="D3" s="142" t="s">
        <v>95</v>
      </c>
      <c r="E3" s="115" t="s">
        <v>45</v>
      </c>
      <c r="F3" s="142" t="s">
        <v>1951</v>
      </c>
      <c r="G3" s="115" t="s">
        <v>45</v>
      </c>
    </row>
    <row r="4" spans="1:11" ht="15" customHeight="1">
      <c r="A4" s="116"/>
      <c r="B4" s="143"/>
      <c r="C4" s="118" t="s">
        <v>46</v>
      </c>
      <c r="D4" s="143"/>
      <c r="E4" s="118" t="s">
        <v>46</v>
      </c>
      <c r="F4" s="143"/>
      <c r="G4" s="118" t="s">
        <v>46</v>
      </c>
    </row>
    <row r="5" spans="1:11" ht="15" customHeight="1">
      <c r="A5" s="116"/>
      <c r="B5" s="143"/>
      <c r="C5" s="118" t="s">
        <v>50</v>
      </c>
      <c r="D5" s="143"/>
      <c r="E5" s="118" t="s">
        <v>50</v>
      </c>
      <c r="F5" s="143"/>
      <c r="G5" s="118" t="s">
        <v>50</v>
      </c>
    </row>
    <row r="6" spans="1:11" ht="19.5" customHeight="1">
      <c r="A6" s="120"/>
      <c r="B6" s="144"/>
      <c r="C6" s="122"/>
      <c r="D6" s="144"/>
      <c r="E6" s="122"/>
      <c r="F6" s="144"/>
      <c r="G6" s="122"/>
    </row>
    <row r="7" spans="1:11" ht="30" customHeight="1" thickBot="1">
      <c r="A7" s="125" t="s">
        <v>97</v>
      </c>
      <c r="B7" s="145">
        <v>71.966793133774956</v>
      </c>
      <c r="C7" s="146">
        <v>1.3160634888289571E-2</v>
      </c>
      <c r="D7" s="145">
        <v>68.694848227084421</v>
      </c>
      <c r="E7" s="146">
        <v>8.2855099569632499E-3</v>
      </c>
      <c r="F7" s="145">
        <v>70.372389255618899</v>
      </c>
      <c r="G7" s="146">
        <v>1.0842598718520471E-2</v>
      </c>
      <c r="I7" s="100"/>
      <c r="J7" s="100"/>
      <c r="K7" s="100"/>
    </row>
    <row r="8" spans="1:11" ht="20" customHeight="1" thickBot="1">
      <c r="A8" s="130" t="s">
        <v>98</v>
      </c>
      <c r="B8" s="147">
        <v>72.562366400997035</v>
      </c>
      <c r="C8" s="148">
        <v>-1.7606796556760163E-2</v>
      </c>
      <c r="D8" s="147">
        <v>122.30324760455782</v>
      </c>
      <c r="E8" s="148">
        <v>-3.2665937344616848E-2</v>
      </c>
      <c r="F8" s="147">
        <v>97.357879476376198</v>
      </c>
      <c r="G8" s="148">
        <v>-2.6211918505924959E-2</v>
      </c>
      <c r="I8" s="100"/>
      <c r="J8" s="100"/>
      <c r="K8" s="100"/>
    </row>
    <row r="9" spans="1:11" ht="20" customHeight="1" thickBot="1">
      <c r="A9" s="130" t="s">
        <v>99</v>
      </c>
      <c r="B9" s="147">
        <v>79.12917816332218</v>
      </c>
      <c r="C9" s="148">
        <v>-3.8407760857630827E-2</v>
      </c>
      <c r="D9" s="147">
        <v>171.61959169834066</v>
      </c>
      <c r="E9" s="148">
        <v>-2.6954745042638884E-2</v>
      </c>
      <c r="F9" s="147">
        <v>125.34459249823603</v>
      </c>
      <c r="G9" s="148">
        <v>-3.1267411333523773E-2</v>
      </c>
      <c r="I9" s="100"/>
      <c r="J9" s="100"/>
      <c r="K9" s="100"/>
    </row>
    <row r="10" spans="1:11" ht="20" customHeight="1" thickBot="1">
      <c r="A10" s="130" t="s">
        <v>100</v>
      </c>
      <c r="B10" s="147">
        <v>93.364685819481792</v>
      </c>
      <c r="C10" s="148">
        <v>-2.7639979803247384E-2</v>
      </c>
      <c r="D10" s="147">
        <v>199.06058344881498</v>
      </c>
      <c r="E10" s="148">
        <v>3.700107231760022E-3</v>
      </c>
      <c r="F10" s="147">
        <v>146.29767629121767</v>
      </c>
      <c r="G10" s="148">
        <v>-6.7937935178552017E-3</v>
      </c>
      <c r="I10" s="100"/>
      <c r="J10" s="100"/>
      <c r="K10" s="100"/>
    </row>
    <row r="11" spans="1:11" ht="20" customHeight="1" thickBot="1">
      <c r="A11" s="130" t="s">
        <v>101</v>
      </c>
      <c r="B11" s="147">
        <v>110.2437875103505</v>
      </c>
      <c r="C11" s="148">
        <v>-2.5830504576228885E-2</v>
      </c>
      <c r="D11" s="147">
        <v>186.67856011214656</v>
      </c>
      <c r="E11" s="148">
        <v>-4.8483255286766291E-3</v>
      </c>
      <c r="F11" s="147">
        <v>148.45735341915005</v>
      </c>
      <c r="G11" s="148">
        <v>-1.2220254536989314E-2</v>
      </c>
      <c r="I11" s="100"/>
      <c r="J11" s="100"/>
      <c r="K11" s="100"/>
    </row>
    <row r="12" spans="1:11" ht="20" customHeight="1" thickBot="1">
      <c r="A12" s="130" t="s">
        <v>102</v>
      </c>
      <c r="B12" s="147">
        <v>131.89314826832097</v>
      </c>
      <c r="C12" s="148">
        <v>-1.9483960949968352E-2</v>
      </c>
      <c r="D12" s="147">
        <v>186.0531037285219</v>
      </c>
      <c r="E12" s="148">
        <v>2.2684155389261509E-3</v>
      </c>
      <c r="F12" s="147">
        <v>158.65483627084015</v>
      </c>
      <c r="G12" s="148">
        <v>-7.2079797655549985E-3</v>
      </c>
      <c r="I12" s="100"/>
      <c r="J12" s="100"/>
      <c r="K12" s="100"/>
    </row>
    <row r="13" spans="1:11" ht="20" customHeight="1" thickBot="1">
      <c r="A13" s="130" t="s">
        <v>103</v>
      </c>
      <c r="B13" s="147">
        <v>162.38639264191943</v>
      </c>
      <c r="C13" s="148">
        <v>-1.6109643682644979E-2</v>
      </c>
      <c r="D13" s="147">
        <v>214.28419411038439</v>
      </c>
      <c r="E13" s="148">
        <v>-5.8546816715744137E-3</v>
      </c>
      <c r="F13" s="147">
        <v>187.98232670671749</v>
      </c>
      <c r="G13" s="148">
        <v>-1.0322354763428751E-2</v>
      </c>
      <c r="I13" s="100"/>
      <c r="J13" s="100"/>
      <c r="K13" s="100"/>
    </row>
    <row r="14" spans="1:11" ht="20" customHeight="1" thickBot="1">
      <c r="A14" s="130" t="s">
        <v>104</v>
      </c>
      <c r="B14" s="147">
        <v>207.71624933529881</v>
      </c>
      <c r="C14" s="148">
        <v>-4.2242821442484606E-3</v>
      </c>
      <c r="D14" s="147">
        <v>251.45792892775523</v>
      </c>
      <c r="E14" s="148">
        <v>-7.4781408737710723E-3</v>
      </c>
      <c r="F14" s="147">
        <v>229.49942538989347</v>
      </c>
      <c r="G14" s="148">
        <v>-6.1137142119093374E-3</v>
      </c>
      <c r="I14" s="100"/>
      <c r="J14" s="100"/>
      <c r="K14" s="100"/>
    </row>
    <row r="15" spans="1:11" ht="20" customHeight="1" thickBot="1">
      <c r="A15" s="130" t="s">
        <v>105</v>
      </c>
      <c r="B15" s="147">
        <v>269.63425552377856</v>
      </c>
      <c r="C15" s="148">
        <v>-2.9357824625317603E-3</v>
      </c>
      <c r="D15" s="147">
        <v>293.69893158533665</v>
      </c>
      <c r="E15" s="148">
        <v>-4.8839856907935504E-3</v>
      </c>
      <c r="F15" s="147">
        <v>281.70065437049709</v>
      </c>
      <c r="G15" s="148">
        <v>-3.8925545174397151E-3</v>
      </c>
      <c r="I15" s="100"/>
      <c r="J15" s="100"/>
      <c r="K15" s="100"/>
    </row>
    <row r="16" spans="1:11" ht="20" customHeight="1" thickBot="1">
      <c r="A16" s="130" t="s">
        <v>106</v>
      </c>
      <c r="B16" s="147">
        <v>341.80576349130484</v>
      </c>
      <c r="C16" s="148">
        <v>-1.5269521693486699E-3</v>
      </c>
      <c r="D16" s="147">
        <v>348.3875883708875</v>
      </c>
      <c r="E16" s="148">
        <v>-6.08382529740443E-4</v>
      </c>
      <c r="F16" s="147">
        <v>345.14804373620336</v>
      </c>
      <c r="G16" s="148">
        <v>-1.1031190963698091E-3</v>
      </c>
      <c r="I16" s="100"/>
      <c r="J16" s="100"/>
      <c r="K16" s="100"/>
    </row>
    <row r="17" spans="1:11" ht="20" customHeight="1" thickBot="1">
      <c r="A17" s="130" t="s">
        <v>107</v>
      </c>
      <c r="B17" s="147">
        <v>428.65040135612395</v>
      </c>
      <c r="C17" s="148">
        <v>-3.515510977465702E-3</v>
      </c>
      <c r="D17" s="147">
        <v>412.3727473330411</v>
      </c>
      <c r="E17" s="148">
        <v>3.4823459983979134E-3</v>
      </c>
      <c r="F17" s="147">
        <v>419.99949854560094</v>
      </c>
      <c r="G17" s="148">
        <v>1.5840264962332365E-4</v>
      </c>
      <c r="I17" s="100"/>
      <c r="J17" s="100"/>
      <c r="K17" s="100"/>
    </row>
    <row r="18" spans="1:11" ht="20" customHeight="1" thickBot="1">
      <c r="A18" s="130" t="s">
        <v>108</v>
      </c>
      <c r="B18" s="147">
        <v>536.88241014715743</v>
      </c>
      <c r="C18" s="148">
        <v>-2.6927109975973217E-3</v>
      </c>
      <c r="D18" s="147">
        <v>506.25171959778714</v>
      </c>
      <c r="E18" s="148">
        <v>1.2629422832666012E-2</v>
      </c>
      <c r="F18" s="147">
        <v>519.93511955116901</v>
      </c>
      <c r="G18" s="148">
        <v>5.7761067318326739E-3</v>
      </c>
      <c r="I18" s="100"/>
      <c r="J18" s="100"/>
      <c r="K18" s="100"/>
    </row>
    <row r="19" spans="1:11" ht="20" customHeight="1" thickBot="1">
      <c r="A19" s="130" t="s">
        <v>109</v>
      </c>
      <c r="B19" s="147">
        <v>646.85735857549616</v>
      </c>
      <c r="C19" s="148">
        <v>7.4720033308068876E-3</v>
      </c>
      <c r="D19" s="147">
        <v>623.77145840835431</v>
      </c>
      <c r="E19" s="148">
        <v>1.1025142565138151E-2</v>
      </c>
      <c r="F19" s="147">
        <v>633.18083075203299</v>
      </c>
      <c r="G19" s="148">
        <v>9.658567837993251E-3</v>
      </c>
      <c r="I19" s="100"/>
      <c r="J19" s="100"/>
      <c r="K19" s="100"/>
    </row>
    <row r="20" spans="1:11" ht="20" customHeight="1" thickBot="1">
      <c r="A20" s="130" t="s">
        <v>110</v>
      </c>
      <c r="B20" s="147">
        <v>756.64143669575697</v>
      </c>
      <c r="C20" s="148">
        <v>1.331369180689136E-2</v>
      </c>
      <c r="D20" s="147">
        <v>796.56803243165166</v>
      </c>
      <c r="E20" s="148">
        <v>1.0343154029103702E-2</v>
      </c>
      <c r="F20" s="147">
        <v>782.0046983766465</v>
      </c>
      <c r="G20" s="148">
        <v>1.1331252798358785E-2</v>
      </c>
      <c r="I20" s="100"/>
      <c r="J20" s="100"/>
      <c r="K20" s="100"/>
    </row>
    <row r="21" spans="1:11" ht="20" customHeight="1" thickBot="1">
      <c r="A21" s="130" t="s">
        <v>111</v>
      </c>
      <c r="B21" s="147">
        <v>914.11549537528083</v>
      </c>
      <c r="C21" s="148">
        <v>1.4649633094308228E-2</v>
      </c>
      <c r="D21" s="147">
        <v>1054.4989002972316</v>
      </c>
      <c r="E21" s="148">
        <v>1.1310720918134603E-2</v>
      </c>
      <c r="F21" s="147">
        <v>1009.2535315329224</v>
      </c>
      <c r="G21" s="148">
        <v>1.1881004542834203E-2</v>
      </c>
      <c r="I21" s="100"/>
      <c r="J21" s="100"/>
      <c r="K21" s="100"/>
    </row>
    <row r="22" spans="1:11" ht="20" customHeight="1" thickBot="1">
      <c r="A22" s="130" t="s">
        <v>112</v>
      </c>
      <c r="B22" s="147">
        <v>1178.2818691156933</v>
      </c>
      <c r="C22" s="148">
        <v>1.421015724710837E-2</v>
      </c>
      <c r="D22" s="147">
        <v>1462.9392418304367</v>
      </c>
      <c r="E22" s="148">
        <v>2.5463489219960667E-2</v>
      </c>
      <c r="F22" s="147">
        <v>1392.666850251672</v>
      </c>
      <c r="G22" s="148">
        <v>2.2827719510553773E-2</v>
      </c>
      <c r="I22" s="100"/>
      <c r="J22" s="100"/>
      <c r="K22" s="100"/>
    </row>
    <row r="23" spans="1:11" s="151" customFormat="1" ht="21" customHeight="1" thickBot="1">
      <c r="A23" s="132" t="s">
        <v>1951</v>
      </c>
      <c r="B23" s="149">
        <v>194.17906409188319</v>
      </c>
      <c r="C23" s="150">
        <v>4.7639616770542804E-3</v>
      </c>
      <c r="D23" s="149">
        <v>262.82592691632141</v>
      </c>
      <c r="E23" s="150">
        <v>7.4541936803325373E-3</v>
      </c>
      <c r="F23" s="149">
        <v>229.17890121155887</v>
      </c>
      <c r="G23" s="150">
        <v>6.2816934777402281E-3</v>
      </c>
      <c r="I23" s="152"/>
      <c r="J23" s="152"/>
      <c r="K23" s="152"/>
    </row>
    <row r="24" spans="1:11" ht="20" customHeight="1">
      <c r="A24" s="136" t="s">
        <v>2284</v>
      </c>
      <c r="B24" s="153"/>
      <c r="C24" s="154"/>
      <c r="D24" s="153"/>
      <c r="E24" s="154"/>
      <c r="F24" s="153"/>
      <c r="G24" s="154"/>
    </row>
    <row r="25" spans="1:11" ht="12.75" customHeight="1">
      <c r="A25" s="3"/>
      <c r="B25" s="155"/>
      <c r="C25" s="156"/>
      <c r="D25" s="155"/>
      <c r="E25" s="156"/>
      <c r="F25" s="155"/>
      <c r="G25" s="156"/>
    </row>
    <row r="26" spans="1:11" ht="13.5" customHeight="1">
      <c r="A26" s="3" t="s">
        <v>77</v>
      </c>
      <c r="B26" s="155"/>
      <c r="C26" s="156"/>
      <c r="D26" s="155"/>
      <c r="E26" s="156"/>
      <c r="F26" s="155"/>
      <c r="G26" s="156"/>
    </row>
    <row r="28" spans="1:11" ht="15.75" customHeight="1">
      <c r="A28" s="192" t="s">
        <v>156</v>
      </c>
      <c r="B28" s="155"/>
      <c r="C28" s="156"/>
      <c r="D28" s="155"/>
      <c r="E28" s="156"/>
      <c r="F28" s="155"/>
      <c r="G28" s="156"/>
    </row>
    <row r="29" spans="1:11" ht="12" customHeight="1">
      <c r="B29" s="151"/>
      <c r="C29" s="2"/>
      <c r="D29" s="2"/>
      <c r="E29" s="2"/>
      <c r="F29" s="151"/>
      <c r="G29" s="193"/>
    </row>
    <row r="30" spans="1:11" ht="13.5" customHeight="1">
      <c r="A30" s="192"/>
      <c r="B30" s="155"/>
      <c r="C30" s="156"/>
      <c r="D30" s="155"/>
      <c r="E30" s="156"/>
      <c r="F30" s="155"/>
      <c r="G30" s="156"/>
    </row>
    <row r="31" spans="1:11" ht="18" customHeight="1">
      <c r="A31" s="3" t="s">
        <v>1955</v>
      </c>
    </row>
  </sheetData>
  <mergeCells count="1">
    <mergeCell ref="A2:F2"/>
  </mergeCells>
  <phoneticPr fontId="0" type="noConversion"/>
  <pageMargins left="0.6" right="0.56999999999999995" top="0.78" bottom="0.49" header="0.38" footer="0.4921259845"/>
  <pageSetup paperSize="9" scale="80" orientation="portrait" horizontalDpi="1200" verticalDpi="12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150A-9DFC-5D4E-AD39-65ABA1C12EA1}">
  <dimension ref="A1:I42"/>
  <sheetViews>
    <sheetView zoomScale="75" workbookViewId="0">
      <selection activeCell="A40" sqref="A40"/>
    </sheetView>
  </sheetViews>
  <sheetFormatPr baseColWidth="10" defaultColWidth="11.3984375" defaultRowHeight="13"/>
  <cols>
    <col min="1" max="4" width="14.796875" style="2" customWidth="1"/>
    <col min="5" max="5" width="15.59765625" style="2" customWidth="1"/>
    <col min="6" max="6" width="16.19921875" style="2" customWidth="1"/>
    <col min="7" max="7" width="14.796875" style="159" customWidth="1"/>
    <col min="8" max="8" width="11.3984375" style="2"/>
    <col min="9" max="9" width="15.19921875" style="2" hidden="1" customWidth="1"/>
    <col min="10" max="16384" width="11.3984375" style="2"/>
  </cols>
  <sheetData>
    <row r="1" spans="1:9" s="1" customFormat="1" ht="14" customHeight="1">
      <c r="G1" s="139"/>
    </row>
    <row r="2" spans="1:9" s="1" customFormat="1" ht="28" customHeight="1">
      <c r="A2" s="112" t="s">
        <v>159</v>
      </c>
      <c r="G2" s="112">
        <v>2006</v>
      </c>
    </row>
    <row r="3" spans="1:9" ht="27" customHeight="1">
      <c r="A3" s="113" t="s">
        <v>41</v>
      </c>
      <c r="B3" s="114" t="s">
        <v>42</v>
      </c>
      <c r="C3" s="115" t="s">
        <v>115</v>
      </c>
      <c r="D3" s="114" t="s">
        <v>116</v>
      </c>
      <c r="E3" s="115" t="s">
        <v>1951</v>
      </c>
      <c r="F3" s="114" t="s">
        <v>1951</v>
      </c>
      <c r="G3" s="115" t="s">
        <v>45</v>
      </c>
    </row>
    <row r="4" spans="1:9" ht="15" customHeight="1">
      <c r="A4" s="116"/>
      <c r="B4" s="117"/>
      <c r="C4" s="116"/>
      <c r="D4" s="119"/>
      <c r="E4" s="118" t="s">
        <v>117</v>
      </c>
      <c r="F4" s="117" t="s">
        <v>118</v>
      </c>
      <c r="G4" s="118" t="s">
        <v>46</v>
      </c>
    </row>
    <row r="5" spans="1:9" ht="15" customHeight="1">
      <c r="A5" s="116"/>
      <c r="B5" s="117"/>
      <c r="C5" s="116"/>
      <c r="D5" s="119"/>
      <c r="E5" s="118" t="s">
        <v>119</v>
      </c>
      <c r="F5" s="117" t="s">
        <v>44</v>
      </c>
      <c r="G5" s="118" t="s">
        <v>50</v>
      </c>
    </row>
    <row r="6" spans="1:9" ht="24" customHeight="1">
      <c r="A6" s="120"/>
      <c r="B6" s="121"/>
      <c r="C6" s="120"/>
      <c r="D6" s="121"/>
      <c r="E6" s="122"/>
      <c r="F6" s="123"/>
      <c r="G6" s="122"/>
    </row>
    <row r="7" spans="1:9" ht="30" customHeight="1" thickBot="1">
      <c r="A7" s="125" t="s">
        <v>51</v>
      </c>
      <c r="B7" s="184">
        <v>193485490</v>
      </c>
      <c r="C7" s="185">
        <v>1090391471</v>
      </c>
      <c r="D7" s="184">
        <v>1637374942</v>
      </c>
      <c r="E7" s="185">
        <v>2727766413</v>
      </c>
      <c r="F7" s="184">
        <v>2921251903</v>
      </c>
      <c r="G7" s="146">
        <v>1.1333521764883898E-2</v>
      </c>
      <c r="I7" s="8">
        <v>2156035045</v>
      </c>
    </row>
    <row r="8" spans="1:9" ht="20" customHeight="1" thickBot="1">
      <c r="A8" s="130" t="s">
        <v>52</v>
      </c>
      <c r="B8" s="194">
        <v>121880195</v>
      </c>
      <c r="C8" s="195">
        <v>944686527</v>
      </c>
      <c r="D8" s="194">
        <v>1370420875</v>
      </c>
      <c r="E8" s="195">
        <v>2315107402</v>
      </c>
      <c r="F8" s="194">
        <v>2436987597</v>
      </c>
      <c r="G8" s="148">
        <v>2.6126780193810279E-2</v>
      </c>
      <c r="I8" s="8">
        <v>1563935884</v>
      </c>
    </row>
    <row r="9" spans="1:9" ht="20" customHeight="1" thickBot="1">
      <c r="A9" s="130" t="s">
        <v>53</v>
      </c>
      <c r="B9" s="194">
        <v>43743051</v>
      </c>
      <c r="C9" s="195">
        <v>265620800</v>
      </c>
      <c r="D9" s="194">
        <v>384450847</v>
      </c>
      <c r="E9" s="195">
        <v>650071647</v>
      </c>
      <c r="F9" s="194">
        <v>693814698</v>
      </c>
      <c r="G9" s="148">
        <v>-2.6945334915449664E-3</v>
      </c>
      <c r="I9" s="8">
        <v>464604355</v>
      </c>
    </row>
    <row r="10" spans="1:9" ht="20" customHeight="1" thickBot="1">
      <c r="A10" s="130" t="s">
        <v>54</v>
      </c>
      <c r="B10" s="194">
        <v>4062540</v>
      </c>
      <c r="C10" s="195">
        <v>25547649</v>
      </c>
      <c r="D10" s="194">
        <v>35755926</v>
      </c>
      <c r="E10" s="195">
        <v>61303575</v>
      </c>
      <c r="F10" s="194">
        <v>65366115</v>
      </c>
      <c r="G10" s="148">
        <v>3.4179333338747028E-3</v>
      </c>
      <c r="I10" s="8">
        <v>45901795</v>
      </c>
    </row>
    <row r="11" spans="1:9" ht="20" customHeight="1" thickBot="1">
      <c r="A11" s="130" t="s">
        <v>55</v>
      </c>
      <c r="B11" s="194">
        <v>22399981</v>
      </c>
      <c r="C11" s="195">
        <v>102806652</v>
      </c>
      <c r="D11" s="194">
        <v>141248590</v>
      </c>
      <c r="E11" s="195">
        <v>244055242</v>
      </c>
      <c r="F11" s="194">
        <v>266455223</v>
      </c>
      <c r="G11" s="148">
        <v>3.376029674131311E-2</v>
      </c>
      <c r="I11" s="8">
        <v>171549320</v>
      </c>
    </row>
    <row r="12" spans="1:9" ht="20" customHeight="1" thickBot="1">
      <c r="A12" s="130" t="s">
        <v>56</v>
      </c>
      <c r="B12" s="194">
        <v>4595843</v>
      </c>
      <c r="C12" s="195">
        <v>23054578</v>
      </c>
      <c r="D12" s="194">
        <v>33457224</v>
      </c>
      <c r="E12" s="195">
        <v>56511802</v>
      </c>
      <c r="F12" s="194">
        <v>61107645</v>
      </c>
      <c r="G12" s="148">
        <v>3.4319417999158157E-2</v>
      </c>
      <c r="I12" s="8">
        <v>41764939</v>
      </c>
    </row>
    <row r="13" spans="1:9" ht="20" customHeight="1" thickBot="1">
      <c r="A13" s="130" t="s">
        <v>57</v>
      </c>
      <c r="B13" s="194">
        <v>4527585</v>
      </c>
      <c r="C13" s="195">
        <v>25866688</v>
      </c>
      <c r="D13" s="194">
        <v>36813727</v>
      </c>
      <c r="E13" s="195">
        <v>62680415</v>
      </c>
      <c r="F13" s="194">
        <v>67208000</v>
      </c>
      <c r="G13" s="148">
        <v>3.8924597413240378E-2</v>
      </c>
      <c r="I13" s="8">
        <v>44323506</v>
      </c>
    </row>
    <row r="14" spans="1:9" ht="20" customHeight="1" thickBot="1">
      <c r="A14" s="130" t="s">
        <v>58</v>
      </c>
      <c r="B14" s="194">
        <v>5842059</v>
      </c>
      <c r="C14" s="195">
        <v>28448843</v>
      </c>
      <c r="D14" s="194">
        <v>40756698</v>
      </c>
      <c r="E14" s="195">
        <v>69205541</v>
      </c>
      <c r="F14" s="194">
        <v>75047600</v>
      </c>
      <c r="G14" s="148">
        <v>-6.7225131907299486E-3</v>
      </c>
      <c r="I14" s="8">
        <v>55927154</v>
      </c>
    </row>
    <row r="15" spans="1:9" ht="20" customHeight="1" thickBot="1">
      <c r="A15" s="130" t="s">
        <v>59</v>
      </c>
      <c r="B15" s="194">
        <v>12779047</v>
      </c>
      <c r="C15" s="195">
        <v>74557648</v>
      </c>
      <c r="D15" s="194">
        <v>111028141</v>
      </c>
      <c r="E15" s="195">
        <v>185585789</v>
      </c>
      <c r="F15" s="194">
        <v>198364836</v>
      </c>
      <c r="G15" s="148">
        <v>1.5119450767648481E-2</v>
      </c>
      <c r="I15" s="8">
        <v>128772453</v>
      </c>
    </row>
    <row r="16" spans="1:9" ht="20" customHeight="1" thickBot="1">
      <c r="A16" s="130" t="s">
        <v>60</v>
      </c>
      <c r="B16" s="194">
        <v>42471695</v>
      </c>
      <c r="C16" s="195">
        <v>213618035</v>
      </c>
      <c r="D16" s="194">
        <v>309519984</v>
      </c>
      <c r="E16" s="195">
        <v>523138019</v>
      </c>
      <c r="F16" s="194">
        <v>565609714</v>
      </c>
      <c r="G16" s="148">
        <v>4.546157996804473E-2</v>
      </c>
      <c r="I16" s="8">
        <v>391250033</v>
      </c>
    </row>
    <row r="17" spans="1:9" ht="20" customHeight="1" thickBot="1">
      <c r="A17" s="130" t="s">
        <v>61</v>
      </c>
      <c r="B17" s="194">
        <v>36982856</v>
      </c>
      <c r="C17" s="195">
        <v>220855896</v>
      </c>
      <c r="D17" s="194">
        <v>303152661</v>
      </c>
      <c r="E17" s="195">
        <v>524008557</v>
      </c>
      <c r="F17" s="194">
        <v>560991413</v>
      </c>
      <c r="G17" s="148">
        <v>3.0634635795959261E-2</v>
      </c>
      <c r="I17" s="8">
        <v>393696828</v>
      </c>
    </row>
    <row r="18" spans="1:9" ht="20" customHeight="1" thickBot="1">
      <c r="A18" s="130" t="s">
        <v>62</v>
      </c>
      <c r="B18" s="194">
        <v>29186445</v>
      </c>
      <c r="C18" s="195">
        <v>220124494</v>
      </c>
      <c r="D18" s="194">
        <v>348448170</v>
      </c>
      <c r="E18" s="195">
        <v>568572664</v>
      </c>
      <c r="F18" s="194">
        <v>597759109</v>
      </c>
      <c r="G18" s="148">
        <v>2.9846791965853219E-3</v>
      </c>
      <c r="I18" s="8">
        <v>473520714</v>
      </c>
    </row>
    <row r="19" spans="1:9" ht="20" customHeight="1" thickBot="1">
      <c r="A19" s="130" t="s">
        <v>63</v>
      </c>
      <c r="B19" s="194">
        <v>44360333</v>
      </c>
      <c r="C19" s="195">
        <v>250151833</v>
      </c>
      <c r="D19" s="194">
        <v>349796707</v>
      </c>
      <c r="E19" s="195">
        <v>599948540</v>
      </c>
      <c r="F19" s="194">
        <v>644308873</v>
      </c>
      <c r="G19" s="148">
        <v>8.492600682277562E-3</v>
      </c>
      <c r="I19" s="8">
        <v>469771093</v>
      </c>
    </row>
    <row r="20" spans="1:9" ht="20" customHeight="1" thickBot="1">
      <c r="A20" s="130" t="s">
        <v>64</v>
      </c>
      <c r="B20" s="194">
        <v>9141095</v>
      </c>
      <c r="C20" s="195">
        <v>61036594</v>
      </c>
      <c r="D20" s="194">
        <v>95099635</v>
      </c>
      <c r="E20" s="195">
        <v>156136229</v>
      </c>
      <c r="F20" s="194">
        <v>165277324</v>
      </c>
      <c r="G20" s="148">
        <v>-4.4513754897297E-3</v>
      </c>
      <c r="I20" s="8">
        <v>127694959</v>
      </c>
    </row>
    <row r="21" spans="1:9" ht="20" customHeight="1" thickBot="1">
      <c r="A21" s="130" t="s">
        <v>65</v>
      </c>
      <c r="B21" s="194">
        <v>6615813</v>
      </c>
      <c r="C21" s="195">
        <v>36220528</v>
      </c>
      <c r="D21" s="194">
        <v>49889331</v>
      </c>
      <c r="E21" s="195">
        <v>86109859</v>
      </c>
      <c r="F21" s="194">
        <v>92725672</v>
      </c>
      <c r="G21" s="148">
        <v>-5.9059745995566886E-3</v>
      </c>
      <c r="I21" s="8">
        <v>69489100</v>
      </c>
    </row>
    <row r="22" spans="1:9" ht="20" customHeight="1" thickBot="1">
      <c r="A22" s="130" t="s">
        <v>66</v>
      </c>
      <c r="B22" s="194">
        <v>1982210</v>
      </c>
      <c r="C22" s="195">
        <v>9543782</v>
      </c>
      <c r="D22" s="194">
        <v>11879732</v>
      </c>
      <c r="E22" s="195">
        <v>21423514</v>
      </c>
      <c r="F22" s="194">
        <v>23405724</v>
      </c>
      <c r="G22" s="148">
        <v>-6.8656746436442581E-3</v>
      </c>
      <c r="I22" s="8">
        <v>16712649</v>
      </c>
    </row>
    <row r="23" spans="1:9" ht="20" customHeight="1" thickBot="1">
      <c r="A23" s="130" t="s">
        <v>67</v>
      </c>
      <c r="B23" s="194">
        <v>67985815</v>
      </c>
      <c r="C23" s="195">
        <v>330627997</v>
      </c>
      <c r="D23" s="194">
        <v>476805474</v>
      </c>
      <c r="E23" s="195">
        <v>807433471</v>
      </c>
      <c r="F23" s="194">
        <v>875419286</v>
      </c>
      <c r="G23" s="148">
        <v>3.0485886793961644E-3</v>
      </c>
      <c r="I23" s="8">
        <v>615853738</v>
      </c>
    </row>
    <row r="24" spans="1:9" ht="20" customHeight="1" thickBot="1">
      <c r="A24" s="130" t="s">
        <v>68</v>
      </c>
      <c r="B24" s="194">
        <v>25734910</v>
      </c>
      <c r="C24" s="195">
        <v>144338658</v>
      </c>
      <c r="D24" s="194">
        <v>209287181</v>
      </c>
      <c r="E24" s="195">
        <v>353625839</v>
      </c>
      <c r="F24" s="194">
        <v>379360749</v>
      </c>
      <c r="G24" s="148">
        <v>2.1795257053736819E-2</v>
      </c>
      <c r="I24" s="8">
        <v>264690646</v>
      </c>
    </row>
    <row r="25" spans="1:9" ht="20" customHeight="1" thickBot="1">
      <c r="A25" s="130" t="s">
        <v>69</v>
      </c>
      <c r="B25" s="194">
        <v>85072969</v>
      </c>
      <c r="C25" s="195">
        <v>471113537</v>
      </c>
      <c r="D25" s="194">
        <v>648621227</v>
      </c>
      <c r="E25" s="195">
        <v>1119734764</v>
      </c>
      <c r="F25" s="194">
        <v>1204807733</v>
      </c>
      <c r="G25" s="148">
        <v>3.9635859280967307E-2</v>
      </c>
      <c r="I25" s="8">
        <v>819222625</v>
      </c>
    </row>
    <row r="26" spans="1:9" ht="20" customHeight="1" thickBot="1">
      <c r="A26" s="130" t="s">
        <v>70</v>
      </c>
      <c r="B26" s="194">
        <v>34965749</v>
      </c>
      <c r="C26" s="195">
        <v>179411932</v>
      </c>
      <c r="D26" s="194">
        <v>247201125</v>
      </c>
      <c r="E26" s="195">
        <v>426613057</v>
      </c>
      <c r="F26" s="194">
        <v>461578806</v>
      </c>
      <c r="G26" s="148">
        <v>-2.3965583832812106E-3</v>
      </c>
      <c r="I26" s="8">
        <v>344655658</v>
      </c>
    </row>
    <row r="27" spans="1:9" ht="20" customHeight="1" thickBot="1">
      <c r="A27" s="130" t="s">
        <v>71</v>
      </c>
      <c r="B27" s="194">
        <v>45759542</v>
      </c>
      <c r="C27" s="195">
        <v>347705563</v>
      </c>
      <c r="D27" s="194">
        <v>495432129</v>
      </c>
      <c r="E27" s="195">
        <v>843137692</v>
      </c>
      <c r="F27" s="194">
        <v>888897234</v>
      </c>
      <c r="G27" s="148">
        <v>2.6640423204456437E-3</v>
      </c>
      <c r="I27" s="8">
        <v>627641817</v>
      </c>
    </row>
    <row r="28" spans="1:9" ht="20" customHeight="1" thickBot="1">
      <c r="A28" s="130" t="s">
        <v>72</v>
      </c>
      <c r="B28" s="194">
        <v>129288667</v>
      </c>
      <c r="C28" s="195">
        <v>649508357</v>
      </c>
      <c r="D28" s="194">
        <v>997771958</v>
      </c>
      <c r="E28" s="195">
        <v>1647280315</v>
      </c>
      <c r="F28" s="194">
        <v>1776568982</v>
      </c>
      <c r="G28" s="148">
        <v>-4.0665604017890997E-3</v>
      </c>
      <c r="I28" s="8">
        <v>1280335377</v>
      </c>
    </row>
    <row r="29" spans="1:9" ht="20" customHeight="1" thickBot="1">
      <c r="A29" s="130" t="s">
        <v>73</v>
      </c>
      <c r="B29" s="194">
        <v>42486718</v>
      </c>
      <c r="C29" s="195">
        <v>247584612</v>
      </c>
      <c r="D29" s="194">
        <v>343114014</v>
      </c>
      <c r="E29" s="195">
        <v>590698626</v>
      </c>
      <c r="F29" s="194">
        <v>633185344</v>
      </c>
      <c r="G29" s="148">
        <v>6.3245554498421938E-2</v>
      </c>
      <c r="I29" s="8">
        <v>410743307</v>
      </c>
    </row>
    <row r="30" spans="1:9" ht="20" customHeight="1" thickBot="1">
      <c r="A30" s="130" t="s">
        <v>74</v>
      </c>
      <c r="B30" s="194">
        <v>27469074</v>
      </c>
      <c r="C30" s="195">
        <v>158903587</v>
      </c>
      <c r="D30" s="194">
        <v>250031778</v>
      </c>
      <c r="E30" s="195">
        <v>408935365</v>
      </c>
      <c r="F30" s="194">
        <v>436404439</v>
      </c>
      <c r="G30" s="148">
        <v>-4.3454201755537838E-2</v>
      </c>
      <c r="I30" s="8">
        <v>318756043</v>
      </c>
    </row>
    <row r="31" spans="1:9" ht="20" customHeight="1" thickBot="1">
      <c r="A31" s="130" t="s">
        <v>75</v>
      </c>
      <c r="B31" s="194">
        <v>92486230</v>
      </c>
      <c r="C31" s="195">
        <v>456985750</v>
      </c>
      <c r="D31" s="194">
        <v>735555544</v>
      </c>
      <c r="E31" s="195">
        <v>1192541294</v>
      </c>
      <c r="F31" s="194">
        <v>1285027524</v>
      </c>
      <c r="G31" s="148">
        <v>-9.6323231933243755E-3</v>
      </c>
      <c r="I31" s="8">
        <v>966736347</v>
      </c>
    </row>
    <row r="32" spans="1:9" ht="20" customHeight="1" thickBot="1">
      <c r="A32" s="131" t="s">
        <v>76</v>
      </c>
      <c r="B32" s="194">
        <v>11453656</v>
      </c>
      <c r="C32" s="195">
        <v>64621110</v>
      </c>
      <c r="D32" s="194">
        <v>91775973</v>
      </c>
      <c r="E32" s="195">
        <v>156397083</v>
      </c>
      <c r="F32" s="194">
        <v>167850739</v>
      </c>
      <c r="G32" s="148">
        <v>-3.8430721492758668E-2</v>
      </c>
      <c r="I32" s="8">
        <v>146808815</v>
      </c>
    </row>
    <row r="33" spans="1:9" ht="30" customHeight="1" thickBot="1">
      <c r="A33" s="132" t="s">
        <v>1944</v>
      </c>
      <c r="B33" s="196">
        <v>1146759568</v>
      </c>
      <c r="C33" s="197">
        <v>6643333121</v>
      </c>
      <c r="D33" s="196">
        <v>9754689593</v>
      </c>
      <c r="E33" s="197">
        <v>16398022714</v>
      </c>
      <c r="F33" s="196">
        <v>17544782282</v>
      </c>
      <c r="G33" s="150">
        <v>1.1832367474228795E-2</v>
      </c>
      <c r="I33" s="8">
        <v>12410394200</v>
      </c>
    </row>
    <row r="34" spans="1:9" ht="20" customHeight="1">
      <c r="A34" s="136" t="s">
        <v>2284</v>
      </c>
      <c r="B34" s="136"/>
      <c r="C34" s="136"/>
      <c r="D34" s="136"/>
      <c r="E34" s="136"/>
      <c r="F34" s="136"/>
      <c r="G34" s="154"/>
    </row>
    <row r="35" spans="1:9" ht="12.75" customHeight="1">
      <c r="A35" s="3"/>
      <c r="B35" s="3"/>
      <c r="C35" s="3"/>
      <c r="D35" s="3"/>
      <c r="E35" s="3"/>
      <c r="F35" s="3"/>
      <c r="G35" s="156"/>
    </row>
    <row r="36" spans="1:9" ht="14.25" customHeight="1">
      <c r="A36" s="3" t="s">
        <v>77</v>
      </c>
      <c r="B36" s="3"/>
      <c r="C36" s="3"/>
      <c r="D36" s="3"/>
      <c r="E36" s="3"/>
      <c r="F36" s="3"/>
      <c r="G36" s="156"/>
    </row>
    <row r="37" spans="1:9" ht="10.5" customHeight="1">
      <c r="A37" s="3"/>
      <c r="B37" s="3"/>
      <c r="C37" s="3"/>
      <c r="D37" s="3"/>
      <c r="E37" s="3"/>
      <c r="F37" s="3"/>
      <c r="G37" s="156"/>
    </row>
    <row r="38" spans="1:9" ht="15" customHeight="1">
      <c r="A38" s="3" t="s">
        <v>203</v>
      </c>
      <c r="B38" s="3"/>
      <c r="C38" s="3"/>
      <c r="D38" s="3"/>
      <c r="E38" s="3"/>
      <c r="F38" s="3"/>
      <c r="G38" s="156"/>
    </row>
    <row r="39" spans="1:9" ht="13.5" customHeight="1">
      <c r="A39" s="2" t="s">
        <v>158</v>
      </c>
    </row>
    <row r="40" spans="1:9" ht="12" customHeight="1"/>
    <row r="41" spans="1:9" ht="12" customHeight="1"/>
    <row r="42" spans="1:9" ht="12" customHeight="1">
      <c r="A42" s="3" t="s">
        <v>1955</v>
      </c>
    </row>
  </sheetData>
  <phoneticPr fontId="0" type="noConversion"/>
  <pageMargins left="0.6" right="0.59" top="0.76" bottom="0.49" header="0.35" footer="0.4921259845"/>
  <pageSetup paperSize="9" scale="80" orientation="portrait" horizontalDpi="4294967292" verticalDpi="4294967292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E576D-7E0B-924A-B8E5-95139C131671}">
  <dimension ref="A1:H41"/>
  <sheetViews>
    <sheetView zoomScale="75" workbookViewId="0"/>
  </sheetViews>
  <sheetFormatPr baseColWidth="10" defaultColWidth="11.3984375" defaultRowHeight="13"/>
  <cols>
    <col min="1" max="1" width="14.796875" style="2" customWidth="1"/>
    <col min="2" max="5" width="14.796875" style="158" customWidth="1"/>
    <col min="6" max="6" width="15.3984375" style="158" customWidth="1"/>
    <col min="7" max="7" width="11.3984375" style="2"/>
    <col min="8" max="8" width="0" style="2" hidden="1" customWidth="1"/>
    <col min="9" max="16384" width="11.3984375" style="2"/>
  </cols>
  <sheetData>
    <row r="1" spans="1:8" s="1" customFormat="1" ht="14" customHeight="1">
      <c r="B1" s="140"/>
      <c r="C1" s="140"/>
      <c r="D1" s="140"/>
      <c r="E1" s="140"/>
      <c r="F1" s="140"/>
    </row>
    <row r="2" spans="1:8" s="1" customFormat="1" ht="42" customHeight="1">
      <c r="A2" s="1695" t="s">
        <v>2338</v>
      </c>
      <c r="B2" s="1699"/>
      <c r="C2" s="1699"/>
      <c r="D2" s="1699"/>
      <c r="E2" s="1699"/>
      <c r="F2" s="176">
        <v>2006</v>
      </c>
    </row>
    <row r="3" spans="1:8" ht="27" customHeight="1">
      <c r="A3" s="113" t="s">
        <v>41</v>
      </c>
      <c r="B3" s="142" t="s">
        <v>42</v>
      </c>
      <c r="C3" s="177" t="s">
        <v>115</v>
      </c>
      <c r="D3" s="142" t="s">
        <v>116</v>
      </c>
      <c r="E3" s="177" t="s">
        <v>1951</v>
      </c>
      <c r="F3" s="142" t="s">
        <v>1951</v>
      </c>
    </row>
    <row r="4" spans="1:8" ht="15" customHeight="1">
      <c r="A4" s="116"/>
      <c r="B4" s="143"/>
      <c r="C4" s="180"/>
      <c r="D4" s="143"/>
      <c r="E4" s="180" t="s">
        <v>117</v>
      </c>
      <c r="F4" s="143" t="s">
        <v>118</v>
      </c>
    </row>
    <row r="5" spans="1:8" ht="15" customHeight="1">
      <c r="A5" s="116"/>
      <c r="B5" s="143"/>
      <c r="C5" s="180"/>
      <c r="D5" s="143"/>
      <c r="E5" s="180" t="s">
        <v>119</v>
      </c>
      <c r="F5" s="143" t="s">
        <v>44</v>
      </c>
    </row>
    <row r="6" spans="1:8" ht="24" customHeight="1">
      <c r="A6" s="120"/>
      <c r="B6" s="144"/>
      <c r="C6" s="183"/>
      <c r="D6" s="144"/>
      <c r="E6" s="183"/>
      <c r="F6" s="144"/>
    </row>
    <row r="7" spans="1:8" ht="30" customHeight="1" thickBot="1">
      <c r="A7" s="125" t="s">
        <v>51</v>
      </c>
      <c r="B7" s="145">
        <v>66.546389235116564</v>
      </c>
      <c r="C7" s="198">
        <v>179.53937696187492</v>
      </c>
      <c r="D7" s="145">
        <v>254.37052693131298</v>
      </c>
      <c r="E7" s="198">
        <v>218.0422741678353</v>
      </c>
      <c r="F7" s="145">
        <v>189.47277943560269</v>
      </c>
      <c r="H7" s="129">
        <v>147.6535284720232</v>
      </c>
    </row>
    <row r="8" spans="1:8" ht="20" customHeight="1" thickBot="1">
      <c r="A8" s="130" t="s">
        <v>52</v>
      </c>
      <c r="B8" s="145">
        <v>54.818908535148275</v>
      </c>
      <c r="C8" s="198">
        <v>212.19030756914981</v>
      </c>
      <c r="D8" s="145">
        <v>282.90165374388954</v>
      </c>
      <c r="E8" s="198">
        <v>249.03846589095053</v>
      </c>
      <c r="F8" s="145">
        <v>211.55309731978136</v>
      </c>
      <c r="H8" s="129">
        <v>136.00843900520724</v>
      </c>
    </row>
    <row r="9" spans="1:8" ht="20" customHeight="1" thickBot="1">
      <c r="A9" s="130" t="s">
        <v>53</v>
      </c>
      <c r="B9" s="145">
        <v>46.915676722695565</v>
      </c>
      <c r="C9" s="198">
        <v>160.81739210458124</v>
      </c>
      <c r="D9" s="145">
        <v>220.60796137920272</v>
      </c>
      <c r="E9" s="198">
        <v>191.51275069202134</v>
      </c>
      <c r="F9" s="145">
        <v>160.3531433912238</v>
      </c>
      <c r="H9" s="129">
        <v>109.8632844875566</v>
      </c>
    </row>
    <row r="10" spans="1:8" ht="20" customHeight="1" thickBot="1">
      <c r="A10" s="130" t="s">
        <v>54</v>
      </c>
      <c r="B10" s="145">
        <v>45.30848501070664</v>
      </c>
      <c r="C10" s="198">
        <v>154.11689228319096</v>
      </c>
      <c r="D10" s="145">
        <v>214.1483757366681</v>
      </c>
      <c r="E10" s="198">
        <v>184.25417478179327</v>
      </c>
      <c r="F10" s="145">
        <v>154.75811835899768</v>
      </c>
      <c r="H10" s="129">
        <v>106.3151780359856</v>
      </c>
    </row>
    <row r="11" spans="1:8" ht="20" customHeight="1" thickBot="1">
      <c r="A11" s="130" t="s">
        <v>55</v>
      </c>
      <c r="B11" s="145">
        <v>62.213874261209618</v>
      </c>
      <c r="C11" s="198">
        <v>156.12816868040747</v>
      </c>
      <c r="D11" s="145">
        <v>219.03896373764064</v>
      </c>
      <c r="E11" s="198">
        <v>187.25312887464861</v>
      </c>
      <c r="F11" s="145">
        <v>160.18902656037707</v>
      </c>
      <c r="H11" s="129">
        <v>110.98351281141051</v>
      </c>
    </row>
    <row r="12" spans="1:8" ht="20" customHeight="1" thickBot="1">
      <c r="A12" s="130" t="s">
        <v>56</v>
      </c>
      <c r="B12" s="145">
        <v>50.346643442443366</v>
      </c>
      <c r="C12" s="198">
        <v>145.01923560789049</v>
      </c>
      <c r="D12" s="145">
        <v>209.96325024474734</v>
      </c>
      <c r="E12" s="198">
        <v>177.54257618598805</v>
      </c>
      <c r="F12" s="145">
        <v>149.19441433259112</v>
      </c>
      <c r="H12" s="129">
        <v>105.19977836100999</v>
      </c>
    </row>
    <row r="13" spans="1:8" ht="20" customHeight="1" thickBot="1">
      <c r="A13" s="130" t="s">
        <v>57</v>
      </c>
      <c r="B13" s="145">
        <v>46.974445966135455</v>
      </c>
      <c r="C13" s="198">
        <v>136.03163784761665</v>
      </c>
      <c r="D13" s="145">
        <v>194.9673074886135</v>
      </c>
      <c r="E13" s="198">
        <v>165.39589996094699</v>
      </c>
      <c r="F13" s="145">
        <v>141.38456230698677</v>
      </c>
      <c r="H13" s="129">
        <v>98.806061539893719</v>
      </c>
    </row>
    <row r="14" spans="1:8" ht="20" customHeight="1" thickBot="1">
      <c r="A14" s="130" t="s">
        <v>58</v>
      </c>
      <c r="B14" s="145">
        <v>61.129865645404323</v>
      </c>
      <c r="C14" s="198">
        <v>159.0671575863303</v>
      </c>
      <c r="D14" s="145">
        <v>219.24933832547933</v>
      </c>
      <c r="E14" s="198">
        <v>189.7456213945735</v>
      </c>
      <c r="F14" s="145">
        <v>163.04204251177504</v>
      </c>
      <c r="H14" s="129">
        <v>118.50730828724598</v>
      </c>
    </row>
    <row r="15" spans="1:8" ht="20" customHeight="1" thickBot="1">
      <c r="A15" s="130" t="s">
        <v>59</v>
      </c>
      <c r="B15" s="145">
        <v>49.839499383784961</v>
      </c>
      <c r="C15" s="198">
        <v>145.57491408934706</v>
      </c>
      <c r="D15" s="145">
        <v>216.79425191745943</v>
      </c>
      <c r="E15" s="198">
        <v>181.17950347547639</v>
      </c>
      <c r="F15" s="145">
        <v>154.88492134136629</v>
      </c>
      <c r="H15" s="129">
        <v>109.7243161119399</v>
      </c>
    </row>
    <row r="16" spans="1:8" ht="20" customHeight="1" thickBot="1">
      <c r="A16" s="130" t="s">
        <v>60</v>
      </c>
      <c r="B16" s="145">
        <v>58.739800123919849</v>
      </c>
      <c r="C16" s="198">
        <v>181.15443553447918</v>
      </c>
      <c r="D16" s="145">
        <v>255.3517141697439</v>
      </c>
      <c r="E16" s="198">
        <v>218.76501009482612</v>
      </c>
      <c r="F16" s="145">
        <v>181.61276623344932</v>
      </c>
      <c r="H16" s="129">
        <v>137.47395057718248</v>
      </c>
    </row>
    <row r="17" spans="1:8" ht="20" customHeight="1" thickBot="1">
      <c r="A17" s="130" t="s">
        <v>61</v>
      </c>
      <c r="B17" s="145">
        <v>61.221785194014039</v>
      </c>
      <c r="C17" s="198">
        <v>188.76765915547853</v>
      </c>
      <c r="D17" s="145">
        <v>246.2277580678174</v>
      </c>
      <c r="E17" s="198">
        <v>218.22669426939396</v>
      </c>
      <c r="F17" s="145">
        <v>186.66785556944217</v>
      </c>
      <c r="H17" s="129">
        <v>132.71022733455214</v>
      </c>
    </row>
    <row r="18" spans="1:8" ht="20" customHeight="1" thickBot="1">
      <c r="A18" s="130" t="s">
        <v>62</v>
      </c>
      <c r="B18" s="145">
        <v>85.361448425929169</v>
      </c>
      <c r="C18" s="198">
        <v>260.94581324001496</v>
      </c>
      <c r="D18" s="145">
        <v>361.07570972033972</v>
      </c>
      <c r="E18" s="198">
        <v>314.37518052837032</v>
      </c>
      <c r="F18" s="145">
        <v>277.96336705578619</v>
      </c>
      <c r="H18" s="129">
        <v>208.35408965566106</v>
      </c>
    </row>
    <row r="19" spans="1:8" ht="20" customHeight="1" thickBot="1">
      <c r="A19" s="130" t="s">
        <v>63</v>
      </c>
      <c r="B19" s="145">
        <v>73.19317341833974</v>
      </c>
      <c r="C19" s="198">
        <v>198.65239222898819</v>
      </c>
      <c r="D19" s="145">
        <v>261.1701751006463</v>
      </c>
      <c r="E19" s="198">
        <v>230.87588740910405</v>
      </c>
      <c r="F19" s="145">
        <v>201.05449116408417</v>
      </c>
      <c r="H19" s="129">
        <v>149.99608447175385</v>
      </c>
    </row>
    <row r="20" spans="1:8" ht="20" customHeight="1" thickBot="1">
      <c r="A20" s="130" t="s">
        <v>64</v>
      </c>
      <c r="B20" s="145">
        <v>52.74966530480345</v>
      </c>
      <c r="C20" s="198">
        <v>172.92975328369542</v>
      </c>
      <c r="D20" s="145">
        <v>251.65024715271602</v>
      </c>
      <c r="E20" s="198">
        <v>213.63005970949769</v>
      </c>
      <c r="F20" s="145">
        <v>182.79816225590389</v>
      </c>
      <c r="H20" s="129">
        <v>141.06151978810024</v>
      </c>
    </row>
    <row r="21" spans="1:8" ht="20" customHeight="1" thickBot="1">
      <c r="A21" s="130" t="s">
        <v>65</v>
      </c>
      <c r="B21" s="145">
        <v>47.907347062912756</v>
      </c>
      <c r="C21" s="198">
        <v>147.70625560720984</v>
      </c>
      <c r="D21" s="145">
        <v>195.34108208429265</v>
      </c>
      <c r="E21" s="198">
        <v>172.01192759146952</v>
      </c>
      <c r="F21" s="145">
        <v>145.17875684985125</v>
      </c>
      <c r="H21" s="129">
        <v>105.54236904359847</v>
      </c>
    </row>
    <row r="22" spans="1:8" ht="20" customHeight="1" thickBot="1">
      <c r="A22" s="130" t="s">
        <v>66</v>
      </c>
      <c r="B22" s="145">
        <v>44.2023459102667</v>
      </c>
      <c r="C22" s="198">
        <v>135.05097073640118</v>
      </c>
      <c r="D22" s="145">
        <v>174.6608445071748</v>
      </c>
      <c r="E22" s="198">
        <v>154.46382015342908</v>
      </c>
      <c r="F22" s="145">
        <v>127.52383131742398</v>
      </c>
      <c r="H22" s="129">
        <v>93.290141615544769</v>
      </c>
    </row>
    <row r="23" spans="1:8" ht="20" customHeight="1" thickBot="1">
      <c r="A23" s="130" t="s">
        <v>67</v>
      </c>
      <c r="B23" s="145">
        <v>55.739053189430983</v>
      </c>
      <c r="C23" s="198">
        <v>155.3749722736022</v>
      </c>
      <c r="D23" s="145">
        <v>213.91464419153036</v>
      </c>
      <c r="E23" s="198">
        <v>185.32292937639147</v>
      </c>
      <c r="F23" s="145">
        <v>156.98037770576278</v>
      </c>
      <c r="H23" s="129">
        <v>113.07027159885389</v>
      </c>
    </row>
    <row r="24" spans="1:8" ht="20" customHeight="1" thickBot="1">
      <c r="A24" s="130" t="s">
        <v>68</v>
      </c>
      <c r="B24" s="145">
        <v>57.825540845399559</v>
      </c>
      <c r="C24" s="198">
        <v>155.49177180826311</v>
      </c>
      <c r="D24" s="145">
        <v>220.33198262502739</v>
      </c>
      <c r="E24" s="198">
        <v>188.2859346414416</v>
      </c>
      <c r="F24" s="145">
        <v>163.29317687591362</v>
      </c>
      <c r="H24" s="129">
        <v>112.93207174435962</v>
      </c>
    </row>
    <row r="25" spans="1:8" ht="20" customHeight="1" thickBot="1">
      <c r="A25" s="130" t="s">
        <v>69</v>
      </c>
      <c r="B25" s="145">
        <v>58.889024332840478</v>
      </c>
      <c r="C25" s="198">
        <v>173.5094442259219</v>
      </c>
      <c r="D25" s="145">
        <v>232.59777572656637</v>
      </c>
      <c r="E25" s="198">
        <v>203.44757512991023</v>
      </c>
      <c r="F25" s="145">
        <v>173.39275004778054</v>
      </c>
      <c r="H25" s="129">
        <v>123.10137008461707</v>
      </c>
    </row>
    <row r="26" spans="1:8" ht="20" customHeight="1" thickBot="1">
      <c r="A26" s="130" t="s">
        <v>70</v>
      </c>
      <c r="B26" s="145">
        <v>55.245481232896623</v>
      </c>
      <c r="C26" s="198">
        <v>164.14692459990704</v>
      </c>
      <c r="D26" s="145">
        <v>220.54122014410055</v>
      </c>
      <c r="E26" s="198">
        <v>192.69822421328593</v>
      </c>
      <c r="F26" s="145">
        <v>162.13907154960924</v>
      </c>
      <c r="H26" s="129">
        <v>124.89094208425395</v>
      </c>
    </row>
    <row r="27" spans="1:8" ht="20" customHeight="1" thickBot="1">
      <c r="A27" s="130" t="s">
        <v>71</v>
      </c>
      <c r="B27" s="145">
        <v>66.099760212630727</v>
      </c>
      <c r="C27" s="198">
        <v>234.47294871483635</v>
      </c>
      <c r="D27" s="145">
        <v>298.99199581414211</v>
      </c>
      <c r="E27" s="198">
        <v>268.51997742634899</v>
      </c>
      <c r="F27" s="145">
        <v>231.95336024199003</v>
      </c>
      <c r="H27" s="129">
        <v>168.72622344599318</v>
      </c>
    </row>
    <row r="28" spans="1:8" ht="20" customHeight="1" thickBot="1">
      <c r="A28" s="130" t="s">
        <v>72</v>
      </c>
      <c r="B28" s="145">
        <v>75.527904544923473</v>
      </c>
      <c r="C28" s="198">
        <v>222.73215868064699</v>
      </c>
      <c r="D28" s="145">
        <v>311.02888616234804</v>
      </c>
      <c r="E28" s="198">
        <v>268.98307327896458</v>
      </c>
      <c r="F28" s="145">
        <v>226.72163696747688</v>
      </c>
      <c r="H28" s="129">
        <v>172.20627180427857</v>
      </c>
    </row>
    <row r="29" spans="1:8" ht="20" customHeight="1" thickBot="1">
      <c r="A29" s="130" t="s">
        <v>73</v>
      </c>
      <c r="B29" s="145">
        <v>57.361153414123088</v>
      </c>
      <c r="C29" s="198">
        <v>178.08665216565677</v>
      </c>
      <c r="D29" s="145">
        <v>235.77441206543969</v>
      </c>
      <c r="E29" s="198">
        <v>207.5878238757127</v>
      </c>
      <c r="F29" s="145">
        <v>176.56045578859548</v>
      </c>
      <c r="H29" s="129">
        <v>121.13256050394979</v>
      </c>
    </row>
    <row r="30" spans="1:8" ht="20" customHeight="1" thickBot="1">
      <c r="A30" s="130" t="s">
        <v>74</v>
      </c>
      <c r="B30" s="145">
        <v>63.187387859883508</v>
      </c>
      <c r="C30" s="198">
        <v>208.34459207862633</v>
      </c>
      <c r="D30" s="145">
        <v>298.38151940426752</v>
      </c>
      <c r="E30" s="198">
        <v>255.48177171188595</v>
      </c>
      <c r="F30" s="145">
        <v>214.41184687101421</v>
      </c>
      <c r="H30" s="129">
        <v>157.34667902077535</v>
      </c>
    </row>
    <row r="31" spans="1:8" ht="20" customHeight="1" thickBot="1">
      <c r="A31" s="130" t="s">
        <v>75</v>
      </c>
      <c r="B31" s="145">
        <v>88.417605466837983</v>
      </c>
      <c r="C31" s="198">
        <v>253.3893967924449</v>
      </c>
      <c r="D31" s="145">
        <v>364.39689758421372</v>
      </c>
      <c r="E31" s="198">
        <v>312.0153252434551</v>
      </c>
      <c r="F31" s="145">
        <v>263.97030859830454</v>
      </c>
      <c r="H31" s="129">
        <v>209.96444334691634</v>
      </c>
    </row>
    <row r="32" spans="1:8" ht="20" customHeight="1" thickBot="1">
      <c r="A32" s="131" t="s">
        <v>76</v>
      </c>
      <c r="B32" s="145">
        <v>61.274400291027369</v>
      </c>
      <c r="C32" s="198">
        <v>205.98601920208088</v>
      </c>
      <c r="D32" s="145">
        <v>274.52520729387271</v>
      </c>
      <c r="E32" s="198">
        <v>241.35352314814816</v>
      </c>
      <c r="F32" s="145">
        <v>201.03714709362768</v>
      </c>
      <c r="H32" s="129">
        <v>173.66487176423698</v>
      </c>
    </row>
    <row r="33" spans="1:8" ht="30" customHeight="1" thickBot="1">
      <c r="A33" s="132" t="s">
        <v>1944</v>
      </c>
      <c r="B33" s="199">
        <v>62.875181893765493</v>
      </c>
      <c r="C33" s="200">
        <v>191.47347696438536</v>
      </c>
      <c r="D33" s="199">
        <v>264.13843864330499</v>
      </c>
      <c r="E33" s="200">
        <v>228.93919672079332</v>
      </c>
      <c r="F33" s="199">
        <v>195.23539908190932</v>
      </c>
      <c r="H33" s="129">
        <v>142.67390401114693</v>
      </c>
    </row>
    <row r="34" spans="1:8" ht="20" customHeight="1">
      <c r="A34" s="136" t="s">
        <v>2284</v>
      </c>
      <c r="B34" s="153"/>
      <c r="C34" s="153"/>
      <c r="D34" s="153"/>
      <c r="E34" s="153"/>
      <c r="F34" s="153"/>
    </row>
    <row r="35" spans="1:8" ht="14.25" customHeight="1">
      <c r="A35" s="3"/>
      <c r="B35" s="155"/>
      <c r="C35" s="155"/>
      <c r="D35" s="155"/>
      <c r="E35" s="155"/>
      <c r="F35" s="155"/>
    </row>
    <row r="36" spans="1:8" ht="16.5" customHeight="1">
      <c r="A36" s="3" t="s">
        <v>204</v>
      </c>
      <c r="B36" s="155"/>
      <c r="C36" s="155"/>
      <c r="D36" s="155"/>
      <c r="E36" s="155"/>
      <c r="F36" s="155"/>
    </row>
    <row r="37" spans="1:8" ht="12.75" customHeight="1">
      <c r="A37" s="3"/>
      <c r="B37" s="155"/>
      <c r="C37" s="155"/>
      <c r="D37" s="155"/>
      <c r="E37" s="155"/>
      <c r="F37" s="155"/>
    </row>
    <row r="38" spans="1:8" ht="15.75" customHeight="1">
      <c r="A38" s="3" t="s">
        <v>2339</v>
      </c>
    </row>
    <row r="39" spans="1:8" ht="12" customHeight="1"/>
    <row r="40" spans="1:8" ht="12" customHeight="1"/>
    <row r="41" spans="1:8">
      <c r="A41" s="3" t="s">
        <v>1955</v>
      </c>
    </row>
  </sheetData>
  <mergeCells count="1">
    <mergeCell ref="A2:E2"/>
  </mergeCells>
  <phoneticPr fontId="0" type="noConversion"/>
  <pageMargins left="0.6" right="0.61" top="0.74" bottom="0.49" header="0.42" footer="0.4921259845"/>
  <pageSetup paperSize="9" scale="80" orientation="portrait" horizontalDpi="4294967292" verticalDpi="4294967292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161C-8B95-F847-978E-8D6B54F0FDE8}">
  <sheetPr>
    <pageSetUpPr fitToPage="1"/>
  </sheetPr>
  <dimension ref="A1:J31"/>
  <sheetViews>
    <sheetView topLeftCell="A10" zoomScale="75" workbookViewId="0">
      <selection activeCell="F23" sqref="F23"/>
    </sheetView>
  </sheetViews>
  <sheetFormatPr baseColWidth="10" defaultColWidth="11.3984375" defaultRowHeight="13"/>
  <cols>
    <col min="1" max="1" width="14.796875" style="2" customWidth="1"/>
    <col min="2" max="2" width="14.796875" style="158" customWidth="1"/>
    <col min="3" max="3" width="14.796875" style="159" customWidth="1"/>
    <col min="4" max="4" width="14.796875" style="158" customWidth="1"/>
    <col min="5" max="5" width="14.796875" style="159" customWidth="1"/>
    <col min="6" max="6" width="14.796875" style="158" customWidth="1"/>
    <col min="7" max="7" width="14.796875" style="159" customWidth="1"/>
    <col min="8" max="8" width="7.59765625" style="2" customWidth="1"/>
    <col min="9" max="9" width="6.3984375" style="2" customWidth="1"/>
    <col min="10" max="10" width="8.796875" style="2" customWidth="1"/>
    <col min="11" max="16384" width="11.3984375" style="2"/>
  </cols>
  <sheetData>
    <row r="1" spans="1:10" s="1" customFormat="1" ht="18.75" customHeight="1">
      <c r="A1" s="137"/>
      <c r="B1" s="138"/>
      <c r="C1" s="201"/>
      <c r="D1" s="202"/>
      <c r="E1" s="201"/>
      <c r="F1" s="202"/>
      <c r="G1" s="201"/>
    </row>
    <row r="2" spans="1:10" s="1" customFormat="1" ht="40.5" customHeight="1">
      <c r="A2" s="1701" t="s">
        <v>2340</v>
      </c>
      <c r="B2" s="1699"/>
      <c r="C2" s="1699"/>
      <c r="D2" s="1699"/>
      <c r="E2" s="1699"/>
      <c r="F2" s="1699"/>
      <c r="G2" s="176">
        <v>2006</v>
      </c>
    </row>
    <row r="3" spans="1:10" ht="27" customHeight="1">
      <c r="A3" s="113" t="s">
        <v>92</v>
      </c>
      <c r="B3" s="142" t="s">
        <v>93</v>
      </c>
      <c r="C3" s="115" t="s">
        <v>45</v>
      </c>
      <c r="D3" s="142" t="s">
        <v>95</v>
      </c>
      <c r="E3" s="115" t="s">
        <v>45</v>
      </c>
      <c r="F3" s="142" t="s">
        <v>1951</v>
      </c>
      <c r="G3" s="115" t="s">
        <v>45</v>
      </c>
    </row>
    <row r="4" spans="1:10" ht="15" customHeight="1">
      <c r="A4" s="116"/>
      <c r="B4" s="143"/>
      <c r="C4" s="118" t="s">
        <v>46</v>
      </c>
      <c r="D4" s="143"/>
      <c r="E4" s="118" t="s">
        <v>46</v>
      </c>
      <c r="F4" s="143"/>
      <c r="G4" s="118" t="s">
        <v>46</v>
      </c>
    </row>
    <row r="5" spans="1:10" ht="15" customHeight="1">
      <c r="A5" s="116"/>
      <c r="B5" s="143"/>
      <c r="C5" s="118" t="s">
        <v>50</v>
      </c>
      <c r="D5" s="143"/>
      <c r="E5" s="118" t="s">
        <v>50</v>
      </c>
      <c r="F5" s="143"/>
      <c r="G5" s="118" t="s">
        <v>50</v>
      </c>
    </row>
    <row r="6" spans="1:10" ht="23" customHeight="1">
      <c r="A6" s="120"/>
      <c r="B6" s="144"/>
      <c r="C6" s="122"/>
      <c r="D6" s="144"/>
      <c r="E6" s="122"/>
      <c r="F6" s="144"/>
      <c r="G6" s="122"/>
    </row>
    <row r="7" spans="1:10" ht="30" customHeight="1" thickBot="1">
      <c r="A7" s="125" t="s">
        <v>97</v>
      </c>
      <c r="B7" s="145">
        <v>64.335585059556962</v>
      </c>
      <c r="C7" s="146">
        <v>1.2501649540530641E-2</v>
      </c>
      <c r="D7" s="145">
        <v>61.338628789259666</v>
      </c>
      <c r="E7" s="146">
        <v>6.6249883700878719E-3</v>
      </c>
      <c r="F7" s="145">
        <v>62.875181893765493</v>
      </c>
      <c r="G7" s="146">
        <v>9.7062756498890023E-3</v>
      </c>
      <c r="H7" s="203"/>
      <c r="I7" s="203"/>
      <c r="J7" s="203"/>
    </row>
    <row r="8" spans="1:10" ht="20" customHeight="1" thickBot="1">
      <c r="A8" s="130" t="s">
        <v>98</v>
      </c>
      <c r="B8" s="147">
        <v>52.060563987554183</v>
      </c>
      <c r="C8" s="148">
        <v>-2.6805663111256976E-2</v>
      </c>
      <c r="D8" s="147">
        <v>92.164843648841114</v>
      </c>
      <c r="E8" s="148">
        <v>-4.0731656538011855E-2</v>
      </c>
      <c r="F8" s="147">
        <v>72.052292454337291</v>
      </c>
      <c r="G8" s="148">
        <v>-3.4786012357250755E-2</v>
      </c>
      <c r="H8" s="203"/>
      <c r="I8" s="203"/>
      <c r="J8" s="203"/>
    </row>
    <row r="9" spans="1:10" ht="20" customHeight="1" thickBot="1">
      <c r="A9" s="130" t="s">
        <v>99</v>
      </c>
      <c r="B9" s="147">
        <v>57.93851170568562</v>
      </c>
      <c r="C9" s="148">
        <v>-4.6271663148754263E-2</v>
      </c>
      <c r="D9" s="147">
        <v>136.57700969475746</v>
      </c>
      <c r="E9" s="148">
        <v>-3.2221030691352869E-2</v>
      </c>
      <c r="F9" s="147">
        <v>97.232430159885539</v>
      </c>
      <c r="G9" s="148">
        <v>-3.7177504894805237E-2</v>
      </c>
      <c r="H9" s="203"/>
      <c r="I9" s="203"/>
      <c r="J9" s="203"/>
    </row>
    <row r="10" spans="1:10" ht="20" customHeight="1" thickBot="1">
      <c r="A10" s="130" t="s">
        <v>100</v>
      </c>
      <c r="B10" s="147">
        <v>69.669998103051412</v>
      </c>
      <c r="C10" s="148">
        <v>-3.4191427985221241E-2</v>
      </c>
      <c r="D10" s="147">
        <v>160.58364932157704</v>
      </c>
      <c r="E10" s="148">
        <v>8.120034011991176E-4</v>
      </c>
      <c r="F10" s="147">
        <v>115.19997175044296</v>
      </c>
      <c r="G10" s="148">
        <v>-1.0338504834838827E-2</v>
      </c>
      <c r="H10" s="203"/>
      <c r="I10" s="203"/>
      <c r="J10" s="203"/>
    </row>
    <row r="11" spans="1:10" ht="20" customHeight="1" thickBot="1">
      <c r="A11" s="130" t="s">
        <v>101</v>
      </c>
      <c r="B11" s="147">
        <v>84.136840544278328</v>
      </c>
      <c r="C11" s="148">
        <v>-3.4290839488657333E-2</v>
      </c>
      <c r="D11" s="147">
        <v>148.38124009129936</v>
      </c>
      <c r="E11" s="148">
        <v>-9.939535700401788E-3</v>
      </c>
      <c r="F11" s="147">
        <v>116.2558292295885</v>
      </c>
      <c r="G11" s="148">
        <v>-1.8335366990385599E-2</v>
      </c>
      <c r="H11" s="203"/>
      <c r="I11" s="203"/>
      <c r="J11" s="203"/>
    </row>
    <row r="12" spans="1:10" ht="20" customHeight="1" thickBot="1">
      <c r="A12" s="130" t="s">
        <v>102</v>
      </c>
      <c r="B12" s="147">
        <v>103.30063361557274</v>
      </c>
      <c r="C12" s="148">
        <v>-2.5261072781750337E-2</v>
      </c>
      <c r="D12" s="147">
        <v>147.07282845493307</v>
      </c>
      <c r="E12" s="148">
        <v>-1.674957305375305E-3</v>
      </c>
      <c r="F12" s="147">
        <v>124.92948857903832</v>
      </c>
      <c r="G12" s="148">
        <v>-1.1894092548677002E-2</v>
      </c>
      <c r="H12" s="203"/>
      <c r="I12" s="203"/>
      <c r="J12" s="203"/>
    </row>
    <row r="13" spans="1:10" ht="20" customHeight="1" thickBot="1">
      <c r="A13" s="130" t="s">
        <v>103</v>
      </c>
      <c r="B13" s="147">
        <v>130.13491030675405</v>
      </c>
      <c r="C13" s="148">
        <v>-2.1085725420521634E-2</v>
      </c>
      <c r="D13" s="147">
        <v>172.65642649139161</v>
      </c>
      <c r="E13" s="148">
        <v>-8.8901925907850753E-3</v>
      </c>
      <c r="F13" s="147">
        <v>151.10647160224681</v>
      </c>
      <c r="G13" s="148">
        <v>-1.4201776159500122E-2</v>
      </c>
      <c r="H13" s="203"/>
      <c r="I13" s="203"/>
      <c r="J13" s="203"/>
    </row>
    <row r="14" spans="1:10" ht="20" customHeight="1" thickBot="1">
      <c r="A14" s="130" t="s">
        <v>104</v>
      </c>
      <c r="B14" s="147">
        <v>170.45542867335743</v>
      </c>
      <c r="C14" s="148">
        <v>-6.3215509932007148E-3</v>
      </c>
      <c r="D14" s="147">
        <v>206.23848733314878</v>
      </c>
      <c r="E14" s="148">
        <v>-9.4864158102074252E-3</v>
      </c>
      <c r="F14" s="147">
        <v>188.27524432333874</v>
      </c>
      <c r="G14" s="148">
        <v>-8.1612752611024564E-3</v>
      </c>
      <c r="H14" s="203"/>
      <c r="I14" s="203"/>
      <c r="J14" s="203"/>
    </row>
    <row r="15" spans="1:10" ht="20" customHeight="1" thickBot="1">
      <c r="A15" s="130" t="s">
        <v>105</v>
      </c>
      <c r="B15" s="147">
        <v>226.55657446170355</v>
      </c>
      <c r="C15" s="148">
        <v>-4.0893259528075746E-3</v>
      </c>
      <c r="D15" s="147">
        <v>245.78665416297369</v>
      </c>
      <c r="E15" s="148">
        <v>-5.6106648350772708E-3</v>
      </c>
      <c r="F15" s="147">
        <v>236.19883230619527</v>
      </c>
      <c r="G15" s="148">
        <v>-4.8242863744680248E-3</v>
      </c>
      <c r="H15" s="203"/>
      <c r="I15" s="203"/>
      <c r="J15" s="203"/>
    </row>
    <row r="16" spans="1:10" ht="20" customHeight="1" thickBot="1">
      <c r="A16" s="130" t="s">
        <v>106</v>
      </c>
      <c r="B16" s="147">
        <v>292.52453736666376</v>
      </c>
      <c r="C16" s="148">
        <v>-3.2595620460598566E-3</v>
      </c>
      <c r="D16" s="147">
        <v>296.90461576881688</v>
      </c>
      <c r="E16" s="148">
        <v>-1.5573878727148281E-3</v>
      </c>
      <c r="F16" s="147">
        <v>294.74876085824218</v>
      </c>
      <c r="G16" s="148">
        <v>-2.4234587077003535E-3</v>
      </c>
      <c r="H16" s="203"/>
      <c r="I16" s="203"/>
      <c r="J16" s="203"/>
    </row>
    <row r="17" spans="1:10" ht="20" customHeight="1" thickBot="1">
      <c r="A17" s="130" t="s">
        <v>107</v>
      </c>
      <c r="B17" s="147">
        <v>374.23577517426725</v>
      </c>
      <c r="C17" s="148">
        <v>-4.9261032351912816E-3</v>
      </c>
      <c r="D17" s="147">
        <v>357.80331384870186</v>
      </c>
      <c r="E17" s="148">
        <v>3.6189287609694728E-3</v>
      </c>
      <c r="F17" s="147">
        <v>365.50259865733449</v>
      </c>
      <c r="G17" s="148">
        <v>-4.5823517586263384E-4</v>
      </c>
      <c r="H17" s="203"/>
      <c r="I17" s="203"/>
      <c r="J17" s="203"/>
    </row>
    <row r="18" spans="1:10" ht="20" customHeight="1" thickBot="1">
      <c r="A18" s="130" t="s">
        <v>108</v>
      </c>
      <c r="B18" s="147">
        <v>477.46979063926045</v>
      </c>
      <c r="C18" s="148">
        <v>-3.4115686714519464E-3</v>
      </c>
      <c r="D18" s="147">
        <v>447.60364996442945</v>
      </c>
      <c r="E18" s="148">
        <v>1.3980556792570485E-2</v>
      </c>
      <c r="F18" s="147">
        <v>460.94550875337802</v>
      </c>
      <c r="G18" s="148">
        <v>6.1596667505225151E-3</v>
      </c>
      <c r="H18" s="203"/>
      <c r="I18" s="203"/>
      <c r="J18" s="203"/>
    </row>
    <row r="19" spans="1:10" ht="20" customHeight="1" thickBot="1">
      <c r="A19" s="130" t="s">
        <v>109</v>
      </c>
      <c r="B19" s="147">
        <v>582.68083092566224</v>
      </c>
      <c r="C19" s="148">
        <v>8.2985704990350146E-3</v>
      </c>
      <c r="D19" s="147">
        <v>560.04529528267915</v>
      </c>
      <c r="E19" s="148">
        <v>1.2293744879616431E-2</v>
      </c>
      <c r="F19" s="147">
        <v>569.27110764093322</v>
      </c>
      <c r="G19" s="148">
        <v>1.07501058304701E-2</v>
      </c>
      <c r="H19" s="203"/>
      <c r="I19" s="203"/>
      <c r="J19" s="203"/>
    </row>
    <row r="20" spans="1:10" ht="20" customHeight="1" thickBot="1">
      <c r="A20" s="130" t="s">
        <v>110</v>
      </c>
      <c r="B20" s="147">
        <v>687.05657153340144</v>
      </c>
      <c r="C20" s="148">
        <v>1.479802301694364E-2</v>
      </c>
      <c r="D20" s="147">
        <v>726.49344881240449</v>
      </c>
      <c r="E20" s="148">
        <v>1.1822172651835489E-2</v>
      </c>
      <c r="F20" s="147">
        <v>712.1087408924144</v>
      </c>
      <c r="G20" s="148">
        <v>1.2804403978529061E-2</v>
      </c>
      <c r="H20" s="203"/>
      <c r="I20" s="203"/>
      <c r="J20" s="203"/>
    </row>
    <row r="21" spans="1:10" ht="20" customHeight="1" thickBot="1">
      <c r="A21" s="130" t="s">
        <v>111</v>
      </c>
      <c r="B21" s="147">
        <v>838.17090931900873</v>
      </c>
      <c r="C21" s="148">
        <v>1.6048288522327123E-2</v>
      </c>
      <c r="D21" s="147">
        <v>976.74793890479907</v>
      </c>
      <c r="E21" s="148">
        <v>1.2553835156286183E-2</v>
      </c>
      <c r="F21" s="147">
        <v>932.08476230384963</v>
      </c>
      <c r="G21" s="148">
        <v>1.3134036138857991E-2</v>
      </c>
      <c r="H21" s="203"/>
      <c r="I21" s="203"/>
      <c r="J21" s="203"/>
    </row>
    <row r="22" spans="1:10" ht="20" customHeight="1" thickBot="1">
      <c r="A22" s="130" t="s">
        <v>112</v>
      </c>
      <c r="B22" s="147">
        <v>1092.5058626465661</v>
      </c>
      <c r="C22" s="148">
        <v>1.574193462755662E-2</v>
      </c>
      <c r="D22" s="147">
        <v>1374.6835595819605</v>
      </c>
      <c r="E22" s="148">
        <v>2.7278766018853359E-2</v>
      </c>
      <c r="F22" s="147">
        <v>1305.0233170780396</v>
      </c>
      <c r="G22" s="148">
        <v>2.4591933674211849E-2</v>
      </c>
      <c r="H22" s="203"/>
      <c r="I22" s="203"/>
      <c r="J22" s="203"/>
    </row>
    <row r="23" spans="1:10" ht="30" customHeight="1" thickBot="1">
      <c r="A23" s="132" t="s">
        <v>1951</v>
      </c>
      <c r="B23" s="149">
        <v>164.48240940426936</v>
      </c>
      <c r="C23" s="150">
        <v>3.9914021681572084E-3</v>
      </c>
      <c r="D23" s="149">
        <v>224.79987961456757</v>
      </c>
      <c r="E23" s="150">
        <v>7.3207284019507707E-3</v>
      </c>
      <c r="F23" s="149">
        <v>195.23547729362633</v>
      </c>
      <c r="G23" s="150">
        <v>5.888159176254913E-3</v>
      </c>
      <c r="H23" s="203"/>
      <c r="I23" s="203"/>
      <c r="J23" s="203"/>
    </row>
    <row r="24" spans="1:10" ht="20" customHeight="1">
      <c r="A24" s="136" t="s">
        <v>2284</v>
      </c>
      <c r="B24" s="153"/>
      <c r="C24" s="154"/>
      <c r="D24" s="153"/>
      <c r="E24" s="154"/>
      <c r="F24" s="153"/>
      <c r="G24" s="154"/>
    </row>
    <row r="25" spans="1:10" ht="11.25" customHeight="1">
      <c r="A25" s="3"/>
      <c r="B25" s="155"/>
      <c r="C25" s="156"/>
      <c r="D25" s="155"/>
      <c r="E25" s="156"/>
      <c r="F25" s="155"/>
      <c r="G25" s="156"/>
    </row>
    <row r="26" spans="1:10" ht="16.5" customHeight="1">
      <c r="A26" s="3" t="s">
        <v>77</v>
      </c>
      <c r="B26" s="155"/>
      <c r="C26" s="156"/>
      <c r="D26" s="155"/>
      <c r="E26" s="156"/>
      <c r="F26" s="155"/>
      <c r="G26" s="156"/>
    </row>
    <row r="27" spans="1:10" ht="14.25" customHeight="1">
      <c r="A27" s="3"/>
      <c r="B27" s="155"/>
      <c r="C27" s="156"/>
      <c r="D27" s="155"/>
      <c r="E27" s="156"/>
      <c r="F27" s="155"/>
      <c r="G27" s="156"/>
    </row>
    <row r="28" spans="1:10">
      <c r="A28" s="192" t="s">
        <v>2339</v>
      </c>
      <c r="B28" s="155"/>
      <c r="C28" s="156"/>
      <c r="D28" s="155"/>
      <c r="E28" s="156"/>
      <c r="F28" s="155"/>
      <c r="G28" s="156"/>
    </row>
    <row r="29" spans="1:10">
      <c r="A29" s="192"/>
      <c r="B29" s="155"/>
      <c r="C29" s="156"/>
      <c r="D29" s="155"/>
      <c r="E29" s="156"/>
      <c r="F29" s="155"/>
      <c r="G29" s="156"/>
    </row>
    <row r="30" spans="1:10">
      <c r="A30" s="192"/>
      <c r="B30" s="155"/>
      <c r="C30" s="156"/>
      <c r="D30" s="155"/>
      <c r="E30" s="156"/>
      <c r="F30" s="155"/>
      <c r="G30" s="156"/>
    </row>
    <row r="31" spans="1:10">
      <c r="A31" s="3" t="s">
        <v>1955</v>
      </c>
    </row>
  </sheetData>
  <mergeCells count="1">
    <mergeCell ref="A2:F2"/>
  </mergeCells>
  <phoneticPr fontId="0" type="noConversion"/>
  <pageMargins left="0.62" right="0.54" top="0.74" bottom="0.65" header="0.4" footer="0.38"/>
  <pageSetup paperSize="9" scale="88" orientation="portrait" horizontalDpi="1200" verticalDpi="12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7AA4-DC90-4140-B4EF-14CF6E7873F3}">
  <dimension ref="A1:I42"/>
  <sheetViews>
    <sheetView topLeftCell="A16" zoomScale="75" workbookViewId="0">
      <selection activeCell="C7" sqref="C7"/>
    </sheetView>
  </sheetViews>
  <sheetFormatPr baseColWidth="10" defaultColWidth="11.3984375" defaultRowHeight="13"/>
  <cols>
    <col min="1" max="1" width="14.796875" style="2" customWidth="1"/>
    <col min="2" max="4" width="14.796875" style="158" customWidth="1"/>
    <col min="5" max="5" width="15.59765625" style="158" customWidth="1"/>
    <col min="6" max="6" width="16.19921875" style="158" customWidth="1"/>
    <col min="7" max="7" width="12.796875" style="159" customWidth="1"/>
    <col min="8" max="8" width="11.3984375" style="2"/>
    <col min="9" max="9" width="15.19921875" style="2" hidden="1" customWidth="1"/>
    <col min="10" max="16384" width="11.3984375" style="2"/>
  </cols>
  <sheetData>
    <row r="1" spans="1:9" s="1" customFormat="1" ht="14" customHeight="1">
      <c r="B1" s="140"/>
      <c r="C1" s="140"/>
      <c r="D1" s="140"/>
      <c r="E1" s="140"/>
      <c r="F1" s="140"/>
      <c r="G1" s="139"/>
    </row>
    <row r="2" spans="1:9" s="1" customFormat="1" ht="40.5" customHeight="1">
      <c r="A2" s="1695" t="s">
        <v>2343</v>
      </c>
      <c r="B2" s="1699"/>
      <c r="C2" s="1699"/>
      <c r="D2" s="1699"/>
      <c r="E2" s="1699"/>
      <c r="F2" s="176">
        <v>2006</v>
      </c>
    </row>
    <row r="3" spans="1:9" ht="27" customHeight="1">
      <c r="A3" s="113" t="s">
        <v>41</v>
      </c>
      <c r="B3" s="142" t="s">
        <v>42</v>
      </c>
      <c r="C3" s="177" t="s">
        <v>115</v>
      </c>
      <c r="D3" s="142" t="s">
        <v>116</v>
      </c>
      <c r="E3" s="177" t="s">
        <v>1951</v>
      </c>
      <c r="F3" s="142" t="s">
        <v>1951</v>
      </c>
      <c r="G3"/>
    </row>
    <row r="4" spans="1:9" ht="15" customHeight="1">
      <c r="A4" s="116"/>
      <c r="B4" s="143"/>
      <c r="C4" s="180"/>
      <c r="D4" s="143"/>
      <c r="E4" s="180" t="s">
        <v>117</v>
      </c>
      <c r="F4" s="143" t="s">
        <v>118</v>
      </c>
      <c r="G4"/>
    </row>
    <row r="5" spans="1:9" ht="15" customHeight="1">
      <c r="A5" s="116"/>
      <c r="B5" s="143"/>
      <c r="C5" s="180"/>
      <c r="D5" s="143"/>
      <c r="E5" s="180" t="s">
        <v>119</v>
      </c>
      <c r="F5" s="143" t="s">
        <v>44</v>
      </c>
      <c r="G5"/>
    </row>
    <row r="6" spans="1:9" ht="24" customHeight="1">
      <c r="A6" s="120"/>
      <c r="B6" s="144"/>
      <c r="C6" s="183"/>
      <c r="D6" s="144"/>
      <c r="E6" s="183"/>
      <c r="F6" s="144"/>
      <c r="G6"/>
    </row>
    <row r="7" spans="1:9" ht="30" customHeight="1" thickBot="1">
      <c r="A7" s="125" t="s">
        <v>51</v>
      </c>
      <c r="B7" s="145">
        <v>88.232428372142977</v>
      </c>
      <c r="C7" s="198">
        <v>425.0103239242369</v>
      </c>
      <c r="D7" s="145">
        <v>544.91939061993151</v>
      </c>
      <c r="E7" s="198">
        <v>486.70691361908928</v>
      </c>
      <c r="F7" s="145">
        <v>411.56154110783211</v>
      </c>
      <c r="G7"/>
      <c r="I7" s="8">
        <v>2156035045</v>
      </c>
    </row>
    <row r="8" spans="1:9" ht="20" customHeight="1" thickBot="1">
      <c r="A8" s="130" t="s">
        <v>52</v>
      </c>
      <c r="B8" s="147">
        <v>77.050772626931575</v>
      </c>
      <c r="C8" s="204">
        <v>433.67298372533048</v>
      </c>
      <c r="D8" s="147">
        <v>547.23735632183912</v>
      </c>
      <c r="E8" s="204">
        <v>492.85262210816813</v>
      </c>
      <c r="F8" s="147">
        <v>412.60073711481436</v>
      </c>
      <c r="G8"/>
      <c r="I8" s="8">
        <v>1563935884</v>
      </c>
    </row>
    <row r="9" spans="1:9" ht="20" customHeight="1" thickBot="1">
      <c r="A9" s="130" t="s">
        <v>53</v>
      </c>
      <c r="B9" s="147">
        <v>66.907732502767061</v>
      </c>
      <c r="C9" s="204">
        <v>363.2822269527245</v>
      </c>
      <c r="D9" s="147">
        <v>455.44626232578617</v>
      </c>
      <c r="E9" s="204">
        <v>410.59670092304873</v>
      </c>
      <c r="F9" s="147">
        <v>336.53437650804585</v>
      </c>
      <c r="G9"/>
      <c r="I9" s="8">
        <v>464604355</v>
      </c>
    </row>
    <row r="10" spans="1:9" ht="20" customHeight="1" thickBot="1">
      <c r="A10" s="130" t="s">
        <v>54</v>
      </c>
      <c r="B10" s="147">
        <v>72.026231263383323</v>
      </c>
      <c r="C10" s="204">
        <v>379.52207905023909</v>
      </c>
      <c r="D10" s="147">
        <v>461.59220928561183</v>
      </c>
      <c r="E10" s="204">
        <v>420.73548294020065</v>
      </c>
      <c r="F10" s="147">
        <v>346.70981305756004</v>
      </c>
      <c r="G10"/>
      <c r="I10" s="8">
        <v>45901795</v>
      </c>
    </row>
    <row r="11" spans="1:9" ht="20" customHeight="1" thickBot="1">
      <c r="A11" s="130" t="s">
        <v>55</v>
      </c>
      <c r="B11" s="147">
        <v>84.448740167977547</v>
      </c>
      <c r="C11" s="204">
        <v>402.28622455488164</v>
      </c>
      <c r="D11" s="147">
        <v>498.66377609885035</v>
      </c>
      <c r="E11" s="204">
        <v>449.9672780171619</v>
      </c>
      <c r="F11" s="147">
        <v>370.85197128737843</v>
      </c>
      <c r="G11"/>
      <c r="I11" s="8">
        <v>171549320</v>
      </c>
    </row>
    <row r="12" spans="1:9" ht="20" customHeight="1" thickBot="1">
      <c r="A12" s="130" t="s">
        <v>56</v>
      </c>
      <c r="B12" s="147">
        <v>67.209675299066561</v>
      </c>
      <c r="C12" s="204">
        <v>359.26351147343019</v>
      </c>
      <c r="D12" s="147">
        <v>461.23382784848275</v>
      </c>
      <c r="E12" s="204">
        <v>410.33918944392087</v>
      </c>
      <c r="F12" s="147">
        <v>333.86590296495945</v>
      </c>
      <c r="G12"/>
      <c r="I12" s="8">
        <v>41764939</v>
      </c>
    </row>
    <row r="13" spans="1:9" ht="20" customHeight="1" thickBot="1">
      <c r="A13" s="130" t="s">
        <v>57</v>
      </c>
      <c r="B13" s="147">
        <v>66.562250996015933</v>
      </c>
      <c r="C13" s="204">
        <v>346.47841726618674</v>
      </c>
      <c r="D13" s="147">
        <v>457.23406418811555</v>
      </c>
      <c r="E13" s="204">
        <v>401.66160032931168</v>
      </c>
      <c r="F13" s="147">
        <v>333.71628000908811</v>
      </c>
      <c r="G13"/>
      <c r="I13" s="8">
        <v>44323506</v>
      </c>
    </row>
    <row r="14" spans="1:9" ht="20" customHeight="1" thickBot="1">
      <c r="A14" s="130" t="s">
        <v>58</v>
      </c>
      <c r="B14" s="147">
        <v>84.322451029633214</v>
      </c>
      <c r="C14" s="204">
        <v>412.64814814814792</v>
      </c>
      <c r="D14" s="147">
        <v>508.55612936543764</v>
      </c>
      <c r="E14" s="204">
        <v>461.5434296242679</v>
      </c>
      <c r="F14" s="147">
        <v>383.22370822253504</v>
      </c>
      <c r="G14"/>
      <c r="I14" s="8">
        <v>55927154</v>
      </c>
    </row>
    <row r="15" spans="1:9" ht="20" customHeight="1" thickBot="1">
      <c r="A15" s="130" t="s">
        <v>59</v>
      </c>
      <c r="B15" s="147">
        <v>69.844386203023447</v>
      </c>
      <c r="C15" s="204">
        <v>375.95302249297129</v>
      </c>
      <c r="D15" s="147">
        <v>484.67934298701937</v>
      </c>
      <c r="E15" s="204">
        <v>430.30482661668236</v>
      </c>
      <c r="F15" s="147">
        <v>358.13978655822791</v>
      </c>
      <c r="G15"/>
      <c r="I15" s="8">
        <v>128772453</v>
      </c>
    </row>
    <row r="16" spans="1:9" ht="20" customHeight="1" thickBot="1">
      <c r="A16" s="130" t="s">
        <v>60</v>
      </c>
      <c r="B16" s="147">
        <v>83.363594118232925</v>
      </c>
      <c r="C16" s="204">
        <v>418.95861275911579</v>
      </c>
      <c r="D16" s="147">
        <v>542.45444555543463</v>
      </c>
      <c r="E16" s="204">
        <v>481.55919649533064</v>
      </c>
      <c r="F16" s="147">
        <v>389.11213689308761</v>
      </c>
      <c r="G16"/>
      <c r="I16" s="8">
        <v>391250033</v>
      </c>
    </row>
    <row r="17" spans="1:9" ht="20" customHeight="1" thickBot="1">
      <c r="A17" s="130" t="s">
        <v>61</v>
      </c>
      <c r="B17" s="147">
        <v>79.378545887961906</v>
      </c>
      <c r="C17" s="204">
        <v>423.47778951578994</v>
      </c>
      <c r="D17" s="147">
        <v>527.24990496983412</v>
      </c>
      <c r="E17" s="204">
        <v>476.67914703074905</v>
      </c>
      <c r="F17" s="147">
        <v>396.81957027802946</v>
      </c>
      <c r="G17"/>
      <c r="I17" s="8">
        <v>393696828</v>
      </c>
    </row>
    <row r="18" spans="1:9" ht="20" customHeight="1" thickBot="1">
      <c r="A18" s="130" t="s">
        <v>62</v>
      </c>
      <c r="B18" s="147">
        <v>110.39251746042896</v>
      </c>
      <c r="C18" s="204">
        <v>497.08735792423613</v>
      </c>
      <c r="D18" s="147">
        <v>634.4399209142116</v>
      </c>
      <c r="E18" s="204">
        <v>570.37968350860865</v>
      </c>
      <c r="F18" s="147">
        <v>497.24447569304925</v>
      </c>
      <c r="G18"/>
      <c r="I18" s="8">
        <v>473520714</v>
      </c>
    </row>
    <row r="19" spans="1:9" ht="20" customHeight="1" thickBot="1">
      <c r="A19" s="130" t="s">
        <v>63</v>
      </c>
      <c r="B19" s="147">
        <v>103.11103631251729</v>
      </c>
      <c r="C19" s="204">
        <v>475.05048743531825</v>
      </c>
      <c r="D19" s="147">
        <v>586.50427373400703</v>
      </c>
      <c r="E19" s="204">
        <v>532.49758944899077</v>
      </c>
      <c r="F19" s="147">
        <v>451.29080260921</v>
      </c>
      <c r="G19"/>
      <c r="I19" s="8">
        <v>469771093</v>
      </c>
    </row>
    <row r="20" spans="1:9" ht="20" customHeight="1" thickBot="1">
      <c r="A20" s="130" t="s">
        <v>64</v>
      </c>
      <c r="B20" s="147">
        <v>71.696073679108054</v>
      </c>
      <c r="C20" s="204">
        <v>418.90908781831149</v>
      </c>
      <c r="D20" s="147">
        <v>536.97935983741877</v>
      </c>
      <c r="E20" s="204">
        <v>479.95151545003785</v>
      </c>
      <c r="F20" s="147">
        <v>401.71064157354067</v>
      </c>
      <c r="G20"/>
      <c r="I20" s="8">
        <v>127694959</v>
      </c>
    </row>
    <row r="21" spans="1:9" ht="20" customHeight="1" thickBot="1">
      <c r="A21" s="130" t="s">
        <v>65</v>
      </c>
      <c r="B21" s="147">
        <v>64.932307959680259</v>
      </c>
      <c r="C21" s="204">
        <v>366.27482260827037</v>
      </c>
      <c r="D21" s="147">
        <v>466.00469858572558</v>
      </c>
      <c r="E21" s="204">
        <v>417.16336265790903</v>
      </c>
      <c r="F21" s="147">
        <v>341.00601221230613</v>
      </c>
      <c r="G21"/>
      <c r="I21" s="8">
        <v>69489100</v>
      </c>
    </row>
    <row r="22" spans="1:9" ht="20" customHeight="1" thickBot="1">
      <c r="A22" s="130" t="s">
        <v>66</v>
      </c>
      <c r="B22" s="147">
        <v>53.6962804388547</v>
      </c>
      <c r="C22" s="204">
        <v>339.12718627950437</v>
      </c>
      <c r="D22" s="147">
        <v>416.88690896259664</v>
      </c>
      <c r="E22" s="204">
        <v>377.23092230489692</v>
      </c>
      <c r="F22" s="147">
        <v>298.18228179143517</v>
      </c>
      <c r="G22"/>
      <c r="I22" s="8">
        <v>16712649</v>
      </c>
    </row>
    <row r="23" spans="1:9" ht="20" customHeight="1" thickBot="1">
      <c r="A23" s="130" t="s">
        <v>67</v>
      </c>
      <c r="B23" s="147">
        <v>78.024202355302293</v>
      </c>
      <c r="C23" s="204">
        <v>405.64225051881294</v>
      </c>
      <c r="D23" s="147">
        <v>500.1123038988726</v>
      </c>
      <c r="E23" s="204">
        <v>453.97118777112166</v>
      </c>
      <c r="F23" s="147">
        <v>371.74416097504286</v>
      </c>
      <c r="G23"/>
      <c r="I23" s="8">
        <v>615853738</v>
      </c>
    </row>
    <row r="24" spans="1:9" ht="20" customHeight="1" thickBot="1">
      <c r="A24" s="130" t="s">
        <v>68</v>
      </c>
      <c r="B24" s="147">
        <v>75.730121066680965</v>
      </c>
      <c r="C24" s="204">
        <v>382.15234758777603</v>
      </c>
      <c r="D24" s="147">
        <v>485.01949315276181</v>
      </c>
      <c r="E24" s="204">
        <v>434.18021736491346</v>
      </c>
      <c r="F24" s="147">
        <v>365.51109768128958</v>
      </c>
      <c r="G24"/>
      <c r="I24" s="8">
        <v>264690646</v>
      </c>
    </row>
    <row r="25" spans="1:9" ht="20" customHeight="1" thickBot="1">
      <c r="A25" s="130" t="s">
        <v>69</v>
      </c>
      <c r="B25" s="147">
        <v>76.216686325652347</v>
      </c>
      <c r="C25" s="204">
        <v>399.88868018756602</v>
      </c>
      <c r="D25" s="147">
        <v>503.20787665190608</v>
      </c>
      <c r="E25" s="204">
        <v>452.23714815218602</v>
      </c>
      <c r="F25" s="147">
        <v>374.05962668987786</v>
      </c>
      <c r="G25"/>
      <c r="I25" s="8">
        <v>819222625</v>
      </c>
    </row>
    <row r="26" spans="1:9" ht="20" customHeight="1" thickBot="1">
      <c r="A26" s="130" t="s">
        <v>70</v>
      </c>
      <c r="B26" s="147">
        <v>77.275524714180051</v>
      </c>
      <c r="C26" s="204">
        <v>388.062503430937</v>
      </c>
      <c r="D26" s="147">
        <v>495.56228119948207</v>
      </c>
      <c r="E26" s="204">
        <v>442.4870752502834</v>
      </c>
      <c r="F26" s="147">
        <v>361.29149278771149</v>
      </c>
      <c r="G26"/>
      <c r="I26" s="8">
        <v>344655658</v>
      </c>
    </row>
    <row r="27" spans="1:9" ht="20" customHeight="1" thickBot="1">
      <c r="A27" s="130" t="s">
        <v>71</v>
      </c>
      <c r="B27" s="147">
        <v>106.36644132431962</v>
      </c>
      <c r="C27" s="204">
        <v>490.50554714874158</v>
      </c>
      <c r="D27" s="147">
        <v>603.5831667680543</v>
      </c>
      <c r="E27" s="204">
        <v>550.17687703984507</v>
      </c>
      <c r="F27" s="147">
        <v>470.00382649865992</v>
      </c>
      <c r="G27"/>
      <c r="I27" s="8">
        <v>627641817</v>
      </c>
    </row>
    <row r="28" spans="1:9" ht="20" customHeight="1" thickBot="1">
      <c r="A28" s="130" t="s">
        <v>72</v>
      </c>
      <c r="B28" s="147">
        <v>132.19781983876607</v>
      </c>
      <c r="C28" s="204">
        <v>472.14987160916507</v>
      </c>
      <c r="D28" s="147">
        <v>613.36449570008676</v>
      </c>
      <c r="E28" s="204">
        <v>546.1191514709742</v>
      </c>
      <c r="F28" s="147">
        <v>455.69556594874086</v>
      </c>
      <c r="G28"/>
      <c r="I28" s="8">
        <v>1280335377</v>
      </c>
    </row>
    <row r="29" spans="1:9" ht="20" customHeight="1" thickBot="1">
      <c r="A29" s="130" t="s">
        <v>73</v>
      </c>
      <c r="B29" s="147">
        <v>83.729764759250912</v>
      </c>
      <c r="C29" s="204">
        <v>393.25407840903188</v>
      </c>
      <c r="D29" s="147">
        <v>500.34199155617114</v>
      </c>
      <c r="E29" s="204">
        <v>448.01766134745765</v>
      </c>
      <c r="F29" s="147">
        <v>372.77872659376533</v>
      </c>
      <c r="G29"/>
      <c r="I29" s="8">
        <v>410743307</v>
      </c>
    </row>
    <row r="30" spans="1:9" ht="20" customHeight="1" thickBot="1">
      <c r="A30" s="130" t="s">
        <v>74</v>
      </c>
      <c r="B30" s="147">
        <v>95.832252187594889</v>
      </c>
      <c r="C30" s="204">
        <v>418.84544825199077</v>
      </c>
      <c r="D30" s="147">
        <v>552.42634970642939</v>
      </c>
      <c r="E30" s="204">
        <v>488.7800985103496</v>
      </c>
      <c r="F30" s="147">
        <v>404.85473401213369</v>
      </c>
      <c r="G30"/>
      <c r="I30" s="8">
        <v>318756043</v>
      </c>
    </row>
    <row r="31" spans="1:9" ht="20" customHeight="1" thickBot="1">
      <c r="A31" s="130" t="s">
        <v>75</v>
      </c>
      <c r="B31" s="147">
        <v>127.37491969530112</v>
      </c>
      <c r="C31" s="204">
        <v>501.25042085021721</v>
      </c>
      <c r="D31" s="147">
        <v>662.5381926486059</v>
      </c>
      <c r="E31" s="204">
        <v>586.43024128349612</v>
      </c>
      <c r="F31" s="147">
        <v>487.79184466306583</v>
      </c>
      <c r="G31"/>
      <c r="I31" s="8">
        <v>966736347</v>
      </c>
    </row>
    <row r="32" spans="1:9" ht="20" customHeight="1" thickBot="1">
      <c r="A32" s="131" t="s">
        <v>76</v>
      </c>
      <c r="B32" s="147">
        <v>97.702510111061116</v>
      </c>
      <c r="C32" s="204">
        <v>446.83418123398201</v>
      </c>
      <c r="D32" s="147">
        <v>550.79898775979063</v>
      </c>
      <c r="E32" s="204">
        <v>500.48694444444413</v>
      </c>
      <c r="F32" s="147">
        <v>410.31097920289744</v>
      </c>
      <c r="G32"/>
      <c r="I32" s="8">
        <v>146808815</v>
      </c>
    </row>
    <row r="33" spans="1:9" ht="30" customHeight="1" thickBot="1">
      <c r="A33" s="132" t="s">
        <v>1944</v>
      </c>
      <c r="B33" s="149">
        <v>89.966488342240694</v>
      </c>
      <c r="C33" s="205">
        <v>427.72347232405957</v>
      </c>
      <c r="D33" s="149">
        <v>544.8845192781971</v>
      </c>
      <c r="E33" s="205">
        <v>488.13108907892013</v>
      </c>
      <c r="F33" s="149">
        <v>407.32092384155931</v>
      </c>
      <c r="G33" s="206"/>
      <c r="I33" s="8">
        <v>12410394200</v>
      </c>
    </row>
    <row r="34" spans="1:9" ht="20" customHeight="1">
      <c r="A34" s="136" t="s">
        <v>2284</v>
      </c>
      <c r="B34" s="153"/>
      <c r="C34" s="153"/>
      <c r="D34" s="153"/>
      <c r="E34" s="153"/>
      <c r="F34" s="153"/>
      <c r="G34" s="156"/>
    </row>
    <row r="35" spans="1:9" ht="14.25" customHeight="1">
      <c r="A35" s="3"/>
      <c r="B35" s="155"/>
      <c r="C35" s="155"/>
      <c r="D35" s="155"/>
      <c r="E35" s="155"/>
      <c r="F35" s="155"/>
      <c r="G35" s="156"/>
    </row>
    <row r="36" spans="1:9" ht="15.75" customHeight="1">
      <c r="A36" s="3" t="s">
        <v>2341</v>
      </c>
      <c r="B36" s="155"/>
      <c r="C36" s="155"/>
      <c r="D36" s="155"/>
      <c r="E36" s="155"/>
      <c r="F36" s="155"/>
      <c r="G36" s="156"/>
    </row>
    <row r="37" spans="1:9" ht="13.5" customHeight="1">
      <c r="A37" s="3"/>
      <c r="B37" s="155"/>
      <c r="C37" s="155"/>
      <c r="D37" s="155"/>
      <c r="E37" s="155"/>
      <c r="F37" s="155"/>
      <c r="G37" s="156"/>
    </row>
    <row r="38" spans="1:9" ht="11.25" customHeight="1">
      <c r="A38" s="207" t="s">
        <v>2342</v>
      </c>
      <c r="B38" s="208"/>
      <c r="C38" s="155"/>
      <c r="D38" s="155"/>
      <c r="E38" s="155"/>
      <c r="F38" s="155"/>
      <c r="G38" s="156"/>
    </row>
    <row r="39" spans="1:9" ht="12" customHeight="1"/>
    <row r="40" spans="1:9" ht="12" customHeight="1"/>
    <row r="41" spans="1:9" ht="12" customHeight="1">
      <c r="A41" s="3" t="s">
        <v>1955</v>
      </c>
    </row>
    <row r="42" spans="1:9" ht="12" customHeight="1"/>
  </sheetData>
  <mergeCells count="1">
    <mergeCell ref="A2:E2"/>
  </mergeCells>
  <phoneticPr fontId="0" type="noConversion"/>
  <pageMargins left="0.62" right="0.56000000000000005" top="0.78" bottom="0.49" header="0.4" footer="0.4921259845"/>
  <pageSetup paperSize="9" scale="80" orientation="portrait" horizontalDpi="4294967292" verticalDpi="4294967292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BD79-0F99-8B40-BEB2-B1C9D161BC1C}">
  <dimension ref="A1:K31"/>
  <sheetViews>
    <sheetView topLeftCell="A10" zoomScale="75" workbookViewId="0">
      <selection activeCell="C46" sqref="C46"/>
    </sheetView>
  </sheetViews>
  <sheetFormatPr baseColWidth="10" defaultColWidth="11.3984375" defaultRowHeight="13"/>
  <cols>
    <col min="1" max="1" width="14.796875" style="2" customWidth="1"/>
    <col min="2" max="2" width="14.796875" style="158" customWidth="1"/>
    <col min="3" max="3" width="14.796875" style="159" customWidth="1"/>
    <col min="4" max="4" width="14.796875" style="158" customWidth="1"/>
    <col min="5" max="5" width="14.796875" style="159" customWidth="1"/>
    <col min="6" max="6" width="14.796875" style="158" customWidth="1"/>
    <col min="7" max="7" width="14.796875" style="159" customWidth="1"/>
    <col min="8" max="8" width="11.3984375" style="2"/>
    <col min="9" max="9" width="7.59765625" style="2" customWidth="1"/>
    <col min="10" max="10" width="6.3984375" style="2" customWidth="1"/>
    <col min="11" max="11" width="8.796875" style="2" customWidth="1"/>
    <col min="12" max="16384" width="11.3984375" style="2"/>
  </cols>
  <sheetData>
    <row r="1" spans="1:11" s="1" customFormat="1" ht="15" customHeight="1">
      <c r="A1" s="137"/>
      <c r="B1" s="138"/>
      <c r="C1" s="201"/>
      <c r="D1" s="202"/>
      <c r="E1" s="201"/>
      <c r="F1" s="202"/>
      <c r="G1" s="201"/>
      <c r="H1" s="209"/>
    </row>
    <row r="2" spans="1:11" s="1" customFormat="1" ht="43.5" customHeight="1">
      <c r="A2" s="1701" t="s">
        <v>2346</v>
      </c>
      <c r="B2" s="1702"/>
      <c r="C2" s="1702"/>
      <c r="D2" s="1702"/>
      <c r="E2" s="1702"/>
      <c r="F2" s="1702"/>
      <c r="G2" s="176">
        <v>2006</v>
      </c>
      <c r="H2" s="209"/>
    </row>
    <row r="3" spans="1:11" ht="27" customHeight="1">
      <c r="A3" s="113" t="s">
        <v>92</v>
      </c>
      <c r="B3" s="142" t="s">
        <v>93</v>
      </c>
      <c r="C3" s="115" t="s">
        <v>45</v>
      </c>
      <c r="D3" s="142" t="s">
        <v>95</v>
      </c>
      <c r="E3" s="115" t="s">
        <v>45</v>
      </c>
      <c r="F3" s="142" t="s">
        <v>1951</v>
      </c>
      <c r="G3" s="115" t="s">
        <v>45</v>
      </c>
    </row>
    <row r="4" spans="1:11" ht="15" customHeight="1">
      <c r="A4" s="116"/>
      <c r="B4" s="143"/>
      <c r="C4" s="118" t="s">
        <v>46</v>
      </c>
      <c r="D4" s="143"/>
      <c r="E4" s="118" t="s">
        <v>46</v>
      </c>
      <c r="F4" s="143"/>
      <c r="G4" s="118" t="s">
        <v>46</v>
      </c>
    </row>
    <row r="5" spans="1:11" ht="15" customHeight="1">
      <c r="A5" s="116"/>
      <c r="B5" s="143"/>
      <c r="C5" s="118" t="s">
        <v>50</v>
      </c>
      <c r="D5" s="143"/>
      <c r="E5" s="118" t="s">
        <v>50</v>
      </c>
      <c r="F5" s="143"/>
      <c r="G5" s="118" t="s">
        <v>50</v>
      </c>
    </row>
    <row r="6" spans="1:11" ht="23" customHeight="1">
      <c r="A6" s="120"/>
      <c r="B6" s="144"/>
      <c r="C6" s="122"/>
      <c r="D6" s="144"/>
      <c r="E6" s="122"/>
      <c r="F6" s="144"/>
      <c r="G6" s="122"/>
    </row>
    <row r="7" spans="1:11" ht="30" customHeight="1" thickBot="1">
      <c r="A7" s="125" t="s">
        <v>97</v>
      </c>
      <c r="B7" s="145">
        <v>91.574496890615933</v>
      </c>
      <c r="C7" s="146">
        <v>1.8750558047996049E-2</v>
      </c>
      <c r="D7" s="145">
        <v>88.274633253897065</v>
      </c>
      <c r="E7" s="146">
        <v>2.2347761310607585E-2</v>
      </c>
      <c r="F7" s="145">
        <v>89.966488342240865</v>
      </c>
      <c r="G7" s="146">
        <v>2.0473976846478344E-2</v>
      </c>
      <c r="I7" s="203"/>
      <c r="J7" s="203"/>
      <c r="K7" s="203"/>
    </row>
    <row r="8" spans="1:11" ht="20" customHeight="1" thickBot="1">
      <c r="A8" s="130" t="s">
        <v>98</v>
      </c>
      <c r="B8" s="147">
        <v>246.02162896131424</v>
      </c>
      <c r="C8" s="148">
        <v>6.5527118935505869E-3</v>
      </c>
      <c r="D8" s="147">
        <v>361.66084746860054</v>
      </c>
      <c r="E8" s="148">
        <v>-7.1367215210195499E-3</v>
      </c>
      <c r="F8" s="147">
        <v>303.66704426446688</v>
      </c>
      <c r="G8" s="148">
        <v>-9.4302237526137662E-4</v>
      </c>
      <c r="I8" s="203"/>
      <c r="J8" s="203"/>
      <c r="K8" s="203"/>
    </row>
    <row r="9" spans="1:11" ht="20" customHeight="1" thickBot="1">
      <c r="A9" s="130" t="s">
        <v>99</v>
      </c>
      <c r="B9" s="147">
        <v>254.28799749163872</v>
      </c>
      <c r="C9" s="148">
        <v>-1.6229372010623976E-2</v>
      </c>
      <c r="D9" s="147">
        <v>420.5109840429983</v>
      </c>
      <c r="E9" s="148">
        <v>-5.8707658793266835E-3</v>
      </c>
      <c r="F9" s="147">
        <v>337.34594806020584</v>
      </c>
      <c r="G9" s="148">
        <v>-1.0254385122840406E-2</v>
      </c>
      <c r="I9" s="203"/>
      <c r="J9" s="203"/>
      <c r="K9" s="203"/>
    </row>
    <row r="10" spans="1:11" ht="20" customHeight="1" thickBot="1">
      <c r="A10" s="130" t="s">
        <v>100</v>
      </c>
      <c r="B10" s="147">
        <v>284.33625259716456</v>
      </c>
      <c r="C10" s="148">
        <v>-7.851253021216453E-3</v>
      </c>
      <c r="D10" s="147">
        <v>461.72320952685527</v>
      </c>
      <c r="E10" s="148">
        <v>1.5935767528703688E-2</v>
      </c>
      <c r="F10" s="147">
        <v>373.17245448929657</v>
      </c>
      <c r="G10" s="148">
        <v>6.5616594335110683E-3</v>
      </c>
      <c r="I10" s="203"/>
      <c r="J10" s="203"/>
      <c r="K10" s="203"/>
    </row>
    <row r="11" spans="1:11" ht="20" customHeight="1" thickBot="1">
      <c r="A11" s="130" t="s">
        <v>101</v>
      </c>
      <c r="B11" s="147">
        <v>313.28336359286607</v>
      </c>
      <c r="C11" s="148">
        <v>2.473254025533389E-3</v>
      </c>
      <c r="D11" s="147">
        <v>459.56784025016634</v>
      </c>
      <c r="E11" s="148">
        <v>1.5381834074106648E-2</v>
      </c>
      <c r="F11" s="147">
        <v>386.41829027473864</v>
      </c>
      <c r="G11" s="148">
        <v>1.0505499088278651E-2</v>
      </c>
      <c r="I11" s="203"/>
      <c r="J11" s="203"/>
      <c r="K11" s="203"/>
    </row>
    <row r="12" spans="1:11" ht="20" customHeight="1" thickBot="1">
      <c r="A12" s="130" t="s">
        <v>102</v>
      </c>
      <c r="B12" s="147">
        <v>343.11017583297883</v>
      </c>
      <c r="C12" s="148">
        <v>1.9710262873613065E-3</v>
      </c>
      <c r="D12" s="147">
        <v>467.76330328306597</v>
      </c>
      <c r="E12" s="148">
        <v>1.7431537012033416E-2</v>
      </c>
      <c r="F12" s="147">
        <v>404.70417230162195</v>
      </c>
      <c r="G12" s="148">
        <v>1.054509016357558E-2</v>
      </c>
      <c r="I12" s="203"/>
      <c r="J12" s="203"/>
      <c r="K12" s="203"/>
    </row>
    <row r="13" spans="1:11" ht="20" customHeight="1" thickBot="1">
      <c r="A13" s="130" t="s">
        <v>103</v>
      </c>
      <c r="B13" s="147">
        <v>387.01778802198453</v>
      </c>
      <c r="C13" s="148">
        <v>4.4935300460629763E-3</v>
      </c>
      <c r="D13" s="147">
        <v>499.53321142791333</v>
      </c>
      <c r="E13" s="148">
        <v>6.9365318818082524E-3</v>
      </c>
      <c r="F13" s="147">
        <v>442.51026125364808</v>
      </c>
      <c r="G13" s="148">
        <v>5.898511959706248E-3</v>
      </c>
      <c r="I13" s="203"/>
      <c r="J13" s="203"/>
      <c r="K13" s="203"/>
    </row>
    <row r="14" spans="1:11" ht="20" customHeight="1" thickBot="1">
      <c r="A14" s="130" t="s">
        <v>104</v>
      </c>
      <c r="B14" s="147">
        <v>447.12984794329657</v>
      </c>
      <c r="C14" s="148">
        <v>5.4839871661670567E-3</v>
      </c>
      <c r="D14" s="147">
        <v>542.63329913527741</v>
      </c>
      <c r="E14" s="148">
        <v>1.7855060923255253E-3</v>
      </c>
      <c r="F14" s="147">
        <v>494.69017279865682</v>
      </c>
      <c r="G14" s="148">
        <v>3.3462130582227467E-3</v>
      </c>
      <c r="I14" s="203"/>
      <c r="J14" s="203"/>
      <c r="K14" s="203"/>
    </row>
    <row r="15" spans="1:11" ht="20" customHeight="1" thickBot="1">
      <c r="A15" s="130" t="s">
        <v>105</v>
      </c>
      <c r="B15" s="147">
        <v>516.93217274490019</v>
      </c>
      <c r="C15" s="148">
        <v>3.1752522184914731E-3</v>
      </c>
      <c r="D15" s="147">
        <v>574.94732906835554</v>
      </c>
      <c r="E15" s="148">
        <v>-1.1394101213116324E-3</v>
      </c>
      <c r="F15" s="147">
        <v>546.02186477162184</v>
      </c>
      <c r="G15" s="148">
        <v>9.7221373616024581E-4</v>
      </c>
      <c r="I15" s="203"/>
      <c r="J15" s="203"/>
      <c r="K15" s="203"/>
    </row>
    <row r="16" spans="1:11" ht="20" customHeight="1" thickBot="1">
      <c r="A16" s="130" t="s">
        <v>106</v>
      </c>
      <c r="B16" s="147">
        <v>591.37471349569296</v>
      </c>
      <c r="C16" s="148">
        <v>8.8827959347852342E-3</v>
      </c>
      <c r="D16" s="147">
        <v>617.79567122484741</v>
      </c>
      <c r="E16" s="148">
        <v>4.8999698783829789E-3</v>
      </c>
      <c r="F16" s="147">
        <v>604.79139453553421</v>
      </c>
      <c r="G16" s="148">
        <v>6.6891229075042476E-3</v>
      </c>
      <c r="I16" s="203"/>
      <c r="J16" s="203"/>
      <c r="K16" s="203"/>
    </row>
    <row r="17" spans="1:11" ht="20" customHeight="1" thickBot="1">
      <c r="A17" s="130" t="s">
        <v>107</v>
      </c>
      <c r="B17" s="147">
        <v>652.97551418228045</v>
      </c>
      <c r="C17" s="148">
        <v>6.2952167257295669E-3</v>
      </c>
      <c r="D17" s="147">
        <v>654.83320181207091</v>
      </c>
      <c r="E17" s="148">
        <v>2.5877141788934639E-3</v>
      </c>
      <c r="F17" s="147">
        <v>653.96279865919746</v>
      </c>
      <c r="G17" s="148">
        <v>4.3138457261725043E-3</v>
      </c>
      <c r="I17" s="203"/>
      <c r="J17" s="203"/>
      <c r="K17" s="203"/>
    </row>
    <row r="18" spans="1:11" ht="20" customHeight="1" thickBot="1">
      <c r="A18" s="130" t="s">
        <v>108</v>
      </c>
      <c r="B18" s="147">
        <v>712.95143409476373</v>
      </c>
      <c r="C18" s="148">
        <v>3.1222678760362554E-3</v>
      </c>
      <c r="D18" s="147">
        <v>703.77683560029232</v>
      </c>
      <c r="E18" s="148">
        <v>2.434947520563445E-3</v>
      </c>
      <c r="F18" s="147">
        <v>707.87532957349185</v>
      </c>
      <c r="G18" s="148">
        <v>2.7890047674382938E-3</v>
      </c>
      <c r="I18" s="203"/>
      <c r="J18" s="203"/>
      <c r="K18" s="203"/>
    </row>
    <row r="19" spans="1:11" ht="20" customHeight="1" thickBot="1">
      <c r="A19" s="130" t="s">
        <v>109</v>
      </c>
      <c r="B19" s="147">
        <v>770.11833179800715</v>
      </c>
      <c r="C19" s="148">
        <v>2.8865677501632492E-5</v>
      </c>
      <c r="D19" s="147">
        <v>764.71395750810188</v>
      </c>
      <c r="E19" s="148">
        <v>1.1541514706233392E-5</v>
      </c>
      <c r="F19" s="147">
        <v>766.91667733319719</v>
      </c>
      <c r="G19" s="148">
        <v>3.8810379059039883E-5</v>
      </c>
      <c r="I19" s="203"/>
      <c r="J19" s="203"/>
      <c r="K19" s="203"/>
    </row>
    <row r="20" spans="1:11" ht="20" customHeight="1" thickBot="1">
      <c r="A20" s="130" t="s">
        <v>110</v>
      </c>
      <c r="B20" s="147">
        <v>835.01838194826632</v>
      </c>
      <c r="C20" s="148">
        <v>-1.1122966847469365E-3</v>
      </c>
      <c r="D20" s="147">
        <v>840.89500343096597</v>
      </c>
      <c r="E20" s="148">
        <v>-4.7394871931656967E-3</v>
      </c>
      <c r="F20" s="147">
        <v>838.75148981078519</v>
      </c>
      <c r="G20" s="148">
        <v>-3.4367197347912053E-3</v>
      </c>
      <c r="I20" s="203"/>
      <c r="J20" s="203"/>
      <c r="K20" s="203"/>
    </row>
    <row r="21" spans="1:11" ht="20" customHeight="1" thickBot="1">
      <c r="A21" s="130" t="s">
        <v>111</v>
      </c>
      <c r="B21" s="147">
        <v>911.33503267526521</v>
      </c>
      <c r="C21" s="148">
        <v>-5.3484289938826883E-4</v>
      </c>
      <c r="D21" s="147">
        <v>933.01153670918984</v>
      </c>
      <c r="E21" s="148">
        <v>-4.0498464144577556E-3</v>
      </c>
      <c r="F21" s="147">
        <v>926.02523074887267</v>
      </c>
      <c r="G21" s="148">
        <v>-3.0125595362381261E-3</v>
      </c>
      <c r="I21" s="203"/>
      <c r="J21" s="203"/>
      <c r="K21" s="203"/>
    </row>
    <row r="22" spans="1:11" ht="20" customHeight="1" thickBot="1">
      <c r="A22" s="130" t="s">
        <v>112</v>
      </c>
      <c r="B22" s="147">
        <v>1029.3120776295264</v>
      </c>
      <c r="C22" s="148">
        <v>-4.9031384868636176E-3</v>
      </c>
      <c r="D22" s="147">
        <v>1059.0681869817145</v>
      </c>
      <c r="E22" s="148">
        <v>-2.0055047312905121E-3</v>
      </c>
      <c r="F22" s="147">
        <v>1051.7223980835897</v>
      </c>
      <c r="G22" s="148">
        <v>-2.7408709459707933E-3</v>
      </c>
      <c r="I22" s="203"/>
      <c r="J22" s="203"/>
      <c r="K22" s="203"/>
    </row>
    <row r="23" spans="1:11" ht="30" customHeight="1" thickBot="1">
      <c r="A23" s="132" t="s">
        <v>1951</v>
      </c>
      <c r="B23" s="149">
        <v>356.35985625136595</v>
      </c>
      <c r="C23" s="150">
        <v>9.0645992902009375E-3</v>
      </c>
      <c r="D23" s="149">
        <v>456.31256762104601</v>
      </c>
      <c r="E23" s="150">
        <v>8.2439280356322447E-3</v>
      </c>
      <c r="F23" s="149">
        <v>407.32108701519041</v>
      </c>
      <c r="G23" s="150">
        <v>8.551213106604956E-3</v>
      </c>
      <c r="I23" s="203"/>
      <c r="J23" s="203"/>
      <c r="K23" s="203"/>
    </row>
    <row r="24" spans="1:11" ht="20" customHeight="1">
      <c r="A24" s="136" t="s">
        <v>2284</v>
      </c>
      <c r="B24" s="153"/>
      <c r="C24" s="154"/>
      <c r="D24" s="153"/>
      <c r="E24" s="154"/>
      <c r="F24" s="153"/>
      <c r="G24" s="154"/>
    </row>
    <row r="25" spans="1:11" ht="14.25" customHeight="1">
      <c r="A25" s="3"/>
      <c r="B25" s="155"/>
      <c r="C25" s="156"/>
      <c r="D25" s="155"/>
      <c r="E25" s="156"/>
      <c r="F25" s="155"/>
      <c r="G25" s="156"/>
    </row>
    <row r="26" spans="1:11" ht="12.75" customHeight="1">
      <c r="A26" s="3" t="s">
        <v>2344</v>
      </c>
      <c r="B26" s="155"/>
      <c r="C26" s="156"/>
      <c r="D26" s="155"/>
      <c r="E26" s="156"/>
      <c r="F26" s="155"/>
      <c r="G26" s="156"/>
    </row>
    <row r="28" spans="1:11">
      <c r="A28" s="210" t="s">
        <v>2345</v>
      </c>
      <c r="B28" s="155"/>
      <c r="C28" s="156"/>
      <c r="D28" s="155"/>
      <c r="E28" s="156"/>
      <c r="F28" s="155"/>
      <c r="G28" s="156"/>
    </row>
    <row r="29" spans="1:11">
      <c r="A29" s="210"/>
      <c r="B29" s="155"/>
      <c r="C29" s="156"/>
      <c r="D29" s="155"/>
      <c r="E29" s="156"/>
      <c r="F29" s="155"/>
      <c r="G29" s="156"/>
    </row>
    <row r="30" spans="1:11">
      <c r="A30" s="210"/>
      <c r="B30" s="155"/>
      <c r="C30" s="156"/>
      <c r="D30" s="155"/>
      <c r="E30" s="156"/>
      <c r="F30" s="155"/>
      <c r="G30" s="156"/>
    </row>
    <row r="31" spans="1:11">
      <c r="A31" s="3" t="s">
        <v>1955</v>
      </c>
    </row>
  </sheetData>
  <mergeCells count="1">
    <mergeCell ref="A2:F2"/>
  </mergeCells>
  <phoneticPr fontId="0" type="noConversion"/>
  <pageMargins left="0.62" right="0.66" top="0.83" bottom="0.86614173228346458" header="0.44" footer="0.51181102362204722"/>
  <pageSetup paperSize="9" scale="80" orientation="portrait" horizontalDpi="1200" verticalDpi="12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74B9-7C9C-2946-B5C4-0452372E3134}">
  <sheetPr>
    <pageSetUpPr fitToPage="1"/>
  </sheetPr>
  <dimension ref="A1:H39"/>
  <sheetViews>
    <sheetView zoomScale="75" workbookViewId="0">
      <selection activeCell="A3" sqref="A3"/>
    </sheetView>
  </sheetViews>
  <sheetFormatPr baseColWidth="10" defaultColWidth="11.3984375" defaultRowHeight="13"/>
  <cols>
    <col min="1" max="2" width="14.796875" style="2" customWidth="1"/>
    <col min="3" max="3" width="15.796875" style="2" customWidth="1"/>
    <col min="4" max="5" width="16" style="2" customWidth="1"/>
    <col min="6" max="6" width="16.59765625" style="2" customWidth="1"/>
    <col min="7" max="7" width="16.7968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39" customHeight="1">
      <c r="A2" s="1695" t="s">
        <v>2347</v>
      </c>
      <c r="B2" s="1699"/>
      <c r="C2" s="1699"/>
      <c r="D2" s="1699"/>
      <c r="E2" s="1699"/>
      <c r="F2" s="112">
        <v>2006</v>
      </c>
    </row>
    <row r="3" spans="1:8" ht="27" customHeight="1">
      <c r="A3" s="113" t="s">
        <v>41</v>
      </c>
      <c r="B3" s="114" t="s">
        <v>42</v>
      </c>
      <c r="C3" s="115" t="s">
        <v>43</v>
      </c>
      <c r="D3" s="114" t="s">
        <v>44</v>
      </c>
      <c r="E3" s="115" t="s">
        <v>1951</v>
      </c>
      <c r="F3" s="114" t="s">
        <v>45</v>
      </c>
    </row>
    <row r="4" spans="1:8" ht="15" customHeight="1">
      <c r="A4" s="116"/>
      <c r="B4" s="117"/>
      <c r="C4" s="118" t="s">
        <v>44</v>
      </c>
      <c r="D4" s="119"/>
      <c r="E4" s="118"/>
      <c r="F4" s="117" t="s">
        <v>46</v>
      </c>
    </row>
    <row r="5" spans="1:8" ht="15" customHeight="1">
      <c r="A5" s="116"/>
      <c r="B5" s="117" t="s">
        <v>47</v>
      </c>
      <c r="C5" s="118" t="s">
        <v>48</v>
      </c>
      <c r="D5" s="117" t="s">
        <v>49</v>
      </c>
      <c r="E5" s="118"/>
      <c r="F5" s="117" t="s">
        <v>50</v>
      </c>
    </row>
    <row r="6" spans="1:8" ht="24" customHeight="1">
      <c r="A6" s="120"/>
      <c r="B6" s="121"/>
      <c r="C6" s="120"/>
      <c r="D6" s="121"/>
      <c r="E6" s="122"/>
      <c r="F6" s="123"/>
      <c r="H6" s="124"/>
    </row>
    <row r="7" spans="1:8" ht="30" customHeight="1" thickBot="1">
      <c r="A7" s="125" t="s">
        <v>51</v>
      </c>
      <c r="B7" s="126">
        <v>66.546389235116564</v>
      </c>
      <c r="C7" s="127">
        <v>76.345789760783376</v>
      </c>
      <c r="D7" s="126">
        <v>233.1119594731789</v>
      </c>
      <c r="E7" s="127">
        <v>189.47277943560275</v>
      </c>
      <c r="F7" s="128">
        <v>3.2558634851371244E-3</v>
      </c>
      <c r="H7" s="129"/>
    </row>
    <row r="8" spans="1:8" ht="20" customHeight="1" thickBot="1">
      <c r="A8" s="130" t="s">
        <v>52</v>
      </c>
      <c r="B8" s="126">
        <v>54.818908535148275</v>
      </c>
      <c r="C8" s="127">
        <v>71.680118005749549</v>
      </c>
      <c r="D8" s="126">
        <v>269.03673208050185</v>
      </c>
      <c r="E8" s="127">
        <v>211.55309731978136</v>
      </c>
      <c r="F8" s="128">
        <v>2.4549042886731313E-2</v>
      </c>
      <c r="H8" s="129"/>
    </row>
    <row r="9" spans="1:8" ht="20" customHeight="1" thickBot="1">
      <c r="A9" s="130" t="s">
        <v>53</v>
      </c>
      <c r="B9" s="126">
        <v>46.915676722695565</v>
      </c>
      <c r="C9" s="127">
        <v>57.301383810684541</v>
      </c>
      <c r="D9" s="126">
        <v>209.12787078214316</v>
      </c>
      <c r="E9" s="127">
        <v>160.35314339122382</v>
      </c>
      <c r="F9" s="128">
        <v>-6.6608975940199988E-3</v>
      </c>
      <c r="H9" s="129"/>
    </row>
    <row r="10" spans="1:8" ht="20" customHeight="1" thickBot="1">
      <c r="A10" s="130" t="s">
        <v>54</v>
      </c>
      <c r="B10" s="126">
        <v>45.308485010706647</v>
      </c>
      <c r="C10" s="127">
        <v>49.505058488776477</v>
      </c>
      <c r="D10" s="126">
        <v>201.60594186377887</v>
      </c>
      <c r="E10" s="127">
        <v>154.75811835899768</v>
      </c>
      <c r="F10" s="128">
        <v>4.4727223427204711E-3</v>
      </c>
      <c r="H10" s="129"/>
    </row>
    <row r="11" spans="1:8" ht="20" customHeight="1" thickBot="1">
      <c r="A11" s="130" t="s">
        <v>55</v>
      </c>
      <c r="B11" s="126">
        <v>62.213874261209618</v>
      </c>
      <c r="C11" s="127">
        <v>66.067300194931775</v>
      </c>
      <c r="D11" s="126">
        <v>202.26520058774227</v>
      </c>
      <c r="E11" s="127">
        <v>160.18902656037704</v>
      </c>
      <c r="F11" s="128">
        <v>2.3513305811597024E-2</v>
      </c>
      <c r="H11" s="129"/>
    </row>
    <row r="12" spans="1:8" ht="20" customHeight="1" thickBot="1">
      <c r="A12" s="130" t="s">
        <v>56</v>
      </c>
      <c r="B12" s="126">
        <v>50.346643442443359</v>
      </c>
      <c r="C12" s="127">
        <v>54.599360956503808</v>
      </c>
      <c r="D12" s="126">
        <v>194.61347730883173</v>
      </c>
      <c r="E12" s="127">
        <v>149.19441433259109</v>
      </c>
      <c r="F12" s="128">
        <v>2.7713252725402711E-2</v>
      </c>
      <c r="H12" s="129"/>
    </row>
    <row r="13" spans="1:8" ht="20" customHeight="1" thickBot="1">
      <c r="A13" s="130" t="s">
        <v>57</v>
      </c>
      <c r="B13" s="126">
        <v>46.974445966135455</v>
      </c>
      <c r="C13" s="127">
        <v>60.522688527878053</v>
      </c>
      <c r="D13" s="126">
        <v>177.73261492727465</v>
      </c>
      <c r="E13" s="127">
        <v>141.38456230698677</v>
      </c>
      <c r="F13" s="128">
        <v>3.1869572125982182E-2</v>
      </c>
      <c r="H13" s="129"/>
    </row>
    <row r="14" spans="1:8" ht="20" customHeight="1" thickBot="1">
      <c r="A14" s="130" t="s">
        <v>58</v>
      </c>
      <c r="B14" s="126">
        <v>61.129865645404315</v>
      </c>
      <c r="C14" s="127">
        <v>67.299501811594197</v>
      </c>
      <c r="D14" s="126">
        <v>206.61324586359214</v>
      </c>
      <c r="E14" s="127">
        <v>163.04204251177501</v>
      </c>
      <c r="F14" s="128">
        <v>-2.2685862985253468E-3</v>
      </c>
      <c r="H14" s="129"/>
    </row>
    <row r="15" spans="1:8" ht="20" customHeight="1" thickBot="1">
      <c r="A15" s="130" t="s">
        <v>59</v>
      </c>
      <c r="B15" s="126">
        <v>49.839499383784975</v>
      </c>
      <c r="C15" s="127">
        <v>69.006777258753544</v>
      </c>
      <c r="D15" s="126">
        <v>193.34049464795075</v>
      </c>
      <c r="E15" s="127">
        <v>154.88492134136629</v>
      </c>
      <c r="F15" s="128">
        <v>2.4978694323849835E-3</v>
      </c>
      <c r="H15" s="129"/>
    </row>
    <row r="16" spans="1:8" ht="20" customHeight="1" thickBot="1">
      <c r="A16" s="130" t="s">
        <v>60</v>
      </c>
      <c r="B16" s="126">
        <v>58.739800123919849</v>
      </c>
      <c r="C16" s="127">
        <v>75.189153084765948</v>
      </c>
      <c r="D16" s="126">
        <v>236.94312498351067</v>
      </c>
      <c r="E16" s="127">
        <v>181.61276623344929</v>
      </c>
      <c r="F16" s="128">
        <v>2.2919367278611723E-2</v>
      </c>
      <c r="H16" s="129"/>
    </row>
    <row r="17" spans="1:8" ht="20" customHeight="1" thickBot="1">
      <c r="A17" s="130" t="s">
        <v>61</v>
      </c>
      <c r="B17" s="126">
        <v>61.221785194014039</v>
      </c>
      <c r="C17" s="127">
        <v>67.872830570472402</v>
      </c>
      <c r="D17" s="126">
        <v>236.24616972417164</v>
      </c>
      <c r="E17" s="127">
        <v>186.66785556944217</v>
      </c>
      <c r="F17" s="128">
        <v>2.7453524981554643E-2</v>
      </c>
      <c r="H17" s="129"/>
    </row>
    <row r="18" spans="1:8" ht="20" customHeight="1" thickBot="1">
      <c r="A18" s="130" t="s">
        <v>62</v>
      </c>
      <c r="B18" s="126">
        <v>85.361448425929169</v>
      </c>
      <c r="C18" s="127">
        <v>97.068787168632198</v>
      </c>
      <c r="D18" s="126">
        <v>335.28282249715727</v>
      </c>
      <c r="E18" s="127">
        <v>277.96336705578619</v>
      </c>
      <c r="F18" s="128">
        <v>2.0323450546921279E-2</v>
      </c>
      <c r="H18" s="129"/>
    </row>
    <row r="19" spans="1:8" ht="20" customHeight="1" thickBot="1">
      <c r="A19" s="130" t="s">
        <v>63</v>
      </c>
      <c r="B19" s="126">
        <v>73.19317341833974</v>
      </c>
      <c r="C19" s="127">
        <v>74.510642857142855</v>
      </c>
      <c r="D19" s="126">
        <v>247.66803120802396</v>
      </c>
      <c r="E19" s="127">
        <v>201.05449116408417</v>
      </c>
      <c r="F19" s="128">
        <v>4.9201621483276475E-3</v>
      </c>
      <c r="H19" s="129"/>
    </row>
    <row r="20" spans="1:8" ht="20" customHeight="1" thickBot="1">
      <c r="A20" s="130" t="s">
        <v>64</v>
      </c>
      <c r="B20" s="126">
        <v>52.74966530480345</v>
      </c>
      <c r="C20" s="127">
        <v>64.061084821655726</v>
      </c>
      <c r="D20" s="126">
        <v>231.66074713912499</v>
      </c>
      <c r="E20" s="127">
        <v>182.79816225590389</v>
      </c>
      <c r="F20" s="128">
        <v>-7.9528272654737393E-3</v>
      </c>
      <c r="H20" s="129"/>
    </row>
    <row r="21" spans="1:8" ht="20" customHeight="1" thickBot="1">
      <c r="A21" s="130" t="s">
        <v>65</v>
      </c>
      <c r="B21" s="126">
        <v>47.907347062912756</v>
      </c>
      <c r="C21" s="127">
        <v>51.981740064446832</v>
      </c>
      <c r="D21" s="126">
        <v>187.08776059935602</v>
      </c>
      <c r="E21" s="127">
        <v>145.17875684985123</v>
      </c>
      <c r="F21" s="128">
        <v>-2.2452431955459705E-3</v>
      </c>
      <c r="H21" s="129"/>
    </row>
    <row r="22" spans="1:8" ht="20" customHeight="1" thickBot="1">
      <c r="A22" s="130" t="s">
        <v>66</v>
      </c>
      <c r="B22" s="126">
        <v>44.2023459102667</v>
      </c>
      <c r="C22" s="127">
        <v>44.05</v>
      </c>
      <c r="D22" s="126">
        <v>170.93038708822166</v>
      </c>
      <c r="E22" s="127">
        <v>127.52383131742398</v>
      </c>
      <c r="F22" s="128">
        <v>-1.6670400575570381E-2</v>
      </c>
      <c r="H22" s="129"/>
    </row>
    <row r="23" spans="1:8" ht="20" customHeight="1" thickBot="1">
      <c r="A23" s="130" t="s">
        <v>67</v>
      </c>
      <c r="B23" s="126">
        <v>55.739053189430983</v>
      </c>
      <c r="C23" s="127">
        <v>61.672780238682378</v>
      </c>
      <c r="D23" s="126">
        <v>202.28421380673331</v>
      </c>
      <c r="E23" s="127">
        <v>156.98037770576278</v>
      </c>
      <c r="F23" s="128">
        <v>-3.077275282747816E-4</v>
      </c>
      <c r="H23" s="129"/>
    </row>
    <row r="24" spans="1:8" ht="20" customHeight="1" thickBot="1">
      <c r="A24" s="130" t="s">
        <v>68</v>
      </c>
      <c r="B24" s="126">
        <v>57.825540845399559</v>
      </c>
      <c r="C24" s="127">
        <v>54.212298174554739</v>
      </c>
      <c r="D24" s="126">
        <v>205.7329583336342</v>
      </c>
      <c r="E24" s="127">
        <v>163.29317687591359</v>
      </c>
      <c r="F24" s="128">
        <v>2.0934960115737276E-2</v>
      </c>
      <c r="H24" s="129"/>
    </row>
    <row r="25" spans="1:8" ht="20" customHeight="1" thickBot="1">
      <c r="A25" s="130" t="s">
        <v>69</v>
      </c>
      <c r="B25" s="126">
        <v>58.889024332840471</v>
      </c>
      <c r="C25" s="127">
        <v>69.558848551738635</v>
      </c>
      <c r="D25" s="126">
        <v>220.10164942025753</v>
      </c>
      <c r="E25" s="127">
        <v>173.39275004778059</v>
      </c>
      <c r="F25" s="128">
        <v>3.0707037708208297E-2</v>
      </c>
      <c r="H25" s="129"/>
    </row>
    <row r="26" spans="1:8" ht="20" customHeight="1" thickBot="1">
      <c r="A26" s="130" t="s">
        <v>70</v>
      </c>
      <c r="B26" s="126">
        <v>55.245481232896623</v>
      </c>
      <c r="C26" s="127">
        <v>67.80318895398004</v>
      </c>
      <c r="D26" s="126">
        <v>209.32844477065575</v>
      </c>
      <c r="E26" s="127">
        <v>162.13907154960921</v>
      </c>
      <c r="F26" s="128">
        <v>-9.923768481724056E-3</v>
      </c>
      <c r="H26" s="129"/>
    </row>
    <row r="27" spans="1:8" ht="20" customHeight="1" thickBot="1">
      <c r="A27" s="130" t="s">
        <v>71</v>
      </c>
      <c r="B27" s="126">
        <v>66.099760212630727</v>
      </c>
      <c r="C27" s="127">
        <v>66.372435071188349</v>
      </c>
      <c r="D27" s="126">
        <v>287.53678836888093</v>
      </c>
      <c r="E27" s="127">
        <v>231.95336024199003</v>
      </c>
      <c r="F27" s="128">
        <v>-2.4661996857155821E-3</v>
      </c>
      <c r="H27" s="129"/>
    </row>
    <row r="28" spans="1:8" ht="20" customHeight="1" thickBot="1">
      <c r="A28" s="130" t="s">
        <v>72</v>
      </c>
      <c r="B28" s="126">
        <v>75.527904544923459</v>
      </c>
      <c r="C28" s="127">
        <v>82.766735968784488</v>
      </c>
      <c r="D28" s="126">
        <v>289.54313189642545</v>
      </c>
      <c r="E28" s="127">
        <v>226.72163696747688</v>
      </c>
      <c r="F28" s="128">
        <v>-1.2825696415113269E-2</v>
      </c>
      <c r="H28" s="129"/>
    </row>
    <row r="29" spans="1:8" ht="20" customHeight="1" thickBot="1">
      <c r="A29" s="130" t="s">
        <v>73</v>
      </c>
      <c r="B29" s="126">
        <v>57.361153414123088</v>
      </c>
      <c r="C29" s="127">
        <v>63.619793239706034</v>
      </c>
      <c r="D29" s="126">
        <v>225.69181739777187</v>
      </c>
      <c r="E29" s="127">
        <v>176.56045578859548</v>
      </c>
      <c r="F29" s="128">
        <v>5.4027382186690939E-2</v>
      </c>
      <c r="H29" s="129"/>
    </row>
    <row r="30" spans="1:8" ht="20" customHeight="1" thickBot="1">
      <c r="A30" s="130" t="s">
        <v>74</v>
      </c>
      <c r="B30" s="126">
        <v>63.187387859883508</v>
      </c>
      <c r="C30" s="127">
        <v>70.159484257052043</v>
      </c>
      <c r="D30" s="126">
        <v>276.22185497629806</v>
      </c>
      <c r="E30" s="127">
        <v>214.41184687101421</v>
      </c>
      <c r="F30" s="128">
        <v>-4.7503418992067635E-2</v>
      </c>
      <c r="H30" s="129"/>
    </row>
    <row r="31" spans="1:8" ht="20" customHeight="1" thickBot="1">
      <c r="A31" s="130" t="s">
        <v>75</v>
      </c>
      <c r="B31" s="126">
        <v>88.417605466837983</v>
      </c>
      <c r="C31" s="127">
        <v>107.45225300729639</v>
      </c>
      <c r="D31" s="126">
        <v>333.62063502256905</v>
      </c>
      <c r="E31" s="127">
        <v>263.97030859830454</v>
      </c>
      <c r="F31" s="128">
        <v>-1.9910177325485161E-2</v>
      </c>
      <c r="H31" s="129"/>
    </row>
    <row r="32" spans="1:8" ht="20" customHeight="1" thickBot="1">
      <c r="A32" s="131" t="s">
        <v>76</v>
      </c>
      <c r="B32" s="126">
        <v>61.274400291027369</v>
      </c>
      <c r="C32" s="127">
        <v>61.649306734578381</v>
      </c>
      <c r="D32" s="126">
        <v>263.35430956835029</v>
      </c>
      <c r="E32" s="127">
        <v>201.03714709362768</v>
      </c>
      <c r="F32" s="128">
        <v>-3.8790047149817659E-2</v>
      </c>
      <c r="H32" s="129"/>
    </row>
    <row r="33" spans="1:8" ht="30" customHeight="1" thickBot="1">
      <c r="A33" s="132" t="s">
        <v>1944</v>
      </c>
      <c r="B33" s="133">
        <v>62.875181893765479</v>
      </c>
      <c r="C33" s="134">
        <v>72.052292454337291</v>
      </c>
      <c r="D33" s="133">
        <v>247.11487557300552</v>
      </c>
      <c r="E33" s="134">
        <v>195.23539908190932</v>
      </c>
      <c r="F33" s="135">
        <v>5.8885668995575209E-3</v>
      </c>
      <c r="H33" s="129"/>
    </row>
    <row r="34" spans="1:8" ht="20" customHeight="1">
      <c r="A34" s="136" t="s">
        <v>2284</v>
      </c>
      <c r="B34" s="136"/>
      <c r="C34" s="136"/>
      <c r="D34" s="136"/>
      <c r="E34" s="136"/>
      <c r="F34" s="136"/>
      <c r="H34" s="124"/>
    </row>
    <row r="35" spans="1:8" ht="11.25" customHeight="1">
      <c r="A35" s="3"/>
      <c r="B35" s="3"/>
      <c r="C35" s="3"/>
      <c r="D35" s="3"/>
      <c r="E35" s="3"/>
      <c r="F35" s="3"/>
      <c r="H35" s="124"/>
    </row>
    <row r="36" spans="1:8" ht="14.25" customHeight="1">
      <c r="A36" s="3" t="s">
        <v>77</v>
      </c>
      <c r="B36" s="3"/>
      <c r="C36" s="3"/>
      <c r="D36" s="3"/>
      <c r="E36" s="3"/>
      <c r="F36" s="3"/>
      <c r="H36" s="124"/>
    </row>
    <row r="37" spans="1:8" ht="13.5" customHeight="1">
      <c r="A37" s="3"/>
      <c r="B37" s="3"/>
      <c r="C37" s="3"/>
      <c r="D37" s="3"/>
      <c r="E37" s="3"/>
      <c r="F37" s="3"/>
      <c r="H37" s="124"/>
    </row>
    <row r="38" spans="1:8" ht="12" customHeight="1"/>
    <row r="39" spans="1:8" ht="12" customHeight="1">
      <c r="A39" s="3" t="s">
        <v>1955</v>
      </c>
    </row>
  </sheetData>
  <mergeCells count="1">
    <mergeCell ref="A2:E2"/>
  </mergeCells>
  <phoneticPr fontId="0" type="noConversion"/>
  <pageMargins left="0.65" right="0.5" top="0.87" bottom="0.49" header="0.51" footer="0.4921259845"/>
  <pageSetup paperSize="9" scale="83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45F4-BEC1-1E45-A662-2CB59F71BB72}">
  <sheetPr>
    <pageSetUpPr fitToPage="1"/>
  </sheetPr>
  <dimension ref="A1:H41"/>
  <sheetViews>
    <sheetView zoomScale="75" workbookViewId="0">
      <selection activeCell="D7" sqref="D7"/>
    </sheetView>
  </sheetViews>
  <sheetFormatPr baseColWidth="10" defaultColWidth="11.3984375" defaultRowHeight="13"/>
  <cols>
    <col min="1" max="2" width="14.796875" style="2" customWidth="1"/>
    <col min="3" max="3" width="15.796875" style="2" customWidth="1"/>
    <col min="4" max="4" width="16" style="2" customWidth="1"/>
    <col min="5" max="5" width="15.3984375" style="2" customWidth="1"/>
    <col min="6" max="6" width="17.59765625" style="2" customWidth="1"/>
    <col min="7" max="7" width="16.7968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39" customHeight="1">
      <c r="A2" s="1695" t="s">
        <v>1248</v>
      </c>
      <c r="B2" s="1699"/>
      <c r="C2" s="1699"/>
      <c r="D2" s="1699"/>
      <c r="E2" s="1699"/>
      <c r="F2" s="112">
        <v>2006</v>
      </c>
    </row>
    <row r="3" spans="1:8" ht="27" customHeight="1">
      <c r="A3" s="113" t="s">
        <v>41</v>
      </c>
      <c r="B3" s="114" t="s">
        <v>42</v>
      </c>
      <c r="C3" s="115" t="s">
        <v>43</v>
      </c>
      <c r="D3" s="114" t="s">
        <v>44</v>
      </c>
      <c r="E3" s="115" t="s">
        <v>1951</v>
      </c>
      <c r="F3" s="114" t="s">
        <v>45</v>
      </c>
    </row>
    <row r="4" spans="1:8" ht="15" customHeight="1">
      <c r="A4" s="116"/>
      <c r="B4" s="117"/>
      <c r="C4" s="118" t="s">
        <v>44</v>
      </c>
      <c r="D4" s="119"/>
      <c r="E4" s="118"/>
      <c r="F4" s="117" t="s">
        <v>46</v>
      </c>
    </row>
    <row r="5" spans="1:8" ht="15" customHeight="1">
      <c r="A5" s="116"/>
      <c r="B5" s="117" t="s">
        <v>47</v>
      </c>
      <c r="C5" s="118" t="s">
        <v>48</v>
      </c>
      <c r="D5" s="117" t="s">
        <v>49</v>
      </c>
      <c r="E5" s="118"/>
      <c r="F5" s="117" t="s">
        <v>50</v>
      </c>
    </row>
    <row r="6" spans="1:8" ht="24" customHeight="1">
      <c r="A6" s="120"/>
      <c r="B6" s="121"/>
      <c r="C6" s="120"/>
      <c r="D6" s="121"/>
      <c r="E6" s="122"/>
      <c r="F6" s="123"/>
      <c r="H6" s="124"/>
    </row>
    <row r="7" spans="1:8" ht="30" customHeight="1" thickBot="1">
      <c r="A7" s="125" t="s">
        <v>51</v>
      </c>
      <c r="B7" s="126">
        <v>88.232428372142934</v>
      </c>
      <c r="C7" s="127">
        <v>307.37417178893588</v>
      </c>
      <c r="D7" s="126">
        <v>505.77928507300174</v>
      </c>
      <c r="E7" s="127">
        <v>411.56154110783177</v>
      </c>
      <c r="F7" s="128">
        <v>1.2230154242036082E-2</v>
      </c>
      <c r="H7" s="129"/>
    </row>
    <row r="8" spans="1:8" ht="20" customHeight="1" thickBot="1">
      <c r="A8" s="130" t="s">
        <v>52</v>
      </c>
      <c r="B8" s="126">
        <v>77.050772626931561</v>
      </c>
      <c r="C8" s="127">
        <v>289.21984993439406</v>
      </c>
      <c r="D8" s="126">
        <v>515.81349444039859</v>
      </c>
      <c r="E8" s="127">
        <v>412.60073711481425</v>
      </c>
      <c r="F8" s="128">
        <v>1.5422863609518661E-2</v>
      </c>
      <c r="H8" s="129"/>
    </row>
    <row r="9" spans="1:8" ht="20" customHeight="1" thickBot="1">
      <c r="A9" s="130" t="s">
        <v>53</v>
      </c>
      <c r="B9" s="126">
        <v>66.907732502767118</v>
      </c>
      <c r="C9" s="127">
        <v>253.29485070079221</v>
      </c>
      <c r="D9" s="126">
        <v>431.24168159713332</v>
      </c>
      <c r="E9" s="127">
        <v>336.53437650804568</v>
      </c>
      <c r="F9" s="128">
        <v>3.2845061033778687E-3</v>
      </c>
      <c r="H9" s="129"/>
    </row>
    <row r="10" spans="1:8" ht="20" customHeight="1" thickBot="1">
      <c r="A10" s="130" t="s">
        <v>54</v>
      </c>
      <c r="B10" s="126">
        <v>72.026231263383295</v>
      </c>
      <c r="C10" s="127">
        <v>264.19222257350617</v>
      </c>
      <c r="D10" s="126">
        <v>440.89370190937586</v>
      </c>
      <c r="E10" s="127">
        <v>346.7098130575601</v>
      </c>
      <c r="F10" s="128">
        <v>1.7986393295526201E-2</v>
      </c>
      <c r="H10" s="129"/>
    </row>
    <row r="11" spans="1:8" ht="20" customHeight="1" thickBot="1">
      <c r="A11" s="130" t="s">
        <v>55</v>
      </c>
      <c r="B11" s="126">
        <v>84.448740167977604</v>
      </c>
      <c r="C11" s="127">
        <v>289.18003341687552</v>
      </c>
      <c r="D11" s="126">
        <v>469.8871183038255</v>
      </c>
      <c r="E11" s="127">
        <v>370.85197128737872</v>
      </c>
      <c r="F11" s="128">
        <v>2.603935663669258E-2</v>
      </c>
      <c r="H11" s="129"/>
    </row>
    <row r="12" spans="1:8" ht="20" customHeight="1" thickBot="1">
      <c r="A12" s="130" t="s">
        <v>56</v>
      </c>
      <c r="B12" s="126">
        <v>67.209675299066646</v>
      </c>
      <c r="C12" s="127">
        <v>248.83828076685219</v>
      </c>
      <c r="D12" s="126">
        <v>432.76390021896867</v>
      </c>
      <c r="E12" s="127">
        <v>333.86590296495956</v>
      </c>
      <c r="F12" s="128">
        <v>8.332881368889742E-3</v>
      </c>
      <c r="H12" s="129"/>
    </row>
    <row r="13" spans="1:8" ht="20" customHeight="1" thickBot="1">
      <c r="A13" s="130" t="s">
        <v>57</v>
      </c>
      <c r="B13" s="126">
        <v>66.562250996015933</v>
      </c>
      <c r="C13" s="127">
        <v>252.0210589651023</v>
      </c>
      <c r="D13" s="126">
        <v>419.26450083165236</v>
      </c>
      <c r="E13" s="127">
        <v>333.71628000908794</v>
      </c>
      <c r="F13" s="128">
        <v>2.6356103138106865E-2</v>
      </c>
      <c r="H13" s="129"/>
    </row>
    <row r="14" spans="1:8" ht="20" customHeight="1" thickBot="1">
      <c r="A14" s="130" t="s">
        <v>58</v>
      </c>
      <c r="B14" s="126">
        <v>84.322451029633356</v>
      </c>
      <c r="C14" s="127">
        <v>310.72663043478263</v>
      </c>
      <c r="D14" s="126">
        <v>482.31927079434007</v>
      </c>
      <c r="E14" s="127">
        <v>383.22370822253504</v>
      </c>
      <c r="F14" s="128">
        <v>1.5730584047756627E-2</v>
      </c>
      <c r="H14" s="129"/>
    </row>
    <row r="15" spans="1:8" ht="20" customHeight="1" thickBot="1">
      <c r="A15" s="130" t="s">
        <v>59</v>
      </c>
      <c r="B15" s="126">
        <v>69.844386203023348</v>
      </c>
      <c r="C15" s="127">
        <v>280.5534794586178</v>
      </c>
      <c r="D15" s="126">
        <v>446.53983197205594</v>
      </c>
      <c r="E15" s="127">
        <v>358.13978655822802</v>
      </c>
      <c r="F15" s="128">
        <v>1.9477639760811575E-2</v>
      </c>
      <c r="H15" s="129"/>
    </row>
    <row r="16" spans="1:8" ht="20" customHeight="1" thickBot="1">
      <c r="A16" s="130" t="s">
        <v>60</v>
      </c>
      <c r="B16" s="126">
        <v>83.363594118232811</v>
      </c>
      <c r="C16" s="127">
        <v>314.78263005135074</v>
      </c>
      <c r="D16" s="126">
        <v>502.67474926787349</v>
      </c>
      <c r="E16" s="127">
        <v>389.11213689308789</v>
      </c>
      <c r="F16" s="128">
        <v>2.9195386510632647E-3</v>
      </c>
      <c r="H16" s="129"/>
    </row>
    <row r="17" spans="1:8" ht="20" customHeight="1" thickBot="1">
      <c r="A17" s="130" t="s">
        <v>61</v>
      </c>
      <c r="B17" s="126">
        <v>79.378545887961863</v>
      </c>
      <c r="C17" s="127">
        <v>285.26187251926223</v>
      </c>
      <c r="D17" s="126">
        <v>499.61995343787424</v>
      </c>
      <c r="E17" s="127">
        <v>396.81957027802957</v>
      </c>
      <c r="F17" s="128">
        <v>2.0634850884497073E-2</v>
      </c>
      <c r="H17" s="129"/>
    </row>
    <row r="18" spans="1:8" ht="20" customHeight="1" thickBot="1">
      <c r="A18" s="130" t="s">
        <v>62</v>
      </c>
      <c r="B18" s="126">
        <v>110.39251746042888</v>
      </c>
      <c r="C18" s="127">
        <v>351.22293619594797</v>
      </c>
      <c r="D18" s="126">
        <v>591.46535308792829</v>
      </c>
      <c r="E18" s="127">
        <v>497.24447569304942</v>
      </c>
      <c r="F18" s="128">
        <v>1.1255639335005584E-2</v>
      </c>
      <c r="H18" s="129"/>
    </row>
    <row r="19" spans="1:8" ht="20" customHeight="1" thickBot="1">
      <c r="A19" s="130" t="s">
        <v>63</v>
      </c>
      <c r="B19" s="126">
        <v>103.11103631251733</v>
      </c>
      <c r="C19" s="127">
        <v>329.01319047619046</v>
      </c>
      <c r="D19" s="126">
        <v>554.34988340458608</v>
      </c>
      <c r="E19" s="127">
        <v>451.29080260921012</v>
      </c>
      <c r="F19" s="128">
        <v>1.5918261640537289E-2</v>
      </c>
      <c r="H19" s="129"/>
    </row>
    <row r="20" spans="1:8" ht="20" customHeight="1" thickBot="1">
      <c r="A20" s="130" t="s">
        <v>64</v>
      </c>
      <c r="B20" s="126">
        <v>71.696073679108096</v>
      </c>
      <c r="C20" s="127">
        <v>283.81132651503589</v>
      </c>
      <c r="D20" s="126">
        <v>503.60008463038599</v>
      </c>
      <c r="E20" s="127">
        <v>401.71064157354073</v>
      </c>
      <c r="F20" s="128">
        <v>1.7348195604017725E-2</v>
      </c>
      <c r="H20" s="129"/>
    </row>
    <row r="21" spans="1:8" ht="20" customHeight="1" thickBot="1">
      <c r="A21" s="130" t="s">
        <v>65</v>
      </c>
      <c r="B21" s="126">
        <v>64.932307959680216</v>
      </c>
      <c r="C21" s="127">
        <v>249.88292158968849</v>
      </c>
      <c r="D21" s="126">
        <v>438.17384382925906</v>
      </c>
      <c r="E21" s="127">
        <v>341.00601221230625</v>
      </c>
      <c r="F21" s="128">
        <v>1.219122277755642E-2</v>
      </c>
      <c r="H21" s="129"/>
    </row>
    <row r="22" spans="1:8" ht="20" customHeight="1" thickBot="1">
      <c r="A22" s="130" t="s">
        <v>66</v>
      </c>
      <c r="B22" s="126">
        <v>53.696280438854693</v>
      </c>
      <c r="C22" s="127">
        <v>219.84200000000001</v>
      </c>
      <c r="D22" s="126">
        <v>400.70312189302047</v>
      </c>
      <c r="E22" s="127">
        <v>298.18228179143512</v>
      </c>
      <c r="F22" s="128">
        <v>1.1609367574961888E-2</v>
      </c>
      <c r="H22" s="129"/>
    </row>
    <row r="23" spans="1:8" ht="20" customHeight="1" thickBot="1">
      <c r="A23" s="130" t="s">
        <v>67</v>
      </c>
      <c r="B23" s="126">
        <v>78.024202355302378</v>
      </c>
      <c r="C23" s="127">
        <v>300.69908210795506</v>
      </c>
      <c r="D23" s="126">
        <v>474.99576232699303</v>
      </c>
      <c r="E23" s="127">
        <v>371.74416097504292</v>
      </c>
      <c r="F23" s="128">
        <v>2.5089505215744275E-2</v>
      </c>
      <c r="H23" s="129"/>
    </row>
    <row r="24" spans="1:8" ht="20" customHeight="1" thickBot="1">
      <c r="A24" s="130" t="s">
        <v>68</v>
      </c>
      <c r="B24" s="126">
        <v>75.73012106668105</v>
      </c>
      <c r="C24" s="127">
        <v>263.95788714420462</v>
      </c>
      <c r="D24" s="126">
        <v>456.32986735408588</v>
      </c>
      <c r="E24" s="127">
        <v>365.5110976812897</v>
      </c>
      <c r="F24" s="128">
        <v>1.5671237300579427E-2</v>
      </c>
      <c r="H24" s="129"/>
    </row>
    <row r="25" spans="1:8" ht="20" customHeight="1" thickBot="1">
      <c r="A25" s="130" t="s">
        <v>69</v>
      </c>
      <c r="B25" s="126">
        <v>76.216686325652489</v>
      </c>
      <c r="C25" s="127">
        <v>289.82319320443838</v>
      </c>
      <c r="D25" s="126">
        <v>472.43940222254366</v>
      </c>
      <c r="E25" s="127">
        <v>374.05962668987763</v>
      </c>
      <c r="F25" s="128">
        <v>1.9914946952612068E-2</v>
      </c>
      <c r="H25" s="129"/>
    </row>
    <row r="26" spans="1:8" ht="20" customHeight="1" thickBot="1">
      <c r="A26" s="130" t="s">
        <v>70</v>
      </c>
      <c r="B26" s="126">
        <v>77.275524714180079</v>
      </c>
      <c r="C26" s="127">
        <v>278.44928271599241</v>
      </c>
      <c r="D26" s="126">
        <v>464.32929390953984</v>
      </c>
      <c r="E26" s="127">
        <v>361.29149278771172</v>
      </c>
      <c r="F26" s="128">
        <v>2.4760133050173883E-2</v>
      </c>
      <c r="H26" s="129"/>
    </row>
    <row r="27" spans="1:8" ht="20" customHeight="1" thickBot="1">
      <c r="A27" s="130" t="s">
        <v>71</v>
      </c>
      <c r="B27" s="126">
        <v>106.36644132431964</v>
      </c>
      <c r="C27" s="127">
        <v>347.52011200497799</v>
      </c>
      <c r="D27" s="126">
        <v>569.2415925540322</v>
      </c>
      <c r="E27" s="127">
        <v>470.00382649865981</v>
      </c>
      <c r="F27" s="128">
        <v>-1.6777217950640213E-2</v>
      </c>
      <c r="H27" s="129"/>
    </row>
    <row r="28" spans="1:8" ht="20" customHeight="1" thickBot="1">
      <c r="A28" s="130" t="s">
        <v>72</v>
      </c>
      <c r="B28" s="126">
        <v>132.19781983876621</v>
      </c>
      <c r="C28" s="127">
        <v>347.08637474381209</v>
      </c>
      <c r="D28" s="126">
        <v>568.09426716391283</v>
      </c>
      <c r="E28" s="127">
        <v>455.69556594874058</v>
      </c>
      <c r="F28" s="128">
        <v>5.1067019300456385E-3</v>
      </c>
      <c r="H28" s="129"/>
    </row>
    <row r="29" spans="1:8" ht="20" customHeight="1" thickBot="1">
      <c r="A29" s="130" t="s">
        <v>73</v>
      </c>
      <c r="B29" s="126">
        <v>83.729764759250855</v>
      </c>
      <c r="C29" s="127">
        <v>271.39161129568106</v>
      </c>
      <c r="D29" s="126">
        <v>470.2284039118876</v>
      </c>
      <c r="E29" s="127">
        <v>372.7787265937655</v>
      </c>
      <c r="F29" s="128">
        <v>2.3290883541905352E-2</v>
      </c>
      <c r="H29" s="129"/>
    </row>
    <row r="30" spans="1:8" ht="20" customHeight="1" thickBot="1">
      <c r="A30" s="130" t="s">
        <v>74</v>
      </c>
      <c r="B30" s="126">
        <v>95.832252187594889</v>
      </c>
      <c r="C30" s="127">
        <v>290.6350566150179</v>
      </c>
      <c r="D30" s="126">
        <v>510.95701972291226</v>
      </c>
      <c r="E30" s="127">
        <v>404.85473401213352</v>
      </c>
      <c r="F30" s="128">
        <v>-3.0085554463949504E-2</v>
      </c>
      <c r="H30" s="129"/>
    </row>
    <row r="31" spans="1:8" ht="20" customHeight="1" thickBot="1">
      <c r="A31" s="130" t="s">
        <v>75</v>
      </c>
      <c r="B31" s="126">
        <v>127.37491969530103</v>
      </c>
      <c r="C31" s="127">
        <v>390.08634062972459</v>
      </c>
      <c r="D31" s="126">
        <v>607.16746795149936</v>
      </c>
      <c r="E31" s="127">
        <v>487.79184466306606</v>
      </c>
      <c r="F31" s="128">
        <v>-2.896551976424001E-2</v>
      </c>
      <c r="H31" s="129"/>
    </row>
    <row r="32" spans="1:8" ht="20" customHeight="1" thickBot="1">
      <c r="A32" s="131" t="s">
        <v>76</v>
      </c>
      <c r="B32" s="126">
        <v>97.702510111061173</v>
      </c>
      <c r="C32" s="127">
        <v>307.98234295415961</v>
      </c>
      <c r="D32" s="126">
        <v>524.054853460819</v>
      </c>
      <c r="E32" s="127">
        <v>410.3109792028975</v>
      </c>
      <c r="F32" s="128">
        <v>-2.4243021691685723E-2</v>
      </c>
      <c r="H32" s="129"/>
    </row>
    <row r="33" spans="1:8" ht="30" customHeight="1" thickBot="1">
      <c r="A33" s="132" t="s">
        <v>1944</v>
      </c>
      <c r="B33" s="133">
        <v>89.96648834224078</v>
      </c>
      <c r="C33" s="134">
        <v>303.66704426446694</v>
      </c>
      <c r="D33" s="133">
        <v>509.50167877641502</v>
      </c>
      <c r="E33" s="134">
        <v>407.32092384155925</v>
      </c>
      <c r="F33" s="135">
        <v>8.5516219093401073E-3</v>
      </c>
      <c r="H33" s="129"/>
    </row>
    <row r="34" spans="1:8" ht="20" customHeight="1">
      <c r="A34" s="136" t="s">
        <v>2284</v>
      </c>
      <c r="B34" s="136"/>
      <c r="C34" s="136"/>
      <c r="D34" s="136"/>
      <c r="E34" s="136"/>
      <c r="F34" s="136"/>
      <c r="H34" s="124"/>
    </row>
    <row r="35" spans="1:8" ht="11.25" customHeight="1">
      <c r="A35" s="3"/>
      <c r="B35" s="3"/>
      <c r="C35" s="3"/>
      <c r="D35" s="3"/>
      <c r="E35" s="3"/>
      <c r="F35" s="3"/>
      <c r="H35" s="124"/>
    </row>
    <row r="36" spans="1:8" ht="14.25" customHeight="1">
      <c r="A36" s="3" t="s">
        <v>77</v>
      </c>
      <c r="B36" s="3"/>
      <c r="C36" s="3"/>
      <c r="D36" s="3"/>
      <c r="E36" s="3"/>
      <c r="F36" s="3"/>
      <c r="H36" s="124"/>
    </row>
    <row r="37" spans="1:8" ht="13.5" customHeight="1">
      <c r="A37" s="3"/>
      <c r="B37" s="3"/>
      <c r="C37" s="3"/>
      <c r="D37" s="3"/>
      <c r="E37" s="3"/>
      <c r="F37" s="3"/>
      <c r="H37" s="124"/>
    </row>
    <row r="38" spans="1:8" ht="13.5" customHeight="1">
      <c r="A38" s="210" t="s">
        <v>2345</v>
      </c>
      <c r="B38" s="3"/>
      <c r="C38" s="3"/>
      <c r="D38" s="3"/>
      <c r="E38" s="3"/>
      <c r="F38" s="3"/>
      <c r="H38" s="124"/>
    </row>
    <row r="39" spans="1:8" ht="13.5" customHeight="1">
      <c r="A39" s="3"/>
      <c r="B39" s="3"/>
      <c r="C39" s="3"/>
      <c r="D39" s="3"/>
      <c r="E39" s="3"/>
      <c r="F39" s="3"/>
      <c r="H39" s="124"/>
    </row>
    <row r="40" spans="1:8" ht="12" customHeight="1"/>
    <row r="41" spans="1:8" ht="12" customHeight="1">
      <c r="A41" s="3" t="s">
        <v>1955</v>
      </c>
    </row>
  </sheetData>
  <mergeCells count="1">
    <mergeCell ref="A2:E2"/>
  </mergeCells>
  <phoneticPr fontId="0" type="noConversion"/>
  <pageMargins left="0.65" right="0.5" top="0.87" bottom="0.49" header="0.51" footer="0.4921259845"/>
  <pageSetup paperSize="9" scale="83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9DBB-74EC-0B4D-A112-DE1793331A5C}">
  <sheetPr>
    <pageSetUpPr fitToPage="1"/>
  </sheetPr>
  <dimension ref="A1:K25"/>
  <sheetViews>
    <sheetView zoomScale="75" workbookViewId="0">
      <selection activeCell="A3" sqref="A3"/>
    </sheetView>
  </sheetViews>
  <sheetFormatPr baseColWidth="10" defaultColWidth="11.3984375" defaultRowHeight="13"/>
  <cols>
    <col min="1" max="1" width="15.796875" style="2" customWidth="1"/>
    <col min="2" max="2" width="17.19921875" style="2" customWidth="1"/>
    <col min="3" max="4" width="16.19921875" style="2" customWidth="1"/>
    <col min="5" max="5" width="16.796875" style="2" customWidth="1"/>
    <col min="6" max="6" width="17.796875" style="2" customWidth="1"/>
    <col min="7" max="7" width="15.19921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12" t="s">
        <v>2358</v>
      </c>
      <c r="G2" s="265">
        <v>2006</v>
      </c>
    </row>
    <row r="3" spans="1:11" ht="24" customHeight="1">
      <c r="A3" s="113" t="s">
        <v>1226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  <c r="G3" s="115" t="s">
        <v>45</v>
      </c>
    </row>
    <row r="4" spans="1:11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  <c r="G4" s="118" t="s">
        <v>46</v>
      </c>
    </row>
    <row r="5" spans="1:11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  <c r="G5" s="118" t="s">
        <v>50</v>
      </c>
    </row>
    <row r="6" spans="1:11" ht="24" customHeight="1">
      <c r="A6" s="249"/>
      <c r="B6" s="123"/>
      <c r="C6" s="122"/>
      <c r="D6" s="123"/>
      <c r="E6" s="183" t="s">
        <v>753</v>
      </c>
      <c r="F6" s="123"/>
      <c r="G6" s="122"/>
    </row>
    <row r="7" spans="1:11" ht="23.25" customHeight="1" thickBot="1">
      <c r="A7" s="250">
        <v>1996</v>
      </c>
      <c r="B7" s="637">
        <v>9158.0126325000001</v>
      </c>
      <c r="C7" s="257">
        <v>3158.8991608000001</v>
      </c>
      <c r="D7" s="637">
        <v>29.792276350000002</v>
      </c>
      <c r="E7" s="257">
        <v>112.31317695</v>
      </c>
      <c r="F7" s="637">
        <v>12459.0172466</v>
      </c>
      <c r="G7" s="146" t="s">
        <v>1412</v>
      </c>
    </row>
    <row r="8" spans="1:11" ht="20" customHeight="1" thickBot="1">
      <c r="A8" s="251">
        <v>1997</v>
      </c>
      <c r="B8" s="638">
        <v>8010.294124</v>
      </c>
      <c r="C8" s="546">
        <v>4715.0935929999996</v>
      </c>
      <c r="D8" s="638">
        <v>15.300134</v>
      </c>
      <c r="E8" s="546">
        <v>397.78968400000002</v>
      </c>
      <c r="F8" s="638">
        <v>13138.477535</v>
      </c>
      <c r="G8" s="148">
        <v>5.453562467661089E-2</v>
      </c>
      <c r="I8" s="9"/>
      <c r="J8" s="9"/>
      <c r="K8" s="9"/>
    </row>
    <row r="9" spans="1:11" ht="20" customHeight="1" thickBot="1">
      <c r="A9" s="251">
        <v>1998</v>
      </c>
      <c r="B9" s="638">
        <v>8034.9225379999998</v>
      </c>
      <c r="C9" s="546">
        <v>5294.4749119999997</v>
      </c>
      <c r="D9" s="638">
        <v>7.7133700000000003</v>
      </c>
      <c r="E9" s="546">
        <v>686.98183200000005</v>
      </c>
      <c r="F9" s="638">
        <v>14024.092651999999</v>
      </c>
      <c r="G9" s="148">
        <v>6.7406220746717538E-2</v>
      </c>
    </row>
    <row r="10" spans="1:11" ht="20" customHeight="1" thickBot="1">
      <c r="A10" s="251">
        <v>1999</v>
      </c>
      <c r="B10" s="638">
        <v>8789.075476</v>
      </c>
      <c r="C10" s="546">
        <v>4984.7508509999998</v>
      </c>
      <c r="D10" s="638">
        <v>7.2724950000000002</v>
      </c>
      <c r="E10" s="546">
        <v>839.41169600000001</v>
      </c>
      <c r="F10" s="638">
        <v>14620.510517999999</v>
      </c>
      <c r="G10" s="148">
        <v>4.2528089395854327E-2</v>
      </c>
    </row>
    <row r="11" spans="1:11" ht="20" customHeight="1" thickBot="1">
      <c r="A11" s="251">
        <v>2000</v>
      </c>
      <c r="B11" s="638">
        <v>9137.1621560000003</v>
      </c>
      <c r="C11" s="546">
        <v>5390.9432980000001</v>
      </c>
      <c r="D11" s="638">
        <v>7.5360680000000002</v>
      </c>
      <c r="E11" s="546">
        <v>942.68592000000001</v>
      </c>
      <c r="F11" s="638">
        <v>15478.327442</v>
      </c>
      <c r="G11" s="148">
        <v>5.8672159425890213E-2</v>
      </c>
    </row>
    <row r="12" spans="1:11" ht="20" customHeight="1" thickBot="1">
      <c r="A12" s="251">
        <v>2001</v>
      </c>
      <c r="B12" s="638">
        <v>9659.7746029999998</v>
      </c>
      <c r="C12" s="546">
        <v>5684.1019910000005</v>
      </c>
      <c r="D12" s="638">
        <v>8.3615560000000002</v>
      </c>
      <c r="E12" s="546">
        <v>1034.2226659999999</v>
      </c>
      <c r="F12" s="638">
        <v>16386.460816999999</v>
      </c>
      <c r="G12" s="148">
        <v>5.867128592562304E-2</v>
      </c>
    </row>
    <row r="13" spans="1:11" ht="20" customHeight="1" thickBot="1">
      <c r="A13" s="251">
        <v>2002</v>
      </c>
      <c r="B13" s="638">
        <v>9980.4930999999997</v>
      </c>
      <c r="C13" s="546">
        <v>6029.9190769999996</v>
      </c>
      <c r="D13" s="638">
        <v>7.9602409999999999</v>
      </c>
      <c r="E13" s="546">
        <v>1077.2149870000001</v>
      </c>
      <c r="F13" s="638">
        <v>17095.58741</v>
      </c>
      <c r="G13" s="148">
        <v>4.3275152634809542E-2</v>
      </c>
    </row>
    <row r="14" spans="1:11" ht="20" customHeight="1" thickBot="1">
      <c r="A14" s="251">
        <v>2003</v>
      </c>
      <c r="B14" s="638">
        <v>10400.406953</v>
      </c>
      <c r="C14" s="546">
        <v>6474.0950759999996</v>
      </c>
      <c r="D14" s="638">
        <v>8.2890060000000005</v>
      </c>
      <c r="E14" s="546">
        <v>1041.3283280000001</v>
      </c>
      <c r="F14" s="638">
        <v>17924.119349000001</v>
      </c>
      <c r="G14" s="148">
        <v>4.8464666298354497E-2</v>
      </c>
    </row>
    <row r="15" spans="1:11" ht="20" customHeight="1" thickBot="1">
      <c r="A15" s="251">
        <v>2004</v>
      </c>
      <c r="B15" s="638">
        <v>11244.13615765</v>
      </c>
      <c r="C15" s="546">
        <v>6631.1356945500002</v>
      </c>
      <c r="D15" s="638">
        <v>8.6720649999999999</v>
      </c>
      <c r="E15" s="546">
        <v>1255.877035</v>
      </c>
      <c r="F15" s="638">
        <v>19139.820942999999</v>
      </c>
      <c r="G15" s="148">
        <v>6.7824899529461302E-2</v>
      </c>
    </row>
    <row r="16" spans="1:11" ht="20" customHeight="1" thickBot="1">
      <c r="A16" s="251">
        <v>2005</v>
      </c>
      <c r="B16" s="638">
        <v>12276.40351</v>
      </c>
      <c r="C16" s="546">
        <v>6478.0200850000001</v>
      </c>
      <c r="D16" s="638">
        <v>9.1072369999999996</v>
      </c>
      <c r="E16" s="546">
        <v>1584.1758170000001</v>
      </c>
      <c r="F16" s="638">
        <v>20347.706649</v>
      </c>
      <c r="G16" s="148">
        <v>6.3108516511057644E-2</v>
      </c>
    </row>
    <row r="17" spans="1:7" ht="30" customHeight="1" thickBot="1">
      <c r="A17" s="361">
        <v>2006</v>
      </c>
      <c r="B17" s="844">
        <v>12157.648692999999</v>
      </c>
      <c r="C17" s="845">
        <v>6151.3591749999996</v>
      </c>
      <c r="D17" s="844">
        <v>8.8529470000000003</v>
      </c>
      <c r="E17" s="845">
        <v>2284.7661029999999</v>
      </c>
      <c r="F17" s="844">
        <v>20602.626918999998</v>
      </c>
      <c r="G17" s="150">
        <v>1.2528206465593383E-2</v>
      </c>
    </row>
    <row r="18" spans="1:7" ht="19.5" customHeight="1">
      <c r="A18" s="136" t="s">
        <v>453</v>
      </c>
      <c r="B18" s="136"/>
      <c r="C18" s="136"/>
      <c r="D18" s="136"/>
      <c r="E18" s="136"/>
      <c r="F18" s="136"/>
      <c r="G18" s="136"/>
    </row>
    <row r="19" spans="1:7" ht="14.25" customHeight="1">
      <c r="A19" s="3"/>
      <c r="B19" s="3"/>
      <c r="C19" s="3"/>
      <c r="D19" s="3"/>
      <c r="E19" s="3"/>
      <c r="F19" s="3"/>
      <c r="G19" s="3"/>
    </row>
    <row r="20" spans="1:7" ht="13.5" customHeight="1">
      <c r="A20" s="324" t="s">
        <v>2359</v>
      </c>
      <c r="B20" s="3"/>
      <c r="C20" s="3"/>
      <c r="D20" s="3"/>
      <c r="E20" s="3"/>
      <c r="F20" s="3"/>
      <c r="G20" s="3"/>
    </row>
    <row r="22" spans="1:7">
      <c r="A22" s="2" t="s">
        <v>2360</v>
      </c>
    </row>
    <row r="25" spans="1:7">
      <c r="A25" s="2" t="s">
        <v>1955</v>
      </c>
      <c r="G25" s="4"/>
    </row>
  </sheetData>
  <phoneticPr fontId="0" type="noConversion"/>
  <pageMargins left="0.6" right="0.63" top="0.99" bottom="0.49" header="0.59" footer="0.4921259845"/>
  <pageSetup paperSize="9" scale="79" orientation="portrait" horizontalDpi="4294967292" verticalDpi="4294967292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4096-D441-DC4C-81F7-82A6B469EBEA}">
  <sheetPr>
    <pageSetUpPr fitToPage="1"/>
  </sheetPr>
  <dimension ref="A1:J81"/>
  <sheetViews>
    <sheetView zoomScale="75" workbookViewId="0">
      <selection activeCell="A77" sqref="A77"/>
    </sheetView>
  </sheetViews>
  <sheetFormatPr baseColWidth="10" defaultColWidth="11.3984375" defaultRowHeight="13"/>
  <cols>
    <col min="1" max="1" width="21.796875" style="2" customWidth="1"/>
    <col min="2" max="3" width="15.796875" style="2" customWidth="1"/>
    <col min="4" max="6" width="14.19921875" style="2" customWidth="1"/>
    <col min="7" max="7" width="16.1992187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9.75" customHeight="1">
      <c r="A2" s="1695" t="s">
        <v>2375</v>
      </c>
      <c r="B2" s="1699"/>
      <c r="C2" s="1699"/>
      <c r="D2" s="1699"/>
      <c r="E2" s="1699"/>
      <c r="F2" s="1699"/>
      <c r="G2" s="112">
        <v>2006</v>
      </c>
    </row>
    <row r="3" spans="1:10" ht="24" customHeight="1">
      <c r="A3" s="328" t="s">
        <v>2376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  <c r="G3" s="170" t="s">
        <v>45</v>
      </c>
    </row>
    <row r="4" spans="1:10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  <c r="G4" s="116" t="s">
        <v>46</v>
      </c>
    </row>
    <row r="5" spans="1:10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  <c r="G5" s="116" t="s">
        <v>50</v>
      </c>
    </row>
    <row r="6" spans="1:10" ht="24" customHeight="1">
      <c r="A6" s="314" t="s">
        <v>740</v>
      </c>
      <c r="B6" s="123"/>
      <c r="C6" s="122"/>
      <c r="D6" s="123"/>
      <c r="E6" s="183" t="s">
        <v>753</v>
      </c>
      <c r="F6" s="123"/>
      <c r="G6" s="182"/>
    </row>
    <row r="7" spans="1:10" ht="20" customHeight="1" thickBot="1">
      <c r="A7" s="250">
        <v>1996</v>
      </c>
      <c r="B7" s="145">
        <v>1922.0914738477522</v>
      </c>
      <c r="C7" s="198">
        <v>1362.8683192106039</v>
      </c>
      <c r="D7" s="145">
        <v>1064.9780620150216</v>
      </c>
      <c r="E7" s="198">
        <v>918.79836090338449</v>
      </c>
      <c r="F7" s="145">
        <v>1722.6026867710073</v>
      </c>
      <c r="G7" s="421" t="s">
        <v>1412</v>
      </c>
    </row>
    <row r="8" spans="1:10" ht="20" customHeight="1" thickBot="1">
      <c r="A8" s="251">
        <v>1997</v>
      </c>
      <c r="B8" s="147">
        <v>1955.5774171208591</v>
      </c>
      <c r="C8" s="204">
        <v>1717.9609773327356</v>
      </c>
      <c r="D8" s="147">
        <v>1327.1545657683146</v>
      </c>
      <c r="E8" s="204">
        <v>1035.2511493240283</v>
      </c>
      <c r="F8" s="147">
        <v>1815.5878047739013</v>
      </c>
      <c r="G8" s="499">
        <v>5.3979433979168621E-2</v>
      </c>
      <c r="H8" s="9"/>
      <c r="I8" s="9"/>
      <c r="J8" s="9"/>
    </row>
    <row r="9" spans="1:10" ht="20" customHeight="1" thickBot="1">
      <c r="A9" s="251">
        <v>1998</v>
      </c>
      <c r="B9" s="147">
        <v>2001.1385556748141</v>
      </c>
      <c r="C9" s="204">
        <v>1942.4124575719206</v>
      </c>
      <c r="D9" s="147">
        <v>652.30881205655157</v>
      </c>
      <c r="E9" s="204">
        <v>1390.9212818258898</v>
      </c>
      <c r="F9" s="147">
        <v>1935.2604970637331</v>
      </c>
      <c r="G9" s="499">
        <v>6.591402077892608E-2</v>
      </c>
    </row>
    <row r="10" spans="1:10" ht="20" customHeight="1" thickBot="1">
      <c r="A10" s="251">
        <v>1999</v>
      </c>
      <c r="B10" s="147">
        <v>2196.7543830608033</v>
      </c>
      <c r="C10" s="204">
        <v>1834.5631598914081</v>
      </c>
      <c r="D10" s="147">
        <v>708.57112386703454</v>
      </c>
      <c r="E10" s="204">
        <v>1548.1903262736841</v>
      </c>
      <c r="F10" s="147">
        <v>2010.9263687008995</v>
      </c>
      <c r="G10" s="499">
        <v>3.909854603655178E-2</v>
      </c>
    </row>
    <row r="11" spans="1:10" ht="20" customHeight="1" thickBot="1">
      <c r="A11" s="251">
        <v>2000</v>
      </c>
      <c r="B11" s="147">
        <v>2330.7313959837929</v>
      </c>
      <c r="C11" s="204">
        <v>1955.0764432666085</v>
      </c>
      <c r="D11" s="147">
        <v>768.43697012283224</v>
      </c>
      <c r="E11" s="204">
        <v>1632.0632045626817</v>
      </c>
      <c r="F11" s="147">
        <v>2130.4988026779488</v>
      </c>
      <c r="G11" s="499">
        <v>5.9461368570295083E-2</v>
      </c>
    </row>
    <row r="12" spans="1:10" ht="20" customHeight="1" thickBot="1">
      <c r="A12" s="251">
        <v>2001</v>
      </c>
      <c r="B12" s="147">
        <v>2495.1244025796968</v>
      </c>
      <c r="C12" s="204">
        <v>2011.3716436312093</v>
      </c>
      <c r="D12" s="147">
        <v>897.62686042302278</v>
      </c>
      <c r="E12" s="204">
        <v>1740.2608610070422</v>
      </c>
      <c r="F12" s="147">
        <v>2244.3978355168092</v>
      </c>
      <c r="G12" s="499">
        <v>5.3461204810673471E-2</v>
      </c>
    </row>
    <row r="13" spans="1:10" ht="20" customHeight="1" thickBot="1">
      <c r="A13" s="251">
        <v>2002</v>
      </c>
      <c r="B13" s="147">
        <v>2622.961008005575</v>
      </c>
      <c r="C13" s="204">
        <v>2026.9678660755228</v>
      </c>
      <c r="D13" s="147">
        <v>902.79734523799152</v>
      </c>
      <c r="E13" s="204">
        <v>1937.719195679239</v>
      </c>
      <c r="F13" s="147">
        <v>2327.6297728803838</v>
      </c>
      <c r="G13" s="499">
        <v>3.7084306554951346E-2</v>
      </c>
    </row>
    <row r="14" spans="1:10" ht="20" customHeight="1" thickBot="1">
      <c r="A14" s="251">
        <v>2003</v>
      </c>
      <c r="B14" s="147">
        <v>2838.5410322271737</v>
      </c>
      <c r="C14" s="204">
        <v>2089.4955210203316</v>
      </c>
      <c r="D14" s="147">
        <v>999.42596938760983</v>
      </c>
      <c r="E14" s="204">
        <v>1730.3106743718724</v>
      </c>
      <c r="F14" s="147">
        <v>2431.2114971885403</v>
      </c>
      <c r="G14" s="499">
        <v>4.4500944916156783E-2</v>
      </c>
    </row>
    <row r="15" spans="1:10" ht="20" customHeight="1" thickBot="1">
      <c r="A15" s="251">
        <v>2004</v>
      </c>
      <c r="B15" s="147">
        <v>3104.8815477572248</v>
      </c>
      <c r="C15" s="204">
        <v>2203.0474404075858</v>
      </c>
      <c r="D15" s="147">
        <v>1076.1693397885631</v>
      </c>
      <c r="E15" s="204">
        <v>1687.7897523259062</v>
      </c>
      <c r="F15" s="147">
        <v>2592.2165787191948</v>
      </c>
      <c r="G15" s="499">
        <v>6.6224218549822259E-2</v>
      </c>
    </row>
    <row r="16" spans="1:10" ht="20" customHeight="1" thickBot="1">
      <c r="A16" s="251">
        <v>2005</v>
      </c>
      <c r="B16" s="147">
        <v>3415.1929895176959</v>
      </c>
      <c r="C16" s="204">
        <v>2210.8019372998301</v>
      </c>
      <c r="D16" s="147">
        <v>1184.6612422697292</v>
      </c>
      <c r="E16" s="204">
        <v>1753.636061440061</v>
      </c>
      <c r="F16" s="147">
        <v>2736.4253387803569</v>
      </c>
      <c r="G16" s="499">
        <v>5.5631447327759709E-2</v>
      </c>
    </row>
    <row r="17" spans="1:7" ht="30" customHeight="1" thickBot="1">
      <c r="A17" s="361">
        <v>2006</v>
      </c>
      <c r="B17" s="282">
        <v>3636.67</v>
      </c>
      <c r="C17" s="283">
        <v>2215.41</v>
      </c>
      <c r="D17" s="282">
        <v>1230.94</v>
      </c>
      <c r="E17" s="283">
        <v>1690.49</v>
      </c>
      <c r="F17" s="282">
        <v>2754.94</v>
      </c>
      <c r="G17" s="610">
        <v>6.7660026960192354E-3</v>
      </c>
    </row>
    <row r="18" spans="1:7" ht="20" customHeight="1">
      <c r="A18" s="136" t="s">
        <v>453</v>
      </c>
      <c r="B18" s="136"/>
      <c r="C18" s="136"/>
      <c r="D18" s="136"/>
      <c r="E18" s="136"/>
      <c r="F18" s="136"/>
      <c r="G18" s="414"/>
    </row>
    <row r="19" spans="1:7">
      <c r="G19" s="415"/>
    </row>
    <row r="20" spans="1:7">
      <c r="A20" s="2" t="s">
        <v>2372</v>
      </c>
      <c r="G20" s="415"/>
    </row>
    <row r="21" spans="1:7">
      <c r="G21" s="415"/>
    </row>
    <row r="22" spans="1:7">
      <c r="G22" s="415"/>
    </row>
    <row r="23" spans="1:7" ht="16">
      <c r="A23" s="843" t="s">
        <v>2349</v>
      </c>
      <c r="G23" s="415"/>
    </row>
    <row r="24" spans="1:7">
      <c r="G24" s="415"/>
    </row>
    <row r="25" spans="1:7" ht="18" customHeight="1">
      <c r="A25" s="328" t="s">
        <v>42</v>
      </c>
      <c r="B25" s="114" t="s">
        <v>741</v>
      </c>
      <c r="C25" s="115" t="s">
        <v>742</v>
      </c>
      <c r="D25" s="114" t="s">
        <v>743</v>
      </c>
      <c r="E25" s="115" t="s">
        <v>744</v>
      </c>
      <c r="F25" s="114" t="s">
        <v>1951</v>
      </c>
      <c r="G25" s="394" t="s">
        <v>45</v>
      </c>
    </row>
    <row r="26" spans="1:7" ht="18" customHeight="1">
      <c r="A26" s="847" t="s">
        <v>47</v>
      </c>
      <c r="B26" s="117" t="s">
        <v>745</v>
      </c>
      <c r="C26" s="118" t="s">
        <v>746</v>
      </c>
      <c r="D26" s="117" t="s">
        <v>747</v>
      </c>
      <c r="E26" s="180" t="s">
        <v>748</v>
      </c>
      <c r="F26" s="117"/>
      <c r="G26" s="494" t="s">
        <v>46</v>
      </c>
    </row>
    <row r="27" spans="1:7" ht="18" customHeight="1">
      <c r="A27" s="248"/>
      <c r="B27" s="117" t="s">
        <v>749</v>
      </c>
      <c r="C27" s="118" t="s">
        <v>750</v>
      </c>
      <c r="D27" s="117" t="s">
        <v>751</v>
      </c>
      <c r="E27" s="180" t="s">
        <v>752</v>
      </c>
      <c r="F27" s="117"/>
      <c r="G27" s="494" t="s">
        <v>50</v>
      </c>
    </row>
    <row r="28" spans="1:7" ht="18" customHeight="1">
      <c r="A28" s="249" t="s">
        <v>758</v>
      </c>
      <c r="B28" s="123"/>
      <c r="C28" s="122"/>
      <c r="D28" s="123"/>
      <c r="E28" s="183" t="s">
        <v>753</v>
      </c>
      <c r="F28" s="123"/>
      <c r="G28" s="395"/>
    </row>
    <row r="29" spans="1:7" ht="18" customHeight="1" thickBot="1">
      <c r="A29" s="250">
        <v>1996</v>
      </c>
      <c r="B29" s="145" t="s">
        <v>1412</v>
      </c>
      <c r="C29" s="198" t="s">
        <v>1412</v>
      </c>
      <c r="D29" s="145" t="s">
        <v>1412</v>
      </c>
      <c r="E29" s="198" t="s">
        <v>1412</v>
      </c>
      <c r="F29" s="145" t="s">
        <v>1412</v>
      </c>
      <c r="G29" s="421" t="s">
        <v>1412</v>
      </c>
    </row>
    <row r="30" spans="1:7" ht="18" customHeight="1" thickBot="1">
      <c r="A30" s="251">
        <v>1997</v>
      </c>
      <c r="B30" s="147">
        <v>596.74</v>
      </c>
      <c r="C30" s="204">
        <v>527.92999999999995</v>
      </c>
      <c r="D30" s="147" t="s">
        <v>1412</v>
      </c>
      <c r="E30" s="204">
        <v>365.95</v>
      </c>
      <c r="F30" s="147">
        <v>578.16999999999996</v>
      </c>
      <c r="G30" s="499" t="s">
        <v>1412</v>
      </c>
    </row>
    <row r="31" spans="1:7" ht="18" customHeight="1" thickBot="1">
      <c r="A31" s="251">
        <v>1998</v>
      </c>
      <c r="B31" s="147">
        <v>637.61</v>
      </c>
      <c r="C31" s="204">
        <v>590.34</v>
      </c>
      <c r="D31" s="147">
        <v>395.42</v>
      </c>
      <c r="E31" s="204">
        <v>453.55</v>
      </c>
      <c r="F31" s="147">
        <v>619.65</v>
      </c>
      <c r="G31" s="499">
        <v>7.1743604822110951E-2</v>
      </c>
    </row>
    <row r="32" spans="1:7" ht="18" customHeight="1" thickBot="1">
      <c r="A32" s="251">
        <v>1999</v>
      </c>
      <c r="B32" s="147">
        <v>652.47</v>
      </c>
      <c r="C32" s="204">
        <v>604.53</v>
      </c>
      <c r="D32" s="147">
        <v>399.96</v>
      </c>
      <c r="E32" s="204">
        <v>488.89</v>
      </c>
      <c r="F32" s="147">
        <v>634.95000000000005</v>
      </c>
      <c r="G32" s="499">
        <v>2.4691358024691246E-2</v>
      </c>
    </row>
    <row r="33" spans="1:7" ht="18" customHeight="1" thickBot="1">
      <c r="A33" s="251">
        <v>2000</v>
      </c>
      <c r="B33" s="147">
        <v>688.04</v>
      </c>
      <c r="C33" s="204">
        <v>651.1</v>
      </c>
      <c r="D33" s="147">
        <v>361.07</v>
      </c>
      <c r="E33" s="204">
        <v>506.21</v>
      </c>
      <c r="F33" s="147">
        <v>669.86</v>
      </c>
      <c r="G33" s="499">
        <v>5.4980707142294749E-2</v>
      </c>
    </row>
    <row r="34" spans="1:7" ht="18" customHeight="1" thickBot="1">
      <c r="A34" s="251">
        <v>2001</v>
      </c>
      <c r="B34" s="147">
        <v>722.7</v>
      </c>
      <c r="C34" s="204">
        <v>674.86</v>
      </c>
      <c r="D34" s="147">
        <v>494.25</v>
      </c>
      <c r="E34" s="204">
        <v>533.4</v>
      </c>
      <c r="F34" s="147">
        <v>702.31</v>
      </c>
      <c r="G34" s="499">
        <v>4.8442958230077826E-2</v>
      </c>
    </row>
    <row r="35" spans="1:7" ht="18" customHeight="1" thickBot="1">
      <c r="A35" s="251">
        <v>2002</v>
      </c>
      <c r="B35" s="147">
        <v>735.79</v>
      </c>
      <c r="C35" s="204">
        <v>674.88</v>
      </c>
      <c r="D35" s="147">
        <v>456.36</v>
      </c>
      <c r="E35" s="204">
        <v>568.99</v>
      </c>
      <c r="F35" s="147">
        <v>715.59</v>
      </c>
      <c r="G35" s="499">
        <v>1.8909028776466164E-2</v>
      </c>
    </row>
    <row r="36" spans="1:7" ht="18" customHeight="1" thickBot="1">
      <c r="A36" s="251">
        <v>2003</v>
      </c>
      <c r="B36" s="147">
        <v>769.07</v>
      </c>
      <c r="C36" s="204">
        <v>671.1</v>
      </c>
      <c r="D36" s="147">
        <v>485.31</v>
      </c>
      <c r="E36" s="204">
        <v>575.24</v>
      </c>
      <c r="F36" s="147">
        <v>741.79</v>
      </c>
      <c r="G36" s="499">
        <v>3.6613144398328634E-2</v>
      </c>
    </row>
    <row r="37" spans="1:7" ht="18" customHeight="1" thickBot="1">
      <c r="A37" s="251">
        <v>2004</v>
      </c>
      <c r="B37" s="147">
        <v>816.02</v>
      </c>
      <c r="C37" s="204">
        <v>674.78</v>
      </c>
      <c r="D37" s="147">
        <v>457.35</v>
      </c>
      <c r="E37" s="204">
        <v>615.66999999999996</v>
      </c>
      <c r="F37" s="147">
        <v>782.37</v>
      </c>
      <c r="G37" s="499">
        <v>5.4705509645587069E-2</v>
      </c>
    </row>
    <row r="38" spans="1:7" ht="18" customHeight="1" thickBot="1">
      <c r="A38" s="251">
        <v>2005</v>
      </c>
      <c r="B38" s="147">
        <v>890.43</v>
      </c>
      <c r="C38" s="204">
        <v>685.95</v>
      </c>
      <c r="D38" s="147">
        <v>446.23</v>
      </c>
      <c r="E38" s="204">
        <v>640.28</v>
      </c>
      <c r="F38" s="147">
        <v>842.26</v>
      </c>
      <c r="G38" s="499">
        <v>7.6549458696013373E-2</v>
      </c>
    </row>
    <row r="39" spans="1:7" ht="18" customHeight="1" thickBot="1">
      <c r="A39" s="848">
        <v>2006</v>
      </c>
      <c r="B39" s="277">
        <v>913.37</v>
      </c>
      <c r="C39" s="645">
        <v>675.59</v>
      </c>
      <c r="D39" s="277">
        <v>447.15</v>
      </c>
      <c r="E39" s="645">
        <v>652.70000000000005</v>
      </c>
      <c r="F39" s="277">
        <v>852.62</v>
      </c>
      <c r="G39" s="610">
        <v>1.2300239830931092E-2</v>
      </c>
    </row>
    <row r="40" spans="1:7">
      <c r="A40" s="136"/>
      <c r="G40" s="415"/>
    </row>
    <row r="41" spans="1:7">
      <c r="G41" s="415"/>
    </row>
    <row r="42" spans="1:7" ht="18" customHeight="1">
      <c r="A42" s="328" t="s">
        <v>1380</v>
      </c>
      <c r="B42" s="114" t="s">
        <v>741</v>
      </c>
      <c r="C42" s="115" t="s">
        <v>742</v>
      </c>
      <c r="D42" s="114" t="s">
        <v>743</v>
      </c>
      <c r="E42" s="115" t="s">
        <v>744</v>
      </c>
      <c r="F42" s="114" t="s">
        <v>1951</v>
      </c>
      <c r="G42" s="394" t="s">
        <v>45</v>
      </c>
    </row>
    <row r="43" spans="1:7" ht="18" customHeight="1">
      <c r="A43" s="847" t="s">
        <v>48</v>
      </c>
      <c r="B43" s="117" t="s">
        <v>745</v>
      </c>
      <c r="C43" s="118" t="s">
        <v>746</v>
      </c>
      <c r="D43" s="117" t="s">
        <v>747</v>
      </c>
      <c r="E43" s="180" t="s">
        <v>748</v>
      </c>
      <c r="F43" s="117"/>
      <c r="G43" s="494" t="s">
        <v>46</v>
      </c>
    </row>
    <row r="44" spans="1:7" ht="18" customHeight="1">
      <c r="A44" s="248"/>
      <c r="B44" s="117" t="s">
        <v>749</v>
      </c>
      <c r="C44" s="118" t="s">
        <v>750</v>
      </c>
      <c r="D44" s="117" t="s">
        <v>751</v>
      </c>
      <c r="E44" s="180" t="s">
        <v>752</v>
      </c>
      <c r="F44" s="117"/>
      <c r="G44" s="494" t="s">
        <v>50</v>
      </c>
    </row>
    <row r="45" spans="1:7" ht="18" customHeight="1">
      <c r="A45" s="249" t="s">
        <v>758</v>
      </c>
      <c r="B45" s="123"/>
      <c r="C45" s="122"/>
      <c r="D45" s="123"/>
      <c r="E45" s="183" t="s">
        <v>753</v>
      </c>
      <c r="F45" s="123"/>
      <c r="G45" s="395"/>
    </row>
    <row r="46" spans="1:7" ht="18" customHeight="1" thickBot="1">
      <c r="A46" s="250">
        <v>1996</v>
      </c>
      <c r="B46" s="145" t="s">
        <v>1412</v>
      </c>
      <c r="C46" s="198" t="s">
        <v>1412</v>
      </c>
      <c r="D46" s="145" t="s">
        <v>1412</v>
      </c>
      <c r="E46" s="198" t="s">
        <v>1412</v>
      </c>
      <c r="F46" s="145" t="s">
        <v>1412</v>
      </c>
      <c r="G46" s="421" t="s">
        <v>1412</v>
      </c>
    </row>
    <row r="47" spans="1:7" ht="18" customHeight="1" thickBot="1">
      <c r="A47" s="251">
        <v>1997</v>
      </c>
      <c r="B47" s="147">
        <v>997.56</v>
      </c>
      <c r="C47" s="204">
        <v>764.51</v>
      </c>
      <c r="D47" s="147" t="s">
        <v>1412</v>
      </c>
      <c r="E47" s="204">
        <v>526.83000000000004</v>
      </c>
      <c r="F47" s="147">
        <v>891.7</v>
      </c>
      <c r="G47" s="499" t="s">
        <v>1412</v>
      </c>
    </row>
    <row r="48" spans="1:7" ht="18" customHeight="1" thickBot="1">
      <c r="A48" s="251">
        <v>1998</v>
      </c>
      <c r="B48" s="147">
        <v>1081</v>
      </c>
      <c r="C48" s="204">
        <v>834.49</v>
      </c>
      <c r="D48" s="147">
        <v>588.84</v>
      </c>
      <c r="E48" s="204">
        <v>612.65</v>
      </c>
      <c r="F48" s="147">
        <v>941.32</v>
      </c>
      <c r="G48" s="499">
        <v>5.564651788718189E-2</v>
      </c>
    </row>
    <row r="49" spans="1:7" ht="18" customHeight="1" thickBot="1">
      <c r="A49" s="251">
        <v>1999</v>
      </c>
      <c r="B49" s="147">
        <v>1070.72</v>
      </c>
      <c r="C49" s="204">
        <v>900.58</v>
      </c>
      <c r="D49" s="147">
        <v>625.08000000000004</v>
      </c>
      <c r="E49" s="204">
        <v>680.45</v>
      </c>
      <c r="F49" s="147">
        <v>971.45</v>
      </c>
      <c r="G49" s="499">
        <v>3.200824374282929E-2</v>
      </c>
    </row>
    <row r="50" spans="1:7" ht="18" customHeight="1" thickBot="1">
      <c r="A50" s="251">
        <v>2000</v>
      </c>
      <c r="B50" s="147">
        <v>1138.03</v>
      </c>
      <c r="C50" s="204">
        <v>947.86</v>
      </c>
      <c r="D50" s="147">
        <v>615.48</v>
      </c>
      <c r="E50" s="204">
        <v>742.68</v>
      </c>
      <c r="F50" s="147">
        <v>1028.6199999999999</v>
      </c>
      <c r="G50" s="499">
        <v>5.885017242266688E-2</v>
      </c>
    </row>
    <row r="51" spans="1:7" ht="18" customHeight="1" thickBot="1">
      <c r="A51" s="251">
        <v>2001</v>
      </c>
      <c r="B51" s="147">
        <v>1215.9000000000001</v>
      </c>
      <c r="C51" s="204">
        <v>948.16</v>
      </c>
      <c r="D51" s="147" t="s">
        <v>1412</v>
      </c>
      <c r="E51" s="204">
        <v>787.11</v>
      </c>
      <c r="F51" s="147">
        <v>1072.96</v>
      </c>
      <c r="G51" s="499">
        <v>4.3106297758161549E-2</v>
      </c>
    </row>
    <row r="52" spans="1:7" ht="18" customHeight="1" thickBot="1">
      <c r="A52" s="251">
        <v>2002</v>
      </c>
      <c r="B52" s="147">
        <v>1292.98</v>
      </c>
      <c r="C52" s="204">
        <v>920.85</v>
      </c>
      <c r="D52" s="147" t="s">
        <v>1412</v>
      </c>
      <c r="E52" s="204">
        <v>821.58</v>
      </c>
      <c r="F52" s="147">
        <v>1090.74</v>
      </c>
      <c r="G52" s="499">
        <v>1.6570981210855873E-2</v>
      </c>
    </row>
    <row r="53" spans="1:7" ht="18" customHeight="1" thickBot="1">
      <c r="A53" s="251">
        <v>2003</v>
      </c>
      <c r="B53" s="147">
        <v>1392.25</v>
      </c>
      <c r="C53" s="204">
        <v>911.16</v>
      </c>
      <c r="D53" s="147" t="s">
        <v>1412</v>
      </c>
      <c r="E53" s="204">
        <v>816.06</v>
      </c>
      <c r="F53" s="147">
        <v>1120.92</v>
      </c>
      <c r="G53" s="499">
        <v>2.7669288739754716E-2</v>
      </c>
    </row>
    <row r="54" spans="1:7" ht="18" customHeight="1" thickBot="1">
      <c r="A54" s="251">
        <v>2004</v>
      </c>
      <c r="B54" s="147">
        <v>1448.83</v>
      </c>
      <c r="C54" s="204">
        <v>940.01</v>
      </c>
      <c r="D54" s="147" t="s">
        <v>1412</v>
      </c>
      <c r="E54" s="204">
        <v>863.65</v>
      </c>
      <c r="F54" s="147">
        <v>1166.3800000000001</v>
      </c>
      <c r="G54" s="499">
        <v>4.0555971880241071E-2</v>
      </c>
    </row>
    <row r="55" spans="1:7" ht="18" customHeight="1" thickBot="1">
      <c r="A55" s="251">
        <v>2005</v>
      </c>
      <c r="B55" s="147">
        <v>1561.56</v>
      </c>
      <c r="C55" s="204">
        <v>904.06</v>
      </c>
      <c r="D55" s="147">
        <v>899.82</v>
      </c>
      <c r="E55" s="204">
        <v>834.89</v>
      </c>
      <c r="F55" s="147">
        <v>1192.9100000000001</v>
      </c>
      <c r="G55" s="499">
        <v>2.2745588916133874E-2</v>
      </c>
    </row>
    <row r="56" spans="1:7" ht="18" customHeight="1" thickBot="1">
      <c r="A56" s="848">
        <v>2006</v>
      </c>
      <c r="B56" s="277">
        <v>1587.52</v>
      </c>
      <c r="C56" s="645">
        <v>866.61</v>
      </c>
      <c r="D56" s="277">
        <v>655.05999999999995</v>
      </c>
      <c r="E56" s="645">
        <v>840.57</v>
      </c>
      <c r="F56" s="277">
        <v>1171.6600000000001</v>
      </c>
      <c r="G56" s="610">
        <v>-1.7813581913136978E-2</v>
      </c>
    </row>
    <row r="57" spans="1:7">
      <c r="D57" s="4"/>
      <c r="E57" s="4"/>
      <c r="F57" s="4"/>
      <c r="G57" s="415"/>
    </row>
    <row r="58" spans="1:7">
      <c r="D58" s="4"/>
      <c r="E58" s="4"/>
      <c r="F58" s="4"/>
      <c r="G58" s="415"/>
    </row>
    <row r="59" spans="1:7" ht="18.75" customHeight="1">
      <c r="A59" s="328" t="s">
        <v>2350</v>
      </c>
      <c r="B59" s="114" t="s">
        <v>741</v>
      </c>
      <c r="C59" s="115" t="s">
        <v>742</v>
      </c>
      <c r="D59" s="114" t="s">
        <v>743</v>
      </c>
      <c r="E59" s="115" t="s">
        <v>744</v>
      </c>
      <c r="F59" s="114" t="s">
        <v>1951</v>
      </c>
      <c r="G59" s="394" t="s">
        <v>45</v>
      </c>
    </row>
    <row r="60" spans="1:7" ht="18.75" customHeight="1">
      <c r="A60" s="847" t="s">
        <v>2351</v>
      </c>
      <c r="B60" s="117" t="s">
        <v>745</v>
      </c>
      <c r="C60" s="118" t="s">
        <v>746</v>
      </c>
      <c r="D60" s="117" t="s">
        <v>747</v>
      </c>
      <c r="E60" s="180" t="s">
        <v>748</v>
      </c>
      <c r="F60" s="117"/>
      <c r="G60" s="494" t="s">
        <v>46</v>
      </c>
    </row>
    <row r="61" spans="1:7" ht="18.75" customHeight="1">
      <c r="A61" s="248"/>
      <c r="B61" s="117" t="s">
        <v>749</v>
      </c>
      <c r="C61" s="118" t="s">
        <v>750</v>
      </c>
      <c r="D61" s="117" t="s">
        <v>751</v>
      </c>
      <c r="E61" s="180" t="s">
        <v>752</v>
      </c>
      <c r="F61" s="117"/>
      <c r="G61" s="494" t="s">
        <v>50</v>
      </c>
    </row>
    <row r="62" spans="1:7" ht="18.75" customHeight="1">
      <c r="A62" s="249" t="s">
        <v>758</v>
      </c>
      <c r="B62" s="123"/>
      <c r="C62" s="122"/>
      <c r="D62" s="123"/>
      <c r="E62" s="183" t="s">
        <v>753</v>
      </c>
      <c r="F62" s="123"/>
      <c r="G62" s="395"/>
    </row>
    <row r="63" spans="1:7" ht="18.75" customHeight="1" thickBot="1">
      <c r="A63" s="250">
        <v>1996</v>
      </c>
      <c r="B63" s="145" t="s">
        <v>1412</v>
      </c>
      <c r="C63" s="198" t="s">
        <v>1412</v>
      </c>
      <c r="D63" s="145" t="s">
        <v>1412</v>
      </c>
      <c r="E63" s="198" t="s">
        <v>1412</v>
      </c>
      <c r="F63" s="145" t="s">
        <v>1412</v>
      </c>
      <c r="G63" s="421" t="s">
        <v>1412</v>
      </c>
    </row>
    <row r="64" spans="1:7" ht="18.75" customHeight="1" thickBot="1">
      <c r="A64" s="251">
        <v>1997</v>
      </c>
      <c r="B64" s="147">
        <v>2863.7</v>
      </c>
      <c r="C64" s="204">
        <v>1824.46</v>
      </c>
      <c r="D64" s="147" t="s">
        <v>1412</v>
      </c>
      <c r="E64" s="204">
        <v>1189.1400000000001</v>
      </c>
      <c r="F64" s="147">
        <v>2289.58</v>
      </c>
      <c r="G64" s="499" t="s">
        <v>1412</v>
      </c>
    </row>
    <row r="65" spans="1:7" ht="18.75" customHeight="1" thickBot="1">
      <c r="A65" s="251">
        <v>1998</v>
      </c>
      <c r="B65" s="147">
        <v>2957.09</v>
      </c>
      <c r="C65" s="204">
        <v>2082.79</v>
      </c>
      <c r="D65" s="147">
        <v>696.67</v>
      </c>
      <c r="E65" s="204">
        <v>1575.21</v>
      </c>
      <c r="F65" s="147">
        <v>2462.12</v>
      </c>
      <c r="G65" s="499">
        <v>7.5358799430463197E-2</v>
      </c>
    </row>
    <row r="66" spans="1:7" ht="18.75" customHeight="1" thickBot="1">
      <c r="A66" s="251">
        <v>1999</v>
      </c>
      <c r="B66" s="147">
        <v>3163.19</v>
      </c>
      <c r="C66" s="204">
        <v>2089.84</v>
      </c>
      <c r="D66" s="147">
        <v>756.23</v>
      </c>
      <c r="E66" s="204">
        <v>1768.3</v>
      </c>
      <c r="F66" s="147">
        <v>2570.02</v>
      </c>
      <c r="G66" s="499">
        <v>4.382402157490306E-2</v>
      </c>
    </row>
    <row r="67" spans="1:7" ht="18.75" customHeight="1" thickBot="1">
      <c r="A67" s="251">
        <v>2000</v>
      </c>
      <c r="B67" s="147">
        <v>3444.92</v>
      </c>
      <c r="C67" s="204">
        <v>2223.37</v>
      </c>
      <c r="D67" s="147">
        <v>681.2</v>
      </c>
      <c r="E67" s="204">
        <v>1913.06</v>
      </c>
      <c r="F67" s="147">
        <v>2753.78</v>
      </c>
      <c r="G67" s="499">
        <v>7.1501389094248191E-2</v>
      </c>
    </row>
    <row r="68" spans="1:7" ht="18.75" customHeight="1" thickBot="1">
      <c r="A68" s="251">
        <v>2001</v>
      </c>
      <c r="B68" s="147">
        <v>3702.88</v>
      </c>
      <c r="C68" s="204">
        <v>2297.41</v>
      </c>
      <c r="D68" s="147">
        <v>875.75</v>
      </c>
      <c r="E68" s="204">
        <v>1996.67</v>
      </c>
      <c r="F68" s="147">
        <v>2898.13</v>
      </c>
      <c r="G68" s="499">
        <v>5.2418856989301821E-2</v>
      </c>
    </row>
    <row r="69" spans="1:7" ht="18.75" customHeight="1" thickBot="1">
      <c r="A69" s="251">
        <v>2002</v>
      </c>
      <c r="B69" s="147">
        <v>3932.43</v>
      </c>
      <c r="C69" s="204">
        <v>2322.62</v>
      </c>
      <c r="D69" s="147">
        <v>907.71</v>
      </c>
      <c r="E69" s="204">
        <v>2059.2199999999998</v>
      </c>
      <c r="F69" s="147">
        <v>2994.63</v>
      </c>
      <c r="G69" s="499">
        <v>3.3297333107900728E-2</v>
      </c>
    </row>
    <row r="70" spans="1:7" ht="18.75" customHeight="1" thickBot="1">
      <c r="A70" s="251">
        <v>2003</v>
      </c>
      <c r="B70" s="147">
        <v>4284.59</v>
      </c>
      <c r="C70" s="204">
        <v>2358.33</v>
      </c>
      <c r="D70" s="147">
        <v>997.68</v>
      </c>
      <c r="E70" s="204">
        <v>1931.51</v>
      </c>
      <c r="F70" s="147">
        <v>3118.37</v>
      </c>
      <c r="G70" s="499">
        <v>4.1320630595432339E-2</v>
      </c>
    </row>
    <row r="71" spans="1:7" ht="18.75" customHeight="1" thickBot="1">
      <c r="A71" s="251">
        <v>2004</v>
      </c>
      <c r="B71" s="147">
        <v>4496.54</v>
      </c>
      <c r="C71" s="204">
        <v>2484.79</v>
      </c>
      <c r="D71" s="147">
        <v>1160.92</v>
      </c>
      <c r="E71" s="204">
        <v>2082.36</v>
      </c>
      <c r="F71" s="147">
        <v>3296.18</v>
      </c>
      <c r="G71" s="499">
        <v>5.7020174001160884E-2</v>
      </c>
    </row>
    <row r="72" spans="1:7" ht="18.75" customHeight="1" thickBot="1">
      <c r="A72" s="251">
        <v>2005</v>
      </c>
      <c r="B72" s="147">
        <v>4862.6099999999997</v>
      </c>
      <c r="C72" s="204">
        <v>2462.3200000000002</v>
      </c>
      <c r="D72" s="147">
        <v>1216.48</v>
      </c>
      <c r="E72" s="204">
        <v>2150.5300000000002</v>
      </c>
      <c r="F72" s="147">
        <v>3456.92</v>
      </c>
      <c r="G72" s="499">
        <v>4.8765540716829703E-2</v>
      </c>
    </row>
    <row r="73" spans="1:7" ht="18.75" customHeight="1" thickBot="1">
      <c r="A73" s="848">
        <v>2006</v>
      </c>
      <c r="B73" s="277">
        <v>5097.99</v>
      </c>
      <c r="C73" s="645">
        <v>2424.85</v>
      </c>
      <c r="D73" s="277">
        <v>1271.73</v>
      </c>
      <c r="E73" s="645">
        <v>2186.3000000000002</v>
      </c>
      <c r="F73" s="277">
        <v>3483.89</v>
      </c>
      <c r="G73" s="610">
        <v>7.8017425916712124E-3</v>
      </c>
    </row>
    <row r="74" spans="1:7" ht="15" customHeight="1">
      <c r="A74" s="660" t="s">
        <v>1245</v>
      </c>
    </row>
    <row r="76" spans="1:7">
      <c r="A76" s="3" t="s">
        <v>2373</v>
      </c>
    </row>
    <row r="78" spans="1:7">
      <c r="A78" s="2" t="s">
        <v>2374</v>
      </c>
    </row>
    <row r="81" spans="1:1">
      <c r="A81" s="2" t="s">
        <v>1955</v>
      </c>
    </row>
  </sheetData>
  <mergeCells count="1">
    <mergeCell ref="A2:F2"/>
  </mergeCells>
  <phoneticPr fontId="0" type="noConversion"/>
  <pageMargins left="0.55118110236220474" right="0.39370078740157483" top="0.47244094488188981" bottom="0.33" header="0.27559055118110237" footer="0.21"/>
  <pageSetup paperSize="9" scale="56" orientation="portrait" horizontalDpi="1200" verticalDpi="12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D98F-2178-CC4B-A609-68284B88205E}">
  <sheetPr>
    <pageSetUpPr fitToPage="1"/>
  </sheetPr>
  <dimension ref="A1:V56"/>
  <sheetViews>
    <sheetView zoomScale="75" workbookViewId="0">
      <selection activeCell="A21" sqref="A21"/>
    </sheetView>
  </sheetViews>
  <sheetFormatPr baseColWidth="10" defaultColWidth="11.3984375" defaultRowHeight="13"/>
  <cols>
    <col min="1" max="1" width="11.796875" style="2" customWidth="1"/>
    <col min="2" max="2" width="17" style="2" customWidth="1"/>
    <col min="3" max="3" width="13" style="446" customWidth="1"/>
    <col min="4" max="4" width="13" style="2" customWidth="1"/>
    <col min="5" max="5" width="14" style="446" customWidth="1"/>
    <col min="6" max="6" width="13" style="2" customWidth="1"/>
    <col min="7" max="7" width="13" style="446" customWidth="1"/>
    <col min="8" max="8" width="13" style="2" customWidth="1"/>
    <col min="9" max="9" width="15.3984375" style="2" customWidth="1"/>
    <col min="10" max="12" width="13" style="2" customWidth="1"/>
    <col min="13" max="13" width="14.19921875" style="2" customWidth="1"/>
    <col min="14" max="14" width="13" style="2" customWidth="1"/>
    <col min="15" max="15" width="14.796875" style="2" customWidth="1"/>
    <col min="16" max="16" width="13" style="2" customWidth="1"/>
    <col min="17" max="16384" width="11.3984375" style="2"/>
  </cols>
  <sheetData>
    <row r="1" spans="1:22" s="1" customFormat="1" ht="14" customHeight="1">
      <c r="A1" s="718"/>
      <c r="B1" s="718"/>
      <c r="C1" s="746"/>
      <c r="D1" s="718"/>
      <c r="E1" s="746"/>
      <c r="F1" s="718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</row>
    <row r="2" spans="1:22" s="1" customFormat="1" ht="28" customHeight="1">
      <c r="A2" s="112" t="s">
        <v>160</v>
      </c>
      <c r="B2" s="718"/>
      <c r="C2" s="746"/>
      <c r="D2" s="718"/>
      <c r="E2" s="746"/>
      <c r="F2" s="718"/>
      <c r="G2" s="746"/>
      <c r="N2" s="748">
        <v>2006</v>
      </c>
    </row>
    <row r="3" spans="1:22" ht="24" customHeight="1">
      <c r="A3" s="113" t="s">
        <v>183</v>
      </c>
      <c r="B3" s="427" t="s">
        <v>161</v>
      </c>
      <c r="C3" s="115" t="s">
        <v>45</v>
      </c>
      <c r="D3" s="114"/>
      <c r="E3" s="428"/>
      <c r="F3" s="114"/>
      <c r="G3" s="428"/>
      <c r="H3" s="114"/>
      <c r="I3" s="428"/>
      <c r="J3" s="114"/>
      <c r="K3" s="428"/>
      <c r="L3" s="114"/>
      <c r="M3" s="428"/>
      <c r="N3" s="114"/>
      <c r="O3"/>
    </row>
    <row r="4" spans="1:22" ht="17.25" customHeight="1">
      <c r="A4" s="248"/>
      <c r="B4" s="493" t="s">
        <v>184</v>
      </c>
      <c r="C4" s="118" t="s">
        <v>46</v>
      </c>
      <c r="D4" s="749" t="s">
        <v>920</v>
      </c>
      <c r="E4" s="750" t="s">
        <v>920</v>
      </c>
      <c r="F4" s="749" t="s">
        <v>920</v>
      </c>
      <c r="G4" s="750" t="s">
        <v>920</v>
      </c>
      <c r="H4" s="749" t="s">
        <v>920</v>
      </c>
      <c r="I4" s="750" t="s">
        <v>920</v>
      </c>
      <c r="J4" s="749" t="s">
        <v>920</v>
      </c>
      <c r="K4" s="750" t="s">
        <v>920</v>
      </c>
      <c r="L4" s="749" t="s">
        <v>920</v>
      </c>
      <c r="M4" s="750" t="s">
        <v>920</v>
      </c>
      <c r="N4" s="749" t="s">
        <v>920</v>
      </c>
      <c r="O4"/>
    </row>
    <row r="5" spans="1:22" ht="15" customHeight="1">
      <c r="A5" s="248"/>
      <c r="B5" s="117"/>
      <c r="C5" s="118" t="s">
        <v>50</v>
      </c>
      <c r="D5" s="749" t="s">
        <v>162</v>
      </c>
      <c r="E5" s="750" t="s">
        <v>163</v>
      </c>
      <c r="F5" s="749" t="s">
        <v>164</v>
      </c>
      <c r="G5" s="750" t="s">
        <v>164</v>
      </c>
      <c r="H5" s="749" t="s">
        <v>2212</v>
      </c>
      <c r="I5" s="750" t="s">
        <v>2213</v>
      </c>
      <c r="J5" s="749" t="s">
        <v>2214</v>
      </c>
      <c r="K5" s="750" t="s">
        <v>2215</v>
      </c>
      <c r="L5" s="749" t="s">
        <v>165</v>
      </c>
      <c r="M5" s="750" t="s">
        <v>166</v>
      </c>
      <c r="N5" s="749" t="s">
        <v>167</v>
      </c>
      <c r="O5"/>
    </row>
    <row r="6" spans="1:22" s="3" customFormat="1" ht="19.5" customHeight="1">
      <c r="A6" s="751"/>
      <c r="B6" s="366"/>
      <c r="C6" s="752"/>
      <c r="D6" s="753" t="s">
        <v>168</v>
      </c>
      <c r="E6" s="754" t="s">
        <v>168</v>
      </c>
      <c r="F6" s="753" t="s">
        <v>169</v>
      </c>
      <c r="G6" s="754" t="s">
        <v>170</v>
      </c>
      <c r="H6" s="753"/>
      <c r="I6" s="754"/>
      <c r="J6" s="753"/>
      <c r="K6" s="754"/>
      <c r="L6" s="753" t="s">
        <v>171</v>
      </c>
      <c r="M6" s="754" t="s">
        <v>172</v>
      </c>
      <c r="N6" s="753" t="s">
        <v>173</v>
      </c>
      <c r="O6"/>
    </row>
    <row r="7" spans="1:22" ht="19.5" customHeight="1">
      <c r="A7" s="249"/>
      <c r="B7" s="123"/>
      <c r="C7" s="430"/>
      <c r="D7" s="366"/>
      <c r="E7" s="752"/>
      <c r="F7" s="366"/>
      <c r="G7" s="752"/>
      <c r="H7" s="366"/>
      <c r="I7" s="752"/>
      <c r="J7" s="366"/>
      <c r="K7" s="430"/>
      <c r="L7" s="366"/>
      <c r="M7" s="752"/>
      <c r="N7" s="366"/>
      <c r="O7"/>
    </row>
    <row r="8" spans="1:22" ht="20" customHeight="1" thickBot="1">
      <c r="A8" s="250">
        <v>1996</v>
      </c>
      <c r="B8" s="145">
        <v>8214.622179967444</v>
      </c>
      <c r="C8" s="146">
        <v>0.11122052660984157</v>
      </c>
      <c r="D8" s="270" t="s">
        <v>1412</v>
      </c>
      <c r="E8" s="271" t="s">
        <v>1412</v>
      </c>
      <c r="F8" s="270" t="s">
        <v>1412</v>
      </c>
      <c r="G8" s="271" t="s">
        <v>1412</v>
      </c>
      <c r="H8" s="270" t="s">
        <v>1412</v>
      </c>
      <c r="I8" s="271" t="s">
        <v>1412</v>
      </c>
      <c r="J8" s="270" t="s">
        <v>1412</v>
      </c>
      <c r="K8" s="198">
        <v>56.88</v>
      </c>
      <c r="L8" s="270" t="s">
        <v>1412</v>
      </c>
      <c r="M8" s="271" t="s">
        <v>1412</v>
      </c>
      <c r="N8" s="270" t="s">
        <v>1412</v>
      </c>
      <c r="O8"/>
    </row>
    <row r="9" spans="1:22" ht="20" customHeight="1" thickBot="1">
      <c r="A9" s="251">
        <v>1997</v>
      </c>
      <c r="B9" s="147">
        <v>8735.6547899365542</v>
      </c>
      <c r="C9" s="148">
        <v>6.3427458811158022E-2</v>
      </c>
      <c r="D9" s="270" t="s">
        <v>1412</v>
      </c>
      <c r="E9" s="271" t="s">
        <v>1412</v>
      </c>
      <c r="F9" s="270" t="s">
        <v>1412</v>
      </c>
      <c r="G9" s="271" t="s">
        <v>1412</v>
      </c>
      <c r="H9" s="270" t="s">
        <v>1412</v>
      </c>
      <c r="I9" s="271" t="s">
        <v>1412</v>
      </c>
      <c r="J9" s="270" t="s">
        <v>1412</v>
      </c>
      <c r="K9" s="204">
        <v>56.26</v>
      </c>
      <c r="L9" s="270" t="s">
        <v>1412</v>
      </c>
      <c r="M9" s="271" t="s">
        <v>1412</v>
      </c>
      <c r="N9" s="270" t="s">
        <v>1412</v>
      </c>
      <c r="O9"/>
      <c r="T9" s="9"/>
      <c r="U9" s="9"/>
      <c r="V9" s="9"/>
    </row>
    <row r="10" spans="1:22" ht="20" customHeight="1" thickBot="1">
      <c r="A10" s="251">
        <v>1998</v>
      </c>
      <c r="B10" s="147">
        <v>9332.6868080000004</v>
      </c>
      <c r="C10" s="148">
        <v>6.8344277838362513E-2</v>
      </c>
      <c r="D10" s="147">
        <v>3748.16</v>
      </c>
      <c r="E10" s="204">
        <v>1302.8</v>
      </c>
      <c r="F10" s="147">
        <v>933.79</v>
      </c>
      <c r="G10" s="204">
        <v>1787.54</v>
      </c>
      <c r="H10" s="147">
        <v>223.97</v>
      </c>
      <c r="I10" s="204">
        <v>417.71</v>
      </c>
      <c r="J10" s="147">
        <v>397.5</v>
      </c>
      <c r="K10" s="204">
        <v>56.3</v>
      </c>
      <c r="L10" s="147">
        <v>104.38</v>
      </c>
      <c r="M10" s="204">
        <v>87.2</v>
      </c>
      <c r="N10" s="147" t="s">
        <v>1412</v>
      </c>
      <c r="O10"/>
    </row>
    <row r="11" spans="1:22" ht="20" customHeight="1" thickBot="1">
      <c r="A11" s="251">
        <v>1999</v>
      </c>
      <c r="B11" s="147">
        <v>9826.7075550000009</v>
      </c>
      <c r="C11" s="148">
        <v>5.2934461121798788E-2</v>
      </c>
      <c r="D11" s="147">
        <v>3764.53</v>
      </c>
      <c r="E11" s="204">
        <v>1484.57</v>
      </c>
      <c r="F11" s="147">
        <v>1031.77</v>
      </c>
      <c r="G11" s="204">
        <v>1873.03</v>
      </c>
      <c r="H11" s="147">
        <v>235.27</v>
      </c>
      <c r="I11" s="204">
        <v>437.19</v>
      </c>
      <c r="J11" s="147">
        <v>413.87</v>
      </c>
      <c r="K11" s="204">
        <v>60.6</v>
      </c>
      <c r="L11" s="147">
        <v>125.04</v>
      </c>
      <c r="M11" s="204">
        <v>87.9</v>
      </c>
      <c r="N11" s="147" t="s">
        <v>1412</v>
      </c>
      <c r="O11"/>
    </row>
    <row r="12" spans="1:22" ht="20" customHeight="1" thickBot="1">
      <c r="A12" s="251">
        <v>2000</v>
      </c>
      <c r="B12" s="147">
        <v>10542.816855999999</v>
      </c>
      <c r="C12" s="148">
        <v>7.2873777609839388E-2</v>
      </c>
      <c r="D12" s="147">
        <v>3846.3722419999999</v>
      </c>
      <c r="E12" s="204">
        <v>1665.8885190000001</v>
      </c>
      <c r="F12" s="147">
        <v>1143.2080209999999</v>
      </c>
      <c r="G12" s="204">
        <v>2097.7667449999999</v>
      </c>
      <c r="H12" s="147">
        <v>253.12159500000001</v>
      </c>
      <c r="I12" s="204">
        <v>446.74208700000003</v>
      </c>
      <c r="J12" s="147">
        <v>442.743357</v>
      </c>
      <c r="K12" s="204">
        <v>62.290866000000001</v>
      </c>
      <c r="L12" s="147">
        <v>179.87060299999999</v>
      </c>
      <c r="M12" s="204">
        <v>114.545208</v>
      </c>
      <c r="N12" s="147" t="s">
        <v>1412</v>
      </c>
      <c r="O12"/>
    </row>
    <row r="13" spans="1:22" ht="20" customHeight="1" thickBot="1">
      <c r="A13" s="251">
        <v>2001</v>
      </c>
      <c r="B13" s="147">
        <v>11308.048632</v>
      </c>
      <c r="C13" s="148">
        <v>7.2583237141646939E-2</v>
      </c>
      <c r="D13" s="147">
        <v>4011.5563699999998</v>
      </c>
      <c r="E13" s="204">
        <v>1925.523136</v>
      </c>
      <c r="F13" s="147">
        <v>1271.4507229999999</v>
      </c>
      <c r="G13" s="204">
        <v>2242.439856</v>
      </c>
      <c r="H13" s="147">
        <v>270.321618</v>
      </c>
      <c r="I13" s="204">
        <v>480.12928299999999</v>
      </c>
      <c r="J13" s="147">
        <v>462.70975499999997</v>
      </c>
      <c r="K13" s="204">
        <v>65.236801</v>
      </c>
      <c r="L13" s="147">
        <v>173.02369200000001</v>
      </c>
      <c r="M13" s="204">
        <v>106.32983400000001</v>
      </c>
      <c r="N13" s="147">
        <v>20.166156999999998</v>
      </c>
      <c r="O13"/>
    </row>
    <row r="14" spans="1:22" ht="20" customHeight="1" thickBot="1">
      <c r="A14" s="251">
        <v>2002</v>
      </c>
      <c r="B14" s="147">
        <v>11864.756498999999</v>
      </c>
      <c r="C14" s="148">
        <v>4.9231117155315675E-2</v>
      </c>
      <c r="D14" s="147">
        <v>4108.8234659999998</v>
      </c>
      <c r="E14" s="204">
        <v>1972.059045</v>
      </c>
      <c r="F14" s="147">
        <v>1260.789229</v>
      </c>
      <c r="G14" s="204">
        <v>2524.68426</v>
      </c>
      <c r="H14" s="147">
        <v>290.06557500000002</v>
      </c>
      <c r="I14" s="204">
        <v>506.24601999999999</v>
      </c>
      <c r="J14" s="147">
        <v>485.55174599999998</v>
      </c>
      <c r="K14" s="204">
        <v>65.211265999999995</v>
      </c>
      <c r="L14" s="147">
        <v>202.87558799999999</v>
      </c>
      <c r="M14" s="204">
        <v>112.82700800000001</v>
      </c>
      <c r="N14" s="147">
        <v>22.283301000000002</v>
      </c>
      <c r="O14"/>
    </row>
    <row r="15" spans="1:22" ht="20" customHeight="1" thickBot="1">
      <c r="A15" s="251">
        <v>2003</v>
      </c>
      <c r="B15" s="147">
        <v>12287.171129999999</v>
      </c>
      <c r="C15" s="148">
        <v>3.560246946792394E-2</v>
      </c>
      <c r="D15" s="147">
        <v>4172.0328019999997</v>
      </c>
      <c r="E15" s="204">
        <v>2141.3752909999998</v>
      </c>
      <c r="F15" s="147">
        <v>1347.924618</v>
      </c>
      <c r="G15" s="204">
        <v>2602.0570160000002</v>
      </c>
      <c r="H15" s="147">
        <v>320.12044100000003</v>
      </c>
      <c r="I15" s="204">
        <v>491.37185499999998</v>
      </c>
      <c r="J15" s="147">
        <v>480.48790700000001</v>
      </c>
      <c r="K15" s="204">
        <v>65.007204000000002</v>
      </c>
      <c r="L15" s="147">
        <v>214.51952800000001</v>
      </c>
      <c r="M15" s="204">
        <v>112.746364</v>
      </c>
      <c r="N15" s="147">
        <v>30.331126999999999</v>
      </c>
      <c r="O15"/>
    </row>
    <row r="16" spans="1:22" ht="20" customHeight="1" thickBot="1">
      <c r="A16" s="251">
        <v>2004</v>
      </c>
      <c r="B16" s="147">
        <v>12930.941864000002</v>
      </c>
      <c r="C16" s="148">
        <v>5.2393730598265333E-2</v>
      </c>
      <c r="D16" s="147">
        <v>4377.7035830000004</v>
      </c>
      <c r="E16" s="204">
        <v>2192.3005199999998</v>
      </c>
      <c r="F16" s="147">
        <v>1398.7252390000001</v>
      </c>
      <c r="G16" s="204">
        <v>2750.1970510000001</v>
      </c>
      <c r="H16" s="147">
        <v>365.15373399999999</v>
      </c>
      <c r="I16" s="204">
        <v>505.40384999999998</v>
      </c>
      <c r="J16" s="147">
        <v>591.27084500000001</v>
      </c>
      <c r="K16" s="204">
        <v>68.244215999999994</v>
      </c>
      <c r="L16" s="147">
        <v>259.95297099999999</v>
      </c>
      <c r="M16" s="204">
        <v>79.496533999999997</v>
      </c>
      <c r="N16" s="147">
        <v>25.676613</v>
      </c>
      <c r="O16"/>
    </row>
    <row r="17" spans="1:17" ht="20" customHeight="1" thickBot="1">
      <c r="A17" s="251">
        <v>2005</v>
      </c>
      <c r="B17" s="147">
        <v>13896.515273999998</v>
      </c>
      <c r="C17" s="148">
        <v>7.467154520956984E-2</v>
      </c>
      <c r="D17" s="147">
        <v>4526.5123919999996</v>
      </c>
      <c r="E17" s="204">
        <v>2671.1515180000001</v>
      </c>
      <c r="F17" s="147">
        <v>1472.471274</v>
      </c>
      <c r="G17" s="204">
        <v>2820.8304370000001</v>
      </c>
      <c r="H17" s="147">
        <v>388.382814</v>
      </c>
      <c r="I17" s="204">
        <v>531.73997799999995</v>
      </c>
      <c r="J17" s="147">
        <v>664.98868300000004</v>
      </c>
      <c r="K17" s="204">
        <v>69.204526000000001</v>
      </c>
      <c r="L17" s="147">
        <v>297.96774900000003</v>
      </c>
      <c r="M17" s="204">
        <v>52.688243999999997</v>
      </c>
      <c r="N17" s="147">
        <v>24.155256000000001</v>
      </c>
      <c r="O17"/>
    </row>
    <row r="18" spans="1:17" s="188" customFormat="1" ht="30" customHeight="1" thickBot="1">
      <c r="A18" s="508">
        <v>2006</v>
      </c>
      <c r="B18" s="149">
        <v>14030.772541999999</v>
      </c>
      <c r="C18" s="150">
        <v>9.6612183236464248E-3</v>
      </c>
      <c r="D18" s="149">
        <v>4631.4300709999998</v>
      </c>
      <c r="E18" s="205">
        <v>2644.9903220000001</v>
      </c>
      <c r="F18" s="149">
        <v>1472.366248</v>
      </c>
      <c r="G18" s="205">
        <v>2826.9170079999999</v>
      </c>
      <c r="H18" s="149">
        <v>416.81203599999998</v>
      </c>
      <c r="I18" s="205">
        <v>539.40939700000001</v>
      </c>
      <c r="J18" s="149">
        <v>625.59989599999994</v>
      </c>
      <c r="K18" s="205">
        <v>68.417607000000004</v>
      </c>
      <c r="L18" s="149">
        <v>336.37458700000002</v>
      </c>
      <c r="M18" s="205">
        <v>61.767296000000002</v>
      </c>
      <c r="N18" s="149">
        <v>11.768563</v>
      </c>
      <c r="O18"/>
      <c r="P18" s="755"/>
      <c r="Q18" s="756"/>
    </row>
    <row r="19" spans="1:17" ht="17.25" customHeight="1" thickBot="1">
      <c r="A19" s="207"/>
      <c r="B19" s="757"/>
      <c r="C19" s="758"/>
      <c r="D19" s="757"/>
      <c r="E19" s="758"/>
      <c r="F19" s="757"/>
      <c r="G19" s="758"/>
      <c r="P19" s="4"/>
      <c r="Q19" s="4"/>
    </row>
    <row r="20" spans="1:17" s="390" customFormat="1" ht="51" customHeight="1" thickBot="1">
      <c r="A20" s="759" t="s">
        <v>174</v>
      </c>
      <c r="B20" s="646">
        <v>5.228737898983038E-2</v>
      </c>
      <c r="C20" s="760" t="s">
        <v>1412</v>
      </c>
      <c r="D20" s="646">
        <v>2.6802987737651884E-2</v>
      </c>
      <c r="E20" s="760">
        <v>9.2554957956512807E-2</v>
      </c>
      <c r="F20" s="646">
        <v>5.8573040585565783E-2</v>
      </c>
      <c r="G20" s="760">
        <v>5.8966352855115645E-2</v>
      </c>
      <c r="H20" s="646">
        <v>8.0733963996715952E-2</v>
      </c>
      <c r="I20" s="760">
        <v>3.247716304255821E-2</v>
      </c>
      <c r="J20" s="646">
        <v>5.8327160553896418E-2</v>
      </c>
      <c r="K20" s="760">
        <v>2.4666258984202827E-2</v>
      </c>
      <c r="L20" s="646">
        <v>0.1575126224918284</v>
      </c>
      <c r="M20" s="760">
        <v>-4.2188023698291555E-2</v>
      </c>
      <c r="N20" s="646" t="s">
        <v>1412</v>
      </c>
      <c r="P20" s="755"/>
      <c r="Q20" s="755"/>
    </row>
    <row r="21" spans="1:17" ht="39" customHeight="1">
      <c r="A21" s="207"/>
      <c r="B21" s="741"/>
      <c r="C21" s="758"/>
      <c r="D21" s="757"/>
      <c r="E21" s="758"/>
      <c r="F21" s="757"/>
      <c r="G21" s="758"/>
    </row>
    <row r="22" spans="1:17" ht="16.5" customHeight="1">
      <c r="A22" s="113" t="s">
        <v>183</v>
      </c>
      <c r="B22" s="493" t="s">
        <v>175</v>
      </c>
      <c r="C22" s="115" t="s">
        <v>45</v>
      </c>
      <c r="D22" s="114"/>
      <c r="E22" s="428"/>
      <c r="F22"/>
      <c r="G22" s="2"/>
      <c r="H22" s="427" t="s">
        <v>1951</v>
      </c>
      <c r="I22" s="115" t="s">
        <v>45</v>
      </c>
    </row>
    <row r="23" spans="1:17" ht="15.75" customHeight="1">
      <c r="A23" s="248"/>
      <c r="B23" s="493" t="s">
        <v>184</v>
      </c>
      <c r="C23" s="118" t="s">
        <v>46</v>
      </c>
      <c r="D23" s="742" t="s">
        <v>920</v>
      </c>
      <c r="E23" s="743" t="s">
        <v>920</v>
      </c>
      <c r="F23"/>
      <c r="G23" s="2"/>
      <c r="H23" s="493" t="s">
        <v>1020</v>
      </c>
      <c r="I23" s="118" t="s">
        <v>46</v>
      </c>
    </row>
    <row r="24" spans="1:17" ht="12" customHeight="1">
      <c r="A24" s="248"/>
      <c r="B24" s="117"/>
      <c r="C24" s="118" t="s">
        <v>50</v>
      </c>
      <c r="D24" s="742" t="s">
        <v>176</v>
      </c>
      <c r="E24" s="743" t="s">
        <v>177</v>
      </c>
      <c r="F24"/>
      <c r="G24" s="2"/>
      <c r="H24" s="117"/>
      <c r="I24" s="118" t="s">
        <v>50</v>
      </c>
    </row>
    <row r="25" spans="1:17" ht="19.5" customHeight="1">
      <c r="A25" s="751"/>
      <c r="B25" s="366"/>
      <c r="C25" s="752"/>
      <c r="D25" s="742" t="s">
        <v>178</v>
      </c>
      <c r="E25" s="743"/>
      <c r="F25"/>
      <c r="G25" s="2"/>
      <c r="H25" s="366"/>
      <c r="I25" s="752"/>
    </row>
    <row r="26" spans="1:17" ht="19.5" customHeight="1">
      <c r="A26" s="249"/>
      <c r="B26" s="123"/>
      <c r="C26" s="430"/>
      <c r="D26" s="744"/>
      <c r="E26" s="761"/>
      <c r="F26"/>
      <c r="G26" s="2"/>
      <c r="H26" s="123"/>
      <c r="I26" s="430"/>
    </row>
    <row r="27" spans="1:17" ht="19.5" customHeight="1" thickBot="1">
      <c r="A27" s="250">
        <v>1996</v>
      </c>
      <c r="B27" s="145">
        <v>4244.395068032557</v>
      </c>
      <c r="C27" s="146">
        <v>8.4154117430895334E-2</v>
      </c>
      <c r="D27" s="270" t="s">
        <v>1412</v>
      </c>
      <c r="E27" s="271" t="s">
        <v>1412</v>
      </c>
      <c r="F27"/>
      <c r="G27" s="2"/>
      <c r="H27" s="145">
        <v>12459.017248</v>
      </c>
      <c r="I27" s="146">
        <v>0.10184935576083168</v>
      </c>
    </row>
    <row r="28" spans="1:17" ht="19.5" customHeight="1" thickBot="1">
      <c r="A28" s="251">
        <v>1997</v>
      </c>
      <c r="B28" s="147">
        <v>4402.8227450634458</v>
      </c>
      <c r="C28" s="148">
        <v>3.7326326718291628E-2</v>
      </c>
      <c r="D28" s="147" t="s">
        <v>1412</v>
      </c>
      <c r="E28" s="204" t="s">
        <v>1412</v>
      </c>
      <c r="F28"/>
      <c r="G28" s="2"/>
      <c r="H28" s="147">
        <v>13138.477535</v>
      </c>
      <c r="I28" s="148">
        <v>5.4535624558114414E-2</v>
      </c>
    </row>
    <row r="29" spans="1:17" ht="19.5" customHeight="1" thickBot="1">
      <c r="A29" s="251">
        <v>1998</v>
      </c>
      <c r="B29" s="147">
        <v>4691.4058439999999</v>
      </c>
      <c r="C29" s="148">
        <v>6.5545018649710712E-2</v>
      </c>
      <c r="D29" s="147">
        <v>3570.49</v>
      </c>
      <c r="E29" s="204">
        <v>1091.68</v>
      </c>
      <c r="F29"/>
      <c r="G29" s="2"/>
      <c r="H29" s="147">
        <v>14024.092651999999</v>
      </c>
      <c r="I29" s="148">
        <v>6.7406220746717538E-2</v>
      </c>
    </row>
    <row r="30" spans="1:17" ht="19.5" customHeight="1" thickBot="1">
      <c r="A30" s="251">
        <v>1999</v>
      </c>
      <c r="B30" s="147">
        <v>4793.8029630000001</v>
      </c>
      <c r="C30" s="148">
        <v>2.1826531833940437E-2</v>
      </c>
      <c r="D30" s="147">
        <v>3611.25</v>
      </c>
      <c r="E30" s="204">
        <v>1169.7</v>
      </c>
      <c r="F30"/>
      <c r="G30" s="2"/>
      <c r="H30" s="147">
        <v>14620.510517999999</v>
      </c>
      <c r="I30" s="148">
        <v>4.2528089395854327E-2</v>
      </c>
    </row>
    <row r="31" spans="1:17" ht="19.5" customHeight="1" thickBot="1">
      <c r="A31" s="251">
        <v>2000</v>
      </c>
      <c r="B31" s="147">
        <v>4935.5105860000003</v>
      </c>
      <c r="C31" s="148">
        <v>2.9560585633940716E-2</v>
      </c>
      <c r="D31" s="147">
        <v>3696.49064</v>
      </c>
      <c r="E31" s="204">
        <v>1214.941513</v>
      </c>
      <c r="F31"/>
      <c r="G31" s="2"/>
      <c r="H31" s="147">
        <v>15478.327442</v>
      </c>
      <c r="I31" s="148">
        <v>5.8672159425890213E-2</v>
      </c>
    </row>
    <row r="32" spans="1:17" ht="21.75" customHeight="1" thickBot="1">
      <c r="A32" s="251">
        <v>2001</v>
      </c>
      <c r="B32" s="147">
        <v>5078.4121850000001</v>
      </c>
      <c r="C32" s="148">
        <v>2.8953762029272606E-2</v>
      </c>
      <c r="D32" s="147">
        <v>3798.2139889999999</v>
      </c>
      <c r="E32" s="204">
        <v>1257.8527670000001</v>
      </c>
      <c r="F32"/>
      <c r="G32" s="2"/>
      <c r="H32" s="147">
        <v>16386.460816999999</v>
      </c>
      <c r="I32" s="148">
        <v>5.867128592562304E-2</v>
      </c>
    </row>
    <row r="33" spans="1:9" ht="19.5" customHeight="1" thickBot="1">
      <c r="A33" s="251">
        <v>2002</v>
      </c>
      <c r="B33" s="147">
        <v>5230.8309099999997</v>
      </c>
      <c r="C33" s="148">
        <v>3.0013066968095962E-2</v>
      </c>
      <c r="D33" s="147">
        <v>3783.9358269999998</v>
      </c>
      <c r="E33" s="204">
        <v>1392.356614</v>
      </c>
      <c r="F33"/>
      <c r="G33" s="2"/>
      <c r="H33" s="147">
        <v>17095.587409</v>
      </c>
      <c r="I33" s="148">
        <v>4.3275152573783532E-2</v>
      </c>
    </row>
    <row r="34" spans="1:9" ht="19.5" customHeight="1" thickBot="1">
      <c r="A34" s="251">
        <v>2003</v>
      </c>
      <c r="B34" s="147">
        <v>5636.9482250000001</v>
      </c>
      <c r="C34" s="148">
        <v>7.7639159435188176E-2</v>
      </c>
      <c r="D34" s="147">
        <v>4111.8764270000001</v>
      </c>
      <c r="E34" s="204">
        <v>1477.775099</v>
      </c>
      <c r="F34"/>
      <c r="G34" s="2"/>
      <c r="H34" s="147">
        <v>17924.119354999999</v>
      </c>
      <c r="I34" s="148">
        <v>4.8464666710651728E-2</v>
      </c>
    </row>
    <row r="35" spans="1:9" ht="19.5" customHeight="1" thickBot="1">
      <c r="A35" s="251">
        <v>2004</v>
      </c>
      <c r="B35" s="147">
        <v>6208.8790769999996</v>
      </c>
      <c r="C35" s="148">
        <v>0.10146107950104499</v>
      </c>
      <c r="D35" s="147">
        <v>4569.0303759999997</v>
      </c>
      <c r="E35" s="204">
        <v>1572.8925360000001</v>
      </c>
      <c r="F35"/>
      <c r="G35" s="2"/>
      <c r="H35" s="147">
        <v>19139.820941000002</v>
      </c>
      <c r="I35" s="148">
        <v>6.782489906043157E-2</v>
      </c>
    </row>
    <row r="36" spans="1:9" ht="19.5" customHeight="1" thickBot="1">
      <c r="A36" s="251">
        <v>2005</v>
      </c>
      <c r="B36" s="147">
        <v>6451.1913709999999</v>
      </c>
      <c r="C36" s="148">
        <v>3.902673751492685E-2</v>
      </c>
      <c r="D36" s="147">
        <v>4803.16752</v>
      </c>
      <c r="E36" s="204">
        <v>1587.1501499999999</v>
      </c>
      <c r="F36"/>
      <c r="G36" s="2"/>
      <c r="H36" s="147">
        <v>20347.706644999998</v>
      </c>
      <c r="I36" s="148">
        <v>6.3108516413157623E-2</v>
      </c>
    </row>
    <row r="37" spans="1:9" ht="30" customHeight="1" thickBot="1">
      <c r="A37" s="508">
        <v>2006</v>
      </c>
      <c r="B37" s="149">
        <v>6571.8543769999997</v>
      </c>
      <c r="C37" s="150">
        <v>1.8703988001722505E-2</v>
      </c>
      <c r="D37" s="149">
        <v>4893.0853630000001</v>
      </c>
      <c r="E37" s="205">
        <v>1627.1193760000001</v>
      </c>
      <c r="F37"/>
      <c r="G37" s="2"/>
      <c r="H37" s="149">
        <v>20602.626918999998</v>
      </c>
      <c r="I37" s="150">
        <v>1.2528206664638598E-2</v>
      </c>
    </row>
    <row r="38" spans="1:9" ht="19.5" customHeight="1" thickBot="1">
      <c r="A38" s="3"/>
      <c r="B38" s="757"/>
      <c r="C38" s="758"/>
      <c r="D38" s="757"/>
      <c r="E38" s="758"/>
      <c r="F38" s="757"/>
      <c r="G38" s="758"/>
    </row>
    <row r="39" spans="1:9" ht="51.75" customHeight="1" thickBot="1">
      <c r="A39" s="759" t="s">
        <v>174</v>
      </c>
      <c r="B39" s="646">
        <v>4.3033160447032426E-2</v>
      </c>
      <c r="C39" s="760" t="s">
        <v>1412</v>
      </c>
      <c r="D39" s="646">
        <v>4.0176101415379639E-2</v>
      </c>
      <c r="E39" s="760">
        <v>5.1151968264239178E-2</v>
      </c>
      <c r="F39" s="451"/>
      <c r="G39" s="2"/>
      <c r="H39" s="646">
        <v>4.9254832841078233E-2</v>
      </c>
      <c r="I39" s="760" t="s">
        <v>1412</v>
      </c>
    </row>
    <row r="40" spans="1:9" ht="17.25" customHeight="1">
      <c r="A40" s="136" t="s">
        <v>453</v>
      </c>
      <c r="B40" s="757"/>
      <c r="C40" s="758"/>
      <c r="D40" s="757"/>
      <c r="E40" s="758"/>
      <c r="F40" s="757"/>
      <c r="G40" s="758"/>
    </row>
    <row r="41" spans="1:9" ht="14">
      <c r="A41" s="207"/>
      <c r="B41" s="757"/>
      <c r="C41" s="758"/>
      <c r="D41" s="757"/>
      <c r="E41" s="758"/>
      <c r="F41" s="757"/>
      <c r="G41" s="758"/>
    </row>
    <row r="42" spans="1:9" ht="14">
      <c r="A42" s="3" t="s">
        <v>179</v>
      </c>
      <c r="B42" s="757"/>
      <c r="C42" s="758"/>
      <c r="D42" s="757"/>
      <c r="E42" s="758"/>
      <c r="F42" s="757"/>
      <c r="G42" s="758"/>
    </row>
    <row r="43" spans="1:9" ht="14">
      <c r="A43" s="2" t="s">
        <v>180</v>
      </c>
      <c r="B43" s="757"/>
      <c r="C43" s="758"/>
      <c r="D43" s="757"/>
      <c r="E43" s="758"/>
      <c r="F43" s="757"/>
      <c r="G43" s="758"/>
    </row>
    <row r="44" spans="1:9">
      <c r="A44" s="2" t="s">
        <v>181</v>
      </c>
      <c r="B44" s="4"/>
      <c r="C44" s="762"/>
      <c r="D44" s="4"/>
      <c r="E44" s="762"/>
      <c r="F44" s="4"/>
      <c r="G44" s="762"/>
    </row>
    <row r="45" spans="1:9">
      <c r="A45" s="4"/>
      <c r="B45" s="4"/>
      <c r="C45" s="762"/>
      <c r="D45" s="4"/>
      <c r="E45" s="762"/>
      <c r="F45" s="4"/>
      <c r="G45" s="762"/>
    </row>
    <row r="46" spans="1:9">
      <c r="A46" s="4" t="s">
        <v>182</v>
      </c>
      <c r="B46" s="4"/>
      <c r="C46" s="762"/>
      <c r="D46" s="4"/>
      <c r="E46" s="762"/>
      <c r="F46" s="4"/>
      <c r="G46" s="762"/>
    </row>
    <row r="47" spans="1:9">
      <c r="A47" s="4"/>
      <c r="B47" s="4"/>
      <c r="C47" s="762"/>
      <c r="D47" s="4"/>
      <c r="E47" s="762"/>
      <c r="F47" s="4"/>
      <c r="G47" s="762"/>
    </row>
    <row r="49" spans="1:5">
      <c r="A49" s="2" t="s">
        <v>1955</v>
      </c>
    </row>
    <row r="52" spans="1:5">
      <c r="B52"/>
      <c r="C52"/>
      <c r="D52"/>
      <c r="E52"/>
    </row>
    <row r="53" spans="1:5">
      <c r="B53"/>
      <c r="C53"/>
      <c r="D53"/>
      <c r="E53"/>
    </row>
    <row r="54" spans="1:5">
      <c r="B54"/>
      <c r="C54"/>
      <c r="D54"/>
      <c r="E54"/>
    </row>
    <row r="55" spans="1:5">
      <c r="B55"/>
      <c r="C55"/>
      <c r="D55"/>
      <c r="E55"/>
    </row>
    <row r="56" spans="1:5">
      <c r="B56"/>
      <c r="C56"/>
      <c r="D56"/>
      <c r="E56"/>
    </row>
  </sheetData>
  <phoneticPr fontId="0" type="noConversion"/>
  <pageMargins left="0.52" right="0.37" top="0.5" bottom="0.49" header="0.3" footer="0.4921259845"/>
  <pageSetup paperSize="9" scale="54" orientation="landscape" horizontalDpi="4294967292" verticalDpi="4294967292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08E2-50C2-FC47-9033-756FCF9F2DC8}">
  <sheetPr>
    <pageSetUpPr fitToPage="1"/>
  </sheetPr>
  <dimension ref="A1:H37"/>
  <sheetViews>
    <sheetView topLeftCell="A15" zoomScale="75" workbookViewId="0">
      <selection activeCell="A26" sqref="A26"/>
    </sheetView>
  </sheetViews>
  <sheetFormatPr baseColWidth="10" defaultColWidth="11.3984375" defaultRowHeight="13"/>
  <cols>
    <col min="1" max="1" width="33.796875" style="2" customWidth="1"/>
    <col min="2" max="4" width="16" style="2" customWidth="1"/>
    <col min="5" max="5" width="18.19921875" style="2" customWidth="1"/>
    <col min="6" max="7" width="15.19921875" style="2" customWidth="1"/>
    <col min="8" max="8" width="14.796875" style="659" customWidth="1"/>
    <col min="9" max="16384" width="11.3984375" style="2"/>
  </cols>
  <sheetData>
    <row r="1" spans="1:8" s="1" customFormat="1" ht="14" customHeight="1">
      <c r="H1" s="640"/>
    </row>
    <row r="2" spans="1:8" s="1" customFormat="1" ht="28" customHeight="1">
      <c r="A2" s="112" t="s">
        <v>663</v>
      </c>
      <c r="H2" s="112">
        <v>2006</v>
      </c>
    </row>
    <row r="3" spans="1:8" ht="24" customHeight="1">
      <c r="A3" s="113" t="s">
        <v>664</v>
      </c>
      <c r="B3" s="114" t="s">
        <v>115</v>
      </c>
      <c r="C3" s="115" t="s">
        <v>116</v>
      </c>
      <c r="D3" s="114" t="s">
        <v>42</v>
      </c>
      <c r="E3" s="284" t="s">
        <v>1951</v>
      </c>
      <c r="F3" s="114" t="s">
        <v>893</v>
      </c>
      <c r="G3" s="115" t="s">
        <v>45</v>
      </c>
      <c r="H3" s="114" t="s">
        <v>45</v>
      </c>
    </row>
    <row r="4" spans="1:8" ht="15" customHeight="1">
      <c r="A4" s="248"/>
      <c r="B4" s="117"/>
      <c r="C4" s="118"/>
      <c r="D4" s="117"/>
      <c r="E4" s="180"/>
      <c r="F4" s="117" t="s">
        <v>894</v>
      </c>
      <c r="G4" s="118" t="s">
        <v>46</v>
      </c>
      <c r="H4" s="117" t="s">
        <v>46</v>
      </c>
    </row>
    <row r="5" spans="1:8" ht="15" customHeight="1">
      <c r="A5" s="248"/>
      <c r="B5" s="117"/>
      <c r="C5" s="118"/>
      <c r="D5" s="117"/>
      <c r="E5" s="180"/>
      <c r="F5" s="117" t="s">
        <v>734</v>
      </c>
      <c r="G5" s="118" t="s">
        <v>50</v>
      </c>
      <c r="H5" s="117" t="s">
        <v>50</v>
      </c>
    </row>
    <row r="6" spans="1:8" ht="24" customHeight="1">
      <c r="A6" s="249"/>
      <c r="B6" s="123"/>
      <c r="C6" s="122"/>
      <c r="D6" s="123"/>
      <c r="E6" s="183"/>
      <c r="F6" s="123"/>
      <c r="G6" s="122" t="s">
        <v>2207</v>
      </c>
      <c r="H6" s="123" t="s">
        <v>94</v>
      </c>
    </row>
    <row r="7" spans="1:8" ht="30" customHeight="1" thickBot="1">
      <c r="A7" s="625" t="s">
        <v>2208</v>
      </c>
      <c r="B7" s="126">
        <v>1572772145</v>
      </c>
      <c r="C7" s="271">
        <v>2547819232</v>
      </c>
      <c r="D7" s="270">
        <v>510838693</v>
      </c>
      <c r="E7" s="410">
        <v>4631430071</v>
      </c>
      <c r="F7" s="641">
        <v>0.22479803615377014</v>
      </c>
      <c r="G7" s="271">
        <v>104917.679</v>
      </c>
      <c r="H7" s="641">
        <v>2.3178480453390105E-2</v>
      </c>
    </row>
    <row r="8" spans="1:8" ht="20" customHeight="1" thickBot="1">
      <c r="A8" s="251" t="s">
        <v>2225</v>
      </c>
      <c r="B8" s="194">
        <v>2095714144</v>
      </c>
      <c r="C8" s="204">
        <v>2586701027</v>
      </c>
      <c r="D8" s="147">
        <v>210670192</v>
      </c>
      <c r="E8" s="289">
        <v>4893085363</v>
      </c>
      <c r="F8" s="641">
        <v>0.23749812983739155</v>
      </c>
      <c r="G8" s="204">
        <v>89917.842999999993</v>
      </c>
      <c r="H8" s="461">
        <v>1.8720530280401215E-2</v>
      </c>
    </row>
    <row r="9" spans="1:8" ht="20" customHeight="1" thickBot="1">
      <c r="A9" s="251" t="s">
        <v>2209</v>
      </c>
      <c r="B9" s="147">
        <v>1113590838</v>
      </c>
      <c r="C9" s="204">
        <v>1308636677</v>
      </c>
      <c r="D9" s="147">
        <v>222762807</v>
      </c>
      <c r="E9" s="289">
        <v>2644990322</v>
      </c>
      <c r="F9" s="641">
        <v>0.12838121723015608</v>
      </c>
      <c r="G9" s="204">
        <v>-26161.196</v>
      </c>
      <c r="H9" s="461">
        <v>-9.7939768012815787E-3</v>
      </c>
    </row>
    <row r="10" spans="1:8" ht="20" customHeight="1" thickBot="1">
      <c r="A10" s="251" t="s">
        <v>2210</v>
      </c>
      <c r="B10" s="147">
        <v>615232779</v>
      </c>
      <c r="C10" s="204">
        <v>787263075</v>
      </c>
      <c r="D10" s="147">
        <v>69870394</v>
      </c>
      <c r="E10" s="289">
        <v>1472366248</v>
      </c>
      <c r="F10" s="641">
        <v>7.1464976470654112E-2</v>
      </c>
      <c r="G10" s="204">
        <v>-105.026</v>
      </c>
      <c r="H10" s="461">
        <v>-7.1326349012412749E-5</v>
      </c>
    </row>
    <row r="11" spans="1:8" ht="20" customHeight="1" thickBot="1">
      <c r="A11" s="251" t="s">
        <v>2211</v>
      </c>
      <c r="B11" s="147">
        <v>1178082965</v>
      </c>
      <c r="C11" s="204">
        <v>1546294588</v>
      </c>
      <c r="D11" s="147">
        <v>102539455</v>
      </c>
      <c r="E11" s="289">
        <v>2826917008</v>
      </c>
      <c r="F11" s="641">
        <v>0.13721148371584507</v>
      </c>
      <c r="G11" s="204">
        <v>6086.5709999999999</v>
      </c>
      <c r="H11" s="461">
        <v>2.1577231017377851E-3</v>
      </c>
    </row>
    <row r="12" spans="1:8" ht="20" customHeight="1" thickBot="1">
      <c r="A12" s="251" t="s">
        <v>2226</v>
      </c>
      <c r="B12" s="147">
        <v>415576129</v>
      </c>
      <c r="C12" s="204">
        <v>1211015672</v>
      </c>
      <c r="D12" s="147">
        <v>527575</v>
      </c>
      <c r="E12" s="289">
        <v>1627119376</v>
      </c>
      <c r="F12" s="641">
        <v>7.8976306390300649E-2</v>
      </c>
      <c r="G12" s="204">
        <v>39969.226000000002</v>
      </c>
      <c r="H12" s="461">
        <v>2.5183014978135576E-2</v>
      </c>
    </row>
    <row r="13" spans="1:8" ht="20" customHeight="1" thickBot="1">
      <c r="A13" s="251" t="s">
        <v>2212</v>
      </c>
      <c r="B13" s="147">
        <v>135633390</v>
      </c>
      <c r="C13" s="204">
        <v>279258980</v>
      </c>
      <c r="D13" s="147">
        <v>1919666</v>
      </c>
      <c r="E13" s="289">
        <v>416812036</v>
      </c>
      <c r="F13" s="641">
        <v>2.023101411478799E-2</v>
      </c>
      <c r="G13" s="204">
        <v>28429.222000000002</v>
      </c>
      <c r="H13" s="461">
        <v>7.3198970127447582E-2</v>
      </c>
    </row>
    <row r="14" spans="1:8" ht="20" customHeight="1" thickBot="1">
      <c r="A14" s="251" t="s">
        <v>2213</v>
      </c>
      <c r="B14" s="147">
        <v>178470992</v>
      </c>
      <c r="C14" s="204">
        <v>332969840</v>
      </c>
      <c r="D14" s="147">
        <v>27968565</v>
      </c>
      <c r="E14" s="289">
        <v>539409397</v>
      </c>
      <c r="F14" s="641">
        <v>2.618158350004144E-2</v>
      </c>
      <c r="G14" s="204">
        <v>7669.4189999999999</v>
      </c>
      <c r="H14" s="461">
        <v>1.4423250681369737E-2</v>
      </c>
    </row>
    <row r="15" spans="1:8" ht="20" customHeight="1" thickBot="1">
      <c r="A15" s="251" t="s">
        <v>2214</v>
      </c>
      <c r="B15" s="147">
        <v>213862538</v>
      </c>
      <c r="C15" s="204">
        <v>373307493</v>
      </c>
      <c r="D15" s="147">
        <v>38429865</v>
      </c>
      <c r="E15" s="289">
        <v>625599896</v>
      </c>
      <c r="F15" s="641">
        <v>3.0365054828181349E-2</v>
      </c>
      <c r="G15" s="204">
        <v>-39388.786999999997</v>
      </c>
      <c r="H15" s="461">
        <v>-5.923226666400272E-2</v>
      </c>
    </row>
    <row r="16" spans="1:8" ht="20" customHeight="1" thickBot="1">
      <c r="A16" s="251" t="s">
        <v>2215</v>
      </c>
      <c r="B16" s="147">
        <v>25957705</v>
      </c>
      <c r="C16" s="204">
        <v>39260758</v>
      </c>
      <c r="D16" s="147">
        <v>3199144</v>
      </c>
      <c r="E16" s="289">
        <v>68417607</v>
      </c>
      <c r="F16" s="641">
        <v>3.3208195862103598E-3</v>
      </c>
      <c r="G16" s="204">
        <v>-786.91899999999998</v>
      </c>
      <c r="H16" s="461">
        <v>-1.137091813908242E-2</v>
      </c>
    </row>
    <row r="17" spans="1:8" ht="20" customHeight="1" thickBot="1">
      <c r="A17" s="251" t="s">
        <v>2216</v>
      </c>
      <c r="B17" s="147">
        <v>151300431</v>
      </c>
      <c r="C17" s="204">
        <v>159208252</v>
      </c>
      <c r="D17" s="147">
        <v>25865903</v>
      </c>
      <c r="E17" s="289">
        <v>336374587</v>
      </c>
      <c r="F17" s="641">
        <v>1.6326781449883518E-2</v>
      </c>
      <c r="G17" s="204">
        <v>38406.838000000003</v>
      </c>
      <c r="H17" s="461">
        <v>0.12889595645466989</v>
      </c>
    </row>
    <row r="18" spans="1:8" ht="20" customHeight="1" thickBot="1">
      <c r="A18" s="251" t="s">
        <v>2227</v>
      </c>
      <c r="B18" s="147">
        <v>22926159</v>
      </c>
      <c r="C18" s="204">
        <v>35331198</v>
      </c>
      <c r="D18" s="147">
        <v>3509939</v>
      </c>
      <c r="E18" s="289">
        <v>61767296</v>
      </c>
      <c r="F18" s="641">
        <v>2.9980301173651515E-3</v>
      </c>
      <c r="G18" s="204">
        <v>9079.0519999999997</v>
      </c>
      <c r="H18" s="461">
        <v>0.17231646588943073</v>
      </c>
    </row>
    <row r="19" spans="1:8" ht="20" customHeight="1" thickBot="1">
      <c r="A19" s="130" t="s">
        <v>2217</v>
      </c>
      <c r="B19" s="147">
        <v>2934297</v>
      </c>
      <c r="C19" s="204">
        <v>8059773</v>
      </c>
      <c r="D19" s="147">
        <v>774493</v>
      </c>
      <c r="E19" s="289">
        <v>11768563</v>
      </c>
      <c r="F19" s="641">
        <v>5.7121662428138639E-4</v>
      </c>
      <c r="G19" s="204">
        <v>-12386.692999999999</v>
      </c>
      <c r="H19" s="461">
        <v>-0.51279493788018637</v>
      </c>
    </row>
    <row r="20" spans="1:8" ht="20" customHeight="1" thickBot="1">
      <c r="A20" s="251" t="s">
        <v>2218</v>
      </c>
      <c r="B20" s="147">
        <v>135341691</v>
      </c>
      <c r="C20" s="204">
        <v>197684516</v>
      </c>
      <c r="D20" s="147">
        <v>61893306</v>
      </c>
      <c r="E20" s="289">
        <v>394919513</v>
      </c>
      <c r="F20" s="641">
        <v>1.9168405784011956E-2</v>
      </c>
      <c r="G20" s="204">
        <v>18497.11</v>
      </c>
      <c r="H20" s="461">
        <v>4.9139237868368824E-2</v>
      </c>
    </row>
    <row r="21" spans="1:8" ht="20" customHeight="1" thickBot="1">
      <c r="A21" s="251" t="s">
        <v>2228</v>
      </c>
      <c r="B21" s="147">
        <v>23113106</v>
      </c>
      <c r="C21" s="204">
        <v>24241316</v>
      </c>
      <c r="D21" s="147">
        <v>4295216</v>
      </c>
      <c r="E21" s="289">
        <v>51649638</v>
      </c>
      <c r="F21" s="641">
        <v>2.5069442941942546E-3</v>
      </c>
      <c r="G21" s="204">
        <v>-9224.0630000000001</v>
      </c>
      <c r="H21" s="461">
        <v>-0.15152788229518033</v>
      </c>
    </row>
    <row r="22" spans="1:8" ht="30" customHeight="1" thickBot="1">
      <c r="A22" s="642" t="s">
        <v>2219</v>
      </c>
      <c r="B22" s="643">
        <v>7880509310</v>
      </c>
      <c r="C22" s="644">
        <v>11437052397</v>
      </c>
      <c r="D22" s="643">
        <v>1285065212</v>
      </c>
      <c r="E22" s="645">
        <v>20602626919</v>
      </c>
      <c r="F22" s="646">
        <v>1</v>
      </c>
      <c r="G22" s="644">
        <v>254920.274</v>
      </c>
      <c r="H22" s="646">
        <v>1.2528206664638608E-2</v>
      </c>
    </row>
    <row r="23" spans="1:8" ht="14.25" customHeight="1">
      <c r="A23" s="647"/>
      <c r="B23" s="336"/>
      <c r="C23" s="336"/>
      <c r="D23" s="336"/>
      <c r="E23" s="337"/>
      <c r="F23" s="648"/>
      <c r="G23" s="336"/>
      <c r="H23" s="648"/>
    </row>
    <row r="24" spans="1:8" ht="30" customHeight="1" thickBot="1">
      <c r="A24" s="649" t="s">
        <v>2220</v>
      </c>
      <c r="B24" s="650" t="s">
        <v>1412</v>
      </c>
      <c r="C24" s="651">
        <v>478037329</v>
      </c>
      <c r="D24" s="650">
        <v>2317412</v>
      </c>
      <c r="E24" s="652">
        <v>480354741</v>
      </c>
      <c r="F24" s="653">
        <v>2.3315218146138968E-2</v>
      </c>
      <c r="G24" s="651">
        <v>8536.7690000000002</v>
      </c>
      <c r="H24" s="653">
        <v>1.8093352747487135E-2</v>
      </c>
    </row>
    <row r="25" spans="1:8" ht="33" customHeight="1" thickBot="1">
      <c r="A25" s="654" t="s">
        <v>2229</v>
      </c>
      <c r="B25" s="655">
        <v>169543152</v>
      </c>
      <c r="C25" s="656">
        <v>169947896</v>
      </c>
      <c r="D25" s="655">
        <v>6802106</v>
      </c>
      <c r="E25" s="657">
        <v>346293154</v>
      </c>
      <c r="F25" s="658">
        <v>1.6808203893681352E-2</v>
      </c>
      <c r="G25" s="656">
        <v>41997.398999999998</v>
      </c>
      <c r="H25" s="658">
        <v>0.13801506695353005</v>
      </c>
    </row>
    <row r="26" spans="1:8" ht="20" customHeight="1">
      <c r="A26" s="136" t="s">
        <v>453</v>
      </c>
      <c r="B26" s="279"/>
      <c r="C26" s="279"/>
      <c r="D26" s="279"/>
      <c r="E26" s="279"/>
      <c r="F26" s="279"/>
    </row>
    <row r="27" spans="1:8" ht="12" customHeight="1">
      <c r="A27" s="3"/>
      <c r="B27" s="281"/>
      <c r="C27" s="281"/>
      <c r="D27" s="281"/>
      <c r="E27" s="281"/>
      <c r="F27" s="281"/>
    </row>
    <row r="28" spans="1:8">
      <c r="A28" s="3" t="s">
        <v>2221</v>
      </c>
    </row>
    <row r="29" spans="1:8">
      <c r="A29" s="3" t="s">
        <v>2222</v>
      </c>
    </row>
    <row r="30" spans="1:8">
      <c r="A30" s="660" t="s">
        <v>2223</v>
      </c>
    </row>
    <row r="32" spans="1:8">
      <c r="A32" s="3" t="s">
        <v>2224</v>
      </c>
      <c r="B32" s="3"/>
    </row>
    <row r="33" spans="1:2" ht="14">
      <c r="A33" s="661"/>
      <c r="B33" s="3"/>
    </row>
    <row r="34" spans="1:2">
      <c r="A34" s="3"/>
      <c r="B34" s="3"/>
    </row>
    <row r="35" spans="1:2">
      <c r="A35" s="3" t="s">
        <v>1955</v>
      </c>
      <c r="B35" s="3"/>
    </row>
    <row r="36" spans="1:2">
      <c r="A36" s="3"/>
      <c r="B36" s="3"/>
    </row>
    <row r="37" spans="1:2">
      <c r="A37" s="3"/>
      <c r="B37" s="3"/>
    </row>
  </sheetData>
  <phoneticPr fontId="0" type="noConversion"/>
  <pageMargins left="0.49" right="0.5" top="0.71" bottom="0.46" header="0.35" footer="0.2"/>
  <pageSetup paperSize="9" scale="78" orientation="landscape" horizontalDpi="4294967292" verticalDpi="4294967292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6BE1-0D0A-624A-9171-9534F2291E7B}">
  <sheetPr>
    <pageSetUpPr fitToPage="1"/>
  </sheetPr>
  <dimension ref="A1:V55"/>
  <sheetViews>
    <sheetView topLeftCell="A32" zoomScale="75" workbookViewId="0">
      <selection activeCell="A3" sqref="A3"/>
    </sheetView>
  </sheetViews>
  <sheetFormatPr baseColWidth="10" defaultColWidth="11.3984375" defaultRowHeight="13"/>
  <cols>
    <col min="1" max="1" width="11.796875" style="2" customWidth="1"/>
    <col min="2" max="2" width="17" style="2" customWidth="1"/>
    <col min="3" max="3" width="13" style="446" customWidth="1"/>
    <col min="4" max="4" width="13" style="2" customWidth="1"/>
    <col min="5" max="5" width="14" style="446" customWidth="1"/>
    <col min="6" max="6" width="13" style="2" customWidth="1"/>
    <col min="7" max="7" width="13" style="446" customWidth="1"/>
    <col min="8" max="8" width="13" style="2" customWidth="1"/>
    <col min="9" max="9" width="15.3984375" style="2" customWidth="1"/>
    <col min="10" max="12" width="13" style="2" customWidth="1"/>
    <col min="13" max="14" width="14.19921875" style="2" customWidth="1"/>
    <col min="15" max="15" width="14.796875" style="2" customWidth="1"/>
    <col min="16" max="16" width="13" style="2" customWidth="1"/>
    <col min="17" max="16384" width="11.3984375" style="2"/>
  </cols>
  <sheetData>
    <row r="1" spans="1:22" s="1" customFormat="1" ht="14" customHeight="1">
      <c r="A1" s="718"/>
      <c r="B1" s="718"/>
      <c r="C1" s="746"/>
      <c r="D1" s="718"/>
      <c r="E1" s="746"/>
      <c r="F1" s="718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</row>
    <row r="2" spans="1:22" s="1" customFormat="1" ht="28" customHeight="1">
      <c r="A2" s="112" t="s">
        <v>1337</v>
      </c>
      <c r="B2" s="718"/>
      <c r="C2" s="746"/>
      <c r="D2" s="718"/>
      <c r="E2" s="746"/>
      <c r="F2" s="718"/>
      <c r="G2" s="746"/>
      <c r="N2" s="748">
        <v>2006</v>
      </c>
    </row>
    <row r="3" spans="1:22" ht="24" customHeight="1">
      <c r="A3" s="113" t="s">
        <v>740</v>
      </c>
      <c r="B3" s="427" t="s">
        <v>161</v>
      </c>
      <c r="C3" s="115" t="s">
        <v>45</v>
      </c>
      <c r="D3" s="114"/>
      <c r="E3" s="428"/>
      <c r="F3" s="114"/>
      <c r="G3" s="428"/>
      <c r="H3" s="114"/>
      <c r="I3" s="428"/>
      <c r="J3" s="114"/>
      <c r="K3" s="428"/>
      <c r="L3" s="114"/>
      <c r="M3" s="428"/>
      <c r="N3" s="114"/>
      <c r="O3"/>
    </row>
    <row r="4" spans="1:22" ht="15" customHeight="1">
      <c r="A4" s="248"/>
      <c r="B4" s="493" t="s">
        <v>185</v>
      </c>
      <c r="C4" s="118" t="s">
        <v>46</v>
      </c>
      <c r="D4" s="749" t="s">
        <v>920</v>
      </c>
      <c r="E4" s="750" t="s">
        <v>920</v>
      </c>
      <c r="F4" s="749" t="s">
        <v>920</v>
      </c>
      <c r="G4" s="750" t="s">
        <v>920</v>
      </c>
      <c r="H4" s="749" t="s">
        <v>920</v>
      </c>
      <c r="I4" s="750" t="s">
        <v>920</v>
      </c>
      <c r="J4" s="749" t="s">
        <v>920</v>
      </c>
      <c r="K4" s="750" t="s">
        <v>920</v>
      </c>
      <c r="L4" s="749" t="s">
        <v>920</v>
      </c>
      <c r="M4" s="750" t="s">
        <v>920</v>
      </c>
      <c r="N4" s="749" t="s">
        <v>920</v>
      </c>
      <c r="O4"/>
    </row>
    <row r="5" spans="1:22" ht="15" customHeight="1">
      <c r="A5" s="248"/>
      <c r="B5" s="117"/>
      <c r="C5" s="118" t="s">
        <v>50</v>
      </c>
      <c r="D5" s="749" t="s">
        <v>162</v>
      </c>
      <c r="E5" s="750" t="s">
        <v>163</v>
      </c>
      <c r="F5" s="749" t="s">
        <v>164</v>
      </c>
      <c r="G5" s="750" t="s">
        <v>164</v>
      </c>
      <c r="H5" s="749" t="s">
        <v>2212</v>
      </c>
      <c r="I5" s="750" t="s">
        <v>2213</v>
      </c>
      <c r="J5" s="749" t="s">
        <v>2214</v>
      </c>
      <c r="K5" s="750" t="s">
        <v>2215</v>
      </c>
      <c r="L5" s="749" t="s">
        <v>165</v>
      </c>
      <c r="M5" s="750" t="s">
        <v>166</v>
      </c>
      <c r="N5" s="749" t="s">
        <v>167</v>
      </c>
      <c r="O5"/>
    </row>
    <row r="6" spans="1:22" s="3" customFormat="1" ht="19.5" customHeight="1">
      <c r="A6" s="751"/>
      <c r="B6" s="366"/>
      <c r="C6" s="752"/>
      <c r="D6" s="753" t="s">
        <v>168</v>
      </c>
      <c r="E6" s="754" t="s">
        <v>168</v>
      </c>
      <c r="F6" s="753" t="s">
        <v>169</v>
      </c>
      <c r="G6" s="754" t="s">
        <v>170</v>
      </c>
      <c r="H6" s="753"/>
      <c r="I6" s="754"/>
      <c r="J6" s="753"/>
      <c r="K6" s="754"/>
      <c r="L6" s="753" t="s">
        <v>171</v>
      </c>
      <c r="M6" s="754" t="s">
        <v>172</v>
      </c>
      <c r="N6" s="753" t="s">
        <v>173</v>
      </c>
      <c r="O6"/>
    </row>
    <row r="7" spans="1:22" ht="19.5" customHeight="1">
      <c r="A7" s="249"/>
      <c r="B7" s="123"/>
      <c r="C7" s="430"/>
      <c r="D7" s="366"/>
      <c r="E7" s="752"/>
      <c r="F7" s="366"/>
      <c r="G7" s="752"/>
      <c r="H7" s="366"/>
      <c r="I7" s="752"/>
      <c r="J7" s="366"/>
      <c r="K7" s="430"/>
      <c r="L7" s="366"/>
      <c r="M7" s="752"/>
      <c r="N7" s="366"/>
      <c r="O7"/>
    </row>
    <row r="8" spans="1:22" ht="20" customHeight="1" thickBot="1">
      <c r="A8" s="250">
        <v>1996</v>
      </c>
      <c r="B8" s="145">
        <v>1135.7666791471866</v>
      </c>
      <c r="C8" s="146">
        <v>0.10634844182252187</v>
      </c>
      <c r="D8" s="270" t="s">
        <v>1412</v>
      </c>
      <c r="E8" s="271" t="s">
        <v>1412</v>
      </c>
      <c r="F8" s="270" t="s">
        <v>1412</v>
      </c>
      <c r="G8" s="271" t="s">
        <v>1412</v>
      </c>
      <c r="H8" s="270" t="s">
        <v>1412</v>
      </c>
      <c r="I8" s="271" t="s">
        <v>1412</v>
      </c>
      <c r="J8" s="270" t="s">
        <v>1412</v>
      </c>
      <c r="K8" s="198">
        <v>7.8643189296562399</v>
      </c>
      <c r="L8" s="270" t="s">
        <v>1412</v>
      </c>
      <c r="M8" s="271" t="s">
        <v>1412</v>
      </c>
      <c r="N8" s="270" t="s">
        <v>1412</v>
      </c>
      <c r="O8"/>
    </row>
    <row r="9" spans="1:22" ht="20" customHeight="1" thickBot="1">
      <c r="A9" s="251">
        <v>1997</v>
      </c>
      <c r="B9" s="147">
        <v>1207.1705655887454</v>
      </c>
      <c r="C9" s="148">
        <v>6.2868446268536313E-2</v>
      </c>
      <c r="D9" s="270" t="s">
        <v>1412</v>
      </c>
      <c r="E9" s="271" t="s">
        <v>1412</v>
      </c>
      <c r="F9" s="270" t="s">
        <v>1412</v>
      </c>
      <c r="G9" s="271" t="s">
        <v>1412</v>
      </c>
      <c r="H9" s="270" t="s">
        <v>1412</v>
      </c>
      <c r="I9" s="271" t="s">
        <v>1412</v>
      </c>
      <c r="J9" s="270" t="s">
        <v>1412</v>
      </c>
      <c r="K9" s="204">
        <v>7.7745077676674157</v>
      </c>
      <c r="L9" s="270" t="s">
        <v>1412</v>
      </c>
      <c r="M9" s="271" t="s">
        <v>1412</v>
      </c>
      <c r="N9" s="270" t="s">
        <v>1412</v>
      </c>
      <c r="O9"/>
      <c r="T9" s="9"/>
      <c r="U9" s="9"/>
      <c r="V9" s="9"/>
    </row>
    <row r="10" spans="1:22" ht="20" customHeight="1" thickBot="1">
      <c r="A10" s="251">
        <v>1998</v>
      </c>
      <c r="B10" s="147">
        <v>1287.8682695481587</v>
      </c>
      <c r="C10" s="148">
        <v>6.6848634534140125E-2</v>
      </c>
      <c r="D10" s="147">
        <v>517.22900730492677</v>
      </c>
      <c r="E10" s="204">
        <v>179.78046580638465</v>
      </c>
      <c r="F10" s="147">
        <v>128.85876662983108</v>
      </c>
      <c r="G10" s="204">
        <v>246.67237783815233</v>
      </c>
      <c r="H10" s="147">
        <v>30.906839827030989</v>
      </c>
      <c r="I10" s="204">
        <v>57.642077350310821</v>
      </c>
      <c r="J10" s="147">
        <v>54.853189405924091</v>
      </c>
      <c r="K10" s="204">
        <v>7.7691435561095004</v>
      </c>
      <c r="L10" s="147">
        <v>14.403964553938003</v>
      </c>
      <c r="M10" s="204">
        <v>12.033202808041713</v>
      </c>
      <c r="N10" s="270" t="s">
        <v>1412</v>
      </c>
      <c r="O10"/>
    </row>
    <row r="11" spans="1:22" ht="20" customHeight="1" thickBot="1">
      <c r="A11" s="251">
        <v>1999</v>
      </c>
      <c r="B11" s="147">
        <v>1351.582122301535</v>
      </c>
      <c r="C11" s="148">
        <v>4.9472336775352059E-2</v>
      </c>
      <c r="D11" s="147">
        <v>517.77987880375031</v>
      </c>
      <c r="E11" s="204">
        <v>204.19029060086746</v>
      </c>
      <c r="F11" s="147">
        <v>141.91140608611047</v>
      </c>
      <c r="G11" s="204">
        <v>257.61974174619098</v>
      </c>
      <c r="H11" s="147">
        <v>32.359437190342035</v>
      </c>
      <c r="I11" s="204">
        <v>60.131858482788445</v>
      </c>
      <c r="J11" s="147">
        <v>56.924385896913591</v>
      </c>
      <c r="K11" s="204">
        <v>8.3350273886799329</v>
      </c>
      <c r="L11" s="147">
        <v>17.198214928721761</v>
      </c>
      <c r="M11" s="204">
        <v>12.089915964768418</v>
      </c>
      <c r="N11" s="270" t="s">
        <v>1412</v>
      </c>
      <c r="O11"/>
    </row>
    <row r="12" spans="1:22" ht="20" customHeight="1" thickBot="1">
      <c r="A12" s="251">
        <v>2000</v>
      </c>
      <c r="B12" s="147">
        <v>1451.1566242672343</v>
      </c>
      <c r="C12" s="148">
        <v>7.3672550356125827E-2</v>
      </c>
      <c r="D12" s="147">
        <v>529.43047713091312</v>
      </c>
      <c r="E12" s="204">
        <v>229.29973959111166</v>
      </c>
      <c r="F12" s="147">
        <v>157.35584856009811</v>
      </c>
      <c r="G12" s="204">
        <v>288.745232868367</v>
      </c>
      <c r="H12" s="147">
        <v>34.840696214910899</v>
      </c>
      <c r="I12" s="204">
        <v>61.491416169301154</v>
      </c>
      <c r="J12" s="147">
        <v>60.94101454443998</v>
      </c>
      <c r="K12" s="204">
        <v>8.5739707007998369</v>
      </c>
      <c r="L12" s="147">
        <v>24.758128744866045</v>
      </c>
      <c r="M12" s="204">
        <v>15.766473005994538</v>
      </c>
      <c r="N12" s="270" t="s">
        <v>1412</v>
      </c>
      <c r="O12"/>
    </row>
    <row r="13" spans="1:22" ht="20" customHeight="1" thickBot="1">
      <c r="A13" s="251">
        <v>2001</v>
      </c>
      <c r="B13" s="147">
        <v>1548.8249816122338</v>
      </c>
      <c r="C13" s="148">
        <v>6.7303801472372055E-2</v>
      </c>
      <c r="D13" s="147">
        <v>549.44923949294969</v>
      </c>
      <c r="E13" s="204">
        <v>263.7323584963807</v>
      </c>
      <c r="F13" s="147">
        <v>174.14628347977344</v>
      </c>
      <c r="G13" s="204">
        <v>307.1393643380062</v>
      </c>
      <c r="H13" s="147">
        <v>37.025033111675718</v>
      </c>
      <c r="I13" s="204">
        <v>65.76167578635949</v>
      </c>
      <c r="J13" s="147">
        <v>63.375782250498219</v>
      </c>
      <c r="K13" s="204">
        <v>8.9352628731483819</v>
      </c>
      <c r="L13" s="147">
        <v>23.698466932838429</v>
      </c>
      <c r="M13" s="204">
        <v>14.563635915382035</v>
      </c>
      <c r="N13" s="147">
        <v>2.7620899733599962</v>
      </c>
      <c r="O13"/>
    </row>
    <row r="14" spans="1:22" ht="20" customHeight="1" thickBot="1">
      <c r="A14" s="251">
        <v>2002</v>
      </c>
      <c r="B14" s="147">
        <v>1615.432400016774</v>
      </c>
      <c r="C14" s="148">
        <v>4.3005129175541695E-2</v>
      </c>
      <c r="D14" s="147">
        <v>559.43217658828928</v>
      </c>
      <c r="E14" s="204">
        <v>268.50345190882268</v>
      </c>
      <c r="F14" s="147">
        <v>171.66132067610738</v>
      </c>
      <c r="G14" s="204">
        <v>343.7455082841455</v>
      </c>
      <c r="H14" s="147">
        <v>39.493547804709614</v>
      </c>
      <c r="I14" s="204">
        <v>68.92734993393816</v>
      </c>
      <c r="J14" s="147">
        <v>66.109744640711739</v>
      </c>
      <c r="K14" s="204">
        <v>8.8787656073170158</v>
      </c>
      <c r="L14" s="147">
        <v>27.622294486640037</v>
      </c>
      <c r="M14" s="204">
        <v>15.361832696314805</v>
      </c>
      <c r="N14" s="147">
        <v>3.033957453552472</v>
      </c>
      <c r="O14"/>
    </row>
    <row r="15" spans="1:22" ht="20" customHeight="1" thickBot="1">
      <c r="A15" s="251">
        <v>2003</v>
      </c>
      <c r="B15" s="147">
        <v>1666.6209287074066</v>
      </c>
      <c r="C15" s="148">
        <v>3.1687199470619223E-2</v>
      </c>
      <c r="D15" s="147">
        <v>565.89080672037517</v>
      </c>
      <c r="E15" s="204">
        <v>290.45423380519912</v>
      </c>
      <c r="F15" s="147">
        <v>182.83129248471178</v>
      </c>
      <c r="G15" s="204">
        <v>352.94069193578031</v>
      </c>
      <c r="H15" s="147">
        <v>43.42085098619804</v>
      </c>
      <c r="I15" s="204">
        <v>66.649239980169568</v>
      </c>
      <c r="J15" s="147">
        <v>65.17295098477382</v>
      </c>
      <c r="K15" s="204">
        <v>8.8175191471555454</v>
      </c>
      <c r="L15" s="147">
        <v>29.097237370473131</v>
      </c>
      <c r="M15" s="204">
        <v>15.292816213756383</v>
      </c>
      <c r="N15" s="147">
        <v>4.1140870029928776</v>
      </c>
      <c r="O15"/>
    </row>
    <row r="16" spans="1:22" ht="20" customHeight="1" thickBot="1">
      <c r="A16" s="251">
        <v>2004</v>
      </c>
      <c r="B16" s="147">
        <v>1751.312015563195</v>
      </c>
      <c r="C16" s="148">
        <v>5.0816046646835811E-2</v>
      </c>
      <c r="D16" s="147">
        <v>592.89763778354495</v>
      </c>
      <c r="E16" s="204">
        <v>296.91590007765888</v>
      </c>
      <c r="F16" s="147">
        <v>189.43742407132373</v>
      </c>
      <c r="G16" s="204">
        <v>372.47504406402646</v>
      </c>
      <c r="H16" s="147">
        <v>49.454875646942796</v>
      </c>
      <c r="I16" s="204">
        <v>68.449757529348247</v>
      </c>
      <c r="J16" s="147">
        <v>80.079219765387336</v>
      </c>
      <c r="K16" s="204">
        <v>9.2427076643370807</v>
      </c>
      <c r="L16" s="147">
        <v>35.206929733486795</v>
      </c>
      <c r="M16" s="204">
        <v>10.766673971168975</v>
      </c>
      <c r="N16" s="147">
        <v>3.4775317481750707</v>
      </c>
      <c r="O16"/>
    </row>
    <row r="17" spans="1:17" ht="20" customHeight="1" thickBot="1">
      <c r="A17" s="251">
        <v>2005</v>
      </c>
      <c r="B17" s="147">
        <v>1868.8453126166223</v>
      </c>
      <c r="C17" s="148">
        <v>6.7111568931724833E-2</v>
      </c>
      <c r="D17" s="147">
        <v>608.74538167382002</v>
      </c>
      <c r="E17" s="204">
        <v>359.22898499367591</v>
      </c>
      <c r="F17" s="147">
        <v>198.02028876263893</v>
      </c>
      <c r="G17" s="204">
        <v>379.34998080250244</v>
      </c>
      <c r="H17" s="147">
        <v>52.228327605463519</v>
      </c>
      <c r="I17" s="204">
        <v>71.506769252803821</v>
      </c>
      <c r="J17" s="147">
        <v>89.431105997755466</v>
      </c>
      <c r="K17" s="204">
        <v>9.3082174030862586</v>
      </c>
      <c r="L17" s="147">
        <v>40.071474704018968</v>
      </c>
      <c r="M17" s="204">
        <v>7.0814671191582956</v>
      </c>
      <c r="N17" s="147">
        <v>3.2498517657327022</v>
      </c>
      <c r="O17"/>
    </row>
    <row r="18" spans="1:17" s="188" customFormat="1" ht="30" customHeight="1">
      <c r="A18" s="361">
        <v>2006</v>
      </c>
      <c r="B18" s="282">
        <v>1876.16</v>
      </c>
      <c r="C18" s="763">
        <v>3.9140143563494087E-3</v>
      </c>
      <c r="D18" s="282">
        <v>619.30999999999995</v>
      </c>
      <c r="E18" s="764">
        <v>353.68</v>
      </c>
      <c r="F18" s="282">
        <v>196.88</v>
      </c>
      <c r="G18" s="764">
        <v>378.01</v>
      </c>
      <c r="H18" s="765">
        <v>55.74</v>
      </c>
      <c r="I18" s="764">
        <v>72.13</v>
      </c>
      <c r="J18" s="765">
        <v>83.65</v>
      </c>
      <c r="K18" s="764">
        <v>9.15</v>
      </c>
      <c r="L18" s="765">
        <v>44.98</v>
      </c>
      <c r="M18" s="764">
        <v>8.26</v>
      </c>
      <c r="N18" s="765">
        <v>1.57</v>
      </c>
      <c r="O18"/>
      <c r="P18" s="755"/>
      <c r="Q18" s="756"/>
    </row>
    <row r="19" spans="1:17" ht="19.5" customHeight="1" thickBot="1">
      <c r="A19" s="207"/>
      <c r="B19" s="757"/>
      <c r="C19" s="758"/>
      <c r="D19" s="757"/>
      <c r="E19" s="758"/>
      <c r="F19" s="757"/>
      <c r="G19" s="758"/>
      <c r="P19" s="4"/>
      <c r="Q19" s="4"/>
    </row>
    <row r="20" spans="1:17" ht="54" customHeight="1" thickBot="1">
      <c r="A20" s="759" t="s">
        <v>187</v>
      </c>
      <c r="B20" s="766">
        <v>4.8153294355760989E-2</v>
      </c>
      <c r="C20" s="760" t="s">
        <v>1412</v>
      </c>
      <c r="D20" s="766">
        <v>2.2770404303362746E-2</v>
      </c>
      <c r="E20" s="760">
        <v>8.8262088592171883E-2</v>
      </c>
      <c r="F20" s="766">
        <v>5.4413490565702105E-2</v>
      </c>
      <c r="G20" s="760">
        <v>5.4806618318556932E-2</v>
      </c>
      <c r="H20" s="646">
        <v>7.6500027779265567E-2</v>
      </c>
      <c r="I20" s="760">
        <v>2.8423610365017726E-2</v>
      </c>
      <c r="J20" s="646">
        <v>5.4163579482750634E-2</v>
      </c>
      <c r="K20" s="760">
        <v>2.0659761482335615E-2</v>
      </c>
      <c r="L20" s="646">
        <v>0.15296779302354468</v>
      </c>
      <c r="M20" s="760">
        <v>-4.5941837835450694E-2</v>
      </c>
      <c r="N20" s="646" t="s">
        <v>1412</v>
      </c>
    </row>
    <row r="21" spans="1:17" ht="39.75" customHeight="1">
      <c r="A21" s="207"/>
      <c r="B21" s="741"/>
      <c r="C21" s="758"/>
      <c r="D21" s="757"/>
      <c r="E21" s="758"/>
      <c r="F21" s="757"/>
      <c r="G21" s="758"/>
      <c r="P21" s="4"/>
      <c r="Q21" s="4"/>
    </row>
    <row r="22" spans="1:17" ht="19.5" customHeight="1">
      <c r="A22" s="113" t="s">
        <v>758</v>
      </c>
      <c r="B22" s="493" t="s">
        <v>175</v>
      </c>
      <c r="C22" s="115" t="s">
        <v>45</v>
      </c>
      <c r="D22" s="114"/>
      <c r="E22" s="428"/>
      <c r="F22"/>
      <c r="G22" s="2"/>
      <c r="H22" s="427" t="s">
        <v>1951</v>
      </c>
      <c r="I22" s="115" t="s">
        <v>45</v>
      </c>
    </row>
    <row r="23" spans="1:17" ht="16.5" customHeight="1">
      <c r="A23" s="248"/>
      <c r="B23" s="493" t="s">
        <v>185</v>
      </c>
      <c r="C23" s="118" t="s">
        <v>46</v>
      </c>
      <c r="D23" s="742" t="s">
        <v>920</v>
      </c>
      <c r="E23" s="743" t="s">
        <v>920</v>
      </c>
      <c r="F23"/>
      <c r="G23" s="2"/>
      <c r="H23" s="493" t="s">
        <v>1020</v>
      </c>
      <c r="I23" s="118" t="s">
        <v>46</v>
      </c>
    </row>
    <row r="24" spans="1:17" ht="16.5" customHeight="1">
      <c r="A24" s="248"/>
      <c r="B24" s="117"/>
      <c r="C24" s="118" t="s">
        <v>50</v>
      </c>
      <c r="D24" s="742" t="s">
        <v>176</v>
      </c>
      <c r="E24" s="743" t="s">
        <v>177</v>
      </c>
      <c r="F24"/>
      <c r="G24" s="2"/>
      <c r="H24" s="117"/>
      <c r="I24" s="118" t="s">
        <v>50</v>
      </c>
    </row>
    <row r="25" spans="1:17" ht="15.75" customHeight="1">
      <c r="A25" s="751"/>
      <c r="B25" s="366"/>
      <c r="C25" s="752"/>
      <c r="D25" s="742" t="s">
        <v>178</v>
      </c>
      <c r="E25" s="743"/>
      <c r="F25"/>
      <c r="G25" s="2"/>
      <c r="H25" s="366"/>
      <c r="I25" s="752"/>
    </row>
    <row r="26" spans="1:17" ht="12" customHeight="1">
      <c r="A26" s="249"/>
      <c r="B26" s="123"/>
      <c r="C26" s="430"/>
      <c r="D26" s="744"/>
      <c r="E26" s="761"/>
      <c r="F26"/>
      <c r="G26" s="2"/>
      <c r="H26" s="123"/>
      <c r="I26" s="430"/>
    </row>
    <row r="27" spans="1:17" ht="19.5" customHeight="1" thickBot="1">
      <c r="A27" s="250">
        <v>1996</v>
      </c>
      <c r="B27" s="145">
        <v>586.83678759613247</v>
      </c>
      <c r="C27" s="146">
        <v>7.9400703813924001E-2</v>
      </c>
      <c r="D27" s="270" t="s">
        <v>1412</v>
      </c>
      <c r="E27" s="271" t="s">
        <v>1412</v>
      </c>
      <c r="F27"/>
      <c r="G27" s="2"/>
      <c r="H27" s="145">
        <v>1722.6034667433191</v>
      </c>
      <c r="I27" s="146">
        <v>9.7018358352515099E-2</v>
      </c>
    </row>
    <row r="28" spans="1:17" ht="19.5" customHeight="1" thickBot="1">
      <c r="A28" s="251">
        <v>1997</v>
      </c>
      <c r="B28" s="147">
        <v>608.42125188692751</v>
      </c>
      <c r="C28" s="148">
        <v>3.678103477324892E-2</v>
      </c>
      <c r="D28" s="147" t="s">
        <v>1412</v>
      </c>
      <c r="E28" s="204" t="s">
        <v>1412</v>
      </c>
      <c r="F28"/>
      <c r="G28" s="2"/>
      <c r="H28" s="147">
        <v>1815.5918174756728</v>
      </c>
      <c r="I28" s="148">
        <v>5.3981286191275034E-2</v>
      </c>
    </row>
    <row r="29" spans="1:17" ht="19.5" customHeight="1" thickBot="1">
      <c r="A29" s="251">
        <v>1998</v>
      </c>
      <c r="B29" s="147">
        <v>647.39263733582663</v>
      </c>
      <c r="C29" s="148">
        <v>6.4053294206990977E-2</v>
      </c>
      <c r="D29" s="147">
        <v>492.71135658354189</v>
      </c>
      <c r="E29" s="204">
        <v>150.64686744819926</v>
      </c>
      <c r="F29"/>
      <c r="G29" s="2"/>
      <c r="H29" s="147">
        <v>1935.2609068839854</v>
      </c>
      <c r="I29" s="148">
        <v>6.5911890688456515E-2</v>
      </c>
    </row>
    <row r="30" spans="1:17" ht="19.5" customHeight="1" thickBot="1">
      <c r="A30" s="251">
        <v>1999</v>
      </c>
      <c r="B30" s="147">
        <v>659.34783816072627</v>
      </c>
      <c r="C30" s="148">
        <v>1.8466692599560762E-2</v>
      </c>
      <c r="D30" s="147">
        <v>496.69748609522117</v>
      </c>
      <c r="E30" s="204">
        <v>160.88253360625276</v>
      </c>
      <c r="F30"/>
      <c r="G30" s="2"/>
      <c r="H30" s="147">
        <v>2010.9299604622606</v>
      </c>
      <c r="I30" s="148">
        <v>3.9100181949167756E-2</v>
      </c>
    </row>
    <row r="31" spans="1:17" ht="19.5" customHeight="1" thickBot="1">
      <c r="A31" s="251">
        <v>2000</v>
      </c>
      <c r="B31" s="147">
        <v>679.34395321862166</v>
      </c>
      <c r="C31" s="148">
        <v>3.0327110973284228E-2</v>
      </c>
      <c r="D31" s="147">
        <v>508.80015768509037</v>
      </c>
      <c r="E31" s="204">
        <v>167.22954109591964</v>
      </c>
      <c r="F31"/>
      <c r="G31" s="2"/>
      <c r="H31" s="147">
        <v>2130.500577485856</v>
      </c>
      <c r="I31" s="148">
        <v>5.946035882627615E-2</v>
      </c>
    </row>
    <row r="32" spans="1:17" ht="19.5" customHeight="1" thickBot="1">
      <c r="A32" s="251">
        <v>2001</v>
      </c>
      <c r="B32" s="147">
        <v>695.57285390457537</v>
      </c>
      <c r="C32" s="148">
        <v>2.388907799806534E-2</v>
      </c>
      <c r="D32" s="147">
        <v>520.22845878332566</v>
      </c>
      <c r="E32" s="204">
        <v>172.28381767006115</v>
      </c>
      <c r="F32"/>
      <c r="G32" s="2"/>
      <c r="H32" s="147">
        <v>2244.3978355168092</v>
      </c>
      <c r="I32" s="148">
        <v>5.3460327227585272E-2</v>
      </c>
    </row>
    <row r="33" spans="1:9" ht="19.5" customHeight="1" thickBot="1">
      <c r="A33" s="251">
        <v>2002</v>
      </c>
      <c r="B33" s="147">
        <v>712.19782148377215</v>
      </c>
      <c r="C33" s="148">
        <v>2.3901116160403715E-2</v>
      </c>
      <c r="D33" s="147">
        <v>515.19747034296608</v>
      </c>
      <c r="E33" s="204">
        <v>189.57472804627923</v>
      </c>
      <c r="F33"/>
      <c r="G33" s="2"/>
      <c r="H33" s="147">
        <v>2327.6302215005462</v>
      </c>
      <c r="I33" s="148">
        <v>3.7084506439372583E-2</v>
      </c>
    </row>
    <row r="34" spans="1:9" ht="19.5" customHeight="1" thickBot="1">
      <c r="A34" s="251">
        <v>2003</v>
      </c>
      <c r="B34" s="147">
        <v>764.59062760893357</v>
      </c>
      <c r="C34" s="148">
        <v>7.3564962633566877E-2</v>
      </c>
      <c r="D34" s="147">
        <v>557.73124969057335</v>
      </c>
      <c r="E34" s="204">
        <v>200.44409586700854</v>
      </c>
      <c r="F34"/>
      <c r="G34" s="2"/>
      <c r="H34" s="147">
        <v>2431.2115563163402</v>
      </c>
      <c r="I34" s="148">
        <v>4.4500769004888807E-2</v>
      </c>
    </row>
    <row r="35" spans="1:9" ht="19.5" customHeight="1" thickBot="1">
      <c r="A35" s="251">
        <v>2004</v>
      </c>
      <c r="B35" s="147">
        <v>840.90429336795432</v>
      </c>
      <c r="C35" s="148">
        <v>9.9809836798121235E-2</v>
      </c>
      <c r="D35" s="147">
        <v>618.810128536668</v>
      </c>
      <c r="E35" s="204">
        <v>213.02590534069273</v>
      </c>
      <c r="F35"/>
      <c r="G35" s="2"/>
      <c r="H35" s="147">
        <v>2592.2163089311489</v>
      </c>
      <c r="I35" s="148">
        <v>6.622408165036682E-2</v>
      </c>
    </row>
    <row r="36" spans="1:9" ht="19.5" customHeight="1" thickBot="1">
      <c r="A36" s="251">
        <v>2005</v>
      </c>
      <c r="B36" s="147">
        <v>867.58002616373483</v>
      </c>
      <c r="C36" s="148">
        <v>3.1722674038135765E-2</v>
      </c>
      <c r="D36" s="147">
        <v>645.948160066112</v>
      </c>
      <c r="E36" s="204">
        <v>213.44705424318488</v>
      </c>
      <c r="F36"/>
      <c r="G36" s="2"/>
      <c r="H36" s="147">
        <v>2736.4253387803569</v>
      </c>
      <c r="I36" s="148">
        <v>5.5631557193878578E-2</v>
      </c>
    </row>
    <row r="37" spans="1:9" ht="27" customHeight="1">
      <c r="A37" s="361">
        <v>2006</v>
      </c>
      <c r="B37" s="765">
        <v>878.78</v>
      </c>
      <c r="C37" s="763">
        <v>1.2909441778862966E-2</v>
      </c>
      <c r="D37" s="765">
        <v>654.29</v>
      </c>
      <c r="E37" s="764">
        <v>217.58</v>
      </c>
      <c r="F37" s="206"/>
      <c r="G37" s="3"/>
      <c r="H37" s="765">
        <v>2754.94</v>
      </c>
      <c r="I37" s="763">
        <v>6.7660026960191938E-3</v>
      </c>
    </row>
    <row r="38" spans="1:9" ht="19.5" customHeight="1" thickBot="1">
      <c r="A38" s="3"/>
      <c r="B38" s="757"/>
      <c r="C38" s="758"/>
      <c r="D38" s="757"/>
      <c r="E38" s="758"/>
      <c r="F38" s="757"/>
      <c r="G38" s="758"/>
    </row>
    <row r="39" spans="1:9" ht="51" customHeight="1" thickBot="1">
      <c r="A39" s="759" t="s">
        <v>187</v>
      </c>
      <c r="B39" s="646">
        <v>3.8936612056239328E-2</v>
      </c>
      <c r="C39" s="760" t="s">
        <v>1412</v>
      </c>
      <c r="D39" s="646">
        <v>3.6089359964051937E-2</v>
      </c>
      <c r="E39" s="760">
        <v>4.7025739777323272E-2</v>
      </c>
      <c r="F39" s="451"/>
      <c r="G39" s="2"/>
      <c r="H39" s="646">
        <v>4.5133040554772519E-2</v>
      </c>
      <c r="I39" s="760" t="s">
        <v>1412</v>
      </c>
    </row>
    <row r="40" spans="1:9" ht="17.25" customHeight="1">
      <c r="A40" s="136" t="s">
        <v>453</v>
      </c>
      <c r="B40" s="757"/>
      <c r="C40" s="758"/>
      <c r="D40" s="757"/>
      <c r="E40" s="758"/>
      <c r="F40" s="757"/>
      <c r="G40" s="758"/>
    </row>
    <row r="41" spans="1:9" ht="14">
      <c r="A41" s="207"/>
      <c r="B41" s="757"/>
      <c r="C41" s="758"/>
      <c r="D41" s="757"/>
      <c r="E41" s="758"/>
      <c r="F41" s="757"/>
      <c r="G41" s="758"/>
    </row>
    <row r="42" spans="1:9" ht="14">
      <c r="A42" s="3" t="s">
        <v>188</v>
      </c>
      <c r="B42" s="757"/>
      <c r="C42" s="758"/>
      <c r="D42" s="757"/>
      <c r="E42" s="758"/>
      <c r="F42" s="757"/>
      <c r="G42" s="758"/>
    </row>
    <row r="43" spans="1:9" ht="14">
      <c r="A43" s="867" t="s">
        <v>1336</v>
      </c>
      <c r="B43" s="757"/>
      <c r="C43" s="758"/>
      <c r="D43" s="757"/>
      <c r="E43" s="758"/>
      <c r="F43" s="757"/>
      <c r="G43" s="758"/>
    </row>
    <row r="44" spans="1:9" ht="14">
      <c r="B44" s="757"/>
      <c r="C44" s="758"/>
      <c r="D44" s="757"/>
      <c r="E44" s="758"/>
      <c r="F44" s="757"/>
      <c r="G44" s="758"/>
    </row>
    <row r="45" spans="1:9">
      <c r="A45" s="2" t="s">
        <v>189</v>
      </c>
      <c r="B45" s="4"/>
      <c r="C45" s="762"/>
      <c r="D45" s="4"/>
      <c r="E45" s="762"/>
      <c r="F45" s="4"/>
      <c r="G45" s="762"/>
    </row>
    <row r="46" spans="1:9">
      <c r="A46" s="4"/>
      <c r="B46" s="4"/>
      <c r="C46" s="762"/>
      <c r="D46" s="4"/>
      <c r="E46" s="762"/>
      <c r="F46" s="4"/>
      <c r="G46" s="762"/>
    </row>
    <row r="48" spans="1:9">
      <c r="A48" s="2" t="s">
        <v>1955</v>
      </c>
    </row>
    <row r="51" spans="2:5">
      <c r="B51"/>
      <c r="C51"/>
      <c r="D51"/>
      <c r="E51"/>
    </row>
    <row r="52" spans="2:5">
      <c r="B52"/>
      <c r="C52"/>
      <c r="D52"/>
      <c r="E52"/>
    </row>
    <row r="53" spans="2:5">
      <c r="B53"/>
      <c r="C53"/>
      <c r="D53"/>
      <c r="E53"/>
    </row>
    <row r="54" spans="2:5">
      <c r="B54"/>
      <c r="C54"/>
      <c r="D54"/>
      <c r="E54"/>
    </row>
    <row r="55" spans="2:5">
      <c r="B55"/>
      <c r="C55"/>
      <c r="D55"/>
      <c r="E55"/>
    </row>
  </sheetData>
  <phoneticPr fontId="0" type="noConversion"/>
  <pageMargins left="0.52" right="0.37" top="0.55000000000000004" bottom="0.49" header="0.42" footer="0.4921259845"/>
  <pageSetup paperSize="9" scale="54" orientation="landscape" horizontalDpi="4294967292" verticalDpi="4294967292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3E24-D597-7B4A-BF5B-EFC13B0F67CC}">
  <sheetPr>
    <pageSetUpPr fitToPage="1"/>
  </sheetPr>
  <dimension ref="A1:H35"/>
  <sheetViews>
    <sheetView topLeftCell="A16" zoomScale="75" workbookViewId="0">
      <selection activeCell="A33" sqref="A33"/>
    </sheetView>
  </sheetViews>
  <sheetFormatPr baseColWidth="10" defaultColWidth="11.3984375" defaultRowHeight="13"/>
  <cols>
    <col min="1" max="1" width="38.19921875" style="2" customWidth="1"/>
    <col min="2" max="4" width="15.19921875" style="2" customWidth="1"/>
    <col min="5" max="5" width="15.19921875" style="151" customWidth="1"/>
    <col min="6" max="7" width="15.19921875" style="2" customWidth="1"/>
    <col min="8" max="8" width="15.59765625" style="2" customWidth="1"/>
    <col min="9" max="16384" width="11.3984375" style="2"/>
  </cols>
  <sheetData>
    <row r="1" spans="1:8" s="1" customFormat="1" ht="14" customHeight="1">
      <c r="E1" s="17"/>
    </row>
    <row r="2" spans="1:8" s="1" customFormat="1" ht="30.75" customHeight="1">
      <c r="A2" s="347" t="s">
        <v>2230</v>
      </c>
      <c r="B2" s="662"/>
      <c r="C2" s="662"/>
      <c r="D2" s="662"/>
      <c r="E2" s="662"/>
      <c r="H2" s="112">
        <v>2006</v>
      </c>
    </row>
    <row r="3" spans="1:8" ht="24" customHeight="1">
      <c r="A3" s="113" t="s">
        <v>664</v>
      </c>
      <c r="B3" s="114" t="s">
        <v>115</v>
      </c>
      <c r="C3" s="115" t="s">
        <v>116</v>
      </c>
      <c r="D3" s="114" t="s">
        <v>42</v>
      </c>
      <c r="E3" s="284" t="s">
        <v>1951</v>
      </c>
      <c r="F3" s="114" t="s">
        <v>893</v>
      </c>
      <c r="G3" s="115" t="s">
        <v>45</v>
      </c>
      <c r="H3" s="114" t="s">
        <v>45</v>
      </c>
    </row>
    <row r="4" spans="1:8" ht="15" customHeight="1">
      <c r="A4" s="248"/>
      <c r="B4" s="117"/>
      <c r="C4" s="118"/>
      <c r="D4" s="117"/>
      <c r="E4" s="285"/>
      <c r="F4" s="117" t="s">
        <v>894</v>
      </c>
      <c r="G4" s="118" t="s">
        <v>46</v>
      </c>
      <c r="H4" s="117" t="s">
        <v>46</v>
      </c>
    </row>
    <row r="5" spans="1:8" ht="15" customHeight="1">
      <c r="A5" s="248"/>
      <c r="B5" s="117"/>
      <c r="C5" s="118"/>
      <c r="D5" s="117"/>
      <c r="E5" s="285"/>
      <c r="F5" s="117" t="s">
        <v>734</v>
      </c>
      <c r="G5" s="118" t="s">
        <v>50</v>
      </c>
      <c r="H5" s="117" t="s">
        <v>50</v>
      </c>
    </row>
    <row r="6" spans="1:8" ht="24" customHeight="1">
      <c r="A6" s="249"/>
      <c r="B6" s="123"/>
      <c r="C6" s="122"/>
      <c r="D6" s="123"/>
      <c r="E6" s="286"/>
      <c r="F6" s="123"/>
      <c r="G6" s="122" t="s">
        <v>1007</v>
      </c>
      <c r="H6" s="123" t="s">
        <v>94</v>
      </c>
    </row>
    <row r="7" spans="1:8" ht="30" customHeight="1" thickBot="1">
      <c r="A7" s="625" t="s">
        <v>2208</v>
      </c>
      <c r="B7" s="126">
        <v>544.86</v>
      </c>
      <c r="C7" s="271">
        <v>828.92</v>
      </c>
      <c r="D7" s="270">
        <v>336.47</v>
      </c>
      <c r="E7" s="410">
        <v>619.30999999999995</v>
      </c>
      <c r="F7" s="641">
        <v>0.22479981415203232</v>
      </c>
      <c r="G7" s="271">
        <v>10.569471224934773</v>
      </c>
      <c r="H7" s="641">
        <v>1.7362851207234575E-2</v>
      </c>
    </row>
    <row r="8" spans="1:8" ht="20" customHeight="1" thickBot="1">
      <c r="A8" s="251" t="s">
        <v>2225</v>
      </c>
      <c r="B8" s="194">
        <v>726.03</v>
      </c>
      <c r="C8" s="204">
        <v>841.57</v>
      </c>
      <c r="D8" s="147">
        <v>138.76</v>
      </c>
      <c r="E8" s="289">
        <v>654.29</v>
      </c>
      <c r="F8" s="641">
        <v>0.23749700537942747</v>
      </c>
      <c r="G8" s="204">
        <v>8.3439641319469047</v>
      </c>
      <c r="H8" s="641">
        <v>1.291743221356545E-2</v>
      </c>
    </row>
    <row r="9" spans="1:8" ht="20" customHeight="1" thickBot="1">
      <c r="A9" s="251" t="s">
        <v>2209</v>
      </c>
      <c r="B9" s="147">
        <v>385.79</v>
      </c>
      <c r="C9" s="204">
        <v>425.76</v>
      </c>
      <c r="D9" s="147">
        <v>146.72</v>
      </c>
      <c r="E9" s="289">
        <v>353.68</v>
      </c>
      <c r="F9" s="641">
        <v>0.12838029140380552</v>
      </c>
      <c r="G9" s="204">
        <v>-5.5453918004159277</v>
      </c>
      <c r="H9" s="641">
        <v>-1.5437081918465601E-2</v>
      </c>
    </row>
    <row r="10" spans="1:8" ht="20" customHeight="1" thickBot="1">
      <c r="A10" s="251" t="s">
        <v>2210</v>
      </c>
      <c r="B10" s="147">
        <v>213.14</v>
      </c>
      <c r="C10" s="204">
        <v>256.13</v>
      </c>
      <c r="D10" s="147">
        <v>46.02</v>
      </c>
      <c r="E10" s="289">
        <v>196.88</v>
      </c>
      <c r="F10" s="641">
        <v>7.1464351310736349E-2</v>
      </c>
      <c r="G10" s="204">
        <v>-1.1428627066252659</v>
      </c>
      <c r="H10" s="641">
        <v>-5.7713674623441902E-3</v>
      </c>
    </row>
    <row r="11" spans="1:8" ht="20" customHeight="1" thickBot="1">
      <c r="A11" s="251" t="s">
        <v>2211</v>
      </c>
      <c r="B11" s="147">
        <v>408.13</v>
      </c>
      <c r="C11" s="204">
        <v>503.08</v>
      </c>
      <c r="D11" s="147">
        <v>67.540000000000006</v>
      </c>
      <c r="E11" s="289">
        <v>378.01</v>
      </c>
      <c r="F11" s="641">
        <v>0.1372116997103385</v>
      </c>
      <c r="G11" s="204">
        <v>-1.3447135403883976</v>
      </c>
      <c r="H11" s="641">
        <v>-3.5447392437506497E-3</v>
      </c>
    </row>
    <row r="12" spans="1:8" ht="20" customHeight="1" thickBot="1">
      <c r="A12" s="251" t="s">
        <v>2226</v>
      </c>
      <c r="B12" s="147">
        <v>143.97</v>
      </c>
      <c r="C12" s="204">
        <v>394</v>
      </c>
      <c r="D12" s="147">
        <v>0.35</v>
      </c>
      <c r="E12" s="289">
        <v>217.58</v>
      </c>
      <c r="F12" s="641">
        <v>7.8978126565369844E-2</v>
      </c>
      <c r="G12" s="204">
        <v>4.1347384198072632</v>
      </c>
      <c r="H12" s="641">
        <v>1.9371422861283794E-2</v>
      </c>
    </row>
    <row r="13" spans="1:8" ht="20" customHeight="1" thickBot="1">
      <c r="A13" s="251" t="s">
        <v>2212</v>
      </c>
      <c r="B13" s="147">
        <v>46.99</v>
      </c>
      <c r="C13" s="204">
        <v>90.86</v>
      </c>
      <c r="D13" s="147">
        <v>1.26</v>
      </c>
      <c r="E13" s="289">
        <v>55.74</v>
      </c>
      <c r="F13" s="641">
        <v>2.0232745540737729E-2</v>
      </c>
      <c r="G13" s="204">
        <v>3.50897993710214</v>
      </c>
      <c r="H13" s="641">
        <v>6.7181914748678961E-2</v>
      </c>
    </row>
    <row r="14" spans="1:8" ht="20" customHeight="1" thickBot="1">
      <c r="A14" s="251" t="s">
        <v>2213</v>
      </c>
      <c r="B14" s="147">
        <v>61.83</v>
      </c>
      <c r="C14" s="204">
        <v>108.33</v>
      </c>
      <c r="D14" s="147">
        <v>18.420000000000002</v>
      </c>
      <c r="E14" s="289">
        <v>72.13</v>
      </c>
      <c r="F14" s="641">
        <v>2.6182058411435456E-2</v>
      </c>
      <c r="G14" s="204">
        <v>0.61982895735734189</v>
      </c>
      <c r="H14" s="641">
        <v>8.667703465395471E-3</v>
      </c>
    </row>
    <row r="15" spans="1:8" ht="20" customHeight="1" thickBot="1">
      <c r="A15" s="251" t="s">
        <v>2214</v>
      </c>
      <c r="B15" s="147">
        <v>74.09</v>
      </c>
      <c r="C15" s="204">
        <v>121.45</v>
      </c>
      <c r="D15" s="147">
        <v>25.31</v>
      </c>
      <c r="E15" s="289">
        <v>83.65</v>
      </c>
      <c r="F15" s="641">
        <v>3.0363637683579317E-2</v>
      </c>
      <c r="G15" s="204">
        <v>-5.779902640782197</v>
      </c>
      <c r="H15" s="641">
        <v>-6.4630537103441021E-2</v>
      </c>
    </row>
    <row r="16" spans="1:8" ht="20" customHeight="1" thickBot="1">
      <c r="A16" s="251" t="s">
        <v>2215</v>
      </c>
      <c r="B16" s="147">
        <v>8.99</v>
      </c>
      <c r="C16" s="204">
        <v>12.77</v>
      </c>
      <c r="D16" s="147">
        <v>2.11</v>
      </c>
      <c r="E16" s="289">
        <v>9.15</v>
      </c>
      <c r="F16" s="641">
        <v>3.3213064531350954E-3</v>
      </c>
      <c r="G16" s="204">
        <v>-0.15685616266567415</v>
      </c>
      <c r="H16" s="641">
        <v>-1.6853829040025414E-2</v>
      </c>
    </row>
    <row r="17" spans="1:8" ht="20" customHeight="1" thickBot="1">
      <c r="A17" s="251" t="s">
        <v>2216</v>
      </c>
      <c r="B17" s="147">
        <v>52.42</v>
      </c>
      <c r="C17" s="204">
        <v>51.8</v>
      </c>
      <c r="D17" s="147">
        <v>17.04</v>
      </c>
      <c r="E17" s="289">
        <v>44.98</v>
      </c>
      <c r="F17" s="641">
        <v>1.6327034345575583E-2</v>
      </c>
      <c r="G17" s="204">
        <v>4.9083003389652688</v>
      </c>
      <c r="H17" s="641">
        <v>0.12248794986198308</v>
      </c>
    </row>
    <row r="18" spans="1:8" ht="20" customHeight="1" thickBot="1">
      <c r="A18" s="251" t="s">
        <v>2227</v>
      </c>
      <c r="B18" s="147">
        <v>7.94</v>
      </c>
      <c r="C18" s="204">
        <v>11.49</v>
      </c>
      <c r="D18" s="147">
        <v>2.31</v>
      </c>
      <c r="E18" s="289">
        <v>8.26</v>
      </c>
      <c r="F18" s="641">
        <v>2.9982504156170369E-3</v>
      </c>
      <c r="G18" s="204">
        <v>1.1743086917258445</v>
      </c>
      <c r="H18" s="641">
        <v>0.16572958666073578</v>
      </c>
    </row>
    <row r="19" spans="1:8" ht="20" customHeight="1" thickBot="1">
      <c r="A19" s="130" t="s">
        <v>2217</v>
      </c>
      <c r="B19" s="147">
        <v>1.02</v>
      </c>
      <c r="C19" s="204">
        <v>2.62</v>
      </c>
      <c r="D19" s="147">
        <v>0.51</v>
      </c>
      <c r="E19" s="289">
        <v>1.57</v>
      </c>
      <c r="F19" s="641">
        <v>5.698853695543279E-4</v>
      </c>
      <c r="G19" s="204">
        <v>-1.6784796321611541</v>
      </c>
      <c r="H19" s="641">
        <v>-0.5166969851199259</v>
      </c>
    </row>
    <row r="20" spans="1:8" ht="20" customHeight="1" thickBot="1">
      <c r="A20" s="251" t="s">
        <v>2218</v>
      </c>
      <c r="B20" s="147">
        <v>46.89</v>
      </c>
      <c r="C20" s="204">
        <v>64.319999999999993</v>
      </c>
      <c r="D20" s="147">
        <v>40.770000000000003</v>
      </c>
      <c r="E20" s="289">
        <v>52.81</v>
      </c>
      <c r="F20" s="641">
        <v>1.9169201507110864E-2</v>
      </c>
      <c r="G20" s="204">
        <v>2.1874560189029779</v>
      </c>
      <c r="H20" s="641">
        <v>4.3211104122301558E-2</v>
      </c>
    </row>
    <row r="21" spans="1:8" ht="20" customHeight="1" thickBot="1">
      <c r="A21" s="251" t="s">
        <v>2228</v>
      </c>
      <c r="B21" s="147">
        <v>8.01</v>
      </c>
      <c r="C21" s="204">
        <v>7.89</v>
      </c>
      <c r="D21" s="147">
        <v>2.83</v>
      </c>
      <c r="E21" s="289">
        <v>6.91</v>
      </c>
      <c r="F21" s="641">
        <v>2.5082215946626786E-3</v>
      </c>
      <c r="G21" s="204">
        <v>-1.276498948004031</v>
      </c>
      <c r="H21" s="641">
        <v>-0.15592733305306994</v>
      </c>
    </row>
    <row r="22" spans="1:8" ht="30" customHeight="1" thickBot="1">
      <c r="A22" s="642" t="s">
        <v>2219</v>
      </c>
      <c r="B22" s="643">
        <v>2730.09</v>
      </c>
      <c r="C22" s="644">
        <v>3721</v>
      </c>
      <c r="D22" s="643">
        <v>846.42</v>
      </c>
      <c r="E22" s="645">
        <v>2754.94</v>
      </c>
      <c r="F22" s="646">
        <v>1</v>
      </c>
      <c r="G22" s="644">
        <v>18.512342289699973</v>
      </c>
      <c r="H22" s="646">
        <v>6.7651495326539468E-3</v>
      </c>
    </row>
    <row r="23" spans="1:8" ht="15" customHeight="1">
      <c r="A23" s="647"/>
      <c r="B23" s="336"/>
      <c r="C23" s="336"/>
      <c r="D23" s="336"/>
      <c r="E23" s="337"/>
      <c r="F23" s="648"/>
      <c r="G23" s="336"/>
      <c r="H23" s="648"/>
    </row>
    <row r="24" spans="1:8" ht="30" customHeight="1" thickBot="1">
      <c r="A24" s="649" t="s">
        <v>2220</v>
      </c>
      <c r="B24" s="650" t="s">
        <v>1412</v>
      </c>
      <c r="C24" s="651">
        <v>155.53</v>
      </c>
      <c r="D24" s="650">
        <v>1.53</v>
      </c>
      <c r="E24" s="652" t="s">
        <v>1412</v>
      </c>
      <c r="F24" s="653" t="s">
        <v>1412</v>
      </c>
      <c r="G24" s="651" t="s">
        <v>1412</v>
      </c>
      <c r="H24" s="653" t="s">
        <v>1412</v>
      </c>
    </row>
    <row r="25" spans="1:8" ht="30.75" customHeight="1" thickBot="1">
      <c r="A25" s="654" t="s">
        <v>2229</v>
      </c>
      <c r="B25" s="655">
        <v>0</v>
      </c>
      <c r="C25" s="656">
        <v>55.29</v>
      </c>
      <c r="D25" s="655">
        <v>4.4800000000000004</v>
      </c>
      <c r="E25" s="657">
        <v>46.31</v>
      </c>
      <c r="F25" s="658">
        <v>1.6809803480293581E-2</v>
      </c>
      <c r="G25" s="656">
        <v>5.3872889233465102</v>
      </c>
      <c r="H25" s="658">
        <v>0.13164545509351577</v>
      </c>
    </row>
    <row r="26" spans="1:8" ht="20" customHeight="1">
      <c r="A26" s="136" t="s">
        <v>453</v>
      </c>
      <c r="B26" s="279"/>
      <c r="C26" s="279"/>
      <c r="D26" s="279"/>
      <c r="E26" s="605"/>
      <c r="F26" s="279"/>
    </row>
    <row r="27" spans="1:8" ht="12.75" customHeight="1">
      <c r="A27" s="3"/>
      <c r="B27" s="281"/>
      <c r="C27" s="281"/>
      <c r="D27" s="281"/>
      <c r="E27" s="607"/>
      <c r="F27" s="281"/>
    </row>
    <row r="28" spans="1:8">
      <c r="A28" s="3" t="s">
        <v>2221</v>
      </c>
    </row>
    <row r="29" spans="1:8">
      <c r="A29" s="3" t="s">
        <v>2222</v>
      </c>
    </row>
    <row r="30" spans="1:8">
      <c r="A30" s="660" t="s">
        <v>2223</v>
      </c>
    </row>
    <row r="32" spans="1:8">
      <c r="A32" s="2" t="s">
        <v>2231</v>
      </c>
    </row>
    <row r="35" spans="1:1">
      <c r="A35" s="2" t="s">
        <v>1955</v>
      </c>
    </row>
  </sheetData>
  <phoneticPr fontId="0" type="noConversion"/>
  <pageMargins left="0.6" right="0.5" top="0.69" bottom="0.49" header="0.43" footer="0.4921259845"/>
  <pageSetup paperSize="9" scale="78" orientation="landscape" horizontalDpi="1200" verticalDpi="12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1E72-FA12-5D42-8C15-263DA4873A0E}">
  <sheetPr>
    <pageSetUpPr fitToPage="1"/>
  </sheetPr>
  <dimension ref="A1:J28"/>
  <sheetViews>
    <sheetView zoomScale="75" workbookViewId="0">
      <selection activeCell="J17" sqref="J17"/>
    </sheetView>
  </sheetViews>
  <sheetFormatPr baseColWidth="10" defaultColWidth="11.3984375" defaultRowHeight="13"/>
  <cols>
    <col min="1" max="1" width="15.19921875" style="2" customWidth="1"/>
    <col min="2" max="2" width="16.796875" style="2" customWidth="1"/>
    <col min="3" max="3" width="17.19921875" style="2" customWidth="1"/>
    <col min="4" max="4" width="15.3984375" style="2" customWidth="1"/>
    <col min="5" max="5" width="15.19921875" style="2" customWidth="1"/>
    <col min="6" max="6" width="16.796875" style="2" customWidth="1"/>
    <col min="7" max="7" width="15.796875" style="2" customWidth="1"/>
    <col min="8" max="16384" width="11.3984375" style="2"/>
  </cols>
  <sheetData>
    <row r="1" spans="1:10" s="1" customFormat="1" ht="14" customHeight="1"/>
    <row r="2" spans="1:10" s="1" customFormat="1" ht="28" customHeight="1">
      <c r="A2" s="112" t="s">
        <v>2368</v>
      </c>
      <c r="G2" s="265">
        <v>2006</v>
      </c>
    </row>
    <row r="3" spans="1:10" ht="24" customHeight="1">
      <c r="A3" s="113" t="s">
        <v>758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  <c r="G3" s="170" t="s">
        <v>45</v>
      </c>
    </row>
    <row r="4" spans="1:10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  <c r="G4" s="116" t="s">
        <v>46</v>
      </c>
    </row>
    <row r="5" spans="1:10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  <c r="G5" s="116" t="s">
        <v>50</v>
      </c>
    </row>
    <row r="6" spans="1:10" ht="24" customHeight="1">
      <c r="A6" s="249"/>
      <c r="B6" s="123"/>
      <c r="C6" s="122"/>
      <c r="D6" s="123"/>
      <c r="E6" s="183" t="s">
        <v>753</v>
      </c>
      <c r="F6" s="123"/>
      <c r="G6" s="120"/>
    </row>
    <row r="7" spans="1:10" ht="22.5" customHeight="1" thickBot="1">
      <c r="A7" s="250">
        <v>1996</v>
      </c>
      <c r="B7" s="637">
        <v>8068.747832</v>
      </c>
      <c r="C7" s="257">
        <v>2578.7974989999998</v>
      </c>
      <c r="D7" s="637">
        <v>25.416930000000001</v>
      </c>
      <c r="E7" s="257">
        <v>107.523248</v>
      </c>
      <c r="F7" s="637">
        <v>10780.485509</v>
      </c>
      <c r="G7" s="421">
        <v>7.6197276345230935E-2</v>
      </c>
    </row>
    <row r="8" spans="1:10" ht="20" customHeight="1" thickBot="1">
      <c r="A8" s="251">
        <v>1997</v>
      </c>
      <c r="B8" s="638">
        <v>7130.3436650000003</v>
      </c>
      <c r="C8" s="546">
        <v>3864.390214</v>
      </c>
      <c r="D8" s="638">
        <v>13.596114</v>
      </c>
      <c r="E8" s="546">
        <v>352.16520000000003</v>
      </c>
      <c r="F8" s="638">
        <v>11360.495192</v>
      </c>
      <c r="G8" s="499">
        <v>5.3801814632168828E-2</v>
      </c>
      <c r="H8" s="9"/>
      <c r="I8" s="9"/>
      <c r="J8" s="9"/>
    </row>
    <row r="9" spans="1:10" ht="20" customHeight="1" thickBot="1">
      <c r="A9" s="251">
        <v>1998</v>
      </c>
      <c r="B9" s="638">
        <v>7021.0225700000001</v>
      </c>
      <c r="C9" s="546">
        <v>4312.7338319999999</v>
      </c>
      <c r="D9" s="638">
        <v>6.4190870000000002</v>
      </c>
      <c r="E9" s="546">
        <v>586.68436299999996</v>
      </c>
      <c r="F9" s="638">
        <v>11926.859852</v>
      </c>
      <c r="G9" s="499">
        <v>4.9853870841724421E-2</v>
      </c>
    </row>
    <row r="10" spans="1:10" ht="20" customHeight="1" thickBot="1">
      <c r="A10" s="251">
        <v>1999</v>
      </c>
      <c r="B10" s="638">
        <v>7777.7143260000003</v>
      </c>
      <c r="C10" s="546">
        <v>3929.1822109999998</v>
      </c>
      <c r="D10" s="638">
        <v>6.4800399999999998</v>
      </c>
      <c r="E10" s="546">
        <v>717.23275599999999</v>
      </c>
      <c r="F10" s="638">
        <v>12430.609334000001</v>
      </c>
      <c r="G10" s="499">
        <v>4.2236555828693498E-2</v>
      </c>
    </row>
    <row r="11" spans="1:10" ht="20" customHeight="1" thickBot="1">
      <c r="A11" s="251">
        <v>2000</v>
      </c>
      <c r="B11" s="638">
        <v>8082.7115553000003</v>
      </c>
      <c r="C11" s="546">
        <v>4300.2223146999995</v>
      </c>
      <c r="D11" s="638">
        <v>6.28484658</v>
      </c>
      <c r="E11" s="546">
        <v>801.09118021000006</v>
      </c>
      <c r="F11" s="638">
        <v>13190.30989679</v>
      </c>
      <c r="G11" s="499">
        <v>6.111531159716195E-2</v>
      </c>
    </row>
    <row r="12" spans="1:10" ht="20" customHeight="1" thickBot="1">
      <c r="A12" s="251">
        <v>2001</v>
      </c>
      <c r="B12" s="638">
        <v>8576.2604756000001</v>
      </c>
      <c r="C12" s="546">
        <v>4525.6886304</v>
      </c>
      <c r="D12" s="638">
        <v>7.0934559400000001</v>
      </c>
      <c r="E12" s="546">
        <v>877.22872129999996</v>
      </c>
      <c r="F12" s="638">
        <v>13986.271283239999</v>
      </c>
      <c r="G12" s="499">
        <v>6.0344403784152512E-2</v>
      </c>
    </row>
    <row r="13" spans="1:10" ht="20" customHeight="1" thickBot="1">
      <c r="A13" s="251">
        <v>2002</v>
      </c>
      <c r="B13" s="638">
        <v>8890.6642347999987</v>
      </c>
      <c r="C13" s="546">
        <v>4785.7639721999994</v>
      </c>
      <c r="D13" s="638">
        <v>6.6999405400000001</v>
      </c>
      <c r="E13" s="546">
        <v>909.62889640999992</v>
      </c>
      <c r="F13" s="638">
        <v>14592.757043950001</v>
      </c>
      <c r="G13" s="499">
        <v>4.3362934153634278E-2</v>
      </c>
    </row>
    <row r="14" spans="1:10" ht="20" customHeight="1" thickBot="1">
      <c r="A14" s="251">
        <v>2003</v>
      </c>
      <c r="B14" s="638">
        <v>9320.4810839999991</v>
      </c>
      <c r="C14" s="546">
        <v>5132.6037123000006</v>
      </c>
      <c r="D14" s="638">
        <v>7.0683550799999999</v>
      </c>
      <c r="E14" s="546">
        <v>875.46655299999998</v>
      </c>
      <c r="F14" s="638">
        <v>15335.619704379998</v>
      </c>
      <c r="G14" s="499">
        <v>5.0906258371373338E-2</v>
      </c>
    </row>
    <row r="15" spans="1:10" ht="20" customHeight="1" thickBot="1">
      <c r="A15" s="251">
        <v>2004</v>
      </c>
      <c r="B15" s="638">
        <v>9988.6658920000009</v>
      </c>
      <c r="C15" s="546">
        <v>5289.8342951999994</v>
      </c>
      <c r="D15" s="638">
        <v>7.2944575399999998</v>
      </c>
      <c r="E15" s="546">
        <v>1021.7139006</v>
      </c>
      <c r="F15" s="638">
        <v>16307.508545340002</v>
      </c>
      <c r="G15" s="499">
        <v>6.3374604984656954E-2</v>
      </c>
    </row>
    <row r="16" spans="1:10" ht="20" customHeight="1" thickBot="1">
      <c r="A16" s="251">
        <v>2005</v>
      </c>
      <c r="B16" s="638">
        <v>10948.37887789</v>
      </c>
      <c r="C16" s="546">
        <v>5106.1971250400002</v>
      </c>
      <c r="D16" s="638">
        <v>7.7069186199999997</v>
      </c>
      <c r="E16" s="546">
        <v>1290.43711553</v>
      </c>
      <c r="F16" s="638">
        <v>17352.720037080002</v>
      </c>
      <c r="G16" s="499">
        <v>6.4093879750789812E-2</v>
      </c>
    </row>
    <row r="17" spans="1:7" ht="30" customHeight="1" thickBot="1">
      <c r="A17" s="361">
        <v>2006</v>
      </c>
      <c r="B17" s="844">
        <v>10882.30509285</v>
      </c>
      <c r="C17" s="845">
        <v>4819.3397623999999</v>
      </c>
      <c r="D17" s="844">
        <v>7.6050231300000002</v>
      </c>
      <c r="E17" s="845">
        <v>1854.6657244100002</v>
      </c>
      <c r="F17" s="844">
        <v>17563.915602789999</v>
      </c>
      <c r="G17" s="509">
        <v>1.2170747021717962E-2</v>
      </c>
    </row>
    <row r="18" spans="1:7" ht="20" customHeight="1">
      <c r="A18" s="136" t="s">
        <v>453</v>
      </c>
      <c r="B18" s="136"/>
      <c r="C18" s="136"/>
      <c r="D18" s="136"/>
      <c r="E18" s="136"/>
      <c r="F18" s="136"/>
      <c r="G18" s="136"/>
    </row>
    <row r="19" spans="1:7" ht="16.5" customHeight="1">
      <c r="A19" s="3"/>
      <c r="B19" s="3"/>
      <c r="C19" s="3"/>
      <c r="D19" s="3"/>
      <c r="E19" s="3"/>
      <c r="F19" s="3"/>
      <c r="G19" s="3"/>
    </row>
    <row r="20" spans="1:7">
      <c r="A20" s="3" t="s">
        <v>436</v>
      </c>
    </row>
    <row r="22" spans="1:7">
      <c r="A22" s="2" t="s">
        <v>437</v>
      </c>
    </row>
    <row r="25" spans="1:7">
      <c r="A25" s="2" t="s">
        <v>1955</v>
      </c>
    </row>
    <row r="27" spans="1:7" ht="14">
      <c r="F27" s="464"/>
    </row>
    <row r="28" spans="1:7" ht="14">
      <c r="F28" s="465"/>
    </row>
  </sheetData>
  <phoneticPr fontId="0" type="noConversion"/>
  <pageMargins left="0.57999999999999996" right="0.61" top="1.01" bottom="0.49" header="0.57999999999999996" footer="0.4921259845"/>
  <pageSetup paperSize="9" scale="81" orientation="portrait" horizontalDpi="4294967292" verticalDpi="4294967292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E99B-8D9B-1E4D-BE3C-17F2330F9726}">
  <sheetPr>
    <pageSetUpPr fitToPage="1"/>
  </sheetPr>
  <dimension ref="A1:J82"/>
  <sheetViews>
    <sheetView zoomScale="75" workbookViewId="0">
      <selection activeCell="H17" sqref="H17"/>
    </sheetView>
  </sheetViews>
  <sheetFormatPr baseColWidth="10" defaultColWidth="11.3984375" defaultRowHeight="13"/>
  <cols>
    <col min="1" max="1" width="20.796875" style="2" customWidth="1"/>
    <col min="2" max="3" width="15.796875" style="2" customWidth="1"/>
    <col min="4" max="6" width="14.19921875" style="2" customWidth="1"/>
    <col min="7" max="7" width="16.1992187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9.75" customHeight="1">
      <c r="A2" s="1695" t="s">
        <v>2370</v>
      </c>
      <c r="B2" s="1699"/>
      <c r="C2" s="1699"/>
      <c r="D2" s="1699"/>
      <c r="E2" s="1699"/>
      <c r="F2" s="1699"/>
      <c r="G2" s="112">
        <v>2006</v>
      </c>
    </row>
    <row r="3" spans="1:10" ht="24" customHeight="1">
      <c r="A3" s="328" t="s">
        <v>2371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  <c r="G3" s="170" t="s">
        <v>45</v>
      </c>
    </row>
    <row r="4" spans="1:10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  <c r="G4" s="116" t="s">
        <v>46</v>
      </c>
    </row>
    <row r="5" spans="1:10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  <c r="G5" s="116" t="s">
        <v>50</v>
      </c>
    </row>
    <row r="6" spans="1:10" ht="24" customHeight="1">
      <c r="A6" s="314" t="s">
        <v>740</v>
      </c>
      <c r="B6" s="123"/>
      <c r="C6" s="122"/>
      <c r="D6" s="123"/>
      <c r="E6" s="183" t="s">
        <v>753</v>
      </c>
      <c r="F6" s="123"/>
      <c r="G6" s="182"/>
    </row>
    <row r="7" spans="1:10" ht="20" customHeight="1" thickBot="1">
      <c r="A7" s="250">
        <v>1996</v>
      </c>
      <c r="B7" s="145">
        <v>1693.472957927004</v>
      </c>
      <c r="C7" s="198">
        <v>1112.5875100399426</v>
      </c>
      <c r="D7" s="145">
        <v>908.57038606702895</v>
      </c>
      <c r="E7" s="198">
        <v>879.61661091952851</v>
      </c>
      <c r="F7" s="145">
        <v>1490.5270087783663</v>
      </c>
      <c r="G7" s="421" t="s">
        <v>1412</v>
      </c>
    </row>
    <row r="8" spans="1:10" ht="20" customHeight="1" thickBot="1">
      <c r="A8" s="251">
        <v>1997</v>
      </c>
      <c r="B8" s="147">
        <v>1740.7565036180117</v>
      </c>
      <c r="C8" s="204">
        <v>1408.0072046657929</v>
      </c>
      <c r="D8" s="147">
        <v>1179.3463740854293</v>
      </c>
      <c r="E8" s="204">
        <v>916.51587762677957</v>
      </c>
      <c r="F8" s="147">
        <v>1569.8943852604398</v>
      </c>
      <c r="G8" s="499">
        <v>5.3247862007628349E-2</v>
      </c>
      <c r="H8" s="9"/>
      <c r="I8" s="9"/>
      <c r="J8" s="9"/>
    </row>
    <row r="9" spans="1:10" ht="20" customHeight="1" thickBot="1">
      <c r="A9" s="251">
        <v>1998</v>
      </c>
      <c r="B9" s="147">
        <v>1748.6257046580097</v>
      </c>
      <c r="C9" s="204">
        <v>1582.236200997007</v>
      </c>
      <c r="D9" s="147">
        <v>542.85146212992356</v>
      </c>
      <c r="E9" s="204">
        <v>1187.8496276871122</v>
      </c>
      <c r="F9" s="147">
        <v>1645.8523332821831</v>
      </c>
      <c r="G9" s="499">
        <v>4.8384113437759779E-2</v>
      </c>
    </row>
    <row r="10" spans="1:10" ht="20" customHeight="1" thickBot="1">
      <c r="A10" s="251">
        <v>1999</v>
      </c>
      <c r="B10" s="147">
        <v>1943.9724380280036</v>
      </c>
      <c r="C10" s="204">
        <v>1446.076835760324</v>
      </c>
      <c r="D10" s="147">
        <v>631.35948452726836</v>
      </c>
      <c r="E10" s="204">
        <v>1322.850287189882</v>
      </c>
      <c r="F10" s="147">
        <v>1709.7272154599079</v>
      </c>
      <c r="G10" s="499">
        <v>3.880960696537377E-2</v>
      </c>
    </row>
    <row r="11" spans="1:10" ht="20" customHeight="1" thickBot="1">
      <c r="A11" s="251">
        <v>2000</v>
      </c>
      <c r="B11" s="147">
        <v>2061.7572370412531</v>
      </c>
      <c r="C11" s="204">
        <v>1559.5200327769257</v>
      </c>
      <c r="D11" s="147">
        <v>640.85618858059308</v>
      </c>
      <c r="E11" s="204">
        <v>1386.9243548352326</v>
      </c>
      <c r="F11" s="147">
        <v>1815.5684428845086</v>
      </c>
      <c r="G11" s="499">
        <v>6.1905329965827281E-2</v>
      </c>
    </row>
    <row r="12" spans="1:10" ht="20" customHeight="1" thickBot="1">
      <c r="A12" s="251">
        <v>2001</v>
      </c>
      <c r="B12" s="147">
        <v>2215.2521849633595</v>
      </c>
      <c r="C12" s="204">
        <v>1601.456447034876</v>
      </c>
      <c r="D12" s="147">
        <v>761.4942224833801</v>
      </c>
      <c r="E12" s="204">
        <v>1476.0910392091953</v>
      </c>
      <c r="F12" s="147">
        <v>1915.6520340553755</v>
      </c>
      <c r="G12" s="499">
        <v>5.5125209717711163E-2</v>
      </c>
    </row>
    <row r="13" spans="1:10" ht="20" customHeight="1" thickBot="1">
      <c r="A13" s="251">
        <v>2002</v>
      </c>
      <c r="B13" s="147">
        <v>2336.5480943488155</v>
      </c>
      <c r="C13" s="204">
        <v>1608.7398764542932</v>
      </c>
      <c r="D13" s="147">
        <v>759.86194884606937</v>
      </c>
      <c r="E13" s="204">
        <v>1636.2590696884934</v>
      </c>
      <c r="F13" s="147">
        <v>1986.8602053785678</v>
      </c>
      <c r="G13" s="499">
        <v>3.7171767135833575E-2</v>
      </c>
    </row>
    <row r="14" spans="1:10" ht="20" customHeight="1" thickBot="1">
      <c r="A14" s="251">
        <v>2003</v>
      </c>
      <c r="B14" s="147">
        <v>2543.8057035018146</v>
      </c>
      <c r="C14" s="204">
        <v>1656.5311093343439</v>
      </c>
      <c r="D14" s="147">
        <v>852.25259235500948</v>
      </c>
      <c r="E14" s="204">
        <v>1454.7088463142236</v>
      </c>
      <c r="F14" s="147">
        <v>2080.1097733239922</v>
      </c>
      <c r="G14" s="499">
        <v>4.6933129816074295E-2</v>
      </c>
    </row>
    <row r="15" spans="1:10" ht="20" customHeight="1" thickBot="1">
      <c r="A15" s="251">
        <v>2004</v>
      </c>
      <c r="B15" s="147">
        <v>2758.2074827327442</v>
      </c>
      <c r="C15" s="204">
        <v>1757.4292603708973</v>
      </c>
      <c r="D15" s="147">
        <v>905.21341172647249</v>
      </c>
      <c r="E15" s="204">
        <v>1373.0910592494565</v>
      </c>
      <c r="F15" s="147">
        <v>2208.6199102683881</v>
      </c>
      <c r="G15" s="499">
        <v>6.1780459181747037E-2</v>
      </c>
    </row>
    <row r="16" spans="1:10" ht="20" customHeight="1" thickBot="1">
      <c r="A16" s="251">
        <v>2005</v>
      </c>
      <c r="B16" s="147">
        <v>3045.7444736931438</v>
      </c>
      <c r="C16" s="204">
        <v>1742.6322440668202</v>
      </c>
      <c r="D16" s="147">
        <v>1002.5097658133579</v>
      </c>
      <c r="E16" s="204">
        <v>1428.4762573055013</v>
      </c>
      <c r="F16" s="147">
        <v>2333.6518397093009</v>
      </c>
      <c r="G16" s="499">
        <v>5.6610885766088748E-2</v>
      </c>
    </row>
    <row r="17" spans="1:7" ht="24" customHeight="1" thickBot="1">
      <c r="A17" s="361">
        <v>2006</v>
      </c>
      <c r="B17" s="282">
        <v>3255.1789461574645</v>
      </c>
      <c r="C17" s="283">
        <v>1735.686558346925</v>
      </c>
      <c r="D17" s="282">
        <v>1057.4282552437587</v>
      </c>
      <c r="E17" s="283">
        <v>1372.2570154496282</v>
      </c>
      <c r="F17" s="282">
        <v>2348.6103301629255</v>
      </c>
      <c r="G17" s="610">
        <v>6.409906653208397E-3</v>
      </c>
    </row>
    <row r="18" spans="1:7" ht="20" customHeight="1">
      <c r="A18" s="136" t="s">
        <v>453</v>
      </c>
      <c r="B18" s="136"/>
      <c r="C18" s="136"/>
      <c r="D18" s="136"/>
      <c r="E18" s="136"/>
      <c r="F18" s="136"/>
      <c r="G18" s="414"/>
    </row>
    <row r="19" spans="1:7">
      <c r="G19" s="415"/>
    </row>
    <row r="20" spans="1:7">
      <c r="A20" s="2" t="s">
        <v>2369</v>
      </c>
      <c r="G20" s="415"/>
    </row>
    <row r="21" spans="1:7">
      <c r="G21" s="415"/>
    </row>
    <row r="22" spans="1:7">
      <c r="G22" s="415"/>
    </row>
    <row r="23" spans="1:7" ht="16">
      <c r="A23" s="843" t="s">
        <v>2349</v>
      </c>
      <c r="G23" s="415"/>
    </row>
    <row r="24" spans="1:7">
      <c r="G24" s="415"/>
    </row>
    <row r="25" spans="1:7" ht="18" customHeight="1">
      <c r="A25" s="328" t="s">
        <v>42</v>
      </c>
      <c r="B25" s="114" t="s">
        <v>741</v>
      </c>
      <c r="C25" s="115" t="s">
        <v>742</v>
      </c>
      <c r="D25" s="114" t="s">
        <v>743</v>
      </c>
      <c r="E25" s="115" t="s">
        <v>744</v>
      </c>
      <c r="F25" s="114" t="s">
        <v>1951</v>
      </c>
      <c r="G25" s="394" t="s">
        <v>45</v>
      </c>
    </row>
    <row r="26" spans="1:7" ht="18" customHeight="1">
      <c r="A26" s="847" t="s">
        <v>47</v>
      </c>
      <c r="B26" s="117" t="s">
        <v>745</v>
      </c>
      <c r="C26" s="118" t="s">
        <v>746</v>
      </c>
      <c r="D26" s="117" t="s">
        <v>747</v>
      </c>
      <c r="E26" s="180" t="s">
        <v>748</v>
      </c>
      <c r="F26" s="117"/>
      <c r="G26" s="494" t="s">
        <v>46</v>
      </c>
    </row>
    <row r="27" spans="1:7" ht="18" customHeight="1">
      <c r="A27" s="248"/>
      <c r="B27" s="117" t="s">
        <v>749</v>
      </c>
      <c r="C27" s="118" t="s">
        <v>750</v>
      </c>
      <c r="D27" s="117" t="s">
        <v>751</v>
      </c>
      <c r="E27" s="180" t="s">
        <v>752</v>
      </c>
      <c r="F27" s="117"/>
      <c r="G27" s="494" t="s">
        <v>50</v>
      </c>
    </row>
    <row r="28" spans="1:7" ht="18" customHeight="1">
      <c r="A28" s="249" t="s">
        <v>758</v>
      </c>
      <c r="B28" s="123"/>
      <c r="C28" s="122"/>
      <c r="D28" s="123"/>
      <c r="E28" s="183" t="s">
        <v>753</v>
      </c>
      <c r="F28" s="123"/>
      <c r="G28" s="395"/>
    </row>
    <row r="29" spans="1:7" ht="18" customHeight="1" thickBot="1">
      <c r="A29" s="250">
        <v>1996</v>
      </c>
      <c r="B29" s="145" t="s">
        <v>1412</v>
      </c>
      <c r="C29" s="198" t="s">
        <v>1412</v>
      </c>
      <c r="D29" s="145" t="s">
        <v>1412</v>
      </c>
      <c r="E29" s="198" t="s">
        <v>1412</v>
      </c>
      <c r="F29" s="145" t="s">
        <v>1412</v>
      </c>
      <c r="G29" s="421" t="s">
        <v>1412</v>
      </c>
    </row>
    <row r="30" spans="1:7" ht="18" customHeight="1" thickBot="1">
      <c r="A30" s="251">
        <v>1997</v>
      </c>
      <c r="B30" s="147">
        <v>545.11</v>
      </c>
      <c r="C30" s="204">
        <v>379.19</v>
      </c>
      <c r="D30" s="147" t="s">
        <v>1412</v>
      </c>
      <c r="E30" s="204">
        <v>330.14</v>
      </c>
      <c r="F30" s="147">
        <v>514.44000000000005</v>
      </c>
      <c r="G30" s="499" t="s">
        <v>1412</v>
      </c>
    </row>
    <row r="31" spans="1:7" ht="18" customHeight="1" thickBot="1">
      <c r="A31" s="251">
        <v>1998</v>
      </c>
      <c r="B31" s="147">
        <v>582.69000000000005</v>
      </c>
      <c r="C31" s="204">
        <v>427.79</v>
      </c>
      <c r="D31" s="147">
        <v>363.44</v>
      </c>
      <c r="E31" s="204">
        <v>409.2</v>
      </c>
      <c r="F31" s="147">
        <v>551.9</v>
      </c>
      <c r="G31" s="499">
        <v>7.2817043775756041E-2</v>
      </c>
    </row>
    <row r="32" spans="1:7" ht="18" customHeight="1" thickBot="1">
      <c r="A32" s="251">
        <v>1999</v>
      </c>
      <c r="B32" s="147">
        <v>596.71</v>
      </c>
      <c r="C32" s="204">
        <v>438.27</v>
      </c>
      <c r="D32" s="147">
        <v>362.08</v>
      </c>
      <c r="E32" s="204">
        <v>442.11</v>
      </c>
      <c r="F32" s="147">
        <v>566.42999999999995</v>
      </c>
      <c r="G32" s="499">
        <v>2.6327233194419319E-2</v>
      </c>
    </row>
    <row r="33" spans="1:7" ht="18" customHeight="1" thickBot="1">
      <c r="A33" s="251">
        <v>2000</v>
      </c>
      <c r="B33" s="147">
        <v>629.75</v>
      </c>
      <c r="C33" s="204">
        <v>473.1</v>
      </c>
      <c r="D33" s="147">
        <v>328.35</v>
      </c>
      <c r="E33" s="204">
        <v>456.68</v>
      </c>
      <c r="F33" s="147">
        <v>597.91</v>
      </c>
      <c r="G33" s="499">
        <v>5.5576152393058242E-2</v>
      </c>
    </row>
    <row r="34" spans="1:7" ht="18" customHeight="1" thickBot="1">
      <c r="A34" s="251">
        <v>2001</v>
      </c>
      <c r="B34" s="147">
        <v>660.68</v>
      </c>
      <c r="C34" s="204">
        <v>493.06</v>
      </c>
      <c r="D34" s="147">
        <v>453.48</v>
      </c>
      <c r="E34" s="204">
        <v>481.08</v>
      </c>
      <c r="F34" s="147">
        <v>627.16</v>
      </c>
      <c r="G34" s="499">
        <v>4.8920406081182755E-2</v>
      </c>
    </row>
    <row r="35" spans="1:7" ht="18" customHeight="1" thickBot="1">
      <c r="A35" s="251">
        <v>2002</v>
      </c>
      <c r="B35" s="147">
        <v>673.37</v>
      </c>
      <c r="C35" s="204">
        <v>493.13</v>
      </c>
      <c r="D35" s="147">
        <v>415</v>
      </c>
      <c r="E35" s="204">
        <v>513.34</v>
      </c>
      <c r="F35" s="147">
        <v>640.42999999999995</v>
      </c>
      <c r="G35" s="499">
        <v>2.1158874928247862E-2</v>
      </c>
    </row>
    <row r="36" spans="1:7" ht="18" customHeight="1" thickBot="1">
      <c r="A36" s="251">
        <v>2003</v>
      </c>
      <c r="B36" s="147">
        <v>704.56</v>
      </c>
      <c r="C36" s="204">
        <v>488.81</v>
      </c>
      <c r="D36" s="147">
        <v>444.03</v>
      </c>
      <c r="E36" s="204">
        <v>517.22</v>
      </c>
      <c r="F36" s="147">
        <v>664.36</v>
      </c>
      <c r="G36" s="499">
        <v>3.73655200412224E-2</v>
      </c>
    </row>
    <row r="37" spans="1:7" ht="18" customHeight="1" thickBot="1">
      <c r="A37" s="251">
        <v>2004</v>
      </c>
      <c r="B37" s="147">
        <v>747.91</v>
      </c>
      <c r="C37" s="204">
        <v>490.78</v>
      </c>
      <c r="D37" s="147">
        <v>416.4</v>
      </c>
      <c r="E37" s="204">
        <v>551.54</v>
      </c>
      <c r="F37" s="147">
        <v>701.54</v>
      </c>
      <c r="G37" s="499">
        <v>5.5963634174242882E-2</v>
      </c>
    </row>
    <row r="38" spans="1:7" ht="18" customHeight="1" thickBot="1">
      <c r="A38" s="251">
        <v>2005</v>
      </c>
      <c r="B38" s="147">
        <v>816.65</v>
      </c>
      <c r="C38" s="204">
        <v>483.47</v>
      </c>
      <c r="D38" s="147">
        <v>403.89</v>
      </c>
      <c r="E38" s="204">
        <v>570.5</v>
      </c>
      <c r="F38" s="147">
        <v>754.24</v>
      </c>
      <c r="G38" s="499">
        <v>7.5120449297260361E-2</v>
      </c>
    </row>
    <row r="39" spans="1:7" ht="18" customHeight="1" thickBot="1">
      <c r="A39" s="848">
        <v>2006</v>
      </c>
      <c r="B39" s="277">
        <v>837.74</v>
      </c>
      <c r="C39" s="645">
        <v>467.03</v>
      </c>
      <c r="D39" s="277">
        <v>407.74</v>
      </c>
      <c r="E39" s="645">
        <v>580.69000000000005</v>
      </c>
      <c r="F39" s="277">
        <v>763.04</v>
      </c>
      <c r="G39" s="610">
        <v>1.1667373780229084E-2</v>
      </c>
    </row>
    <row r="40" spans="1:7">
      <c r="A40" s="136"/>
      <c r="G40" s="415"/>
    </row>
    <row r="41" spans="1:7">
      <c r="G41" s="415"/>
    </row>
    <row r="42" spans="1:7" ht="18" customHeight="1">
      <c r="A42" s="328" t="s">
        <v>1380</v>
      </c>
      <c r="B42" s="114" t="s">
        <v>741</v>
      </c>
      <c r="C42" s="115" t="s">
        <v>742</v>
      </c>
      <c r="D42" s="114" t="s">
        <v>743</v>
      </c>
      <c r="E42" s="115" t="s">
        <v>744</v>
      </c>
      <c r="F42" s="114" t="s">
        <v>1951</v>
      </c>
      <c r="G42" s="394" t="s">
        <v>45</v>
      </c>
    </row>
    <row r="43" spans="1:7" ht="18" customHeight="1">
      <c r="A43" s="847" t="s">
        <v>48</v>
      </c>
      <c r="B43" s="117" t="s">
        <v>745</v>
      </c>
      <c r="C43" s="118" t="s">
        <v>746</v>
      </c>
      <c r="D43" s="117" t="s">
        <v>747</v>
      </c>
      <c r="E43" s="180" t="s">
        <v>748</v>
      </c>
      <c r="F43" s="117"/>
      <c r="G43" s="494" t="s">
        <v>46</v>
      </c>
    </row>
    <row r="44" spans="1:7" ht="18" customHeight="1">
      <c r="A44" s="248"/>
      <c r="B44" s="117" t="s">
        <v>749</v>
      </c>
      <c r="C44" s="118" t="s">
        <v>750</v>
      </c>
      <c r="D44" s="117" t="s">
        <v>751</v>
      </c>
      <c r="E44" s="180" t="s">
        <v>752</v>
      </c>
      <c r="F44" s="117"/>
      <c r="G44" s="494" t="s">
        <v>50</v>
      </c>
    </row>
    <row r="45" spans="1:7" ht="18" customHeight="1">
      <c r="A45" s="249" t="s">
        <v>758</v>
      </c>
      <c r="B45" s="123"/>
      <c r="C45" s="122"/>
      <c r="D45" s="123"/>
      <c r="E45" s="183" t="s">
        <v>753</v>
      </c>
      <c r="F45" s="123"/>
      <c r="G45" s="395"/>
    </row>
    <row r="46" spans="1:7" ht="18" customHeight="1" thickBot="1">
      <c r="A46" s="250">
        <v>1996</v>
      </c>
      <c r="B46" s="145" t="s">
        <v>1412</v>
      </c>
      <c r="C46" s="198" t="s">
        <v>1412</v>
      </c>
      <c r="D46" s="145" t="s">
        <v>1412</v>
      </c>
      <c r="E46" s="198" t="s">
        <v>1412</v>
      </c>
      <c r="F46" s="145" t="s">
        <v>1412</v>
      </c>
      <c r="G46" s="421" t="s">
        <v>1412</v>
      </c>
    </row>
    <row r="47" spans="1:7" ht="18" customHeight="1" thickBot="1">
      <c r="A47" s="251">
        <v>1997</v>
      </c>
      <c r="B47" s="147">
        <v>828.31</v>
      </c>
      <c r="C47" s="204">
        <v>559.74</v>
      </c>
      <c r="D47" s="147" t="s">
        <v>1412</v>
      </c>
      <c r="E47" s="204">
        <v>403.15</v>
      </c>
      <c r="F47" s="147">
        <v>710.67</v>
      </c>
      <c r="G47" s="499" t="s">
        <v>1412</v>
      </c>
    </row>
    <row r="48" spans="1:7" ht="18" customHeight="1" thickBot="1">
      <c r="A48" s="251">
        <v>1998</v>
      </c>
      <c r="B48" s="147">
        <v>873.53</v>
      </c>
      <c r="C48" s="204">
        <v>593.55999999999995</v>
      </c>
      <c r="D48" s="147">
        <v>462.8</v>
      </c>
      <c r="E48" s="204">
        <v>440.16</v>
      </c>
      <c r="F48" s="147">
        <v>720.82</v>
      </c>
      <c r="G48" s="499">
        <v>1.4282296987350174E-2</v>
      </c>
    </row>
    <row r="49" spans="1:7" ht="18" customHeight="1" thickBot="1">
      <c r="A49" s="251">
        <v>1999</v>
      </c>
      <c r="B49" s="147">
        <v>856.59</v>
      </c>
      <c r="C49" s="204">
        <v>636.57000000000005</v>
      </c>
      <c r="D49" s="147">
        <v>495.98</v>
      </c>
      <c r="E49" s="204">
        <v>488.53</v>
      </c>
      <c r="F49" s="147">
        <v>737.62</v>
      </c>
      <c r="G49" s="499">
        <v>2.3306789489747626E-2</v>
      </c>
    </row>
    <row r="50" spans="1:7" ht="18" customHeight="1" thickBot="1">
      <c r="A50" s="251">
        <v>2000</v>
      </c>
      <c r="B50" s="147">
        <v>917.29</v>
      </c>
      <c r="C50" s="204">
        <v>673.97</v>
      </c>
      <c r="D50" s="147">
        <v>496.44</v>
      </c>
      <c r="E50" s="204">
        <v>543.66</v>
      </c>
      <c r="F50" s="147">
        <v>787.29</v>
      </c>
      <c r="G50" s="499">
        <v>6.7338195818985369E-2</v>
      </c>
    </row>
    <row r="51" spans="1:7" ht="18" customHeight="1" thickBot="1">
      <c r="A51" s="251">
        <v>2001</v>
      </c>
      <c r="B51" s="147">
        <v>985.66</v>
      </c>
      <c r="C51" s="204">
        <v>660.7</v>
      </c>
      <c r="D51" s="147" t="s">
        <v>1412</v>
      </c>
      <c r="E51" s="204">
        <v>575.52</v>
      </c>
      <c r="F51" s="147">
        <v>820.79</v>
      </c>
      <c r="G51" s="499">
        <v>4.2551029480877522E-2</v>
      </c>
    </row>
    <row r="52" spans="1:7" ht="18" customHeight="1" thickBot="1">
      <c r="A52" s="251">
        <v>2002</v>
      </c>
      <c r="B52" s="147">
        <v>1055.77</v>
      </c>
      <c r="C52" s="204">
        <v>633.61</v>
      </c>
      <c r="D52" s="147" t="s">
        <v>1412</v>
      </c>
      <c r="E52" s="204">
        <v>590.74</v>
      </c>
      <c r="F52" s="147">
        <v>831.97</v>
      </c>
      <c r="G52" s="499">
        <v>1.3621023647949038E-2</v>
      </c>
    </row>
    <row r="53" spans="1:7" ht="18" customHeight="1" thickBot="1">
      <c r="A53" s="251">
        <v>2003</v>
      </c>
      <c r="B53" s="147">
        <v>1148.42</v>
      </c>
      <c r="C53" s="204">
        <v>614.30999999999995</v>
      </c>
      <c r="D53" s="147" t="s">
        <v>1412</v>
      </c>
      <c r="E53" s="204">
        <v>584.67999999999995</v>
      </c>
      <c r="F53" s="147">
        <v>853.64</v>
      </c>
      <c r="G53" s="499">
        <v>2.6046612257653479E-2</v>
      </c>
    </row>
    <row r="54" spans="1:7" ht="18" customHeight="1" thickBot="1">
      <c r="A54" s="251">
        <v>2004</v>
      </c>
      <c r="B54" s="147">
        <v>1173.74</v>
      </c>
      <c r="C54" s="204">
        <v>628.03</v>
      </c>
      <c r="D54" s="147" t="s">
        <v>1412</v>
      </c>
      <c r="E54" s="204">
        <v>605.5</v>
      </c>
      <c r="F54" s="147">
        <v>876.55</v>
      </c>
      <c r="G54" s="499">
        <v>2.6838011339674672E-2</v>
      </c>
    </row>
    <row r="55" spans="1:7" ht="18" customHeight="1" thickBot="1">
      <c r="A55" s="251">
        <v>2005</v>
      </c>
      <c r="B55" s="147">
        <v>1262.96</v>
      </c>
      <c r="C55" s="204">
        <v>584.52</v>
      </c>
      <c r="D55" s="147">
        <v>714.96</v>
      </c>
      <c r="E55" s="204">
        <v>580.20000000000005</v>
      </c>
      <c r="F55" s="147">
        <v>890.22</v>
      </c>
      <c r="G55" s="499">
        <v>1.5595231304546209E-2</v>
      </c>
    </row>
    <row r="56" spans="1:7" ht="18" customHeight="1" thickBot="1">
      <c r="A56" s="848">
        <v>2006</v>
      </c>
      <c r="B56" s="277">
        <v>1287.49</v>
      </c>
      <c r="C56" s="645">
        <v>542.64</v>
      </c>
      <c r="D56" s="277">
        <v>485.45</v>
      </c>
      <c r="E56" s="645">
        <v>575.54999999999995</v>
      </c>
      <c r="F56" s="277">
        <v>867.53</v>
      </c>
      <c r="G56" s="610">
        <v>-2.5488081597807355E-2</v>
      </c>
    </row>
    <row r="57" spans="1:7">
      <c r="D57" s="4"/>
      <c r="E57" s="4"/>
      <c r="F57" s="4"/>
      <c r="G57" s="415"/>
    </row>
    <row r="58" spans="1:7">
      <c r="D58" s="4"/>
      <c r="E58" s="4"/>
      <c r="F58" s="4"/>
      <c r="G58" s="415"/>
    </row>
    <row r="59" spans="1:7" ht="18.75" customHeight="1">
      <c r="A59" s="328" t="s">
        <v>2350</v>
      </c>
      <c r="B59" s="114" t="s">
        <v>741</v>
      </c>
      <c r="C59" s="115" t="s">
        <v>742</v>
      </c>
      <c r="D59" s="114" t="s">
        <v>743</v>
      </c>
      <c r="E59" s="115" t="s">
        <v>744</v>
      </c>
      <c r="F59" s="114" t="s">
        <v>1951</v>
      </c>
      <c r="G59" s="394" t="s">
        <v>45</v>
      </c>
    </row>
    <row r="60" spans="1:7" ht="18.75" customHeight="1">
      <c r="A60" s="847" t="s">
        <v>2351</v>
      </c>
      <c r="B60" s="117" t="s">
        <v>745</v>
      </c>
      <c r="C60" s="118" t="s">
        <v>746</v>
      </c>
      <c r="D60" s="117" t="s">
        <v>747</v>
      </c>
      <c r="E60" s="180" t="s">
        <v>748</v>
      </c>
      <c r="F60" s="117"/>
      <c r="G60" s="494" t="s">
        <v>46</v>
      </c>
    </row>
    <row r="61" spans="1:7" ht="18.75" customHeight="1">
      <c r="A61" s="248"/>
      <c r="B61" s="117" t="s">
        <v>749</v>
      </c>
      <c r="C61" s="118" t="s">
        <v>750</v>
      </c>
      <c r="D61" s="117" t="s">
        <v>751</v>
      </c>
      <c r="E61" s="180" t="s">
        <v>752</v>
      </c>
      <c r="F61" s="117"/>
      <c r="G61" s="494" t="s">
        <v>50</v>
      </c>
    </row>
    <row r="62" spans="1:7" ht="18.75" customHeight="1">
      <c r="A62" s="249" t="s">
        <v>758</v>
      </c>
      <c r="B62" s="123"/>
      <c r="C62" s="122"/>
      <c r="D62" s="123"/>
      <c r="E62" s="183" t="s">
        <v>753</v>
      </c>
      <c r="F62" s="123"/>
      <c r="G62" s="395"/>
    </row>
    <row r="63" spans="1:7" ht="18.75" customHeight="1" thickBot="1">
      <c r="A63" s="250">
        <v>1996</v>
      </c>
      <c r="B63" s="145" t="s">
        <v>1412</v>
      </c>
      <c r="C63" s="198" t="s">
        <v>1412</v>
      </c>
      <c r="D63" s="145" t="s">
        <v>1412</v>
      </c>
      <c r="E63" s="198" t="s">
        <v>1412</v>
      </c>
      <c r="F63" s="145" t="s">
        <v>1412</v>
      </c>
      <c r="G63" s="421" t="s">
        <v>1412</v>
      </c>
    </row>
    <row r="64" spans="1:7" ht="18.75" customHeight="1" thickBot="1">
      <c r="A64" s="251">
        <v>1997</v>
      </c>
      <c r="B64" s="147">
        <v>2553.6</v>
      </c>
      <c r="C64" s="204">
        <v>1490.87</v>
      </c>
      <c r="D64" s="147" t="s">
        <v>1412</v>
      </c>
      <c r="E64" s="204">
        <v>999.25</v>
      </c>
      <c r="F64" s="147">
        <v>1974.25</v>
      </c>
      <c r="G64" s="499" t="s">
        <v>1412</v>
      </c>
    </row>
    <row r="65" spans="1:7" ht="18.75" customHeight="1" thickBot="1">
      <c r="A65" s="251">
        <v>1998</v>
      </c>
      <c r="B65" s="147">
        <v>2601.9299999999998</v>
      </c>
      <c r="C65" s="204">
        <v>1682.57</v>
      </c>
      <c r="D65" s="147">
        <v>581.41</v>
      </c>
      <c r="E65" s="204">
        <v>1300.21</v>
      </c>
      <c r="F65" s="147">
        <v>2092.48</v>
      </c>
      <c r="G65" s="499">
        <v>5.9886032670634526E-2</v>
      </c>
    </row>
    <row r="66" spans="1:7" ht="18.75" customHeight="1" thickBot="1">
      <c r="A66" s="251">
        <v>1999</v>
      </c>
      <c r="B66" s="147">
        <v>2790.72</v>
      </c>
      <c r="C66" s="204">
        <v>1676.63</v>
      </c>
      <c r="D66" s="147">
        <v>628.47</v>
      </c>
      <c r="E66" s="204">
        <v>1466.13</v>
      </c>
      <c r="F66" s="147">
        <v>2185.0300000000002</v>
      </c>
      <c r="G66" s="499">
        <v>4.4229813427129727E-2</v>
      </c>
    </row>
    <row r="67" spans="1:7" ht="18.75" customHeight="1" thickBot="1">
      <c r="A67" s="251">
        <v>2000</v>
      </c>
      <c r="B67" s="147">
        <v>3052.4</v>
      </c>
      <c r="C67" s="204">
        <v>1789.05</v>
      </c>
      <c r="D67" s="147">
        <v>575.94000000000005</v>
      </c>
      <c r="E67" s="204">
        <v>1591.54</v>
      </c>
      <c r="F67" s="147">
        <v>2348.13</v>
      </c>
      <c r="G67" s="499">
        <v>7.4644284060173094E-2</v>
      </c>
    </row>
    <row r="68" spans="1:7" ht="18.75" customHeight="1" thickBot="1">
      <c r="A68" s="251">
        <v>2001</v>
      </c>
      <c r="B68" s="147">
        <v>3292.81</v>
      </c>
      <c r="C68" s="204">
        <v>1845.88</v>
      </c>
      <c r="D68" s="147">
        <v>742.01</v>
      </c>
      <c r="E68" s="204">
        <v>1662.99</v>
      </c>
      <c r="F68" s="147">
        <v>2475.4499999999998</v>
      </c>
      <c r="G68" s="499">
        <v>5.4221870169028019E-2</v>
      </c>
    </row>
    <row r="69" spans="1:7" ht="18.75" customHeight="1" thickBot="1">
      <c r="A69" s="251">
        <v>2002</v>
      </c>
      <c r="B69" s="147">
        <v>3510.96</v>
      </c>
      <c r="C69" s="204">
        <v>1862.31</v>
      </c>
      <c r="D69" s="147">
        <v>758.7</v>
      </c>
      <c r="E69" s="204">
        <v>1701.35</v>
      </c>
      <c r="F69" s="147">
        <v>2560.0700000000002</v>
      </c>
      <c r="G69" s="499">
        <v>3.4183683774667406E-2</v>
      </c>
    </row>
    <row r="70" spans="1:7" ht="18.75" customHeight="1" thickBot="1">
      <c r="A70" s="251">
        <v>2003</v>
      </c>
      <c r="B70" s="147">
        <v>3846.7</v>
      </c>
      <c r="C70" s="204">
        <v>1889.85</v>
      </c>
      <c r="D70" s="147">
        <v>849.57</v>
      </c>
      <c r="E70" s="204">
        <v>1588.19</v>
      </c>
      <c r="F70" s="147">
        <v>2673.16</v>
      </c>
      <c r="G70" s="499">
        <v>4.417457335150976E-2</v>
      </c>
    </row>
    <row r="71" spans="1:7" ht="18.75" customHeight="1" thickBot="1">
      <c r="A71" s="251">
        <v>2004</v>
      </c>
      <c r="B71" s="147">
        <v>3993.1</v>
      </c>
      <c r="C71" s="204">
        <v>1997.31</v>
      </c>
      <c r="D71" s="147">
        <v>973.4</v>
      </c>
      <c r="E71" s="204">
        <v>1687.36</v>
      </c>
      <c r="F71" s="147">
        <v>2810.53</v>
      </c>
      <c r="G71" s="499">
        <v>5.1388618713432921E-2</v>
      </c>
    </row>
    <row r="72" spans="1:7" ht="18.75" customHeight="1" thickBot="1">
      <c r="A72" s="251">
        <v>2005</v>
      </c>
      <c r="B72" s="147">
        <v>4332.03</v>
      </c>
      <c r="C72" s="204">
        <v>1958.97</v>
      </c>
      <c r="D72" s="147">
        <v>1024.46</v>
      </c>
      <c r="E72" s="204">
        <v>1745.99</v>
      </c>
      <c r="F72" s="147">
        <v>2951.91</v>
      </c>
      <c r="G72" s="499">
        <v>5.0303679377199151E-2</v>
      </c>
    </row>
    <row r="73" spans="1:7" ht="18.75" customHeight="1" thickBot="1">
      <c r="A73" s="848">
        <v>2006</v>
      </c>
      <c r="B73" s="277">
        <v>4557.88</v>
      </c>
      <c r="C73" s="645">
        <v>1915.05</v>
      </c>
      <c r="D73" s="277">
        <v>1085.1300000000001</v>
      </c>
      <c r="E73" s="645">
        <v>1767.29</v>
      </c>
      <c r="F73" s="277">
        <v>2973.8</v>
      </c>
      <c r="G73" s="610">
        <v>7.4155377365843211E-3</v>
      </c>
    </row>
    <row r="74" spans="1:7" ht="15" customHeight="1">
      <c r="A74" s="660" t="s">
        <v>1245</v>
      </c>
    </row>
    <row r="76" spans="1:7">
      <c r="A76" s="3" t="s">
        <v>2352</v>
      </c>
    </row>
    <row r="78" spans="1:7">
      <c r="A78" s="3" t="s">
        <v>436</v>
      </c>
    </row>
    <row r="79" spans="1:7">
      <c r="A79" s="2" t="s">
        <v>2353</v>
      </c>
    </row>
    <row r="82" spans="1:1">
      <c r="A82" s="2" t="s">
        <v>1955</v>
      </c>
    </row>
  </sheetData>
  <mergeCells count="1">
    <mergeCell ref="A2:F2"/>
  </mergeCells>
  <phoneticPr fontId="0" type="noConversion"/>
  <pageMargins left="0.56000000000000005" right="0.38" top="0.48" bottom="0.49" header="0.36" footer="0.4921259845"/>
  <pageSetup paperSize="9" scale="55" orientation="portrait" horizontalDpi="1200" verticalDpi="12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A73B-F408-0E4E-A5B5-B1E3277B35CC}">
  <sheetPr>
    <pageSetUpPr fitToPage="1"/>
  </sheetPr>
  <dimension ref="A1:I17"/>
  <sheetViews>
    <sheetView topLeftCell="A2" zoomScale="75" workbookViewId="0">
      <selection activeCell="A13" sqref="A13"/>
    </sheetView>
  </sheetViews>
  <sheetFormatPr baseColWidth="10" defaultColWidth="11.3984375" defaultRowHeight="13"/>
  <cols>
    <col min="1" max="1" width="19.3984375" style="2" customWidth="1"/>
    <col min="2" max="2" width="16.3984375" style="2" customWidth="1"/>
    <col min="3" max="4" width="17.19921875" style="2" customWidth="1"/>
    <col min="5" max="5" width="18.19921875" style="2" customWidth="1"/>
    <col min="6" max="7" width="13.3984375" style="2" customWidth="1"/>
    <col min="8" max="8" width="11.3984375" style="2"/>
    <col min="9" max="9" width="15.796875" style="2" hidden="1" customWidth="1"/>
    <col min="10" max="16384" width="11.3984375" style="2"/>
  </cols>
  <sheetData>
    <row r="1" spans="1:9" ht="14" customHeight="1">
      <c r="A1" s="346"/>
      <c r="B1" s="3"/>
      <c r="C1" s="3"/>
      <c r="D1" s="3"/>
      <c r="E1" s="3"/>
      <c r="F1" s="3"/>
      <c r="G1" s="3"/>
      <c r="I1" s="3"/>
    </row>
    <row r="2" spans="1:9" ht="27.75" customHeight="1">
      <c r="A2" s="347" t="s">
        <v>2356</v>
      </c>
      <c r="B2" s="662"/>
      <c r="C2" s="662"/>
      <c r="D2" s="662"/>
      <c r="E2" s="662"/>
      <c r="F2" s="662"/>
      <c r="G2" s="265">
        <v>2006</v>
      </c>
      <c r="I2" s="3"/>
    </row>
    <row r="3" spans="1:9" ht="24" customHeight="1">
      <c r="A3" s="113" t="s">
        <v>733</v>
      </c>
      <c r="B3" s="114" t="s">
        <v>115</v>
      </c>
      <c r="C3" s="115" t="s">
        <v>116</v>
      </c>
      <c r="D3" s="114" t="s">
        <v>42</v>
      </c>
      <c r="E3" s="115" t="s">
        <v>1951</v>
      </c>
      <c r="F3" s="114" t="s">
        <v>893</v>
      </c>
      <c r="G3" s="115" t="s">
        <v>45</v>
      </c>
      <c r="I3" s="115" t="s">
        <v>1951</v>
      </c>
    </row>
    <row r="4" spans="1:9" ht="15" customHeight="1">
      <c r="A4" s="248"/>
      <c r="B4" s="117"/>
      <c r="C4" s="118"/>
      <c r="D4" s="117"/>
      <c r="E4" s="180"/>
      <c r="F4" s="117" t="s">
        <v>894</v>
      </c>
      <c r="G4" s="118" t="s">
        <v>46</v>
      </c>
      <c r="I4" s="180">
        <v>1999</v>
      </c>
    </row>
    <row r="5" spans="1:9" ht="15" customHeight="1">
      <c r="A5" s="116"/>
      <c r="B5" s="117"/>
      <c r="C5" s="118"/>
      <c r="D5" s="117"/>
      <c r="E5" s="118"/>
      <c r="F5" s="117" t="s">
        <v>734</v>
      </c>
      <c r="G5" s="118" t="s">
        <v>50</v>
      </c>
      <c r="I5" s="118"/>
    </row>
    <row r="6" spans="1:9" ht="24" customHeight="1">
      <c r="A6" s="315"/>
      <c r="B6" s="348"/>
      <c r="C6" s="349"/>
      <c r="D6" s="348"/>
      <c r="E6" s="349"/>
      <c r="F6" s="123"/>
      <c r="G6" s="122"/>
      <c r="I6" s="349"/>
    </row>
    <row r="7" spans="1:9" ht="36" customHeight="1" thickBot="1">
      <c r="A7" s="431" t="s">
        <v>735</v>
      </c>
      <c r="B7" s="184">
        <v>4462700091</v>
      </c>
      <c r="C7" s="185">
        <v>6720022495</v>
      </c>
      <c r="D7" s="184">
        <v>974926107</v>
      </c>
      <c r="E7" s="185">
        <v>12157648693</v>
      </c>
      <c r="F7" s="351">
        <v>0.59010187102830391</v>
      </c>
      <c r="G7" s="352">
        <v>-9.6734207948822957E-3</v>
      </c>
      <c r="I7" s="386">
        <v>6794064715</v>
      </c>
    </row>
    <row r="8" spans="1:9" ht="31.5" customHeight="1" thickBot="1">
      <c r="A8" s="431" t="s">
        <v>736</v>
      </c>
      <c r="B8" s="184">
        <v>2538088229</v>
      </c>
      <c r="C8" s="185">
        <v>3484666134</v>
      </c>
      <c r="D8" s="184">
        <v>128604812</v>
      </c>
      <c r="E8" s="185">
        <v>6151359175</v>
      </c>
      <c r="F8" s="351">
        <v>0.29857159473810302</v>
      </c>
      <c r="G8" s="352">
        <v>-5.0426041554948342E-2</v>
      </c>
      <c r="I8" s="386">
        <v>5396193285</v>
      </c>
    </row>
    <row r="9" spans="1:9" ht="33" customHeight="1" thickBot="1">
      <c r="A9" s="431" t="s">
        <v>737</v>
      </c>
      <c r="B9" s="184">
        <v>5035761</v>
      </c>
      <c r="C9" s="185">
        <v>3754172</v>
      </c>
      <c r="D9" s="184">
        <v>63014</v>
      </c>
      <c r="E9" s="185">
        <v>8852947</v>
      </c>
      <c r="F9" s="351">
        <v>4.2969991325891079E-4</v>
      </c>
      <c r="G9" s="352">
        <v>-2.7921750581433206E-2</v>
      </c>
      <c r="I9" s="386">
        <v>15330070</v>
      </c>
    </row>
    <row r="10" spans="1:9" ht="34.5" customHeight="1" thickBot="1">
      <c r="A10" s="431" t="s">
        <v>738</v>
      </c>
      <c r="B10" s="184">
        <v>874685226</v>
      </c>
      <c r="C10" s="185">
        <v>1228609598</v>
      </c>
      <c r="D10" s="184">
        <v>181471279</v>
      </c>
      <c r="E10" s="185">
        <v>2284766103</v>
      </c>
      <c r="F10" s="351">
        <v>0.11089683427179668</v>
      </c>
      <c r="G10" s="352">
        <v>0.44224276023019232</v>
      </c>
      <c r="I10" s="386">
        <v>828254703</v>
      </c>
    </row>
    <row r="11" spans="1:9" s="390" customFormat="1" ht="38.25" customHeight="1" thickBot="1">
      <c r="A11" s="387" t="s">
        <v>1951</v>
      </c>
      <c r="B11" s="291">
        <v>7880509308</v>
      </c>
      <c r="C11" s="290">
        <v>11437052399</v>
      </c>
      <c r="D11" s="291">
        <v>1285065212</v>
      </c>
      <c r="E11" s="290">
        <v>20602626919</v>
      </c>
      <c r="F11" s="388">
        <v>1</v>
      </c>
      <c r="G11" s="389">
        <v>1.252820646559342E-2</v>
      </c>
      <c r="I11" s="391">
        <v>13033842773</v>
      </c>
    </row>
    <row r="12" spans="1:9" ht="19.5" customHeight="1">
      <c r="A12" s="136" t="s">
        <v>453</v>
      </c>
      <c r="B12" s="136"/>
      <c r="C12" s="136"/>
      <c r="D12" s="136"/>
      <c r="E12" s="136"/>
      <c r="F12" s="136"/>
      <c r="G12" s="136"/>
      <c r="I12" s="136"/>
    </row>
    <row r="14" spans="1:9">
      <c r="A14" s="2" t="s">
        <v>2357</v>
      </c>
    </row>
    <row r="17" spans="1:1">
      <c r="A17" s="2" t="s">
        <v>1955</v>
      </c>
    </row>
  </sheetData>
  <phoneticPr fontId="0" type="noConversion"/>
  <pageMargins left="0.57999999999999996" right="0.63" top="1.01" bottom="0.49" header="0.59" footer="0.4921259845"/>
  <pageSetup paperSize="9" scale="79" orientation="portrait" horizontalDpi="4294967292" verticalDpi="4294967292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E405-C31E-BC4F-971A-C026846E760C}">
  <sheetPr>
    <pageSetUpPr fitToPage="1"/>
  </sheetPr>
  <dimension ref="A1:G19"/>
  <sheetViews>
    <sheetView zoomScale="75" workbookViewId="0"/>
  </sheetViews>
  <sheetFormatPr baseColWidth="10" defaultColWidth="11.3984375" defaultRowHeight="13"/>
  <cols>
    <col min="1" max="1" width="20.59765625" style="2" customWidth="1"/>
    <col min="2" max="6" width="14.796875" style="2" customWidth="1"/>
    <col min="7" max="7" width="14.59765625" style="2" customWidth="1"/>
    <col min="8" max="8" width="10.3984375" style="2" customWidth="1"/>
    <col min="9" max="16384" width="11.3984375" style="2"/>
  </cols>
  <sheetData>
    <row r="1" spans="1:7" ht="14" customHeight="1">
      <c r="A1" s="346"/>
      <c r="B1" s="3"/>
      <c r="C1" s="3"/>
      <c r="D1" s="3"/>
      <c r="E1" s="3"/>
      <c r="F1" s="3"/>
      <c r="G1" s="3"/>
    </row>
    <row r="2" spans="1:7" ht="28.5" customHeight="1">
      <c r="A2" s="1695" t="s">
        <v>2361</v>
      </c>
      <c r="B2" s="1699"/>
      <c r="C2" s="1699"/>
      <c r="D2" s="1699"/>
      <c r="E2" s="1699"/>
      <c r="F2" s="1699"/>
      <c r="G2" s="265">
        <v>2006</v>
      </c>
    </row>
    <row r="3" spans="1:7" ht="24" customHeight="1">
      <c r="A3" s="113" t="s">
        <v>2367</v>
      </c>
      <c r="B3" s="114" t="s">
        <v>115</v>
      </c>
      <c r="C3" s="115" t="s">
        <v>116</v>
      </c>
      <c r="D3" s="114" t="s">
        <v>42</v>
      </c>
      <c r="E3" s="115" t="s">
        <v>1951</v>
      </c>
      <c r="F3" s="114" t="s">
        <v>2362</v>
      </c>
      <c r="G3" s="115" t="s">
        <v>45</v>
      </c>
    </row>
    <row r="4" spans="1:7" ht="15" customHeight="1">
      <c r="A4" s="248"/>
      <c r="B4" s="117"/>
      <c r="C4" s="118"/>
      <c r="D4" s="117"/>
      <c r="E4" s="180"/>
      <c r="F4" s="117" t="s">
        <v>2363</v>
      </c>
      <c r="G4" s="118" t="s">
        <v>46</v>
      </c>
    </row>
    <row r="5" spans="1:7" ht="15" customHeight="1">
      <c r="A5" s="116"/>
      <c r="B5" s="117"/>
      <c r="C5" s="118"/>
      <c r="D5" s="117"/>
      <c r="E5" s="118"/>
      <c r="F5" s="117" t="s">
        <v>2364</v>
      </c>
      <c r="G5" s="118" t="s">
        <v>50</v>
      </c>
    </row>
    <row r="6" spans="1:7" ht="24" customHeight="1">
      <c r="A6" s="315"/>
      <c r="B6" s="348"/>
      <c r="C6" s="349"/>
      <c r="D6" s="348"/>
      <c r="E6" s="349"/>
      <c r="F6" s="123"/>
      <c r="G6" s="122"/>
    </row>
    <row r="7" spans="1:7" ht="37.5" customHeight="1" thickBot="1">
      <c r="A7" s="431" t="s">
        <v>735</v>
      </c>
      <c r="B7" s="184">
        <v>4554.22</v>
      </c>
      <c r="C7" s="185">
        <v>5270.8</v>
      </c>
      <c r="D7" s="184">
        <v>903.46</v>
      </c>
      <c r="E7" s="185">
        <v>3636.67</v>
      </c>
      <c r="F7" s="184">
        <v>881.73</v>
      </c>
      <c r="G7" s="352">
        <v>6.4851611495506792E-2</v>
      </c>
    </row>
    <row r="8" spans="1:7" ht="34.5" customHeight="1" thickBot="1">
      <c r="A8" s="431" t="s">
        <v>736</v>
      </c>
      <c r="B8" s="184">
        <v>1848.79</v>
      </c>
      <c r="C8" s="185">
        <v>2772.81</v>
      </c>
      <c r="D8" s="184">
        <v>822.54</v>
      </c>
      <c r="E8" s="185">
        <v>2215.41</v>
      </c>
      <c r="F8" s="184">
        <v>-539.53</v>
      </c>
      <c r="G8" s="352">
        <v>2.0829035010009283E-3</v>
      </c>
    </row>
    <row r="9" spans="1:7" ht="35.25" customHeight="1" thickBot="1">
      <c r="A9" s="431" t="s">
        <v>737</v>
      </c>
      <c r="B9" s="184">
        <v>1092.83</v>
      </c>
      <c r="C9" s="185">
        <v>1522.67</v>
      </c>
      <c r="D9" s="184">
        <v>429.53</v>
      </c>
      <c r="E9" s="185">
        <v>1230.94</v>
      </c>
      <c r="F9" s="184">
        <v>-1524</v>
      </c>
      <c r="G9" s="352">
        <v>3.9064260759308474E-2</v>
      </c>
    </row>
    <row r="10" spans="1:7" ht="34.5" customHeight="1" thickBot="1">
      <c r="A10" s="431" t="s">
        <v>738</v>
      </c>
      <c r="B10" s="184">
        <v>1652.89</v>
      </c>
      <c r="C10" s="185">
        <v>2277.29</v>
      </c>
      <c r="D10" s="184">
        <v>642.07000000000005</v>
      </c>
      <c r="E10" s="185">
        <v>1690.49</v>
      </c>
      <c r="F10" s="184">
        <v>-1064.45</v>
      </c>
      <c r="G10" s="352">
        <v>-3.6008851707559672E-2</v>
      </c>
    </row>
    <row r="11" spans="1:7" ht="36" customHeight="1" thickBot="1">
      <c r="A11" s="387" t="s">
        <v>1951</v>
      </c>
      <c r="B11" s="291">
        <v>2730.09</v>
      </c>
      <c r="C11" s="290">
        <v>3721</v>
      </c>
      <c r="D11" s="291">
        <v>846.42</v>
      </c>
      <c r="E11" s="290">
        <v>2754.94</v>
      </c>
      <c r="F11" s="291">
        <v>0</v>
      </c>
      <c r="G11" s="389">
        <v>6.7651493347416171E-3</v>
      </c>
    </row>
    <row r="12" spans="1:7" ht="19.5" customHeight="1">
      <c r="A12" s="136" t="s">
        <v>453</v>
      </c>
      <c r="B12" s="136"/>
      <c r="C12" s="136"/>
      <c r="D12" s="136"/>
      <c r="E12" s="136"/>
      <c r="F12" s="136"/>
      <c r="G12" s="136"/>
    </row>
    <row r="14" spans="1:7">
      <c r="A14" s="2" t="s">
        <v>2365</v>
      </c>
    </row>
    <row r="16" spans="1:7">
      <c r="A16" s="2" t="s">
        <v>2366</v>
      </c>
    </row>
    <row r="19" spans="1:1">
      <c r="A19" s="2" t="s">
        <v>1955</v>
      </c>
    </row>
  </sheetData>
  <mergeCells count="1">
    <mergeCell ref="A2:F2"/>
  </mergeCells>
  <phoneticPr fontId="0" type="noConversion"/>
  <pageMargins left="0.57999999999999996" right="0.53" top="1.01" bottom="0.49" header="0.59" footer="0.4921259845"/>
  <pageSetup paperSize="9" scale="78" orientation="portrait" horizontalDpi="4294967292" verticalDpi="4294967292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0992-20CD-4C47-B6DB-FAF319706B44}">
  <sheetPr>
    <pageSetUpPr fitToPage="1"/>
  </sheetPr>
  <dimension ref="A1:B17"/>
  <sheetViews>
    <sheetView workbookViewId="0">
      <selection activeCell="B10" sqref="B10"/>
    </sheetView>
  </sheetViews>
  <sheetFormatPr baseColWidth="10" defaultColWidth="11.3984375" defaultRowHeight="13"/>
  <cols>
    <col min="1" max="1" width="5.59765625" style="381" customWidth="1"/>
    <col min="2" max="16384" width="11.3984375" style="381"/>
  </cols>
  <sheetData>
    <row r="1" spans="1:2" ht="16">
      <c r="A1" s="380" t="s">
        <v>781</v>
      </c>
    </row>
    <row r="2" spans="1:2" ht="16">
      <c r="A2" s="380"/>
    </row>
    <row r="3" spans="1:2">
      <c r="A3" s="382">
        <v>3.01</v>
      </c>
      <c r="B3" s="383" t="s">
        <v>782</v>
      </c>
    </row>
    <row r="4" spans="1:2">
      <c r="A4" s="382">
        <v>3.02</v>
      </c>
      <c r="B4" s="383" t="s">
        <v>783</v>
      </c>
    </row>
    <row r="5" spans="1:2">
      <c r="A5" s="382">
        <v>3.03</v>
      </c>
      <c r="B5" s="383" t="s">
        <v>784</v>
      </c>
    </row>
    <row r="6" spans="1:2">
      <c r="A6" s="382">
        <v>3.04</v>
      </c>
      <c r="B6" s="383" t="s">
        <v>785</v>
      </c>
    </row>
    <row r="7" spans="1:2">
      <c r="A7" s="382">
        <v>3.05</v>
      </c>
      <c r="B7" s="382" t="s">
        <v>786</v>
      </c>
    </row>
    <row r="8" spans="1:2">
      <c r="A8" s="382">
        <v>3.06</v>
      </c>
      <c r="B8" s="382" t="s">
        <v>787</v>
      </c>
    </row>
    <row r="9" spans="1:2">
      <c r="A9" s="382">
        <v>3.07</v>
      </c>
      <c r="B9" s="382" t="s">
        <v>788</v>
      </c>
    </row>
    <row r="10" spans="1:2">
      <c r="A10" s="382">
        <v>3.08</v>
      </c>
      <c r="B10" s="382" t="s">
        <v>789</v>
      </c>
    </row>
    <row r="11" spans="1:2">
      <c r="A11" s="382">
        <v>3.09</v>
      </c>
      <c r="B11" s="382" t="s">
        <v>790</v>
      </c>
    </row>
    <row r="12" spans="1:2">
      <c r="A12" s="384" t="s">
        <v>703</v>
      </c>
      <c r="B12" s="382" t="s">
        <v>791</v>
      </c>
    </row>
    <row r="13" spans="1:2">
      <c r="A13" s="382">
        <v>3.11</v>
      </c>
      <c r="B13" s="382" t="s">
        <v>792</v>
      </c>
    </row>
    <row r="14" spans="1:2">
      <c r="A14" s="382">
        <v>3.12</v>
      </c>
      <c r="B14" s="382" t="s">
        <v>793</v>
      </c>
    </row>
    <row r="15" spans="1:2">
      <c r="A15" s="382"/>
      <c r="B15" s="382"/>
    </row>
    <row r="16" spans="1:2">
      <c r="A16" s="382"/>
      <c r="B16" s="382"/>
    </row>
    <row r="17" spans="1:1">
      <c r="A17" s="385" t="s">
        <v>1955</v>
      </c>
    </row>
  </sheetData>
  <phoneticPr fontId="30" type="noConversion"/>
  <pageMargins left="0.57999999999999996" right="0.6" top="0.65" bottom="0.984251969" header="0.34" footer="0.4921259845"/>
  <pageSetup paperSize="9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665A-9D0F-1C47-B031-D207CD90AEA8}">
  <sheetPr>
    <pageSetUpPr fitToPage="1"/>
  </sheetPr>
  <dimension ref="A1:K37"/>
  <sheetViews>
    <sheetView zoomScale="75" workbookViewId="0">
      <selection activeCell="A23" sqref="A23"/>
    </sheetView>
  </sheetViews>
  <sheetFormatPr baseColWidth="10" defaultColWidth="11.3984375" defaultRowHeight="13"/>
  <cols>
    <col min="1" max="1" width="14.3984375" style="2" customWidth="1"/>
    <col min="2" max="2" width="16.796875" style="2" customWidth="1"/>
    <col min="3" max="5" width="15.3984375" style="2" customWidth="1"/>
    <col min="6" max="6" width="15.3984375" style="446" customWidth="1"/>
    <col min="7" max="7" width="15.3984375" style="2" customWidth="1"/>
    <col min="8" max="16384" width="11.3984375" style="2"/>
  </cols>
  <sheetData>
    <row r="1" spans="1:11" s="1" customFormat="1" ht="14" customHeight="1">
      <c r="F1" s="452"/>
    </row>
    <row r="2" spans="1:11" s="1" customFormat="1" ht="30" customHeight="1">
      <c r="A2" s="112" t="s">
        <v>1862</v>
      </c>
      <c r="F2" s="452"/>
      <c r="G2" s="265"/>
    </row>
    <row r="3" spans="1:11" ht="24" customHeight="1">
      <c r="A3" s="113" t="s">
        <v>758</v>
      </c>
      <c r="B3" s="114" t="s">
        <v>44</v>
      </c>
      <c r="C3" s="115" t="s">
        <v>45</v>
      </c>
      <c r="D3" s="114" t="s">
        <v>43</v>
      </c>
      <c r="E3" s="115" t="s">
        <v>45</v>
      </c>
      <c r="F3" s="114" t="s">
        <v>42</v>
      </c>
      <c r="G3" s="115" t="s">
        <v>45</v>
      </c>
    </row>
    <row r="4" spans="1:11" ht="15" customHeight="1">
      <c r="A4" s="248"/>
      <c r="B4" s="143" t="s">
        <v>1863</v>
      </c>
      <c r="C4" s="118" t="s">
        <v>46</v>
      </c>
      <c r="D4" s="143" t="s">
        <v>44</v>
      </c>
      <c r="E4" s="118" t="s">
        <v>46</v>
      </c>
      <c r="F4" s="143" t="s">
        <v>1864</v>
      </c>
      <c r="G4" s="118" t="s">
        <v>46</v>
      </c>
    </row>
    <row r="5" spans="1:11" ht="15" customHeight="1">
      <c r="A5" s="248"/>
      <c r="B5" s="117"/>
      <c r="C5" s="118" t="s">
        <v>50</v>
      </c>
      <c r="D5" s="143" t="s">
        <v>1865</v>
      </c>
      <c r="E5" s="118" t="s">
        <v>50</v>
      </c>
      <c r="F5" s="456"/>
      <c r="G5" s="118" t="s">
        <v>50</v>
      </c>
    </row>
    <row r="6" spans="1:11" ht="24" customHeight="1">
      <c r="A6" s="249"/>
      <c r="B6" s="123"/>
      <c r="C6" s="122"/>
      <c r="D6" s="123"/>
      <c r="E6" s="122"/>
      <c r="F6" s="457"/>
      <c r="G6" s="122"/>
    </row>
    <row r="7" spans="1:11" ht="23.25" customHeight="1" thickBot="1">
      <c r="A7" s="250">
        <v>1996</v>
      </c>
      <c r="B7" s="884">
        <v>173.08</v>
      </c>
      <c r="C7" s="146" t="s">
        <v>860</v>
      </c>
      <c r="D7" s="884">
        <v>114.73041951160255</v>
      </c>
      <c r="E7" s="146" t="s">
        <v>860</v>
      </c>
      <c r="F7" s="884">
        <v>47.723529089864961</v>
      </c>
      <c r="G7" s="146" t="s">
        <v>860</v>
      </c>
    </row>
    <row r="8" spans="1:11" ht="20" customHeight="1" thickBot="1">
      <c r="A8" s="251">
        <v>1997</v>
      </c>
      <c r="B8" s="862">
        <v>188.06152293360134</v>
      </c>
      <c r="C8" s="148">
        <v>8.6558371467537087E-2</v>
      </c>
      <c r="D8" s="862">
        <v>124.66129778231421</v>
      </c>
      <c r="E8" s="148">
        <v>8.6558371467537087E-2</v>
      </c>
      <c r="F8" s="862">
        <v>51.854400048567307</v>
      </c>
      <c r="G8" s="148">
        <v>8.6558371467537087E-2</v>
      </c>
      <c r="I8" s="9"/>
      <c r="J8" s="9"/>
      <c r="K8" s="9"/>
    </row>
    <row r="9" spans="1:11" ht="20" customHeight="1" thickBot="1">
      <c r="A9" s="251">
        <v>1998</v>
      </c>
      <c r="B9" s="862">
        <v>197.28646689698576</v>
      </c>
      <c r="C9" s="148">
        <v>4.9052798358128147E-2</v>
      </c>
      <c r="D9" s="862">
        <v>125.29607374124997</v>
      </c>
      <c r="E9" s="148">
        <v>5.0920050587330845E-3</v>
      </c>
      <c r="F9" s="862">
        <v>51.799576777497641</v>
      </c>
      <c r="G9" s="148">
        <v>-1.0572539845860041E-3</v>
      </c>
    </row>
    <row r="10" spans="1:11" ht="20" customHeight="1" thickBot="1">
      <c r="A10" s="251">
        <v>1999</v>
      </c>
      <c r="B10" s="862">
        <v>203.88952141156713</v>
      </c>
      <c r="C10" s="148">
        <v>3.3469373842196726E-2</v>
      </c>
      <c r="D10" s="862">
        <v>130.21886901362492</v>
      </c>
      <c r="E10" s="148">
        <v>3.9289301934081866E-2</v>
      </c>
      <c r="F10" s="862">
        <v>53.348085764350309</v>
      </c>
      <c r="G10" s="148">
        <v>2.9894240130652117E-2</v>
      </c>
    </row>
    <row r="11" spans="1:11" ht="20" customHeight="1" thickBot="1">
      <c r="A11" s="251">
        <v>2000</v>
      </c>
      <c r="B11" s="862">
        <v>211.67614847185897</v>
      </c>
      <c r="C11" s="148">
        <v>3.8190422962315562E-2</v>
      </c>
      <c r="D11" s="862">
        <v>134.7191420153035</v>
      </c>
      <c r="E11" s="148">
        <v>3.4559300320813779E-2</v>
      </c>
      <c r="F11" s="862">
        <v>55.173206027906794</v>
      </c>
      <c r="G11" s="148">
        <v>3.4211541752752428E-2</v>
      </c>
    </row>
    <row r="12" spans="1:11" ht="20" customHeight="1" thickBot="1">
      <c r="A12" s="251">
        <v>2001</v>
      </c>
      <c r="B12" s="862">
        <v>223.27</v>
      </c>
      <c r="C12" s="148">
        <v>5.4771648160833575E-2</v>
      </c>
      <c r="D12" s="862">
        <v>149.77000000000001</v>
      </c>
      <c r="E12" s="148">
        <v>0.11172026305650617</v>
      </c>
      <c r="F12" s="862">
        <v>57.65</v>
      </c>
      <c r="G12" s="148">
        <v>4.4891246139302288E-2</v>
      </c>
    </row>
    <row r="13" spans="1:11" ht="20" customHeight="1" thickBot="1">
      <c r="A13" s="251">
        <v>2002</v>
      </c>
      <c r="B13" s="862">
        <v>245.01247000000001</v>
      </c>
      <c r="C13" s="148">
        <v>9.7381959063017831E-2</v>
      </c>
      <c r="D13" s="862">
        <v>172.20867000000001</v>
      </c>
      <c r="E13" s="148">
        <v>0.14982085864992989</v>
      </c>
      <c r="F13" s="862">
        <v>63.127989999999997</v>
      </c>
      <c r="G13" s="148">
        <v>9.502150910667817E-2</v>
      </c>
    </row>
    <row r="14" spans="1:11" ht="20" customHeight="1" thickBot="1">
      <c r="A14" s="251">
        <v>2003</v>
      </c>
      <c r="B14" s="862">
        <v>268.54743999999999</v>
      </c>
      <c r="C14" s="148">
        <v>9.6056212975608846E-2</v>
      </c>
      <c r="D14" s="862">
        <v>198.72591</v>
      </c>
      <c r="E14" s="148">
        <v>0.15398318795447397</v>
      </c>
      <c r="F14" s="862">
        <v>68.990499999999997</v>
      </c>
      <c r="G14" s="148">
        <v>9.2867046772754813E-2</v>
      </c>
    </row>
    <row r="15" spans="1:11" ht="20" customHeight="1" thickBot="1">
      <c r="A15" s="251">
        <v>2004</v>
      </c>
      <c r="B15" s="862">
        <v>279.98</v>
      </c>
      <c r="C15" s="148">
        <v>4.2571845034158562E-2</v>
      </c>
      <c r="D15" s="862">
        <v>213.29</v>
      </c>
      <c r="E15" s="148">
        <v>7.3287323228259371E-2</v>
      </c>
      <c r="F15" s="862">
        <v>71.84</v>
      </c>
      <c r="G15" s="148">
        <v>4.1302788065023632E-2</v>
      </c>
    </row>
    <row r="16" spans="1:11" ht="20" customHeight="1" thickBot="1">
      <c r="A16" s="251">
        <v>2005</v>
      </c>
      <c r="B16" s="862">
        <v>290.21806622890591</v>
      </c>
      <c r="C16" s="148">
        <v>3.6567134184248395E-2</v>
      </c>
      <c r="D16" s="862">
        <v>225.09346768269774</v>
      </c>
      <c r="E16" s="148">
        <v>5.5339995699272171E-2</v>
      </c>
      <c r="F16" s="862">
        <v>71.95510451056029</v>
      </c>
      <c r="G16" s="148">
        <v>1.6022342784003385E-3</v>
      </c>
    </row>
    <row r="17" spans="1:9" ht="20" customHeight="1" thickBot="1">
      <c r="A17" s="251">
        <v>2006</v>
      </c>
      <c r="B17" s="862">
        <v>306.40836181971781</v>
      </c>
      <c r="C17" s="148">
        <v>5.5786656568933335E-2</v>
      </c>
      <c r="D17" s="862">
        <v>241.17388660184943</v>
      </c>
      <c r="E17" s="148">
        <v>7.1438851978678608E-2</v>
      </c>
      <c r="F17" s="862">
        <v>74.466353915536445</v>
      </c>
      <c r="G17" s="148">
        <v>3.4900225940295959E-2</v>
      </c>
    </row>
    <row r="18" spans="1:9" ht="20" customHeight="1" thickBot="1">
      <c r="A18" s="251">
        <v>2007</v>
      </c>
      <c r="B18" s="862">
        <v>313.01044236889447</v>
      </c>
      <c r="C18" s="148">
        <v>2.1546672257792832E-2</v>
      </c>
      <c r="D18" s="862">
        <v>246.30400307180668</v>
      </c>
      <c r="E18" s="148">
        <v>2.1271442535677476E-2</v>
      </c>
      <c r="F18" s="862">
        <v>75.718485025980357</v>
      </c>
      <c r="G18" s="148">
        <v>1.6814722953458094E-2</v>
      </c>
    </row>
    <row r="19" spans="1:9" ht="30" customHeight="1" thickBot="1">
      <c r="A19" s="361">
        <v>2008</v>
      </c>
      <c r="B19" s="885">
        <v>314.60604194243149</v>
      </c>
      <c r="C19" s="150">
        <v>5.097592148879615E-3</v>
      </c>
      <c r="D19" s="885">
        <v>248.01478980217522</v>
      </c>
      <c r="E19" s="150">
        <v>6.9458340466752588E-3</v>
      </c>
      <c r="F19" s="885">
        <v>75.260357578802569</v>
      </c>
      <c r="G19" s="150">
        <v>-6.0504042971883942E-3</v>
      </c>
    </row>
    <row r="20" spans="1:9" ht="20" customHeight="1">
      <c r="A20" s="136" t="s">
        <v>2410</v>
      </c>
      <c r="B20" s="136"/>
      <c r="C20" s="136"/>
      <c r="D20" s="136"/>
      <c r="E20" s="136"/>
      <c r="F20" s="436"/>
      <c r="G20" s="136"/>
    </row>
    <row r="21" spans="1:9" ht="14.25" customHeight="1">
      <c r="A21" s="3"/>
      <c r="B21" s="3"/>
      <c r="C21" s="3"/>
      <c r="D21" s="3"/>
      <c r="E21" s="3"/>
      <c r="F21" s="437"/>
      <c r="G21" s="3"/>
    </row>
    <row r="22" spans="1:9" ht="14.25" customHeight="1">
      <c r="A22" s="3" t="s">
        <v>1264</v>
      </c>
      <c r="B22" s="281"/>
      <c r="C22" s="281"/>
      <c r="D22" s="281"/>
      <c r="E22" s="281"/>
      <c r="F22" s="281"/>
      <c r="G22" s="281"/>
      <c r="H22" s="281"/>
      <c r="I22" s="590"/>
    </row>
    <row r="23" spans="1:9" ht="20" customHeight="1">
      <c r="A23" s="3"/>
      <c r="B23" s="281"/>
      <c r="C23" s="281"/>
      <c r="D23" s="281"/>
      <c r="E23" s="281"/>
      <c r="F23" s="281"/>
      <c r="G23" s="281"/>
      <c r="H23" s="281"/>
      <c r="I23" s="590"/>
    </row>
    <row r="24" spans="1:9" ht="12.75" customHeight="1">
      <c r="A24" s="3" t="s">
        <v>1866</v>
      </c>
      <c r="B24" s="281"/>
      <c r="C24" s="281"/>
      <c r="D24" s="281"/>
      <c r="E24" s="281"/>
      <c r="F24" s="281"/>
      <c r="G24" s="281"/>
      <c r="H24" s="281"/>
      <c r="I24" s="590"/>
    </row>
    <row r="25" spans="1:9">
      <c r="A25" s="2" t="s">
        <v>1867</v>
      </c>
      <c r="F25" s="2"/>
    </row>
    <row r="26" spans="1:9">
      <c r="A26" s="2" t="s">
        <v>1265</v>
      </c>
      <c r="F26" s="2"/>
    </row>
    <row r="27" spans="1:9">
      <c r="A27" s="2" t="s">
        <v>1266</v>
      </c>
      <c r="F27" s="2"/>
    </row>
    <row r="28" spans="1:9">
      <c r="A28" s="3" t="s">
        <v>1267</v>
      </c>
      <c r="F28" s="2"/>
    </row>
    <row r="29" spans="1:9">
      <c r="A29" s="3" t="s">
        <v>1268</v>
      </c>
      <c r="F29" s="2"/>
    </row>
    <row r="30" spans="1:9">
      <c r="A30" s="886" t="s">
        <v>1269</v>
      </c>
      <c r="F30" s="2"/>
    </row>
    <row r="31" spans="1:9">
      <c r="A31" s="2" t="s">
        <v>1270</v>
      </c>
      <c r="F31" s="2"/>
    </row>
    <row r="32" spans="1:9">
      <c r="A32" s="2" t="s">
        <v>1271</v>
      </c>
      <c r="F32" s="2"/>
    </row>
    <row r="33" spans="1:6">
      <c r="A33" s="2" t="s">
        <v>1860</v>
      </c>
      <c r="F33" s="2"/>
    </row>
    <row r="34" spans="1:6">
      <c r="A34" s="886" t="s">
        <v>1861</v>
      </c>
      <c r="F34" s="2"/>
    </row>
    <row r="37" spans="1:6">
      <c r="A37" s="2" t="s">
        <v>1955</v>
      </c>
    </row>
  </sheetData>
  <phoneticPr fontId="0" type="noConversion"/>
  <pageMargins left="0.57999999999999996" right="0.69" top="0.94" bottom="0.49" header="0.53" footer="0.4921259845"/>
  <pageSetup paperSize="9" scale="75" orientation="portrait" horizontalDpi="4294967292" verticalDpi="4294967292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B2E1-E43C-EE4A-96C5-379EC8151437}">
  <sheetPr>
    <pageSetUpPr fitToPage="1"/>
  </sheetPr>
  <dimension ref="A1:H45"/>
  <sheetViews>
    <sheetView topLeftCell="A20" zoomScale="75" workbookViewId="0">
      <selection activeCell="G34" sqref="G34:H34"/>
    </sheetView>
  </sheetViews>
  <sheetFormatPr baseColWidth="10" defaultColWidth="11.3984375" defaultRowHeight="13"/>
  <cols>
    <col min="1" max="1" width="15.19921875" style="2" customWidth="1"/>
    <col min="2" max="6" width="15.796875" style="2" customWidth="1"/>
    <col min="7" max="7" width="14.3984375" style="2" customWidth="1"/>
    <col min="8" max="8" width="14.19921875" style="2" customWidth="1"/>
    <col min="9" max="16384" width="11.3984375" style="2"/>
  </cols>
  <sheetData>
    <row r="1" spans="1:8" s="1" customFormat="1" ht="14" customHeight="1">
      <c r="A1" s="718"/>
      <c r="B1" s="718"/>
      <c r="C1" s="718"/>
      <c r="D1" s="718"/>
      <c r="E1" s="718"/>
      <c r="F1" s="718"/>
    </row>
    <row r="2" spans="1:8" s="1" customFormat="1" ht="23.25" customHeight="1">
      <c r="A2" s="748" t="s">
        <v>2407</v>
      </c>
      <c r="B2" s="718"/>
      <c r="C2" s="718"/>
      <c r="D2" s="718"/>
      <c r="E2" s="718"/>
      <c r="F2" s="718"/>
    </row>
    <row r="3" spans="1:8" s="1" customFormat="1" ht="27.75" customHeight="1">
      <c r="A3" s="748" t="s">
        <v>2409</v>
      </c>
      <c r="B3" s="718"/>
      <c r="C3" s="718"/>
      <c r="D3" s="718"/>
      <c r="E3" s="718"/>
      <c r="F3" s="718"/>
    </row>
    <row r="4" spans="1:8" ht="16.5" customHeight="1">
      <c r="A4" s="113" t="s">
        <v>41</v>
      </c>
      <c r="B4" s="871" t="s">
        <v>2394</v>
      </c>
      <c r="C4" s="872" t="s">
        <v>2395</v>
      </c>
      <c r="D4" s="871" t="s">
        <v>2396</v>
      </c>
      <c r="E4" s="872" t="s">
        <v>2397</v>
      </c>
      <c r="F4" s="871" t="s">
        <v>2408</v>
      </c>
      <c r="G4" s="873" t="s">
        <v>45</v>
      </c>
      <c r="H4" s="874" t="s">
        <v>2398</v>
      </c>
    </row>
    <row r="5" spans="1:8" ht="16.5" customHeight="1">
      <c r="A5" s="248"/>
      <c r="B5" s="875"/>
      <c r="C5" s="876"/>
      <c r="D5" s="875"/>
      <c r="E5" s="876"/>
      <c r="F5" s="875"/>
      <c r="G5" s="877" t="s">
        <v>46</v>
      </c>
      <c r="H5" s="878" t="s">
        <v>2399</v>
      </c>
    </row>
    <row r="6" spans="1:8" ht="16.5" customHeight="1">
      <c r="A6" s="751"/>
      <c r="B6" s="366"/>
      <c r="C6" s="784"/>
      <c r="D6" s="366"/>
      <c r="E6" s="784"/>
      <c r="F6" s="868"/>
      <c r="G6" s="869" t="s">
        <v>50</v>
      </c>
      <c r="H6" s="870" t="s">
        <v>2400</v>
      </c>
    </row>
    <row r="7" spans="1:8" ht="16.5" customHeight="1">
      <c r="A7" s="249"/>
      <c r="B7" s="123"/>
      <c r="C7" s="122"/>
      <c r="D7" s="123"/>
      <c r="E7" s="122"/>
      <c r="F7" s="144"/>
      <c r="G7" s="879"/>
      <c r="H7" s="880" t="s">
        <v>2401</v>
      </c>
    </row>
    <row r="8" spans="1:8" ht="30" customHeight="1" thickBot="1">
      <c r="A8" s="268" t="s">
        <v>51</v>
      </c>
      <c r="B8" s="637">
        <v>349.01045713039002</v>
      </c>
      <c r="C8" s="257">
        <v>304.022092017386</v>
      </c>
      <c r="D8" s="637">
        <v>281.11213408022604</v>
      </c>
      <c r="E8" s="257" t="s">
        <v>967</v>
      </c>
      <c r="F8" s="881">
        <v>309.55704350535774</v>
      </c>
      <c r="G8" s="421">
        <v>-1.773970774006095E-3</v>
      </c>
      <c r="H8" s="544">
        <v>4.6762154669733658E-2</v>
      </c>
    </row>
    <row r="9" spans="1:8" ht="20" customHeight="1" thickBot="1">
      <c r="A9" s="272" t="s">
        <v>52</v>
      </c>
      <c r="B9" s="638">
        <v>368.36005714040903</v>
      </c>
      <c r="C9" s="546">
        <v>324.61582449991903</v>
      </c>
      <c r="D9" s="638">
        <v>302.36925713983305</v>
      </c>
      <c r="E9" s="546" t="s">
        <v>967</v>
      </c>
      <c r="F9" s="860">
        <v>333.32165029385317</v>
      </c>
      <c r="G9" s="499">
        <v>1.6312860053048661E-2</v>
      </c>
      <c r="H9" s="545">
        <v>5.8592670805395652E-2</v>
      </c>
    </row>
    <row r="10" spans="1:8" ht="20" customHeight="1" thickBot="1">
      <c r="A10" s="272" t="s">
        <v>53</v>
      </c>
      <c r="B10" s="638">
        <v>280.19459692516801</v>
      </c>
      <c r="C10" s="546">
        <v>256.95774448024304</v>
      </c>
      <c r="D10" s="638">
        <v>246.713210974639</v>
      </c>
      <c r="E10" s="546" t="s">
        <v>967</v>
      </c>
      <c r="F10" s="860">
        <v>263.88191998084289</v>
      </c>
      <c r="G10" s="499">
        <v>1.3071090694418253E-2</v>
      </c>
      <c r="H10" s="545">
        <v>5.5854650722381605E-2</v>
      </c>
    </row>
    <row r="11" spans="1:8" ht="20" customHeight="1" thickBot="1">
      <c r="A11" s="272" t="s">
        <v>54</v>
      </c>
      <c r="B11" s="638" t="s">
        <v>967</v>
      </c>
      <c r="C11" s="546" t="s">
        <v>967</v>
      </c>
      <c r="D11" s="638" t="s">
        <v>967</v>
      </c>
      <c r="E11" s="546">
        <v>239.45626921386301</v>
      </c>
      <c r="F11" s="860">
        <v>239.45626921386273</v>
      </c>
      <c r="G11" s="499">
        <v>1.9400732987168379E-2</v>
      </c>
      <c r="H11" s="545">
        <v>4.5833047742534161E-2</v>
      </c>
    </row>
    <row r="12" spans="1:8" ht="20" customHeight="1" thickBot="1">
      <c r="A12" s="272" t="s">
        <v>55</v>
      </c>
      <c r="B12" s="638" t="s">
        <v>967</v>
      </c>
      <c r="C12" s="546" t="s">
        <v>967</v>
      </c>
      <c r="D12" s="638" t="s">
        <v>967</v>
      </c>
      <c r="E12" s="546">
        <v>259.49441957344101</v>
      </c>
      <c r="F12" s="860">
        <v>259.49441957344101</v>
      </c>
      <c r="G12" s="499">
        <v>1.6785626946559384E-2</v>
      </c>
      <c r="H12" s="545">
        <v>4.9500543838384869E-2</v>
      </c>
    </row>
    <row r="13" spans="1:8" ht="20" customHeight="1" thickBot="1">
      <c r="A13" s="272" t="s">
        <v>56</v>
      </c>
      <c r="B13" s="638" t="s">
        <v>967</v>
      </c>
      <c r="C13" s="546" t="s">
        <v>967</v>
      </c>
      <c r="D13" s="638" t="s">
        <v>967</v>
      </c>
      <c r="E13" s="546">
        <v>231.370704105404</v>
      </c>
      <c r="F13" s="860">
        <v>231.37070410540426</v>
      </c>
      <c r="G13" s="499">
        <v>2.31154562919762E-2</v>
      </c>
      <c r="H13" s="545">
        <v>4.3079920269654126E-2</v>
      </c>
    </row>
    <row r="14" spans="1:8" ht="20" customHeight="1" thickBot="1">
      <c r="A14" s="272" t="s">
        <v>57</v>
      </c>
      <c r="B14" s="638" t="s">
        <v>967</v>
      </c>
      <c r="C14" s="546" t="s">
        <v>967</v>
      </c>
      <c r="D14" s="638" t="s">
        <v>967</v>
      </c>
      <c r="E14" s="546">
        <v>218.74938464749701</v>
      </c>
      <c r="F14" s="860">
        <v>218.74938464749735</v>
      </c>
      <c r="G14" s="499">
        <v>1.1241419055923574E-2</v>
      </c>
      <c r="H14" s="545">
        <v>4.2102940992741589E-2</v>
      </c>
    </row>
    <row r="15" spans="1:8" ht="20" customHeight="1" thickBot="1">
      <c r="A15" s="272" t="s">
        <v>58</v>
      </c>
      <c r="B15" s="638" t="s">
        <v>967</v>
      </c>
      <c r="C15" s="546" t="s">
        <v>967</v>
      </c>
      <c r="D15" s="638" t="s">
        <v>967</v>
      </c>
      <c r="E15" s="546">
        <v>260.08436061997099</v>
      </c>
      <c r="F15" s="860">
        <v>260.08436061997088</v>
      </c>
      <c r="G15" s="499">
        <v>8.1451102236880235E-3</v>
      </c>
      <c r="H15" s="545">
        <v>5.5192311589065568E-2</v>
      </c>
    </row>
    <row r="16" spans="1:8" ht="20" customHeight="1" thickBot="1">
      <c r="A16" s="272" t="s">
        <v>59</v>
      </c>
      <c r="B16" s="638" t="s">
        <v>967</v>
      </c>
      <c r="C16" s="546" t="s">
        <v>967</v>
      </c>
      <c r="D16" s="638" t="s">
        <v>967</v>
      </c>
      <c r="E16" s="546">
        <v>253.43775128293899</v>
      </c>
      <c r="F16" s="860">
        <v>253.43775128293856</v>
      </c>
      <c r="G16" s="499">
        <v>1.3676600205190237E-3</v>
      </c>
      <c r="H16" s="545">
        <v>5.1487083606759132E-2</v>
      </c>
    </row>
    <row r="17" spans="1:8" ht="20" customHeight="1" thickBot="1">
      <c r="A17" s="272" t="s">
        <v>60</v>
      </c>
      <c r="B17" s="638">
        <v>307.42669514376701</v>
      </c>
      <c r="C17" s="546">
        <v>278.78642301263903</v>
      </c>
      <c r="D17" s="638" t="s">
        <v>967</v>
      </c>
      <c r="E17" s="546" t="s">
        <v>967</v>
      </c>
      <c r="F17" s="860">
        <v>288.66762739096413</v>
      </c>
      <c r="G17" s="499">
        <v>7.6210423251525938E-3</v>
      </c>
      <c r="H17" s="545">
        <v>4.209127930077794E-2</v>
      </c>
    </row>
    <row r="18" spans="1:8" ht="20" customHeight="1" thickBot="1">
      <c r="A18" s="272" t="s">
        <v>61</v>
      </c>
      <c r="B18" s="638" t="s">
        <v>967</v>
      </c>
      <c r="C18" s="546" t="s">
        <v>967</v>
      </c>
      <c r="D18" s="638" t="s">
        <v>967</v>
      </c>
      <c r="E18" s="546">
        <v>282.807584966977</v>
      </c>
      <c r="F18" s="860">
        <v>282.8075849669774</v>
      </c>
      <c r="G18" s="499">
        <v>1.5843802398205042E-2</v>
      </c>
      <c r="H18" s="545">
        <v>4.0675870626047939E-2</v>
      </c>
    </row>
    <row r="19" spans="1:8" ht="20" customHeight="1" thickBot="1">
      <c r="A19" s="272" t="s">
        <v>62</v>
      </c>
      <c r="B19" s="638" t="s">
        <v>967</v>
      </c>
      <c r="C19" s="546" t="s">
        <v>967</v>
      </c>
      <c r="D19" s="638" t="s">
        <v>967</v>
      </c>
      <c r="E19" s="546">
        <v>409.00123102291604</v>
      </c>
      <c r="F19" s="860">
        <v>409.00123102291553</v>
      </c>
      <c r="G19" s="499">
        <v>1.8901615440158892E-5</v>
      </c>
      <c r="H19" s="545">
        <v>5.0840591244922351E-2</v>
      </c>
    </row>
    <row r="20" spans="1:8" ht="20" customHeight="1" thickBot="1">
      <c r="A20" s="272" t="s">
        <v>63</v>
      </c>
      <c r="B20" s="638">
        <v>324.53385065779503</v>
      </c>
      <c r="C20" s="546">
        <v>298.94446929181805</v>
      </c>
      <c r="D20" s="638" t="s">
        <v>967</v>
      </c>
      <c r="E20" s="546" t="s">
        <v>967</v>
      </c>
      <c r="F20" s="860">
        <v>317.67657378193519</v>
      </c>
      <c r="G20" s="499">
        <v>7.3252631797819934E-3</v>
      </c>
      <c r="H20" s="545">
        <v>4.4385845259925061E-2</v>
      </c>
    </row>
    <row r="21" spans="1:8" ht="20" customHeight="1" thickBot="1">
      <c r="A21" s="272" t="s">
        <v>64</v>
      </c>
      <c r="B21" s="638">
        <v>308.61248981128301</v>
      </c>
      <c r="C21" s="546">
        <v>285.83901532944003</v>
      </c>
      <c r="D21" s="638" t="s">
        <v>967</v>
      </c>
      <c r="E21" s="546" t="s">
        <v>967</v>
      </c>
      <c r="F21" s="860">
        <v>299.46478748801826</v>
      </c>
      <c r="G21" s="499">
        <v>6.9598557810059969E-3</v>
      </c>
      <c r="H21" s="545">
        <v>5.4922847393436891E-2</v>
      </c>
    </row>
    <row r="22" spans="1:8" ht="20" customHeight="1" thickBot="1">
      <c r="A22" s="272" t="s">
        <v>65</v>
      </c>
      <c r="B22" s="638" t="s">
        <v>967</v>
      </c>
      <c r="C22" s="546" t="s">
        <v>967</v>
      </c>
      <c r="D22" s="638" t="s">
        <v>967</v>
      </c>
      <c r="E22" s="546">
        <v>236.95624847583701</v>
      </c>
      <c r="F22" s="860">
        <v>236.95624847583716</v>
      </c>
      <c r="G22" s="499">
        <v>1.5770489425749989E-2</v>
      </c>
      <c r="H22" s="545">
        <v>4.9261008684025498E-2</v>
      </c>
    </row>
    <row r="23" spans="1:8" ht="20" customHeight="1" thickBot="1">
      <c r="A23" s="272" t="s">
        <v>66</v>
      </c>
      <c r="B23" s="638" t="s">
        <v>967</v>
      </c>
      <c r="C23" s="546" t="s">
        <v>967</v>
      </c>
      <c r="D23" s="638" t="s">
        <v>967</v>
      </c>
      <c r="E23" s="546">
        <v>222.95174992651602</v>
      </c>
      <c r="F23" s="860">
        <v>222.9517499265163</v>
      </c>
      <c r="G23" s="499">
        <v>2.6222041297158771E-2</v>
      </c>
      <c r="H23" s="545">
        <v>5.2900042383962287E-2</v>
      </c>
    </row>
    <row r="24" spans="1:8" ht="20" customHeight="1" thickBot="1">
      <c r="A24" s="272" t="s">
        <v>67</v>
      </c>
      <c r="B24" s="638">
        <v>286.97696142508505</v>
      </c>
      <c r="C24" s="546">
        <v>262.09759830972905</v>
      </c>
      <c r="D24" s="638">
        <v>252.61821048367202</v>
      </c>
      <c r="E24" s="546" t="s">
        <v>967</v>
      </c>
      <c r="F24" s="860">
        <v>267.14236974941105</v>
      </c>
      <c r="G24" s="499">
        <v>2.1251989693999773E-2</v>
      </c>
      <c r="H24" s="545">
        <v>5.4120519701193359E-2</v>
      </c>
    </row>
    <row r="25" spans="1:8" ht="20" customHeight="1" thickBot="1">
      <c r="A25" s="272" t="s">
        <v>68</v>
      </c>
      <c r="B25" s="638">
        <v>274.04842012417606</v>
      </c>
      <c r="C25" s="546">
        <v>259.47454512516606</v>
      </c>
      <c r="D25" s="638">
        <v>239.17832621373302</v>
      </c>
      <c r="E25" s="546" t="s">
        <v>967</v>
      </c>
      <c r="F25" s="860">
        <v>258.61129853836218</v>
      </c>
      <c r="G25" s="499">
        <v>1.4385663917812597E-2</v>
      </c>
      <c r="H25" s="545">
        <v>5.9728912212781982E-2</v>
      </c>
    </row>
    <row r="26" spans="1:8" ht="20" customHeight="1" thickBot="1">
      <c r="A26" s="272" t="s">
        <v>69</v>
      </c>
      <c r="B26" s="638" t="s">
        <v>967</v>
      </c>
      <c r="C26" s="546" t="s">
        <v>967</v>
      </c>
      <c r="D26" s="638" t="s">
        <v>967</v>
      </c>
      <c r="E26" s="546">
        <v>282.03779176077404</v>
      </c>
      <c r="F26" s="860">
        <v>282.03779176077387</v>
      </c>
      <c r="G26" s="499">
        <v>1.5733906055396707E-2</v>
      </c>
      <c r="H26" s="545">
        <v>5.8295358107168127E-2</v>
      </c>
    </row>
    <row r="27" spans="1:8" ht="20" customHeight="1" thickBot="1">
      <c r="A27" s="272" t="s">
        <v>70</v>
      </c>
      <c r="B27" s="638" t="s">
        <v>967</v>
      </c>
      <c r="C27" s="546" t="s">
        <v>967</v>
      </c>
      <c r="D27" s="638" t="s">
        <v>967</v>
      </c>
      <c r="E27" s="546">
        <v>289.56667468986404</v>
      </c>
      <c r="F27" s="860">
        <v>289.56667468986359</v>
      </c>
      <c r="G27" s="499">
        <v>1.3307665091255583E-3</v>
      </c>
      <c r="H27" s="545">
        <v>5.7132672767665982E-2</v>
      </c>
    </row>
    <row r="28" spans="1:8" ht="20" customHeight="1" thickBot="1">
      <c r="A28" s="272" t="s">
        <v>71</v>
      </c>
      <c r="B28" s="638">
        <v>373.74853555989807</v>
      </c>
      <c r="C28" s="546">
        <v>349.80084906025007</v>
      </c>
      <c r="D28" s="638" t="s">
        <v>967</v>
      </c>
      <c r="E28" s="546" t="s">
        <v>967</v>
      </c>
      <c r="F28" s="860">
        <v>370.10702669083787</v>
      </c>
      <c r="G28" s="499">
        <v>4.6845830560500179E-3</v>
      </c>
      <c r="H28" s="545">
        <v>4.4420308904140171E-2</v>
      </c>
    </row>
    <row r="29" spans="1:8" ht="20" customHeight="1" thickBot="1">
      <c r="A29" s="272" t="s">
        <v>72</v>
      </c>
      <c r="B29" s="638">
        <v>390.30854192480103</v>
      </c>
      <c r="C29" s="546">
        <v>367.17056676375603</v>
      </c>
      <c r="D29" s="638">
        <v>349.69342825474104</v>
      </c>
      <c r="E29" s="546" t="s">
        <v>967</v>
      </c>
      <c r="F29" s="860">
        <v>369.875756281142</v>
      </c>
      <c r="G29" s="499">
        <v>-8.2107687307808597E-3</v>
      </c>
      <c r="H29" s="545">
        <v>3.4655469241978487E-2</v>
      </c>
    </row>
    <row r="30" spans="1:8" ht="20" customHeight="1" thickBot="1">
      <c r="A30" s="272" t="s">
        <v>73</v>
      </c>
      <c r="B30" s="638">
        <v>272.33649945858406</v>
      </c>
      <c r="C30" s="546">
        <v>238.25388735974701</v>
      </c>
      <c r="D30" s="638" t="s">
        <v>967</v>
      </c>
      <c r="E30" s="546" t="s">
        <v>967</v>
      </c>
      <c r="F30" s="860">
        <v>262.58089836138311</v>
      </c>
      <c r="G30" s="499">
        <v>1.2483602099794044E-2</v>
      </c>
      <c r="H30" s="545">
        <v>4.6191858970567878E-2</v>
      </c>
    </row>
    <row r="31" spans="1:8" ht="20" customHeight="1" thickBot="1">
      <c r="A31" s="272" t="s">
        <v>74</v>
      </c>
      <c r="B31" s="638" t="s">
        <v>967</v>
      </c>
      <c r="C31" s="546" t="s">
        <v>967</v>
      </c>
      <c r="D31" s="638" t="s">
        <v>967</v>
      </c>
      <c r="E31" s="546">
        <v>363.22482526537101</v>
      </c>
      <c r="F31" s="860">
        <v>363.22482526537129</v>
      </c>
      <c r="G31" s="499">
        <v>-9.5863243153210265E-3</v>
      </c>
      <c r="H31" s="545">
        <v>4.6272153283322126E-2</v>
      </c>
    </row>
    <row r="32" spans="1:8" ht="20" customHeight="1" thickBot="1">
      <c r="A32" s="272" t="s">
        <v>75</v>
      </c>
      <c r="B32" s="638" t="s">
        <v>967</v>
      </c>
      <c r="C32" s="546" t="s">
        <v>967</v>
      </c>
      <c r="D32" s="638" t="s">
        <v>967</v>
      </c>
      <c r="E32" s="546">
        <v>418.91245094880804</v>
      </c>
      <c r="F32" s="860">
        <v>418.91245094880833</v>
      </c>
      <c r="G32" s="499">
        <v>-1.04527420126026E-2</v>
      </c>
      <c r="H32" s="545">
        <v>3.6561993715162666E-2</v>
      </c>
    </row>
    <row r="33" spans="1:8" ht="20" customHeight="1" thickBot="1">
      <c r="A33" s="272" t="s">
        <v>76</v>
      </c>
      <c r="B33" s="638" t="s">
        <v>967</v>
      </c>
      <c r="C33" s="546" t="s">
        <v>967</v>
      </c>
      <c r="D33" s="638" t="s">
        <v>967</v>
      </c>
      <c r="E33" s="546">
        <v>333.91826267221705</v>
      </c>
      <c r="F33" s="860">
        <v>333.91826267221683</v>
      </c>
      <c r="G33" s="499">
        <v>-4.2121866724676993E-3</v>
      </c>
      <c r="H33" s="545">
        <v>4.1702337813621426E-2</v>
      </c>
    </row>
    <row r="34" spans="1:8" s="188" customFormat="1" ht="30" customHeight="1" thickBot="1">
      <c r="A34" s="132" t="s">
        <v>1944</v>
      </c>
      <c r="B34" s="639" t="s">
        <v>1412</v>
      </c>
      <c r="C34" s="549" t="s">
        <v>1412</v>
      </c>
      <c r="D34" s="639" t="s">
        <v>1412</v>
      </c>
      <c r="E34" s="549" t="s">
        <v>1412</v>
      </c>
      <c r="F34" s="639">
        <v>314.60604194243149</v>
      </c>
      <c r="G34" s="610">
        <v>5.097592148879615E-3</v>
      </c>
      <c r="H34" s="550">
        <v>4.7772453333515985E-2</v>
      </c>
    </row>
    <row r="35" spans="1:8" ht="20" customHeight="1">
      <c r="A35" s="136" t="s">
        <v>2410</v>
      </c>
      <c r="B35" s="882"/>
      <c r="C35" s="882"/>
      <c r="D35" s="882"/>
      <c r="E35" s="882"/>
      <c r="F35" s="882"/>
    </row>
    <row r="36" spans="1:8" ht="12.75" customHeight="1">
      <c r="A36" s="3"/>
      <c r="B36" s="883"/>
      <c r="C36" s="883"/>
      <c r="D36" s="883"/>
      <c r="E36" s="883"/>
      <c r="F36" s="883"/>
    </row>
    <row r="37" spans="1:8" ht="15.75" customHeight="1">
      <c r="A37" s="3" t="s">
        <v>2402</v>
      </c>
      <c r="B37" s="883"/>
      <c r="C37" s="883"/>
      <c r="D37" s="883"/>
      <c r="E37" s="883"/>
      <c r="F37" s="883"/>
    </row>
    <row r="38" spans="1:8" ht="13.5" customHeight="1">
      <c r="A38" s="3"/>
      <c r="B38" s="883"/>
      <c r="C38" s="883"/>
      <c r="D38" s="883"/>
      <c r="E38" s="883"/>
      <c r="F38" s="883"/>
    </row>
    <row r="39" spans="1:8" ht="12.75" customHeight="1">
      <c r="A39" s="3" t="s">
        <v>2403</v>
      </c>
      <c r="B39" s="883"/>
      <c r="C39" s="883"/>
      <c r="D39" s="883"/>
      <c r="E39" s="883"/>
      <c r="F39" s="883"/>
    </row>
    <row r="40" spans="1:8">
      <c r="A40" s="2" t="s">
        <v>2404</v>
      </c>
      <c r="B40" s="41"/>
      <c r="C40" s="41"/>
      <c r="D40" s="41"/>
      <c r="E40" s="41"/>
      <c r="F40" s="41"/>
    </row>
    <row r="41" spans="1:8">
      <c r="A41" s="2" t="s">
        <v>2405</v>
      </c>
      <c r="B41" s="41"/>
      <c r="C41" s="41"/>
      <c r="D41" s="41"/>
      <c r="E41" s="41"/>
      <c r="F41" s="41"/>
    </row>
    <row r="42" spans="1:8">
      <c r="A42" s="2" t="s">
        <v>2406</v>
      </c>
      <c r="B42" s="41"/>
      <c r="C42" s="41"/>
      <c r="D42" s="41"/>
      <c r="E42" s="41"/>
      <c r="F42" s="41"/>
    </row>
    <row r="43" spans="1:8">
      <c r="B43" s="41"/>
      <c r="C43" s="41"/>
      <c r="D43" s="41"/>
      <c r="E43" s="41"/>
      <c r="F43" s="41"/>
    </row>
    <row r="44" spans="1:8">
      <c r="B44" s="41"/>
      <c r="C44" s="41"/>
      <c r="D44" s="41"/>
      <c r="E44" s="41"/>
      <c r="F44" s="41"/>
    </row>
    <row r="45" spans="1:8">
      <c r="A45" s="2" t="s">
        <v>1955</v>
      </c>
    </row>
  </sheetData>
  <phoneticPr fontId="0" type="noConversion"/>
  <pageMargins left="0.57999999999999996" right="0.62" top="0.78" bottom="0.47244094488188981" header="0.44" footer="0.51181102362204722"/>
  <pageSetup paperSize="9" scale="74" orientation="portrait" horizontalDpi="4294967292" verticalDpi="4294967292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7130-DA5F-5045-A75F-6BC3958A8469}">
  <sheetPr>
    <pageSetUpPr fitToPage="1"/>
  </sheetPr>
  <dimension ref="A1:H45"/>
  <sheetViews>
    <sheetView topLeftCell="A22" zoomScale="75" workbookViewId="0">
      <selection activeCell="I35" sqref="I35"/>
    </sheetView>
  </sheetViews>
  <sheetFormatPr baseColWidth="10" defaultColWidth="11.3984375" defaultRowHeight="13"/>
  <cols>
    <col min="1" max="6" width="16" style="2" customWidth="1"/>
    <col min="7" max="8" width="14.19921875" style="2" customWidth="1"/>
    <col min="9" max="16384" width="11.3984375" style="2"/>
  </cols>
  <sheetData>
    <row r="1" spans="1:8" s="1" customFormat="1" ht="14" customHeight="1">
      <c r="A1" s="718"/>
      <c r="B1" s="718"/>
      <c r="C1" s="718"/>
      <c r="D1" s="718"/>
      <c r="E1" s="718"/>
      <c r="F1" s="718"/>
    </row>
    <row r="2" spans="1:8" s="1" customFormat="1" ht="21" customHeight="1">
      <c r="A2" s="748" t="s">
        <v>1262</v>
      </c>
      <c r="B2" s="718"/>
      <c r="C2" s="718"/>
      <c r="D2" s="718"/>
      <c r="E2" s="718"/>
      <c r="F2" s="718"/>
    </row>
    <row r="3" spans="1:8" s="1" customFormat="1" ht="27" customHeight="1">
      <c r="A3" s="748" t="s">
        <v>1873</v>
      </c>
      <c r="B3" s="718"/>
      <c r="C3" s="718"/>
      <c r="D3" s="718"/>
      <c r="E3" s="718"/>
      <c r="F3" s="718"/>
    </row>
    <row r="4" spans="1:8" ht="24" customHeight="1">
      <c r="A4" s="113" t="s">
        <v>41</v>
      </c>
      <c r="B4" s="871" t="s">
        <v>2394</v>
      </c>
      <c r="C4" s="872" t="s">
        <v>2395</v>
      </c>
      <c r="D4" s="871" t="s">
        <v>2396</v>
      </c>
      <c r="E4" s="872" t="s">
        <v>2397</v>
      </c>
      <c r="F4" s="871" t="s">
        <v>2408</v>
      </c>
      <c r="G4" s="873" t="s">
        <v>45</v>
      </c>
      <c r="H4" s="874" t="s">
        <v>2398</v>
      </c>
    </row>
    <row r="5" spans="1:8" ht="24.75" customHeight="1">
      <c r="A5" s="248"/>
      <c r="B5" s="875"/>
      <c r="C5" s="876"/>
      <c r="D5" s="875"/>
      <c r="E5" s="876"/>
      <c r="F5" s="875"/>
      <c r="G5" s="877" t="s">
        <v>46</v>
      </c>
      <c r="H5" s="878" t="s">
        <v>2399</v>
      </c>
    </row>
    <row r="6" spans="1:8" ht="24.75" customHeight="1">
      <c r="A6" s="248"/>
      <c r="B6" s="875"/>
      <c r="C6" s="876"/>
      <c r="D6" s="875"/>
      <c r="E6" s="876"/>
      <c r="F6" s="875"/>
      <c r="G6" s="869" t="s">
        <v>50</v>
      </c>
      <c r="H6" s="870" t="s">
        <v>2400</v>
      </c>
    </row>
    <row r="7" spans="1:8" ht="16" customHeight="1">
      <c r="A7" s="249"/>
      <c r="B7" s="123"/>
      <c r="C7" s="122"/>
      <c r="D7" s="123"/>
      <c r="E7" s="122"/>
      <c r="F7" s="144"/>
      <c r="G7" s="879"/>
      <c r="H7" s="880" t="s">
        <v>2401</v>
      </c>
    </row>
    <row r="8" spans="1:8" ht="30" customHeight="1" thickBot="1">
      <c r="A8" s="268" t="s">
        <v>51</v>
      </c>
      <c r="B8" s="637">
        <v>279.14543700668304</v>
      </c>
      <c r="C8" s="257">
        <v>238.405408724258</v>
      </c>
      <c r="D8" s="637">
        <v>218.90669049592199</v>
      </c>
      <c r="E8" s="257" t="s">
        <v>967</v>
      </c>
      <c r="F8" s="881">
        <v>241.29797394629844</v>
      </c>
      <c r="G8" s="891">
        <v>1.0656091018559355E-3</v>
      </c>
      <c r="H8" s="892">
        <v>6.7472125195452204E-2</v>
      </c>
    </row>
    <row r="9" spans="1:8" ht="20" customHeight="1" thickBot="1">
      <c r="A9" s="272" t="s">
        <v>52</v>
      </c>
      <c r="B9" s="638">
        <v>293.82804557257106</v>
      </c>
      <c r="C9" s="546">
        <v>253.89953187502502</v>
      </c>
      <c r="D9" s="638">
        <v>234.54994856781201</v>
      </c>
      <c r="E9" s="546" t="s">
        <v>967</v>
      </c>
      <c r="F9" s="860">
        <v>259.90699962294769</v>
      </c>
      <c r="G9" s="893">
        <v>1.9265776307569871E-2</v>
      </c>
      <c r="H9" s="894">
        <v>7.8763330759966221E-2</v>
      </c>
    </row>
    <row r="10" spans="1:8" ht="20" customHeight="1" thickBot="1">
      <c r="A10" s="272" t="s">
        <v>53</v>
      </c>
      <c r="B10" s="638">
        <v>222.96775388371401</v>
      </c>
      <c r="C10" s="546">
        <v>204.36174413735702</v>
      </c>
      <c r="D10" s="638">
        <v>195.91047202446401</v>
      </c>
      <c r="E10" s="546" t="s">
        <v>967</v>
      </c>
      <c r="F10" s="860">
        <v>208.33852607158215</v>
      </c>
      <c r="G10" s="893">
        <v>1.7451219188485023E-2</v>
      </c>
      <c r="H10" s="894">
        <v>7.6945829210098182E-2</v>
      </c>
    </row>
    <row r="11" spans="1:8" ht="20" customHeight="1" thickBot="1">
      <c r="A11" s="272" t="s">
        <v>54</v>
      </c>
      <c r="B11" s="638" t="s">
        <v>967</v>
      </c>
      <c r="C11" s="546" t="s">
        <v>967</v>
      </c>
      <c r="D11" s="638" t="s">
        <v>967</v>
      </c>
      <c r="E11" s="546">
        <v>190.22340032093101</v>
      </c>
      <c r="F11" s="860">
        <v>190.22340032093106</v>
      </c>
      <c r="G11" s="893">
        <v>1.9048476661253533E-2</v>
      </c>
      <c r="H11" s="894">
        <v>6.6616162082725028E-2</v>
      </c>
    </row>
    <row r="12" spans="1:8" ht="20" customHeight="1" thickBot="1">
      <c r="A12" s="272" t="s">
        <v>55</v>
      </c>
      <c r="B12" s="638" t="s">
        <v>967</v>
      </c>
      <c r="C12" s="546" t="s">
        <v>967</v>
      </c>
      <c r="D12" s="638" t="s">
        <v>967</v>
      </c>
      <c r="E12" s="546">
        <v>204.419028226855</v>
      </c>
      <c r="F12" s="860">
        <v>204.41902822685498</v>
      </c>
      <c r="G12" s="893">
        <v>1.9758632265951315E-2</v>
      </c>
      <c r="H12" s="894">
        <v>7.2661042935732834E-2</v>
      </c>
    </row>
    <row r="13" spans="1:8" ht="20" customHeight="1" thickBot="1">
      <c r="A13" s="272" t="s">
        <v>56</v>
      </c>
      <c r="B13" s="638" t="s">
        <v>967</v>
      </c>
      <c r="C13" s="546" t="s">
        <v>967</v>
      </c>
      <c r="D13" s="638" t="s">
        <v>967</v>
      </c>
      <c r="E13" s="546">
        <v>184.609939980093</v>
      </c>
      <c r="F13" s="860">
        <v>184.60993998009332</v>
      </c>
      <c r="G13" s="893">
        <v>2.7772838757473384E-2</v>
      </c>
      <c r="H13" s="894">
        <v>6.5057482695106028E-2</v>
      </c>
    </row>
    <row r="14" spans="1:8" ht="20" customHeight="1" thickBot="1">
      <c r="A14" s="272" t="s">
        <v>57</v>
      </c>
      <c r="B14" s="638" t="s">
        <v>967</v>
      </c>
      <c r="C14" s="546" t="s">
        <v>967</v>
      </c>
      <c r="D14" s="638" t="s">
        <v>967</v>
      </c>
      <c r="E14" s="546">
        <v>173.79309087783699</v>
      </c>
      <c r="F14" s="860">
        <v>173.7930908778367</v>
      </c>
      <c r="G14" s="893">
        <v>1.6049336385080659E-2</v>
      </c>
      <c r="H14" s="894">
        <v>6.2850059820352522E-2</v>
      </c>
    </row>
    <row r="15" spans="1:8" ht="20" customHeight="1" thickBot="1">
      <c r="A15" s="272" t="s">
        <v>58</v>
      </c>
      <c r="B15" s="638" t="s">
        <v>967</v>
      </c>
      <c r="C15" s="546" t="s">
        <v>967</v>
      </c>
      <c r="D15" s="638" t="s">
        <v>967</v>
      </c>
      <c r="E15" s="546">
        <v>205.11358310582003</v>
      </c>
      <c r="F15" s="860">
        <v>205.11358310582006</v>
      </c>
      <c r="G15" s="893">
        <v>3.2334251585444118E-3</v>
      </c>
      <c r="H15" s="894">
        <v>7.6726798995753631E-2</v>
      </c>
    </row>
    <row r="16" spans="1:8" ht="20" customHeight="1" thickBot="1">
      <c r="A16" s="272" t="s">
        <v>59</v>
      </c>
      <c r="B16" s="638" t="s">
        <v>967</v>
      </c>
      <c r="C16" s="546" t="s">
        <v>967</v>
      </c>
      <c r="D16" s="638" t="s">
        <v>967</v>
      </c>
      <c r="E16" s="546">
        <v>202.269606873941</v>
      </c>
      <c r="F16" s="860">
        <v>202.26960687394052</v>
      </c>
      <c r="G16" s="893">
        <v>5.5437951000729679E-3</v>
      </c>
      <c r="H16" s="894">
        <v>7.2836796050296249E-2</v>
      </c>
    </row>
    <row r="17" spans="1:8" ht="20" customHeight="1" thickBot="1">
      <c r="A17" s="272" t="s">
        <v>60</v>
      </c>
      <c r="B17" s="638">
        <v>254.97655055097101</v>
      </c>
      <c r="C17" s="546">
        <v>227.889907895166</v>
      </c>
      <c r="D17" s="638" t="s">
        <v>967</v>
      </c>
      <c r="E17" s="546" t="s">
        <v>967</v>
      </c>
      <c r="F17" s="860">
        <v>237.37241833626553</v>
      </c>
      <c r="G17" s="893">
        <v>6.7617923454708073E-3</v>
      </c>
      <c r="H17" s="894">
        <v>6.6787334059409398E-2</v>
      </c>
    </row>
    <row r="18" spans="1:8" ht="20" customHeight="1" thickBot="1">
      <c r="A18" s="272" t="s">
        <v>61</v>
      </c>
      <c r="B18" s="638" t="s">
        <v>967</v>
      </c>
      <c r="C18" s="546" t="s">
        <v>967</v>
      </c>
      <c r="D18" s="638" t="s">
        <v>967</v>
      </c>
      <c r="E18" s="546">
        <v>223.20980725867201</v>
      </c>
      <c r="F18" s="860">
        <v>223.2098072586723</v>
      </c>
      <c r="G18" s="893">
        <v>2.1924722622755466E-2</v>
      </c>
      <c r="H18" s="894">
        <v>6.2033278525740476E-2</v>
      </c>
    </row>
    <row r="19" spans="1:8" ht="20" customHeight="1" thickBot="1">
      <c r="A19" s="272" t="s">
        <v>62</v>
      </c>
      <c r="B19" s="638" t="s">
        <v>967</v>
      </c>
      <c r="C19" s="546" t="s">
        <v>967</v>
      </c>
      <c r="D19" s="638" t="s">
        <v>967</v>
      </c>
      <c r="E19" s="546">
        <v>327.08290710219802</v>
      </c>
      <c r="F19" s="860">
        <v>327.08290710219825</v>
      </c>
      <c r="G19" s="893">
        <v>2.8238133085543016E-3</v>
      </c>
      <c r="H19" s="894">
        <v>7.3866402337218862E-2</v>
      </c>
    </row>
    <row r="20" spans="1:8" ht="20" customHeight="1" thickBot="1">
      <c r="A20" s="272" t="s">
        <v>63</v>
      </c>
      <c r="B20" s="638">
        <v>253.22250572200602</v>
      </c>
      <c r="C20" s="546">
        <v>233.29071051932002</v>
      </c>
      <c r="D20" s="638" t="s">
        <v>967</v>
      </c>
      <c r="E20" s="546" t="s">
        <v>967</v>
      </c>
      <c r="F20" s="860">
        <v>247.25382741260995</v>
      </c>
      <c r="G20" s="893">
        <v>9.5884643949961657E-3</v>
      </c>
      <c r="H20" s="894">
        <v>6.4956385497955571E-2</v>
      </c>
    </row>
    <row r="21" spans="1:8" ht="20" customHeight="1" thickBot="1">
      <c r="A21" s="272" t="s">
        <v>64</v>
      </c>
      <c r="B21" s="638">
        <v>240.49412170311101</v>
      </c>
      <c r="C21" s="546">
        <v>221.24960892487101</v>
      </c>
      <c r="D21" s="638" t="s">
        <v>967</v>
      </c>
      <c r="E21" s="546" t="s">
        <v>967</v>
      </c>
      <c r="F21" s="860">
        <v>232.82814461286975</v>
      </c>
      <c r="G21" s="893">
        <v>1.5170954763676914E-2</v>
      </c>
      <c r="H21" s="894">
        <v>7.1113789098486313E-2</v>
      </c>
    </row>
    <row r="22" spans="1:8" ht="20" customHeight="1" thickBot="1">
      <c r="A22" s="272" t="s">
        <v>65</v>
      </c>
      <c r="B22" s="638" t="s">
        <v>967</v>
      </c>
      <c r="C22" s="546" t="s">
        <v>967</v>
      </c>
      <c r="D22" s="638" t="s">
        <v>967</v>
      </c>
      <c r="E22" s="546">
        <v>184.69055341218501</v>
      </c>
      <c r="F22" s="860">
        <v>184.69055341218476</v>
      </c>
      <c r="G22" s="893">
        <v>2.1814059590637314E-2</v>
      </c>
      <c r="H22" s="894">
        <v>7.0322381910757681E-2</v>
      </c>
    </row>
    <row r="23" spans="1:8" ht="20" customHeight="1" thickBot="1">
      <c r="A23" s="272" t="s">
        <v>66</v>
      </c>
      <c r="B23" s="638" t="s">
        <v>967</v>
      </c>
      <c r="C23" s="546" t="s">
        <v>967</v>
      </c>
      <c r="D23" s="638" t="s">
        <v>967</v>
      </c>
      <c r="E23" s="546">
        <v>173.470066394067</v>
      </c>
      <c r="F23" s="860">
        <v>173.47006639406723</v>
      </c>
      <c r="G23" s="893">
        <v>3.1702471291831458E-2</v>
      </c>
      <c r="H23" s="894">
        <v>7.5042433157884503E-2</v>
      </c>
    </row>
    <row r="24" spans="1:8" ht="20" customHeight="1" thickBot="1">
      <c r="A24" s="272" t="s">
        <v>67</v>
      </c>
      <c r="B24" s="638">
        <v>223.03262246895301</v>
      </c>
      <c r="C24" s="546">
        <v>204.70553133633999</v>
      </c>
      <c r="D24" s="638">
        <v>195.89143870362199</v>
      </c>
      <c r="E24" s="546" t="s">
        <v>967</v>
      </c>
      <c r="F24" s="860">
        <v>207.76848338489737</v>
      </c>
      <c r="G24" s="893">
        <v>2.6575927559210788E-2</v>
      </c>
      <c r="H24" s="894">
        <v>7.7159830626877257E-2</v>
      </c>
    </row>
    <row r="25" spans="1:8" ht="20" customHeight="1" thickBot="1">
      <c r="A25" s="272" t="s">
        <v>68</v>
      </c>
      <c r="B25" s="638">
        <v>216.49026987905603</v>
      </c>
      <c r="C25" s="546">
        <v>207.33283186211801</v>
      </c>
      <c r="D25" s="638">
        <v>189.96032345466202</v>
      </c>
      <c r="E25" s="546" t="s">
        <v>967</v>
      </c>
      <c r="F25" s="860">
        <v>205.54698951866172</v>
      </c>
      <c r="G25" s="893">
        <v>1.3847290820614644E-2</v>
      </c>
      <c r="H25" s="894">
        <v>8.1318362762163421E-2</v>
      </c>
    </row>
    <row r="26" spans="1:8" ht="20" customHeight="1" thickBot="1">
      <c r="A26" s="272" t="s">
        <v>69</v>
      </c>
      <c r="B26" s="638" t="s">
        <v>967</v>
      </c>
      <c r="C26" s="546" t="s">
        <v>967</v>
      </c>
      <c r="D26" s="638" t="s">
        <v>967</v>
      </c>
      <c r="E26" s="546">
        <v>223.288104427039</v>
      </c>
      <c r="F26" s="860">
        <v>223.28810442703897</v>
      </c>
      <c r="G26" s="893">
        <v>1.9244393148461825E-2</v>
      </c>
      <c r="H26" s="894">
        <v>7.9066148534943093E-2</v>
      </c>
    </row>
    <row r="27" spans="1:8" ht="20" customHeight="1" thickBot="1">
      <c r="A27" s="272" t="s">
        <v>70</v>
      </c>
      <c r="B27" s="638" t="s">
        <v>967</v>
      </c>
      <c r="C27" s="546" t="s">
        <v>967</v>
      </c>
      <c r="D27" s="638" t="s">
        <v>967</v>
      </c>
      <c r="E27" s="546">
        <v>228.00415295616202</v>
      </c>
      <c r="F27" s="860">
        <v>228.00415295616176</v>
      </c>
      <c r="G27" s="893">
        <v>1.1372572232410949E-3</v>
      </c>
      <c r="H27" s="894">
        <v>7.9216949075937793E-2</v>
      </c>
    </row>
    <row r="28" spans="1:8" ht="20" customHeight="1" thickBot="1">
      <c r="A28" s="272" t="s">
        <v>71</v>
      </c>
      <c r="B28" s="638">
        <v>298.19654701348605</v>
      </c>
      <c r="C28" s="546">
        <v>279.46880542856996</v>
      </c>
      <c r="D28" s="638" t="s">
        <v>967</v>
      </c>
      <c r="E28" s="546" t="s">
        <v>967</v>
      </c>
      <c r="F28" s="860">
        <v>295.20354901975287</v>
      </c>
      <c r="G28" s="893">
        <v>4.6790283975430835E-3</v>
      </c>
      <c r="H28" s="894">
        <v>6.7136887707796244E-2</v>
      </c>
    </row>
    <row r="29" spans="1:8" ht="20" customHeight="1" thickBot="1">
      <c r="A29" s="272" t="s">
        <v>72</v>
      </c>
      <c r="B29" s="638">
        <v>322.86866983408504</v>
      </c>
      <c r="C29" s="546">
        <v>309.77153081765903</v>
      </c>
      <c r="D29" s="638">
        <v>295.94857906589402</v>
      </c>
      <c r="E29" s="546" t="s">
        <v>967</v>
      </c>
      <c r="F29" s="860">
        <v>310.20065179498579</v>
      </c>
      <c r="G29" s="893">
        <v>-1.1402805612650502E-2</v>
      </c>
      <c r="H29" s="894">
        <v>6.1456457371244833E-2</v>
      </c>
    </row>
    <row r="30" spans="1:8" ht="20" customHeight="1" thickBot="1">
      <c r="A30" s="272" t="s">
        <v>73</v>
      </c>
      <c r="B30" s="638">
        <v>225.54949495903003</v>
      </c>
      <c r="C30" s="546">
        <v>186.98441948809003</v>
      </c>
      <c r="D30" s="638" t="s">
        <v>967</v>
      </c>
      <c r="E30" s="546" t="s">
        <v>967</v>
      </c>
      <c r="F30" s="860">
        <v>214.1766690389295</v>
      </c>
      <c r="G30" s="893">
        <v>1.3321331277860615E-2</v>
      </c>
      <c r="H30" s="894">
        <v>6.8854245205161924E-2</v>
      </c>
    </row>
    <row r="31" spans="1:8" ht="20" customHeight="1" thickBot="1">
      <c r="A31" s="272" t="s">
        <v>74</v>
      </c>
      <c r="B31" s="638" t="s">
        <v>967</v>
      </c>
      <c r="C31" s="546" t="s">
        <v>967</v>
      </c>
      <c r="D31" s="638" t="s">
        <v>967</v>
      </c>
      <c r="E31" s="546">
        <v>300.22832013348</v>
      </c>
      <c r="F31" s="860">
        <v>300.22832013347971</v>
      </c>
      <c r="G31" s="893">
        <v>-1.5875177502548632E-2</v>
      </c>
      <c r="H31" s="894">
        <v>7.3417195842543803E-2</v>
      </c>
    </row>
    <row r="32" spans="1:8" ht="20" customHeight="1" thickBot="1">
      <c r="A32" s="272" t="s">
        <v>75</v>
      </c>
      <c r="B32" s="638" t="s">
        <v>967</v>
      </c>
      <c r="C32" s="546" t="s">
        <v>967</v>
      </c>
      <c r="D32" s="638" t="s">
        <v>967</v>
      </c>
      <c r="E32" s="546">
        <v>347.74046313574905</v>
      </c>
      <c r="F32" s="860">
        <v>347.74046313574877</v>
      </c>
      <c r="G32" s="893">
        <v>-1.0267780929822945E-2</v>
      </c>
      <c r="H32" s="894">
        <v>6.1421392336043823E-2</v>
      </c>
    </row>
    <row r="33" spans="1:8" ht="20" customHeight="1" thickBot="1">
      <c r="A33" s="272" t="s">
        <v>76</v>
      </c>
      <c r="B33" s="638" t="s">
        <v>967</v>
      </c>
      <c r="C33" s="546" t="s">
        <v>967</v>
      </c>
      <c r="D33" s="638" t="s">
        <v>967</v>
      </c>
      <c r="E33" s="546">
        <v>278.23657078971405</v>
      </c>
      <c r="F33" s="860">
        <v>278.23657078971354</v>
      </c>
      <c r="G33" s="893">
        <v>-1.866547281488673E-2</v>
      </c>
      <c r="H33" s="894">
        <v>6.9521310927535884E-2</v>
      </c>
    </row>
    <row r="34" spans="1:8" s="188" customFormat="1" ht="30" customHeight="1" thickBot="1">
      <c r="A34" s="132" t="s">
        <v>1944</v>
      </c>
      <c r="B34" s="639" t="s">
        <v>1412</v>
      </c>
      <c r="C34" s="549" t="s">
        <v>1412</v>
      </c>
      <c r="D34" s="639" t="s">
        <v>1412</v>
      </c>
      <c r="E34" s="549" t="s">
        <v>1412</v>
      </c>
      <c r="F34" s="639">
        <v>248.01478980217522</v>
      </c>
      <c r="G34" s="895">
        <v>6.9458340466752588E-3</v>
      </c>
      <c r="H34" s="896">
        <v>7.0666000709754373E-2</v>
      </c>
    </row>
    <row r="35" spans="1:8" ht="20" customHeight="1">
      <c r="A35" s="136" t="s">
        <v>2410</v>
      </c>
      <c r="B35" s="882"/>
      <c r="C35" s="882"/>
      <c r="D35" s="882"/>
      <c r="E35" s="882"/>
      <c r="F35" s="882"/>
    </row>
    <row r="36" spans="1:8" ht="12.75" customHeight="1">
      <c r="A36" s="3"/>
      <c r="B36" s="883"/>
      <c r="C36" s="883"/>
      <c r="D36" s="883"/>
      <c r="E36" s="883"/>
      <c r="F36" s="883"/>
    </row>
    <row r="37" spans="1:8" ht="15.75" customHeight="1">
      <c r="A37" s="3" t="s">
        <v>2402</v>
      </c>
      <c r="B37" s="883"/>
      <c r="C37" s="883"/>
      <c r="D37" s="883"/>
      <c r="E37" s="883"/>
      <c r="F37" s="883"/>
    </row>
    <row r="38" spans="1:8" ht="13.5" customHeight="1">
      <c r="A38" s="3"/>
      <c r="B38" s="883"/>
      <c r="C38" s="883"/>
      <c r="D38" s="883"/>
      <c r="E38" s="883"/>
      <c r="F38" s="883"/>
    </row>
    <row r="39" spans="1:8" ht="12.75" customHeight="1">
      <c r="A39" s="3" t="s">
        <v>2403</v>
      </c>
      <c r="B39" s="883"/>
      <c r="C39" s="883"/>
      <c r="D39" s="883"/>
      <c r="E39" s="883"/>
      <c r="F39" s="883"/>
    </row>
    <row r="40" spans="1:8">
      <c r="A40" s="2" t="s">
        <v>2404</v>
      </c>
      <c r="B40" s="41"/>
      <c r="C40" s="41"/>
      <c r="D40" s="41"/>
      <c r="E40" s="41"/>
      <c r="F40" s="41"/>
    </row>
    <row r="41" spans="1:8">
      <c r="A41" s="2" t="s">
        <v>2405</v>
      </c>
      <c r="B41" s="41"/>
      <c r="C41" s="41"/>
      <c r="D41" s="41"/>
      <c r="E41" s="41"/>
      <c r="F41" s="41"/>
    </row>
    <row r="42" spans="1:8">
      <c r="A42" s="2" t="s">
        <v>2406</v>
      </c>
      <c r="B42" s="41"/>
      <c r="C42" s="41"/>
      <c r="D42" s="41"/>
      <c r="E42" s="41"/>
      <c r="F42" s="41"/>
    </row>
    <row r="43" spans="1:8">
      <c r="B43" s="41"/>
      <c r="C43" s="41"/>
      <c r="D43" s="41"/>
      <c r="E43" s="41"/>
      <c r="F43" s="41"/>
    </row>
    <row r="44" spans="1:8">
      <c r="B44" s="41"/>
      <c r="C44" s="41"/>
      <c r="D44" s="41"/>
      <c r="E44" s="41"/>
      <c r="F44" s="41"/>
    </row>
    <row r="45" spans="1:8">
      <c r="A45" s="2" t="s">
        <v>1955</v>
      </c>
    </row>
  </sheetData>
  <phoneticPr fontId="0" type="noConversion"/>
  <pageMargins left="0.56000000000000005" right="0.54" top="0.9" bottom="0.47244094488188981" header="0.63" footer="0.51181102362204722"/>
  <pageSetup paperSize="9" scale="84" orientation="portrait" horizontalDpi="4294967292" verticalDpi="4294967292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AEDF-ADD4-404C-ADB2-291C7A1A96A3}">
  <sheetPr>
    <pageSetUpPr fitToPage="1"/>
  </sheetPr>
  <dimension ref="A1:H45"/>
  <sheetViews>
    <sheetView topLeftCell="A24" zoomScale="75" workbookViewId="0">
      <selection activeCell="I37" sqref="I37"/>
    </sheetView>
  </sheetViews>
  <sheetFormatPr baseColWidth="10" defaultColWidth="11.3984375" defaultRowHeight="13"/>
  <cols>
    <col min="1" max="6" width="16" style="2" customWidth="1"/>
    <col min="7" max="8" width="14.19921875" style="2" customWidth="1"/>
    <col min="9" max="16384" width="11.3984375" style="2"/>
  </cols>
  <sheetData>
    <row r="1" spans="1:8" s="1" customFormat="1" ht="14" customHeight="1">
      <c r="A1" s="718"/>
      <c r="B1" s="718"/>
      <c r="C1" s="718"/>
      <c r="D1" s="718"/>
      <c r="E1" s="718"/>
      <c r="F1" s="718"/>
    </row>
    <row r="2" spans="1:8" s="1" customFormat="1" ht="18.75" customHeight="1">
      <c r="A2" s="748" t="s">
        <v>1263</v>
      </c>
      <c r="B2" s="718"/>
      <c r="C2" s="718"/>
      <c r="D2" s="718"/>
      <c r="E2" s="718"/>
      <c r="F2" s="718"/>
    </row>
    <row r="3" spans="1:8" s="1" customFormat="1" ht="24" customHeight="1">
      <c r="A3" s="748" t="s">
        <v>1874</v>
      </c>
      <c r="B3" s="718"/>
      <c r="C3" s="718"/>
      <c r="D3" s="718"/>
      <c r="E3" s="718"/>
      <c r="F3" s="718"/>
    </row>
    <row r="4" spans="1:8" ht="24" customHeight="1">
      <c r="A4" s="113" t="s">
        <v>41</v>
      </c>
      <c r="B4" s="871" t="s">
        <v>2394</v>
      </c>
      <c r="C4" s="872" t="s">
        <v>2395</v>
      </c>
      <c r="D4" s="871" t="s">
        <v>2396</v>
      </c>
      <c r="E4" s="872" t="s">
        <v>2397</v>
      </c>
      <c r="F4" s="871" t="s">
        <v>2408</v>
      </c>
      <c r="G4" s="873" t="s">
        <v>45</v>
      </c>
      <c r="H4" s="874" t="s">
        <v>2398</v>
      </c>
    </row>
    <row r="5" spans="1:8" ht="24.75" customHeight="1">
      <c r="A5" s="248"/>
      <c r="B5" s="875"/>
      <c r="C5" s="876"/>
      <c r="D5" s="875"/>
      <c r="E5" s="876"/>
      <c r="F5" s="875"/>
      <c r="G5" s="877" t="s">
        <v>46</v>
      </c>
      <c r="H5" s="878" t="s">
        <v>2399</v>
      </c>
    </row>
    <row r="6" spans="1:8" ht="24.75" customHeight="1">
      <c r="A6" s="248"/>
      <c r="B6" s="875"/>
      <c r="C6" s="876"/>
      <c r="D6" s="875"/>
      <c r="E6" s="876"/>
      <c r="F6" s="875"/>
      <c r="G6" s="869" t="s">
        <v>50</v>
      </c>
      <c r="H6" s="870" t="s">
        <v>2400</v>
      </c>
    </row>
    <row r="7" spans="1:8" ht="16" customHeight="1">
      <c r="A7" s="249"/>
      <c r="B7" s="123"/>
      <c r="C7" s="122"/>
      <c r="D7" s="123"/>
      <c r="E7" s="122"/>
      <c r="F7" s="144"/>
      <c r="G7" s="879"/>
      <c r="H7" s="880" t="s">
        <v>2401</v>
      </c>
    </row>
    <row r="8" spans="1:8" ht="30" customHeight="1" thickBot="1">
      <c r="A8" s="268" t="s">
        <v>51</v>
      </c>
      <c r="B8" s="637">
        <v>83.607102880377298</v>
      </c>
      <c r="C8" s="257">
        <v>73.6364726619083</v>
      </c>
      <c r="D8" s="637">
        <v>68.056706577161194</v>
      </c>
      <c r="E8" s="257" t="s">
        <v>967</v>
      </c>
      <c r="F8" s="881">
        <v>73.813804331230003</v>
      </c>
      <c r="G8" s="891">
        <v>-5.9486455001449556E-3</v>
      </c>
      <c r="H8" s="892">
        <v>3.906115194495352E-2</v>
      </c>
    </row>
    <row r="9" spans="1:8" ht="20" customHeight="1" thickBot="1">
      <c r="A9" s="272" t="s">
        <v>52</v>
      </c>
      <c r="B9" s="638">
        <v>87.844247040041296</v>
      </c>
      <c r="C9" s="546">
        <v>76.593983576002799</v>
      </c>
      <c r="D9" s="638">
        <v>71.744861105879693</v>
      </c>
      <c r="E9" s="546" t="s">
        <v>967</v>
      </c>
      <c r="F9" s="860">
        <v>78.317555988946879</v>
      </c>
      <c r="G9" s="893">
        <v>6.9609899907843165E-3</v>
      </c>
      <c r="H9" s="894">
        <v>4.6315585526423675E-2</v>
      </c>
    </row>
    <row r="10" spans="1:8" ht="20" customHeight="1" thickBot="1">
      <c r="A10" s="272" t="s">
        <v>53</v>
      </c>
      <c r="B10" s="638">
        <v>68.526442061099701</v>
      </c>
      <c r="C10" s="546">
        <v>63.083763153310002</v>
      </c>
      <c r="D10" s="638">
        <v>60.373875523151696</v>
      </c>
      <c r="E10" s="546" t="s">
        <v>967</v>
      </c>
      <c r="F10" s="860">
        <v>63.905176709064783</v>
      </c>
      <c r="G10" s="893">
        <v>8.0168413358727708E-3</v>
      </c>
      <c r="H10" s="894">
        <v>5.0556962958012708E-2</v>
      </c>
    </row>
    <row r="11" spans="1:8" ht="20" customHeight="1" thickBot="1">
      <c r="A11" s="272" t="s">
        <v>54</v>
      </c>
      <c r="B11" s="638" t="s">
        <v>967</v>
      </c>
      <c r="C11" s="546" t="s">
        <v>967</v>
      </c>
      <c r="D11" s="638" t="s">
        <v>967</v>
      </c>
      <c r="E11" s="546">
        <v>58.777463099668097</v>
      </c>
      <c r="F11" s="860">
        <v>58.777463099668047</v>
      </c>
      <c r="G11" s="893">
        <v>1.7763440663569829E-2</v>
      </c>
      <c r="H11" s="894">
        <v>4.2075350998561412E-2</v>
      </c>
    </row>
    <row r="12" spans="1:8" ht="20" customHeight="1" thickBot="1">
      <c r="A12" s="272" t="s">
        <v>55</v>
      </c>
      <c r="B12" s="638" t="s">
        <v>967</v>
      </c>
      <c r="C12" s="546" t="s">
        <v>967</v>
      </c>
      <c r="D12" s="638" t="s">
        <v>967</v>
      </c>
      <c r="E12" s="546">
        <v>62.664400912458802</v>
      </c>
      <c r="F12" s="860">
        <v>62.664400912458831</v>
      </c>
      <c r="G12" s="893">
        <v>1.1846507213176594E-2</v>
      </c>
      <c r="H12" s="894">
        <v>4.4431259976319248E-2</v>
      </c>
    </row>
    <row r="13" spans="1:8" ht="20" customHeight="1" thickBot="1">
      <c r="A13" s="272" t="s">
        <v>56</v>
      </c>
      <c r="B13" s="638" t="s">
        <v>967</v>
      </c>
      <c r="C13" s="546" t="s">
        <v>967</v>
      </c>
      <c r="D13" s="638" t="s">
        <v>967</v>
      </c>
      <c r="E13" s="546">
        <v>56.424402228202801</v>
      </c>
      <c r="F13" s="860">
        <v>56.424402228202759</v>
      </c>
      <c r="G13" s="893">
        <v>1.6045775460256539E-2</v>
      </c>
      <c r="H13" s="894">
        <v>3.7352334185931424E-2</v>
      </c>
    </row>
    <row r="14" spans="1:8" ht="20" customHeight="1" thickBot="1">
      <c r="A14" s="272" t="s">
        <v>57</v>
      </c>
      <c r="B14" s="638" t="s">
        <v>967</v>
      </c>
      <c r="C14" s="546" t="s">
        <v>967</v>
      </c>
      <c r="D14" s="638" t="s">
        <v>967</v>
      </c>
      <c r="E14" s="546">
        <v>53.743213288153896</v>
      </c>
      <c r="F14" s="860">
        <v>53.743213288153846</v>
      </c>
      <c r="G14" s="893">
        <v>4.5859341952927402E-3</v>
      </c>
      <c r="H14" s="894">
        <v>3.5376293750749799E-2</v>
      </c>
    </row>
    <row r="15" spans="1:8" ht="20" customHeight="1" thickBot="1">
      <c r="A15" s="272" t="s">
        <v>58</v>
      </c>
      <c r="B15" s="638" t="s">
        <v>967</v>
      </c>
      <c r="C15" s="546" t="s">
        <v>967</v>
      </c>
      <c r="D15" s="638" t="s">
        <v>967</v>
      </c>
      <c r="E15" s="546">
        <v>62.737587118441894</v>
      </c>
      <c r="F15" s="860">
        <v>62.73758711844193</v>
      </c>
      <c r="G15" s="893">
        <v>4.7096152075236652E-3</v>
      </c>
      <c r="H15" s="894">
        <v>4.9904831052516752E-2</v>
      </c>
    </row>
    <row r="16" spans="1:8" ht="20" customHeight="1" thickBot="1">
      <c r="A16" s="272" t="s">
        <v>59</v>
      </c>
      <c r="B16" s="638" t="s">
        <v>967</v>
      </c>
      <c r="C16" s="546" t="s">
        <v>967</v>
      </c>
      <c r="D16" s="638" t="s">
        <v>967</v>
      </c>
      <c r="E16" s="546">
        <v>62.045137246631903</v>
      </c>
      <c r="F16" s="860">
        <v>62.045137246631924</v>
      </c>
      <c r="G16" s="893">
        <v>-5.9777239427238893E-4</v>
      </c>
      <c r="H16" s="894">
        <v>4.5982130184728964E-2</v>
      </c>
    </row>
    <row r="17" spans="1:8" ht="20" customHeight="1" thickBot="1">
      <c r="A17" s="272" t="s">
        <v>60</v>
      </c>
      <c r="B17" s="638">
        <v>74.498223900832187</v>
      </c>
      <c r="C17" s="546">
        <v>67.406093257368795</v>
      </c>
      <c r="D17" s="638" t="s">
        <v>967</v>
      </c>
      <c r="E17" s="546" t="s">
        <v>967</v>
      </c>
      <c r="F17" s="860">
        <v>69.814384447569523</v>
      </c>
      <c r="G17" s="893">
        <v>-6.5115604521047699E-3</v>
      </c>
      <c r="H17" s="894">
        <v>2.8990280016587544E-2</v>
      </c>
    </row>
    <row r="18" spans="1:8" ht="20" customHeight="1" thickBot="1">
      <c r="A18" s="272" t="s">
        <v>61</v>
      </c>
      <c r="B18" s="638" t="s">
        <v>967</v>
      </c>
      <c r="C18" s="546" t="s">
        <v>967</v>
      </c>
      <c r="D18" s="638" t="s">
        <v>967</v>
      </c>
      <c r="E18" s="546">
        <v>68.8424892422223</v>
      </c>
      <c r="F18" s="860">
        <v>68.842489242222285</v>
      </c>
      <c r="G18" s="893">
        <v>1.2817418945243686E-2</v>
      </c>
      <c r="H18" s="894">
        <v>3.9732899876001371E-2</v>
      </c>
    </row>
    <row r="19" spans="1:8" ht="20" customHeight="1" thickBot="1">
      <c r="A19" s="272" t="s">
        <v>62</v>
      </c>
      <c r="B19" s="638" t="s">
        <v>967</v>
      </c>
      <c r="C19" s="546" t="s">
        <v>967</v>
      </c>
      <c r="D19" s="638" t="s">
        <v>967</v>
      </c>
      <c r="E19" s="546">
        <v>99.544456846487805</v>
      </c>
      <c r="F19" s="860">
        <v>99.544456846487762</v>
      </c>
      <c r="G19" s="893">
        <v>-2.8318874578027176E-3</v>
      </c>
      <c r="H19" s="894">
        <v>4.6928250769462165E-2</v>
      </c>
    </row>
    <row r="20" spans="1:8" ht="20" customHeight="1" thickBot="1">
      <c r="A20" s="272" t="s">
        <v>63</v>
      </c>
      <c r="B20" s="638">
        <v>79.732465821545887</v>
      </c>
      <c r="C20" s="546">
        <v>73.485971863948393</v>
      </c>
      <c r="D20" s="638" t="s">
        <v>967</v>
      </c>
      <c r="E20" s="546" t="s">
        <v>967</v>
      </c>
      <c r="F20" s="860">
        <v>77.798834729742964</v>
      </c>
      <c r="G20" s="893">
        <v>6.9467518314023646E-3</v>
      </c>
      <c r="H20" s="894">
        <v>4.0843603327002764E-2</v>
      </c>
    </row>
    <row r="21" spans="1:8" ht="20" customHeight="1" thickBot="1">
      <c r="A21" s="272" t="s">
        <v>64</v>
      </c>
      <c r="B21" s="638">
        <v>74.289737141774509</v>
      </c>
      <c r="C21" s="546">
        <v>68.872999569024202</v>
      </c>
      <c r="D21" s="638" t="s">
        <v>967</v>
      </c>
      <c r="E21" s="546" t="s">
        <v>967</v>
      </c>
      <c r="F21" s="860">
        <v>71.799682261474871</v>
      </c>
      <c r="G21" s="893">
        <v>9.4271777816894442E-3</v>
      </c>
      <c r="H21" s="894">
        <v>4.9882039706745429E-2</v>
      </c>
    </row>
    <row r="22" spans="1:8" ht="20" customHeight="1" thickBot="1">
      <c r="A22" s="272" t="s">
        <v>65</v>
      </c>
      <c r="B22" s="638" t="s">
        <v>967</v>
      </c>
      <c r="C22" s="546" t="s">
        <v>967</v>
      </c>
      <c r="D22" s="638" t="s">
        <v>967</v>
      </c>
      <c r="E22" s="546">
        <v>57.557049492955201</v>
      </c>
      <c r="F22" s="860">
        <v>57.557049492955237</v>
      </c>
      <c r="G22" s="893">
        <v>1.5638157551635112E-2</v>
      </c>
      <c r="H22" s="894">
        <v>4.3769391697306759E-2</v>
      </c>
    </row>
    <row r="23" spans="1:8" ht="20" customHeight="1" thickBot="1">
      <c r="A23" s="272" t="s">
        <v>66</v>
      </c>
      <c r="B23" s="638" t="s">
        <v>967</v>
      </c>
      <c r="C23" s="546" t="s">
        <v>967</v>
      </c>
      <c r="D23" s="638" t="s">
        <v>967</v>
      </c>
      <c r="E23" s="546">
        <v>54.322874333850393</v>
      </c>
      <c r="F23" s="860">
        <v>54.322874333850443</v>
      </c>
      <c r="G23" s="893">
        <v>2.147348314919939E-2</v>
      </c>
      <c r="H23" s="894">
        <v>4.6902661234304421E-2</v>
      </c>
    </row>
    <row r="24" spans="1:8" ht="20" customHeight="1" thickBot="1">
      <c r="A24" s="272" t="s">
        <v>67</v>
      </c>
      <c r="B24" s="638">
        <v>70.033074527030891</v>
      </c>
      <c r="C24" s="546">
        <v>63.519371503872001</v>
      </c>
      <c r="D24" s="638">
        <v>61.142869110718095</v>
      </c>
      <c r="E24" s="546" t="s">
        <v>967</v>
      </c>
      <c r="F24" s="860">
        <v>64.53999523054442</v>
      </c>
      <c r="G24" s="893">
        <v>2.3432176315578035E-2</v>
      </c>
      <c r="H24" s="894">
        <v>4.8188424335998903E-2</v>
      </c>
    </row>
    <row r="25" spans="1:8" ht="20" customHeight="1" thickBot="1">
      <c r="A25" s="272" t="s">
        <v>68</v>
      </c>
      <c r="B25" s="638">
        <v>67.651856078202286</v>
      </c>
      <c r="C25" s="546">
        <v>64.263431571067699</v>
      </c>
      <c r="D25" s="638">
        <v>58.755183232293597</v>
      </c>
      <c r="E25" s="546" t="s">
        <v>967</v>
      </c>
      <c r="F25" s="860">
        <v>63.717907439980848</v>
      </c>
      <c r="G25" s="893">
        <v>1.2945227130603643E-2</v>
      </c>
      <c r="H25" s="894">
        <v>5.4369745004106518E-2</v>
      </c>
    </row>
    <row r="26" spans="1:8" ht="20" customHeight="1" thickBot="1">
      <c r="A26" s="272" t="s">
        <v>69</v>
      </c>
      <c r="B26" s="638" t="s">
        <v>967</v>
      </c>
      <c r="C26" s="546" t="s">
        <v>967</v>
      </c>
      <c r="D26" s="638" t="s">
        <v>967</v>
      </c>
      <c r="E26" s="546">
        <v>68.044173139651591</v>
      </c>
      <c r="F26" s="860">
        <v>68.044173139651619</v>
      </c>
      <c r="G26" s="893">
        <v>1.1257869927597142E-2</v>
      </c>
      <c r="H26" s="894">
        <v>5.2303489088182609E-2</v>
      </c>
    </row>
    <row r="27" spans="1:8" ht="20" customHeight="1" thickBot="1">
      <c r="A27" s="272" t="s">
        <v>70</v>
      </c>
      <c r="B27" s="638" t="s">
        <v>967</v>
      </c>
      <c r="C27" s="546" t="s">
        <v>967</v>
      </c>
      <c r="D27" s="638" t="s">
        <v>967</v>
      </c>
      <c r="E27" s="546">
        <v>70.466525039501704</v>
      </c>
      <c r="F27" s="860">
        <v>70.466525039501661</v>
      </c>
      <c r="G27" s="893">
        <v>9.5184401798875662E-4</v>
      </c>
      <c r="H27" s="894">
        <v>5.1186803146471727E-2</v>
      </c>
    </row>
    <row r="28" spans="1:8" ht="20" customHeight="1" thickBot="1">
      <c r="A28" s="272" t="s">
        <v>71</v>
      </c>
      <c r="B28" s="638">
        <v>88.469052218286592</v>
      </c>
      <c r="C28" s="546">
        <v>83.02089084972819</v>
      </c>
      <c r="D28" s="638" t="s">
        <v>967</v>
      </c>
      <c r="E28" s="546" t="s">
        <v>967</v>
      </c>
      <c r="F28" s="860">
        <v>87.598035607921389</v>
      </c>
      <c r="G28" s="893">
        <v>-6.0181930839497966E-3</v>
      </c>
      <c r="H28" s="894">
        <v>2.9085293060501449E-2</v>
      </c>
    </row>
    <row r="29" spans="1:8" ht="20" customHeight="1" thickBot="1">
      <c r="A29" s="272" t="s">
        <v>72</v>
      </c>
      <c r="B29" s="638">
        <v>95.446482730356792</v>
      </c>
      <c r="C29" s="546">
        <v>89.810930566465103</v>
      </c>
      <c r="D29" s="638">
        <v>85.509361096059408</v>
      </c>
      <c r="E29" s="546" t="s">
        <v>967</v>
      </c>
      <c r="F29" s="860">
        <v>90.18007968772703</v>
      </c>
      <c r="G29" s="893">
        <v>-4.59671633131159E-2</v>
      </c>
      <c r="H29" s="894">
        <v>1.513017570607289E-2</v>
      </c>
    </row>
    <row r="30" spans="1:8" ht="20" customHeight="1" thickBot="1">
      <c r="A30" s="272" t="s">
        <v>73</v>
      </c>
      <c r="B30" s="638">
        <v>67.4750023654437</v>
      </c>
      <c r="C30" s="546">
        <v>58.271100254478597</v>
      </c>
      <c r="D30" s="638" t="s">
        <v>967</v>
      </c>
      <c r="E30" s="546" t="s">
        <v>967</v>
      </c>
      <c r="F30" s="860">
        <v>65.051564323204815</v>
      </c>
      <c r="G30" s="893">
        <v>-1.3132750023422401E-3</v>
      </c>
      <c r="H30" s="894">
        <v>3.2479592860666484E-2</v>
      </c>
    </row>
    <row r="31" spans="1:8" ht="20" customHeight="1" thickBot="1">
      <c r="A31" s="272" t="s">
        <v>74</v>
      </c>
      <c r="B31" s="638" t="s">
        <v>967</v>
      </c>
      <c r="C31" s="546" t="s">
        <v>967</v>
      </c>
      <c r="D31" s="638" t="s">
        <v>967</v>
      </c>
      <c r="E31" s="546">
        <v>83.639389002996992</v>
      </c>
      <c r="F31" s="860">
        <v>83.639389002996978</v>
      </c>
      <c r="G31" s="893">
        <v>-2.6731298478148591E-2</v>
      </c>
      <c r="H31" s="894">
        <v>2.8174495236919617E-2</v>
      </c>
    </row>
    <row r="32" spans="1:8" ht="20" customHeight="1" thickBot="1">
      <c r="A32" s="272" t="s">
        <v>75</v>
      </c>
      <c r="B32" s="638" t="s">
        <v>967</v>
      </c>
      <c r="C32" s="546" t="s">
        <v>967</v>
      </c>
      <c r="D32" s="638" t="s">
        <v>967</v>
      </c>
      <c r="E32" s="546">
        <v>99.206263079706801</v>
      </c>
      <c r="F32" s="860">
        <v>99.206263079706815</v>
      </c>
      <c r="G32" s="893">
        <v>-5.0405089795062419E-2</v>
      </c>
      <c r="H32" s="894">
        <v>1.9455472682233133E-2</v>
      </c>
    </row>
    <row r="33" spans="1:8" ht="20" customHeight="1" thickBot="1">
      <c r="A33" s="272" t="s">
        <v>76</v>
      </c>
      <c r="B33" s="638" t="s">
        <v>967</v>
      </c>
      <c r="C33" s="546" t="s">
        <v>967</v>
      </c>
      <c r="D33" s="638" t="s">
        <v>967</v>
      </c>
      <c r="E33" s="546">
        <v>81.055568389115905</v>
      </c>
      <c r="F33" s="860">
        <v>81.055568389115848</v>
      </c>
      <c r="G33" s="893">
        <v>-2.0036209641776881E-2</v>
      </c>
      <c r="H33" s="894">
        <v>3.2106401242691263E-2</v>
      </c>
    </row>
    <row r="34" spans="1:8" s="188" customFormat="1" ht="30" customHeight="1" thickBot="1">
      <c r="A34" s="132" t="s">
        <v>1944</v>
      </c>
      <c r="B34" s="639" t="s">
        <v>1412</v>
      </c>
      <c r="C34" s="549" t="s">
        <v>1412</v>
      </c>
      <c r="D34" s="639" t="s">
        <v>1412</v>
      </c>
      <c r="E34" s="549" t="s">
        <v>1412</v>
      </c>
      <c r="F34" s="639">
        <v>75.260357578802569</v>
      </c>
      <c r="G34" s="895">
        <v>-6.0504042971883942E-3</v>
      </c>
      <c r="H34" s="896">
        <v>3.8063705057984842E-2</v>
      </c>
    </row>
    <row r="35" spans="1:8" ht="20" customHeight="1">
      <c r="A35" s="136" t="s">
        <v>2410</v>
      </c>
      <c r="B35" s="882"/>
      <c r="C35" s="882"/>
      <c r="D35" s="882"/>
      <c r="E35" s="882"/>
      <c r="F35" s="882"/>
    </row>
    <row r="36" spans="1:8" ht="12.75" customHeight="1">
      <c r="A36" s="3"/>
      <c r="B36" s="883"/>
      <c r="C36" s="883"/>
      <c r="D36" s="883"/>
      <c r="E36" s="883"/>
      <c r="F36" s="883"/>
    </row>
    <row r="37" spans="1:8" ht="15.75" customHeight="1">
      <c r="A37" s="3" t="s">
        <v>2402</v>
      </c>
      <c r="B37" s="883"/>
      <c r="C37" s="883"/>
      <c r="D37" s="883"/>
      <c r="E37" s="883"/>
      <c r="F37" s="883"/>
    </row>
    <row r="38" spans="1:8" ht="13.5" customHeight="1">
      <c r="A38" s="3"/>
      <c r="B38" s="883"/>
      <c r="C38" s="883"/>
      <c r="D38" s="883"/>
      <c r="E38" s="883"/>
      <c r="F38" s="883"/>
    </row>
    <row r="39" spans="1:8" ht="12.75" customHeight="1">
      <c r="A39" s="3" t="s">
        <v>2403</v>
      </c>
      <c r="B39" s="883"/>
      <c r="C39" s="883"/>
      <c r="D39" s="883"/>
      <c r="E39" s="883"/>
      <c r="F39" s="883"/>
    </row>
    <row r="40" spans="1:8">
      <c r="A40" s="2" t="s">
        <v>2404</v>
      </c>
      <c r="B40" s="41"/>
      <c r="C40" s="41"/>
      <c r="D40" s="41"/>
      <c r="E40" s="41"/>
      <c r="F40" s="41"/>
    </row>
    <row r="41" spans="1:8">
      <c r="A41" s="2" t="s">
        <v>2405</v>
      </c>
      <c r="B41" s="41"/>
      <c r="C41" s="41"/>
      <c r="D41" s="41"/>
      <c r="E41" s="41"/>
      <c r="F41" s="41"/>
    </row>
    <row r="42" spans="1:8">
      <c r="A42" s="2" t="s">
        <v>2406</v>
      </c>
      <c r="B42" s="41"/>
      <c r="C42" s="41"/>
      <c r="D42" s="41"/>
      <c r="E42" s="41"/>
      <c r="F42" s="41"/>
    </row>
    <row r="43" spans="1:8">
      <c r="B43" s="41"/>
      <c r="C43" s="41"/>
      <c r="D43" s="41"/>
      <c r="E43" s="41"/>
      <c r="F43" s="41"/>
    </row>
    <row r="44" spans="1:8">
      <c r="B44" s="41"/>
      <c r="C44" s="41"/>
      <c r="D44" s="41"/>
      <c r="E44" s="41"/>
      <c r="F44" s="41"/>
    </row>
    <row r="45" spans="1:8">
      <c r="A45" s="2" t="s">
        <v>1955</v>
      </c>
    </row>
  </sheetData>
  <phoneticPr fontId="0" type="noConversion"/>
  <pageMargins left="0.62" right="0.54" top="0.9" bottom="0.47244094488188981" header="0.53" footer="0.51181102362204722"/>
  <pageSetup paperSize="9" scale="74" orientation="portrait" horizontalDpi="4294967292" verticalDpi="4294967292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3E26-04D5-6840-8088-B35ED28798FE}">
  <sheetPr>
    <pageSetUpPr fitToPage="1"/>
  </sheetPr>
  <dimension ref="A1:F42"/>
  <sheetViews>
    <sheetView topLeftCell="A3" zoomScale="75" workbookViewId="0">
      <selection activeCell="A40" sqref="A40"/>
    </sheetView>
  </sheetViews>
  <sheetFormatPr baseColWidth="10" defaultColWidth="11.3984375" defaultRowHeight="13"/>
  <cols>
    <col min="1" max="1" width="13.19921875" style="2" customWidth="1"/>
    <col min="2" max="2" width="15.19921875" style="2" customWidth="1"/>
    <col min="3" max="3" width="14.19921875" style="2" customWidth="1"/>
    <col min="4" max="4" width="15.59765625" style="2" customWidth="1"/>
    <col min="5" max="5" width="15.19921875" style="2" customWidth="1"/>
    <col min="6" max="6" width="14.19921875" style="2" customWidth="1"/>
    <col min="7" max="7" width="17.59765625" style="2" customWidth="1"/>
    <col min="8" max="16384" width="11.3984375" style="2"/>
  </cols>
  <sheetData>
    <row r="1" spans="1:6" s="1" customFormat="1" ht="14" customHeight="1">
      <c r="A1" s="718"/>
      <c r="B1" s="718"/>
      <c r="C1" s="718"/>
      <c r="D1" s="718"/>
      <c r="E1" s="718"/>
      <c r="F1" s="718"/>
    </row>
    <row r="2" spans="1:6" s="1" customFormat="1" ht="18.75" customHeight="1">
      <c r="A2" s="748" t="s">
        <v>521</v>
      </c>
      <c r="B2" s="718"/>
      <c r="C2" s="718"/>
      <c r="D2" s="718"/>
      <c r="E2" s="718"/>
      <c r="F2" s="718"/>
    </row>
    <row r="3" spans="1:6" s="1" customFormat="1" ht="24" customHeight="1">
      <c r="A3" s="748" t="s">
        <v>2409</v>
      </c>
      <c r="B3" s="718"/>
      <c r="C3" s="718"/>
      <c r="D3" s="718"/>
      <c r="E3" s="718"/>
      <c r="F3" s="718"/>
    </row>
    <row r="4" spans="1:6" ht="24" customHeight="1">
      <c r="A4" s="113" t="s">
        <v>41</v>
      </c>
      <c r="B4" s="871">
        <v>0.05</v>
      </c>
      <c r="C4" s="872">
        <v>0.25</v>
      </c>
      <c r="D4" s="871">
        <v>0.5</v>
      </c>
      <c r="E4" s="872">
        <v>0.25</v>
      </c>
      <c r="F4" s="871">
        <v>0.05</v>
      </c>
    </row>
    <row r="5" spans="1:6" ht="73.5" customHeight="1">
      <c r="A5" s="248"/>
      <c r="B5" s="875" t="s">
        <v>515</v>
      </c>
      <c r="C5" s="876" t="s">
        <v>515</v>
      </c>
      <c r="D5" s="875" t="s">
        <v>516</v>
      </c>
      <c r="E5" s="876" t="s">
        <v>517</v>
      </c>
      <c r="F5" s="875" t="s">
        <v>517</v>
      </c>
    </row>
    <row r="6" spans="1:6" ht="16" customHeight="1">
      <c r="A6" s="249"/>
      <c r="B6" s="123"/>
      <c r="C6" s="122"/>
      <c r="D6" s="123"/>
      <c r="E6" s="122"/>
      <c r="F6" s="144"/>
    </row>
    <row r="7" spans="1:6" ht="30" customHeight="1" thickBot="1">
      <c r="A7" s="268" t="s">
        <v>51</v>
      </c>
      <c r="B7" s="270">
        <v>265</v>
      </c>
      <c r="C7" s="271">
        <v>282.3</v>
      </c>
      <c r="D7" s="270">
        <v>298</v>
      </c>
      <c r="E7" s="271">
        <v>335</v>
      </c>
      <c r="F7" s="270">
        <v>393</v>
      </c>
    </row>
    <row r="8" spans="1:6" ht="20" customHeight="1" thickBot="1">
      <c r="A8" s="272" t="s">
        <v>52</v>
      </c>
      <c r="B8" s="147">
        <v>270.60000000000002</v>
      </c>
      <c r="C8" s="204">
        <v>309.2</v>
      </c>
      <c r="D8" s="147">
        <v>338</v>
      </c>
      <c r="E8" s="204">
        <v>344.2</v>
      </c>
      <c r="F8" s="147">
        <v>402.6</v>
      </c>
    </row>
    <row r="9" spans="1:6" ht="20" customHeight="1" thickBot="1">
      <c r="A9" s="272" t="s">
        <v>53</v>
      </c>
      <c r="B9" s="147">
        <v>224</v>
      </c>
      <c r="C9" s="204">
        <v>246.7</v>
      </c>
      <c r="D9" s="147">
        <v>256</v>
      </c>
      <c r="E9" s="204">
        <v>284</v>
      </c>
      <c r="F9" s="147">
        <v>308</v>
      </c>
    </row>
    <row r="10" spans="1:6" ht="20" customHeight="1" thickBot="1">
      <c r="A10" s="272" t="s">
        <v>54</v>
      </c>
      <c r="B10" s="147">
        <v>203</v>
      </c>
      <c r="C10" s="204">
        <v>236.4</v>
      </c>
      <c r="D10" s="147">
        <v>241.2</v>
      </c>
      <c r="E10" s="204">
        <v>252</v>
      </c>
      <c r="F10" s="147">
        <v>257</v>
      </c>
    </row>
    <row r="11" spans="1:6" ht="20" customHeight="1" thickBot="1">
      <c r="A11" s="272" t="s">
        <v>55</v>
      </c>
      <c r="B11" s="147">
        <v>220</v>
      </c>
      <c r="C11" s="204">
        <v>253</v>
      </c>
      <c r="D11" s="147">
        <v>256.7</v>
      </c>
      <c r="E11" s="204">
        <v>265</v>
      </c>
      <c r="F11" s="147">
        <v>292</v>
      </c>
    </row>
    <row r="12" spans="1:6" ht="20" customHeight="1" thickBot="1">
      <c r="A12" s="272" t="s">
        <v>56</v>
      </c>
      <c r="B12" s="147">
        <v>214</v>
      </c>
      <c r="C12" s="204">
        <v>224</v>
      </c>
      <c r="D12" s="147">
        <v>224.4</v>
      </c>
      <c r="E12" s="204">
        <v>239</v>
      </c>
      <c r="F12" s="147">
        <v>258</v>
      </c>
    </row>
    <row r="13" spans="1:6" ht="20" customHeight="1" thickBot="1">
      <c r="A13" s="272" t="s">
        <v>57</v>
      </c>
      <c r="B13" s="147">
        <v>189</v>
      </c>
      <c r="C13" s="204">
        <v>216</v>
      </c>
      <c r="D13" s="147">
        <v>218.4</v>
      </c>
      <c r="E13" s="204">
        <v>228</v>
      </c>
      <c r="F13" s="147">
        <v>254.9</v>
      </c>
    </row>
    <row r="14" spans="1:6" ht="20" customHeight="1" thickBot="1">
      <c r="A14" s="272" t="s">
        <v>58</v>
      </c>
      <c r="B14" s="147">
        <v>223</v>
      </c>
      <c r="C14" s="204">
        <v>237.2</v>
      </c>
      <c r="D14" s="147">
        <v>264.89999999999998</v>
      </c>
      <c r="E14" s="204">
        <v>281</v>
      </c>
      <c r="F14" s="147">
        <v>289</v>
      </c>
    </row>
    <row r="15" spans="1:6" ht="20" customHeight="1" thickBot="1">
      <c r="A15" s="272" t="s">
        <v>59</v>
      </c>
      <c r="B15" s="147">
        <v>213</v>
      </c>
      <c r="C15" s="204">
        <v>244.9</v>
      </c>
      <c r="D15" s="147">
        <v>254</v>
      </c>
      <c r="E15" s="204">
        <v>259</v>
      </c>
      <c r="F15" s="147">
        <v>276</v>
      </c>
    </row>
    <row r="16" spans="1:6" ht="20" customHeight="1" thickBot="1">
      <c r="A16" s="272" t="s">
        <v>60</v>
      </c>
      <c r="B16" s="147">
        <v>237</v>
      </c>
      <c r="C16" s="204">
        <v>271</v>
      </c>
      <c r="D16" s="147">
        <v>285.2</v>
      </c>
      <c r="E16" s="204">
        <v>308</v>
      </c>
      <c r="F16" s="147">
        <v>324</v>
      </c>
    </row>
    <row r="17" spans="1:6" ht="20" customHeight="1" thickBot="1">
      <c r="A17" s="272" t="s">
        <v>61</v>
      </c>
      <c r="B17" s="147">
        <v>251</v>
      </c>
      <c r="C17" s="204">
        <v>263</v>
      </c>
      <c r="D17" s="147">
        <v>283</v>
      </c>
      <c r="E17" s="204">
        <v>296.39999999999998</v>
      </c>
      <c r="F17" s="147">
        <v>321.10000000000002</v>
      </c>
    </row>
    <row r="18" spans="1:6" ht="20" customHeight="1" thickBot="1">
      <c r="A18" s="272" t="s">
        <v>62</v>
      </c>
      <c r="B18" s="147">
        <v>354</v>
      </c>
      <c r="C18" s="204">
        <v>395</v>
      </c>
      <c r="D18" s="147">
        <v>419</v>
      </c>
      <c r="E18" s="204">
        <v>419</v>
      </c>
      <c r="F18" s="147">
        <v>461</v>
      </c>
    </row>
    <row r="19" spans="1:6" ht="20" customHeight="1" thickBot="1">
      <c r="A19" s="272" t="s">
        <v>63</v>
      </c>
      <c r="B19" s="147">
        <v>280.8</v>
      </c>
      <c r="C19" s="204">
        <v>301</v>
      </c>
      <c r="D19" s="147">
        <v>313</v>
      </c>
      <c r="E19" s="204">
        <v>332.5</v>
      </c>
      <c r="F19" s="147">
        <v>363</v>
      </c>
    </row>
    <row r="20" spans="1:6" ht="20" customHeight="1" thickBot="1">
      <c r="A20" s="272" t="s">
        <v>64</v>
      </c>
      <c r="B20" s="147">
        <v>261</v>
      </c>
      <c r="C20" s="204">
        <v>277</v>
      </c>
      <c r="D20" s="147">
        <v>298</v>
      </c>
      <c r="E20" s="204">
        <v>313</v>
      </c>
      <c r="F20" s="147">
        <v>349</v>
      </c>
    </row>
    <row r="21" spans="1:6" ht="20" customHeight="1" thickBot="1">
      <c r="A21" s="272" t="s">
        <v>65</v>
      </c>
      <c r="B21" s="147">
        <v>197</v>
      </c>
      <c r="C21" s="204">
        <v>235.8</v>
      </c>
      <c r="D21" s="147">
        <v>237.9</v>
      </c>
      <c r="E21" s="204">
        <v>247</v>
      </c>
      <c r="F21" s="147">
        <v>264</v>
      </c>
    </row>
    <row r="22" spans="1:6" ht="20" customHeight="1" thickBot="1">
      <c r="A22" s="272" t="s">
        <v>66</v>
      </c>
      <c r="B22" s="147">
        <v>181.8</v>
      </c>
      <c r="C22" s="204">
        <v>225</v>
      </c>
      <c r="D22" s="147">
        <v>225</v>
      </c>
      <c r="E22" s="204">
        <v>228.9</v>
      </c>
      <c r="F22" s="147">
        <v>240</v>
      </c>
    </row>
    <row r="23" spans="1:6" ht="20" customHeight="1" thickBot="1">
      <c r="A23" s="272" t="s">
        <v>67</v>
      </c>
      <c r="B23" s="147">
        <v>230</v>
      </c>
      <c r="C23" s="204">
        <v>249</v>
      </c>
      <c r="D23" s="147">
        <v>260</v>
      </c>
      <c r="E23" s="204">
        <v>285.2</v>
      </c>
      <c r="F23" s="147">
        <v>317</v>
      </c>
    </row>
    <row r="24" spans="1:6" ht="20" customHeight="1" thickBot="1">
      <c r="A24" s="272" t="s">
        <v>68</v>
      </c>
      <c r="B24" s="147">
        <v>218</v>
      </c>
      <c r="C24" s="204">
        <v>240</v>
      </c>
      <c r="D24" s="147">
        <v>252</v>
      </c>
      <c r="E24" s="204">
        <v>271.3</v>
      </c>
      <c r="F24" s="147">
        <v>303</v>
      </c>
    </row>
    <row r="25" spans="1:6" ht="20" customHeight="1" thickBot="1">
      <c r="A25" s="272" t="s">
        <v>69</v>
      </c>
      <c r="B25" s="147">
        <v>247</v>
      </c>
      <c r="C25" s="204">
        <v>269</v>
      </c>
      <c r="D25" s="147">
        <v>286</v>
      </c>
      <c r="E25" s="204">
        <v>304.89999999999998</v>
      </c>
      <c r="F25" s="147">
        <v>322</v>
      </c>
    </row>
    <row r="26" spans="1:6" ht="20" customHeight="1" thickBot="1">
      <c r="A26" s="272" t="s">
        <v>70</v>
      </c>
      <c r="B26" s="147">
        <v>254</v>
      </c>
      <c r="C26" s="204">
        <v>270</v>
      </c>
      <c r="D26" s="147">
        <v>294.89999999999998</v>
      </c>
      <c r="E26" s="204">
        <v>297</v>
      </c>
      <c r="F26" s="147">
        <v>328</v>
      </c>
    </row>
    <row r="27" spans="1:6" ht="20" customHeight="1" thickBot="1">
      <c r="A27" s="272" t="s">
        <v>71</v>
      </c>
      <c r="B27" s="147">
        <v>329</v>
      </c>
      <c r="C27" s="204">
        <v>348</v>
      </c>
      <c r="D27" s="147">
        <v>362</v>
      </c>
      <c r="E27" s="204">
        <v>405</v>
      </c>
      <c r="F27" s="147">
        <v>407</v>
      </c>
    </row>
    <row r="28" spans="1:6" ht="20" customHeight="1" thickBot="1">
      <c r="A28" s="272" t="s">
        <v>72</v>
      </c>
      <c r="B28" s="147">
        <v>323</v>
      </c>
      <c r="C28" s="204">
        <v>345</v>
      </c>
      <c r="D28" s="147">
        <v>364.5</v>
      </c>
      <c r="E28" s="204">
        <v>397.8</v>
      </c>
      <c r="F28" s="147">
        <v>433.3</v>
      </c>
    </row>
    <row r="29" spans="1:6" ht="20" customHeight="1" thickBot="1">
      <c r="A29" s="272" t="s">
        <v>73</v>
      </c>
      <c r="B29" s="147">
        <v>220</v>
      </c>
      <c r="C29" s="204">
        <v>248</v>
      </c>
      <c r="D29" s="147">
        <v>258</v>
      </c>
      <c r="E29" s="204">
        <v>285</v>
      </c>
      <c r="F29" s="147">
        <v>306</v>
      </c>
    </row>
    <row r="30" spans="1:6" ht="20" customHeight="1" thickBot="1">
      <c r="A30" s="272" t="s">
        <v>74</v>
      </c>
      <c r="B30" s="147">
        <v>330</v>
      </c>
      <c r="C30" s="204">
        <v>330</v>
      </c>
      <c r="D30" s="147">
        <v>362</v>
      </c>
      <c r="E30" s="204">
        <v>373</v>
      </c>
      <c r="F30" s="147">
        <v>421.3</v>
      </c>
    </row>
    <row r="31" spans="1:6" ht="20" customHeight="1" thickBot="1">
      <c r="A31" s="272" t="s">
        <v>75</v>
      </c>
      <c r="B31" s="147">
        <v>386</v>
      </c>
      <c r="C31" s="204">
        <v>412.8</v>
      </c>
      <c r="D31" s="147">
        <v>414</v>
      </c>
      <c r="E31" s="204">
        <v>429</v>
      </c>
      <c r="F31" s="147">
        <v>447.5</v>
      </c>
    </row>
    <row r="32" spans="1:6" ht="20" customHeight="1" thickBot="1">
      <c r="A32" s="272" t="s">
        <v>76</v>
      </c>
      <c r="B32" s="147">
        <v>297</v>
      </c>
      <c r="C32" s="204">
        <v>302.8</v>
      </c>
      <c r="D32" s="147">
        <v>320.8</v>
      </c>
      <c r="E32" s="204">
        <v>366</v>
      </c>
      <c r="F32" s="147">
        <v>368</v>
      </c>
    </row>
    <row r="33" spans="1:6" ht="30" customHeight="1" thickBot="1">
      <c r="A33" s="132" t="s">
        <v>1944</v>
      </c>
      <c r="B33" s="282">
        <v>239</v>
      </c>
      <c r="C33" s="283">
        <v>271</v>
      </c>
      <c r="D33" s="282">
        <v>304.89999999999998</v>
      </c>
      <c r="E33" s="283">
        <v>348</v>
      </c>
      <c r="F33" s="282">
        <v>419</v>
      </c>
    </row>
    <row r="34" spans="1:6" ht="20" customHeight="1">
      <c r="A34" s="136" t="s">
        <v>2410</v>
      </c>
      <c r="B34" s="882"/>
      <c r="C34" s="882"/>
      <c r="D34" s="882"/>
      <c r="E34" s="882"/>
      <c r="F34" s="882"/>
    </row>
    <row r="35" spans="1:6" ht="12.75" customHeight="1">
      <c r="A35" s="3"/>
      <c r="B35" s="883"/>
      <c r="C35" s="883"/>
      <c r="D35" s="883"/>
      <c r="E35" s="883"/>
      <c r="F35" s="883"/>
    </row>
    <row r="36" spans="1:6" ht="15.75" customHeight="1">
      <c r="A36" s="3" t="s">
        <v>2402</v>
      </c>
      <c r="B36" s="883"/>
      <c r="C36" s="883"/>
      <c r="D36" s="883"/>
      <c r="E36" s="883"/>
      <c r="F36" s="883"/>
    </row>
    <row r="37" spans="1:6" ht="13.5" customHeight="1">
      <c r="A37" s="3"/>
      <c r="B37" s="883"/>
      <c r="C37" s="883"/>
      <c r="D37" s="883"/>
      <c r="E37" s="883"/>
      <c r="F37" s="883"/>
    </row>
    <row r="38" spans="1:6" ht="12.75" customHeight="1">
      <c r="A38" s="3" t="s">
        <v>2403</v>
      </c>
      <c r="B38" s="883"/>
      <c r="C38" s="883"/>
      <c r="D38" s="883"/>
      <c r="E38" s="883"/>
      <c r="F38" s="883"/>
    </row>
    <row r="39" spans="1:6">
      <c r="A39" s="2" t="s">
        <v>520</v>
      </c>
      <c r="B39" s="41"/>
      <c r="C39" s="41"/>
      <c r="D39" s="41"/>
      <c r="E39" s="41"/>
      <c r="F39" s="41"/>
    </row>
    <row r="40" spans="1:6">
      <c r="B40" s="41"/>
      <c r="C40" s="41"/>
      <c r="D40" s="41"/>
      <c r="E40" s="41"/>
      <c r="F40" s="41"/>
    </row>
    <row r="41" spans="1:6">
      <c r="B41" s="41"/>
      <c r="C41" s="41"/>
      <c r="D41" s="41"/>
      <c r="E41" s="41"/>
      <c r="F41" s="41"/>
    </row>
    <row r="42" spans="1:6">
      <c r="A42" s="2" t="s">
        <v>1955</v>
      </c>
      <c r="B42" s="41"/>
      <c r="C42" s="41"/>
      <c r="D42" s="41"/>
      <c r="E42" s="41"/>
      <c r="F42" s="41"/>
    </row>
  </sheetData>
  <phoneticPr fontId="0" type="noConversion"/>
  <pageMargins left="0.67" right="0.6" top="0.69" bottom="0.47244094488188981" header="0.57999999999999996" footer="0.51181102362204722"/>
  <pageSetup paperSize="9" scale="86" orientation="portrait" horizontalDpi="1200" verticalDpi="12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E046-8EA5-FA4E-B9C4-E62D6AB40FCE}">
  <sheetPr>
    <pageSetUpPr fitToPage="1"/>
  </sheetPr>
  <dimension ref="A1:G42"/>
  <sheetViews>
    <sheetView topLeftCell="A21" zoomScale="75" workbookViewId="0">
      <selection activeCell="A40" sqref="A40"/>
    </sheetView>
  </sheetViews>
  <sheetFormatPr baseColWidth="10" defaultColWidth="11.3984375" defaultRowHeight="13"/>
  <cols>
    <col min="1" max="1" width="11.19921875" style="2" customWidth="1"/>
    <col min="2" max="2" width="13.19921875" style="2" customWidth="1"/>
    <col min="3" max="3" width="15.19921875" style="2" customWidth="1"/>
    <col min="4" max="4" width="14.19921875" style="2" customWidth="1"/>
    <col min="5" max="5" width="15.59765625" style="2" customWidth="1"/>
    <col min="6" max="6" width="15.19921875" style="2" customWidth="1"/>
    <col min="7" max="7" width="16.19921875" style="2" customWidth="1"/>
    <col min="8" max="8" width="11.3984375" style="2"/>
    <col min="9" max="9" width="6.796875" style="2" customWidth="1"/>
    <col min="10" max="16384" width="11.3984375" style="2"/>
  </cols>
  <sheetData>
    <row r="1" spans="1:6" s="1" customFormat="1" ht="14" customHeight="1">
      <c r="A1" s="718"/>
      <c r="B1" s="718"/>
      <c r="C1" s="718"/>
      <c r="D1" s="718"/>
      <c r="E1" s="718"/>
      <c r="F1" s="718"/>
    </row>
    <row r="2" spans="1:6" s="1" customFormat="1" ht="18.75" customHeight="1">
      <c r="A2" s="748" t="s">
        <v>519</v>
      </c>
      <c r="B2" s="718"/>
      <c r="C2" s="718"/>
      <c r="D2" s="718"/>
      <c r="E2" s="718"/>
      <c r="F2" s="718"/>
    </row>
    <row r="3" spans="1:6" s="1" customFormat="1" ht="24" customHeight="1">
      <c r="A3" s="748" t="s">
        <v>522</v>
      </c>
      <c r="B3" s="718"/>
      <c r="C3" s="718"/>
      <c r="D3" s="718"/>
      <c r="E3" s="718"/>
      <c r="F3" s="718"/>
    </row>
    <row r="4" spans="1:6" ht="24" customHeight="1">
      <c r="A4" s="113" t="s">
        <v>41</v>
      </c>
      <c r="B4" s="871">
        <v>0.05</v>
      </c>
      <c r="C4" s="872">
        <v>0.25</v>
      </c>
      <c r="D4" s="871">
        <v>0.5</v>
      </c>
      <c r="E4" s="872">
        <v>0.25</v>
      </c>
      <c r="F4" s="871">
        <v>0.05</v>
      </c>
    </row>
    <row r="5" spans="1:6" ht="73.5" customHeight="1">
      <c r="A5" s="248"/>
      <c r="B5" s="875" t="s">
        <v>515</v>
      </c>
      <c r="C5" s="876" t="s">
        <v>515</v>
      </c>
      <c r="D5" s="875" t="s">
        <v>516</v>
      </c>
      <c r="E5" s="876" t="s">
        <v>517</v>
      </c>
      <c r="F5" s="875" t="s">
        <v>517</v>
      </c>
    </row>
    <row r="6" spans="1:6" ht="16" customHeight="1">
      <c r="A6" s="249"/>
      <c r="B6" s="123"/>
      <c r="C6" s="122"/>
      <c r="D6" s="123"/>
      <c r="E6" s="122"/>
      <c r="F6" s="144"/>
    </row>
    <row r="7" spans="1:6" ht="30" customHeight="1" thickBot="1">
      <c r="A7" s="268" t="s">
        <v>51</v>
      </c>
      <c r="B7" s="270">
        <v>196</v>
      </c>
      <c r="C7" s="271">
        <v>217.5</v>
      </c>
      <c r="D7" s="270">
        <v>241.8</v>
      </c>
      <c r="E7" s="271">
        <v>262.5</v>
      </c>
      <c r="F7" s="270">
        <v>297.60000000000002</v>
      </c>
    </row>
    <row r="8" spans="1:6" ht="20" customHeight="1" thickBot="1">
      <c r="A8" s="272" t="s">
        <v>52</v>
      </c>
      <c r="B8" s="147">
        <v>220.1</v>
      </c>
      <c r="C8" s="204">
        <v>240.3</v>
      </c>
      <c r="D8" s="147">
        <v>254.7</v>
      </c>
      <c r="E8" s="204">
        <v>281.89999999999998</v>
      </c>
      <c r="F8" s="147">
        <v>307.10000000000002</v>
      </c>
    </row>
    <row r="9" spans="1:6" ht="20" customHeight="1" thickBot="1">
      <c r="A9" s="272" t="s">
        <v>53</v>
      </c>
      <c r="B9" s="147">
        <v>179.5</v>
      </c>
      <c r="C9" s="204">
        <v>197</v>
      </c>
      <c r="D9" s="147">
        <v>204.4</v>
      </c>
      <c r="E9" s="204">
        <v>220</v>
      </c>
      <c r="F9" s="147">
        <v>246.4</v>
      </c>
    </row>
    <row r="10" spans="1:6" ht="20" customHeight="1" thickBot="1">
      <c r="A10" s="272" t="s">
        <v>54</v>
      </c>
      <c r="B10" s="147">
        <v>153.80000000000001</v>
      </c>
      <c r="C10" s="204">
        <v>188.6</v>
      </c>
      <c r="D10" s="147">
        <v>188.6</v>
      </c>
      <c r="E10" s="204">
        <v>201.6</v>
      </c>
      <c r="F10" s="147">
        <v>205.6</v>
      </c>
    </row>
    <row r="11" spans="1:6" ht="20" customHeight="1" thickBot="1">
      <c r="A11" s="272" t="s">
        <v>55</v>
      </c>
      <c r="B11" s="147">
        <v>171.8</v>
      </c>
      <c r="C11" s="204">
        <v>202.4</v>
      </c>
      <c r="D11" s="147">
        <v>202.4</v>
      </c>
      <c r="E11" s="204">
        <v>205.5</v>
      </c>
      <c r="F11" s="147">
        <v>233.6</v>
      </c>
    </row>
    <row r="12" spans="1:6" ht="20" customHeight="1" thickBot="1">
      <c r="A12" s="272" t="s">
        <v>56</v>
      </c>
      <c r="B12" s="147">
        <v>171.2</v>
      </c>
      <c r="C12" s="204">
        <v>179.2</v>
      </c>
      <c r="D12" s="147">
        <v>180</v>
      </c>
      <c r="E12" s="204">
        <v>183.7</v>
      </c>
      <c r="F12" s="147">
        <v>206.4</v>
      </c>
    </row>
    <row r="13" spans="1:6" ht="20" customHeight="1" thickBot="1">
      <c r="A13" s="272" t="s">
        <v>57</v>
      </c>
      <c r="B13" s="147">
        <v>146</v>
      </c>
      <c r="C13" s="204">
        <v>172.8</v>
      </c>
      <c r="D13" s="147">
        <v>175.3</v>
      </c>
      <c r="E13" s="204">
        <v>175.6</v>
      </c>
      <c r="F13" s="147">
        <v>191.2</v>
      </c>
    </row>
    <row r="14" spans="1:6" ht="20" customHeight="1" thickBot="1">
      <c r="A14" s="272" t="s">
        <v>58</v>
      </c>
      <c r="B14" s="147">
        <v>177.6</v>
      </c>
      <c r="C14" s="204">
        <v>189.5</v>
      </c>
      <c r="D14" s="147">
        <v>200.1</v>
      </c>
      <c r="E14" s="204">
        <v>224.8</v>
      </c>
      <c r="F14" s="147">
        <v>231.2</v>
      </c>
    </row>
    <row r="15" spans="1:6" ht="20" customHeight="1" thickBot="1">
      <c r="A15" s="272" t="s">
        <v>59</v>
      </c>
      <c r="B15" s="147">
        <v>183.7</v>
      </c>
      <c r="C15" s="204">
        <v>192.6</v>
      </c>
      <c r="D15" s="147">
        <v>203.2</v>
      </c>
      <c r="E15" s="204">
        <v>205.5</v>
      </c>
      <c r="F15" s="147">
        <v>220.8</v>
      </c>
    </row>
    <row r="16" spans="1:6" ht="20" customHeight="1" thickBot="1">
      <c r="A16" s="272" t="s">
        <v>60</v>
      </c>
      <c r="B16" s="147">
        <v>209.2</v>
      </c>
      <c r="C16" s="204">
        <v>216.8</v>
      </c>
      <c r="D16" s="147">
        <v>236</v>
      </c>
      <c r="E16" s="204">
        <v>252.8</v>
      </c>
      <c r="F16" s="147">
        <v>284.8</v>
      </c>
    </row>
    <row r="17" spans="1:6" ht="20" customHeight="1" thickBot="1">
      <c r="A17" s="272" t="s">
        <v>61</v>
      </c>
      <c r="B17" s="147">
        <v>188.3</v>
      </c>
      <c r="C17" s="204">
        <v>218.1</v>
      </c>
      <c r="D17" s="147">
        <v>224.8</v>
      </c>
      <c r="E17" s="204">
        <v>226.4</v>
      </c>
      <c r="F17" s="147">
        <v>238.1</v>
      </c>
    </row>
    <row r="18" spans="1:6" ht="20" customHeight="1" thickBot="1">
      <c r="A18" s="272" t="s">
        <v>62</v>
      </c>
      <c r="B18" s="147">
        <v>303.7</v>
      </c>
      <c r="C18" s="204">
        <v>306.5</v>
      </c>
      <c r="D18" s="147">
        <v>335.2</v>
      </c>
      <c r="E18" s="204">
        <v>335.2</v>
      </c>
      <c r="F18" s="147">
        <v>366.9</v>
      </c>
    </row>
    <row r="19" spans="1:6" ht="20" customHeight="1" thickBot="1">
      <c r="A19" s="272" t="s">
        <v>63</v>
      </c>
      <c r="B19" s="147">
        <v>213</v>
      </c>
      <c r="C19" s="204">
        <v>234</v>
      </c>
      <c r="D19" s="147">
        <v>244</v>
      </c>
      <c r="E19" s="204">
        <v>265.60000000000002</v>
      </c>
      <c r="F19" s="147">
        <v>290.39999999999998</v>
      </c>
    </row>
    <row r="20" spans="1:6" ht="20" customHeight="1" thickBot="1">
      <c r="A20" s="272" t="s">
        <v>64</v>
      </c>
      <c r="B20" s="147">
        <v>206.3</v>
      </c>
      <c r="C20" s="204">
        <v>218</v>
      </c>
      <c r="D20" s="147">
        <v>234.9</v>
      </c>
      <c r="E20" s="204">
        <v>245.6</v>
      </c>
      <c r="F20" s="147">
        <v>262</v>
      </c>
    </row>
    <row r="21" spans="1:6" ht="20" customHeight="1" thickBot="1">
      <c r="A21" s="272" t="s">
        <v>65</v>
      </c>
      <c r="B21" s="147">
        <v>169.6</v>
      </c>
      <c r="C21" s="204">
        <v>176.9</v>
      </c>
      <c r="D21" s="147">
        <v>178.5</v>
      </c>
      <c r="E21" s="204">
        <v>197.6</v>
      </c>
      <c r="F21" s="147">
        <v>211.2</v>
      </c>
    </row>
    <row r="22" spans="1:6" ht="20" customHeight="1" thickBot="1">
      <c r="A22" s="272" t="s">
        <v>66</v>
      </c>
      <c r="B22" s="147">
        <v>159.6</v>
      </c>
      <c r="C22" s="204">
        <v>169.6</v>
      </c>
      <c r="D22" s="147">
        <v>171.7</v>
      </c>
      <c r="E22" s="204">
        <v>180</v>
      </c>
      <c r="F22" s="147">
        <v>192</v>
      </c>
    </row>
    <row r="23" spans="1:6" ht="20" customHeight="1" thickBot="1">
      <c r="A23" s="272" t="s">
        <v>67</v>
      </c>
      <c r="B23" s="147">
        <v>182.4</v>
      </c>
      <c r="C23" s="204">
        <v>198.4</v>
      </c>
      <c r="D23" s="147">
        <v>203</v>
      </c>
      <c r="E23" s="204">
        <v>219.4</v>
      </c>
      <c r="F23" s="147">
        <v>238.4</v>
      </c>
    </row>
    <row r="24" spans="1:6" ht="20" customHeight="1" thickBot="1">
      <c r="A24" s="272" t="s">
        <v>68</v>
      </c>
      <c r="B24" s="147">
        <v>172</v>
      </c>
      <c r="C24" s="204">
        <v>196.8</v>
      </c>
      <c r="D24" s="147">
        <v>201.6</v>
      </c>
      <c r="E24" s="204">
        <v>213.2</v>
      </c>
      <c r="F24" s="147">
        <v>242.4</v>
      </c>
    </row>
    <row r="25" spans="1:6" ht="20" customHeight="1" thickBot="1">
      <c r="A25" s="272" t="s">
        <v>69</v>
      </c>
      <c r="B25" s="147">
        <v>198.1</v>
      </c>
      <c r="C25" s="204">
        <v>215.2</v>
      </c>
      <c r="D25" s="147">
        <v>222.3</v>
      </c>
      <c r="E25" s="204">
        <v>231.1</v>
      </c>
      <c r="F25" s="147">
        <v>245.6</v>
      </c>
    </row>
    <row r="26" spans="1:6" ht="20" customHeight="1" thickBot="1">
      <c r="A26" s="272" t="s">
        <v>70</v>
      </c>
      <c r="B26" s="147">
        <v>198.9</v>
      </c>
      <c r="C26" s="204">
        <v>215</v>
      </c>
      <c r="D26" s="147">
        <v>228.8</v>
      </c>
      <c r="E26" s="204">
        <v>238.2</v>
      </c>
      <c r="F26" s="147">
        <v>262.39999999999998</v>
      </c>
    </row>
    <row r="27" spans="1:6" ht="20" customHeight="1" thickBot="1">
      <c r="A27" s="272" t="s">
        <v>71</v>
      </c>
      <c r="B27" s="147">
        <v>259.89999999999998</v>
      </c>
      <c r="C27" s="204">
        <v>267.8</v>
      </c>
      <c r="D27" s="147">
        <v>296.8</v>
      </c>
      <c r="E27" s="204">
        <v>324</v>
      </c>
      <c r="F27" s="147">
        <v>325.60000000000002</v>
      </c>
    </row>
    <row r="28" spans="1:6" ht="20" customHeight="1" thickBot="1">
      <c r="A28" s="272" t="s">
        <v>72</v>
      </c>
      <c r="B28" s="147">
        <v>274.89999999999998</v>
      </c>
      <c r="C28" s="204">
        <v>296.2</v>
      </c>
      <c r="D28" s="147">
        <v>303.39999999999998</v>
      </c>
      <c r="E28" s="204">
        <v>324.7</v>
      </c>
      <c r="F28" s="147">
        <v>354.5</v>
      </c>
    </row>
    <row r="29" spans="1:6" ht="20" customHeight="1" thickBot="1">
      <c r="A29" s="272" t="s">
        <v>73</v>
      </c>
      <c r="B29" s="147">
        <v>168</v>
      </c>
      <c r="C29" s="204">
        <v>200</v>
      </c>
      <c r="D29" s="147">
        <v>220.8</v>
      </c>
      <c r="E29" s="204">
        <v>228</v>
      </c>
      <c r="F29" s="147">
        <v>244.8</v>
      </c>
    </row>
    <row r="30" spans="1:6" ht="20" customHeight="1" thickBot="1">
      <c r="A30" s="272" t="s">
        <v>74</v>
      </c>
      <c r="B30" s="147">
        <v>256.5</v>
      </c>
      <c r="C30" s="204">
        <v>277</v>
      </c>
      <c r="D30" s="147">
        <v>305.5</v>
      </c>
      <c r="E30" s="204">
        <v>311.10000000000002</v>
      </c>
      <c r="F30" s="147">
        <v>340.3</v>
      </c>
    </row>
    <row r="31" spans="1:6" ht="20" customHeight="1" thickBot="1">
      <c r="A31" s="272" t="s">
        <v>75</v>
      </c>
      <c r="B31" s="147">
        <v>311</v>
      </c>
      <c r="C31" s="204">
        <v>331.2</v>
      </c>
      <c r="D31" s="147">
        <v>332.6</v>
      </c>
      <c r="E31" s="204">
        <v>377.4</v>
      </c>
      <c r="F31" s="147">
        <v>386</v>
      </c>
    </row>
    <row r="32" spans="1:6" ht="20" customHeight="1" thickBot="1">
      <c r="A32" s="272" t="s">
        <v>76</v>
      </c>
      <c r="B32" s="147">
        <v>239.1</v>
      </c>
      <c r="C32" s="204">
        <v>270</v>
      </c>
      <c r="D32" s="147">
        <v>287.8</v>
      </c>
      <c r="E32" s="204">
        <v>292.8</v>
      </c>
      <c r="F32" s="147">
        <v>298.3</v>
      </c>
    </row>
    <row r="33" spans="1:7" ht="30" customHeight="1" thickBot="1">
      <c r="A33" s="132" t="s">
        <v>1944</v>
      </c>
      <c r="B33" s="282">
        <v>188.3</v>
      </c>
      <c r="C33" s="283">
        <v>213</v>
      </c>
      <c r="D33" s="282">
        <v>237.2</v>
      </c>
      <c r="E33" s="283">
        <v>281</v>
      </c>
      <c r="F33" s="282">
        <v>335.2</v>
      </c>
      <c r="G33" s="3"/>
    </row>
    <row r="34" spans="1:7" ht="20" customHeight="1">
      <c r="A34" s="136" t="s">
        <v>2410</v>
      </c>
      <c r="B34" s="882"/>
      <c r="C34" s="882"/>
      <c r="D34" s="882"/>
      <c r="E34" s="882"/>
      <c r="F34" s="882"/>
      <c r="G34" s="883"/>
    </row>
    <row r="35" spans="1:7" ht="12.75" customHeight="1">
      <c r="A35" s="3"/>
      <c r="B35" s="883"/>
      <c r="C35" s="883"/>
      <c r="D35" s="883"/>
      <c r="E35" s="883"/>
      <c r="F35" s="883"/>
      <c r="G35" s="883"/>
    </row>
    <row r="36" spans="1:7" ht="20" customHeight="1">
      <c r="A36" s="3" t="s">
        <v>2402</v>
      </c>
      <c r="B36" s="883"/>
      <c r="C36" s="883"/>
      <c r="D36" s="883"/>
      <c r="E36" s="883"/>
      <c r="F36" s="883"/>
      <c r="G36" s="883"/>
    </row>
    <row r="37" spans="1:7" ht="14.25" customHeight="1">
      <c r="A37" s="3"/>
      <c r="B37" s="883"/>
      <c r="C37" s="883"/>
      <c r="D37" s="883"/>
      <c r="E37" s="883"/>
      <c r="F37" s="883"/>
      <c r="G37" s="883"/>
    </row>
    <row r="38" spans="1:7" ht="12.75" customHeight="1">
      <c r="A38" s="3" t="s">
        <v>2403</v>
      </c>
      <c r="B38" s="883"/>
      <c r="C38" s="883"/>
      <c r="D38" s="883"/>
      <c r="E38" s="883"/>
      <c r="F38" s="883"/>
      <c r="G38" s="883"/>
    </row>
    <row r="39" spans="1:7">
      <c r="A39" s="2" t="s">
        <v>520</v>
      </c>
      <c r="B39" s="41"/>
      <c r="C39" s="41"/>
      <c r="D39" s="41"/>
      <c r="E39" s="41"/>
      <c r="F39" s="41"/>
      <c r="G39" s="41"/>
    </row>
    <row r="40" spans="1:7">
      <c r="B40" s="41"/>
      <c r="C40" s="41"/>
      <c r="D40" s="41"/>
      <c r="E40" s="41"/>
      <c r="F40" s="41"/>
      <c r="G40" s="41"/>
    </row>
    <row r="41" spans="1:7">
      <c r="B41" s="41"/>
      <c r="C41" s="41"/>
      <c r="D41" s="41"/>
      <c r="E41" s="41"/>
      <c r="F41" s="41"/>
      <c r="G41" s="41"/>
    </row>
    <row r="42" spans="1:7">
      <c r="A42" s="2" t="s">
        <v>1955</v>
      </c>
      <c r="B42" s="41"/>
      <c r="C42" s="41"/>
      <c r="D42" s="41"/>
      <c r="E42" s="41"/>
      <c r="F42" s="41"/>
      <c r="G42" s="41"/>
    </row>
  </sheetData>
  <phoneticPr fontId="0" type="noConversion"/>
  <pageMargins left="0.67" right="0.54" top="0.67" bottom="0.47244094488188981" header="0.49" footer="0.51181102362204722"/>
  <pageSetup paperSize="9" scale="90" orientation="portrait" horizontalDpi="4294967292" verticalDpi="4294967292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ADB3-62D7-EA44-BDEE-38763657F77C}">
  <sheetPr>
    <pageSetUpPr fitToPage="1"/>
  </sheetPr>
  <dimension ref="A1:F42"/>
  <sheetViews>
    <sheetView zoomScale="75" workbookViewId="0"/>
  </sheetViews>
  <sheetFormatPr baseColWidth="10" defaultColWidth="11.3984375" defaultRowHeight="13"/>
  <cols>
    <col min="1" max="1" width="11.19921875" style="2" customWidth="1"/>
    <col min="2" max="2" width="15.19921875" style="2" customWidth="1"/>
    <col min="3" max="3" width="14.19921875" style="2" customWidth="1"/>
    <col min="4" max="4" width="15.59765625" style="2" customWidth="1"/>
    <col min="5" max="5" width="15.19921875" style="2" customWidth="1"/>
    <col min="6" max="6" width="14.19921875" style="2" customWidth="1"/>
    <col min="7" max="7" width="15.59765625" style="2" customWidth="1"/>
    <col min="8" max="16384" width="11.3984375" style="2"/>
  </cols>
  <sheetData>
    <row r="1" spans="1:6" s="1" customFormat="1" ht="14" customHeight="1">
      <c r="A1" s="718"/>
      <c r="B1" s="718"/>
      <c r="C1" s="718"/>
      <c r="D1" s="718"/>
      <c r="E1" s="718"/>
      <c r="F1" s="718"/>
    </row>
    <row r="2" spans="1:6" s="1" customFormat="1" ht="18.75" customHeight="1">
      <c r="A2" s="748" t="s">
        <v>518</v>
      </c>
      <c r="B2" s="718"/>
      <c r="C2" s="718"/>
      <c r="D2" s="718"/>
      <c r="E2" s="718"/>
      <c r="F2" s="718"/>
    </row>
    <row r="3" spans="1:6" s="1" customFormat="1" ht="22.5" customHeight="1">
      <c r="A3" s="748" t="s">
        <v>1874</v>
      </c>
      <c r="B3" s="718"/>
      <c r="C3" s="718"/>
      <c r="D3" s="718"/>
      <c r="E3" s="718"/>
      <c r="F3" s="718"/>
    </row>
    <row r="4" spans="1:6" ht="24" customHeight="1">
      <c r="A4" s="113" t="s">
        <v>41</v>
      </c>
      <c r="B4" s="871">
        <v>0.05</v>
      </c>
      <c r="C4" s="872">
        <v>0.25</v>
      </c>
      <c r="D4" s="871">
        <v>0.5</v>
      </c>
      <c r="E4" s="872">
        <v>0.25</v>
      </c>
      <c r="F4" s="871">
        <v>0.05</v>
      </c>
    </row>
    <row r="5" spans="1:6" ht="73.5" customHeight="1">
      <c r="A5" s="248"/>
      <c r="B5" s="875" t="s">
        <v>515</v>
      </c>
      <c r="C5" s="876" t="s">
        <v>515</v>
      </c>
      <c r="D5" s="875" t="s">
        <v>516</v>
      </c>
      <c r="E5" s="876" t="s">
        <v>517</v>
      </c>
      <c r="F5" s="875" t="s">
        <v>517</v>
      </c>
    </row>
    <row r="6" spans="1:6" ht="16" customHeight="1">
      <c r="A6" s="249"/>
      <c r="B6" s="123"/>
      <c r="C6" s="122"/>
      <c r="D6" s="123"/>
      <c r="E6" s="122"/>
      <c r="F6" s="144"/>
    </row>
    <row r="7" spans="1:6" ht="30" customHeight="1" thickBot="1">
      <c r="A7" s="268" t="s">
        <v>51</v>
      </c>
      <c r="B7" s="270">
        <v>61.7</v>
      </c>
      <c r="C7" s="271">
        <v>69</v>
      </c>
      <c r="D7" s="270">
        <v>73</v>
      </c>
      <c r="E7" s="271">
        <v>76.8</v>
      </c>
      <c r="F7" s="270">
        <v>91.3</v>
      </c>
    </row>
    <row r="8" spans="1:6" ht="20" customHeight="1" thickBot="1">
      <c r="A8" s="272" t="s">
        <v>52</v>
      </c>
      <c r="B8" s="147">
        <v>61.3</v>
      </c>
      <c r="C8" s="204">
        <v>73</v>
      </c>
      <c r="D8" s="147">
        <v>75.7</v>
      </c>
      <c r="E8" s="204">
        <v>86.1</v>
      </c>
      <c r="F8" s="147">
        <v>97.5</v>
      </c>
    </row>
    <row r="9" spans="1:6" ht="20" customHeight="1" thickBot="1">
      <c r="A9" s="272" t="s">
        <v>53</v>
      </c>
      <c r="B9" s="147">
        <v>53.6</v>
      </c>
      <c r="C9" s="204">
        <v>61.4</v>
      </c>
      <c r="D9" s="147">
        <v>63.7</v>
      </c>
      <c r="E9" s="204">
        <v>68.5</v>
      </c>
      <c r="F9" s="147">
        <v>72.900000000000006</v>
      </c>
    </row>
    <row r="10" spans="1:6" ht="20" customHeight="1" thickBot="1">
      <c r="A10" s="272" t="s">
        <v>54</v>
      </c>
      <c r="B10" s="147">
        <v>43.4</v>
      </c>
      <c r="C10" s="204">
        <v>56.5</v>
      </c>
      <c r="D10" s="147">
        <v>60.8</v>
      </c>
      <c r="E10" s="204">
        <v>63</v>
      </c>
      <c r="F10" s="147">
        <v>63</v>
      </c>
    </row>
    <row r="11" spans="1:6" ht="20" customHeight="1" thickBot="1">
      <c r="A11" s="272" t="s">
        <v>55</v>
      </c>
      <c r="B11" s="147">
        <v>53.5</v>
      </c>
      <c r="C11" s="204">
        <v>63.3</v>
      </c>
      <c r="D11" s="147">
        <v>63.3</v>
      </c>
      <c r="E11" s="204">
        <v>63.9</v>
      </c>
      <c r="F11" s="147">
        <v>67.5</v>
      </c>
    </row>
    <row r="12" spans="1:6" ht="20" customHeight="1" thickBot="1">
      <c r="A12" s="272" t="s">
        <v>56</v>
      </c>
      <c r="B12" s="147">
        <v>51.8</v>
      </c>
      <c r="C12" s="204">
        <v>56</v>
      </c>
      <c r="D12" s="147">
        <v>56</v>
      </c>
      <c r="E12" s="204">
        <v>56.6</v>
      </c>
      <c r="F12" s="147">
        <v>61.3</v>
      </c>
    </row>
    <row r="13" spans="1:6" ht="20" customHeight="1" thickBot="1">
      <c r="A13" s="272" t="s">
        <v>57</v>
      </c>
      <c r="B13" s="147">
        <v>49</v>
      </c>
      <c r="C13" s="204">
        <v>52.3</v>
      </c>
      <c r="D13" s="147">
        <v>54</v>
      </c>
      <c r="E13" s="204">
        <v>55.2</v>
      </c>
      <c r="F13" s="147">
        <v>58.7</v>
      </c>
    </row>
    <row r="14" spans="1:6" ht="20" customHeight="1" thickBot="1">
      <c r="A14" s="272" t="s">
        <v>58</v>
      </c>
      <c r="B14" s="147">
        <v>54.8</v>
      </c>
      <c r="C14" s="204">
        <v>56</v>
      </c>
      <c r="D14" s="147">
        <v>61.8</v>
      </c>
      <c r="E14" s="204">
        <v>66.3</v>
      </c>
      <c r="F14" s="147">
        <v>72.3</v>
      </c>
    </row>
    <row r="15" spans="1:6" ht="20" customHeight="1" thickBot="1">
      <c r="A15" s="272" t="s">
        <v>59</v>
      </c>
      <c r="B15" s="147">
        <v>54</v>
      </c>
      <c r="C15" s="204">
        <v>60.7</v>
      </c>
      <c r="D15" s="147">
        <v>63.5</v>
      </c>
      <c r="E15" s="204">
        <v>64.8</v>
      </c>
      <c r="F15" s="147">
        <v>66.3</v>
      </c>
    </row>
    <row r="16" spans="1:6" ht="20" customHeight="1" thickBot="1">
      <c r="A16" s="272" t="s">
        <v>60</v>
      </c>
      <c r="B16" s="147">
        <v>63.5</v>
      </c>
      <c r="C16" s="204">
        <v>67.8</v>
      </c>
      <c r="D16" s="147">
        <v>68.7</v>
      </c>
      <c r="E16" s="204">
        <v>74.400000000000006</v>
      </c>
      <c r="F16" s="147">
        <v>77.599999999999994</v>
      </c>
    </row>
    <row r="17" spans="1:6" ht="20" customHeight="1" thickBot="1">
      <c r="A17" s="272" t="s">
        <v>61</v>
      </c>
      <c r="B17" s="147">
        <v>57.8</v>
      </c>
      <c r="C17" s="204">
        <v>65.3</v>
      </c>
      <c r="D17" s="147">
        <v>70.8</v>
      </c>
      <c r="E17" s="204">
        <v>73.900000000000006</v>
      </c>
      <c r="F17" s="147">
        <v>75</v>
      </c>
    </row>
    <row r="18" spans="1:6" ht="20" customHeight="1" thickBot="1">
      <c r="A18" s="272" t="s">
        <v>62</v>
      </c>
      <c r="B18" s="147">
        <v>85.6</v>
      </c>
      <c r="C18" s="204">
        <v>89.9</v>
      </c>
      <c r="D18" s="147">
        <v>103.7</v>
      </c>
      <c r="E18" s="204">
        <v>104.8</v>
      </c>
      <c r="F18" s="147">
        <v>107.7</v>
      </c>
    </row>
    <row r="19" spans="1:6" ht="20" customHeight="1" thickBot="1">
      <c r="A19" s="272" t="s">
        <v>63</v>
      </c>
      <c r="B19" s="147">
        <v>69.2</v>
      </c>
      <c r="C19" s="204">
        <v>75.8</v>
      </c>
      <c r="D19" s="147">
        <v>78</v>
      </c>
      <c r="E19" s="204">
        <v>81.7</v>
      </c>
      <c r="F19" s="147">
        <v>85.5</v>
      </c>
    </row>
    <row r="20" spans="1:6" ht="20" customHeight="1" thickBot="1">
      <c r="A20" s="272" t="s">
        <v>64</v>
      </c>
      <c r="B20" s="147">
        <v>54</v>
      </c>
      <c r="C20" s="204">
        <v>67.8</v>
      </c>
      <c r="D20" s="147">
        <v>72.5</v>
      </c>
      <c r="E20" s="204">
        <v>76.3</v>
      </c>
      <c r="F20" s="147">
        <v>80</v>
      </c>
    </row>
    <row r="21" spans="1:6" ht="20" customHeight="1" thickBot="1">
      <c r="A21" s="272" t="s">
        <v>65</v>
      </c>
      <c r="B21" s="147">
        <v>44.6</v>
      </c>
      <c r="C21" s="204">
        <v>55.2</v>
      </c>
      <c r="D21" s="147">
        <v>59.5</v>
      </c>
      <c r="E21" s="204">
        <v>59.5</v>
      </c>
      <c r="F21" s="147">
        <v>66</v>
      </c>
    </row>
    <row r="22" spans="1:6" ht="20" customHeight="1" thickBot="1">
      <c r="A22" s="272" t="s">
        <v>66</v>
      </c>
      <c r="B22" s="147">
        <v>40</v>
      </c>
      <c r="C22" s="204">
        <v>54.1</v>
      </c>
      <c r="D22" s="147">
        <v>56.3</v>
      </c>
      <c r="E22" s="204">
        <v>57.3</v>
      </c>
      <c r="F22" s="147">
        <v>59</v>
      </c>
    </row>
    <row r="23" spans="1:6" ht="20" customHeight="1" thickBot="1">
      <c r="A23" s="272" t="s">
        <v>67</v>
      </c>
      <c r="B23" s="147">
        <v>56.3</v>
      </c>
      <c r="C23" s="204">
        <v>61.5</v>
      </c>
      <c r="D23" s="147">
        <v>64.400000000000006</v>
      </c>
      <c r="E23" s="204">
        <v>67.3</v>
      </c>
      <c r="F23" s="147">
        <v>74.3</v>
      </c>
    </row>
    <row r="24" spans="1:6" ht="20" customHeight="1" thickBot="1">
      <c r="A24" s="272" t="s">
        <v>68</v>
      </c>
      <c r="B24" s="147">
        <v>53</v>
      </c>
      <c r="C24" s="204">
        <v>60</v>
      </c>
      <c r="D24" s="147">
        <v>63</v>
      </c>
      <c r="E24" s="204">
        <v>66.599999999999994</v>
      </c>
      <c r="F24" s="147">
        <v>75.8</v>
      </c>
    </row>
    <row r="25" spans="1:6" ht="20" customHeight="1" thickBot="1">
      <c r="A25" s="272" t="s">
        <v>69</v>
      </c>
      <c r="B25" s="147">
        <v>62.8</v>
      </c>
      <c r="C25" s="204">
        <v>67.3</v>
      </c>
      <c r="D25" s="147">
        <v>67.5</v>
      </c>
      <c r="E25" s="204">
        <v>69.8</v>
      </c>
      <c r="F25" s="147">
        <v>76.3</v>
      </c>
    </row>
    <row r="26" spans="1:6" ht="20" customHeight="1" thickBot="1">
      <c r="A26" s="272" t="s">
        <v>70</v>
      </c>
      <c r="B26" s="147">
        <v>61.8</v>
      </c>
      <c r="C26" s="204">
        <v>68.2</v>
      </c>
      <c r="D26" s="147">
        <v>72.099999999999994</v>
      </c>
      <c r="E26" s="204">
        <v>73.8</v>
      </c>
      <c r="F26" s="147">
        <v>76.599999999999994</v>
      </c>
    </row>
    <row r="27" spans="1:6" ht="20" customHeight="1" thickBot="1">
      <c r="A27" s="272" t="s">
        <v>71</v>
      </c>
      <c r="B27" s="147">
        <v>74.2</v>
      </c>
      <c r="C27" s="204">
        <v>81.8</v>
      </c>
      <c r="D27" s="147">
        <v>89.3</v>
      </c>
      <c r="E27" s="204">
        <v>93</v>
      </c>
      <c r="F27" s="147">
        <v>101.3</v>
      </c>
    </row>
    <row r="28" spans="1:6" ht="20" customHeight="1" thickBot="1">
      <c r="A28" s="272" t="s">
        <v>72</v>
      </c>
      <c r="B28" s="147">
        <v>79.2</v>
      </c>
      <c r="C28" s="204">
        <v>84</v>
      </c>
      <c r="D28" s="147">
        <v>90.3</v>
      </c>
      <c r="E28" s="204">
        <v>95.5</v>
      </c>
      <c r="F28" s="147">
        <v>105.3</v>
      </c>
    </row>
    <row r="29" spans="1:6" ht="20" customHeight="1" thickBot="1">
      <c r="A29" s="272" t="s">
        <v>73</v>
      </c>
      <c r="B29" s="147">
        <v>51.7</v>
      </c>
      <c r="C29" s="204">
        <v>63</v>
      </c>
      <c r="D29" s="147">
        <v>64.8</v>
      </c>
      <c r="E29" s="204">
        <v>69.599999999999994</v>
      </c>
      <c r="F29" s="147">
        <v>71.3</v>
      </c>
    </row>
    <row r="30" spans="1:6" ht="20" customHeight="1" thickBot="1">
      <c r="A30" s="272" t="s">
        <v>74</v>
      </c>
      <c r="B30" s="147">
        <v>73</v>
      </c>
      <c r="C30" s="204">
        <v>77</v>
      </c>
      <c r="D30" s="147">
        <v>79.8</v>
      </c>
      <c r="E30" s="204">
        <v>92.9</v>
      </c>
      <c r="F30" s="147">
        <v>97.7</v>
      </c>
    </row>
    <row r="31" spans="1:6" ht="20" customHeight="1" thickBot="1">
      <c r="A31" s="272" t="s">
        <v>75</v>
      </c>
      <c r="B31" s="147">
        <v>91</v>
      </c>
      <c r="C31" s="204">
        <v>96.8</v>
      </c>
      <c r="D31" s="147">
        <v>96.8</v>
      </c>
      <c r="E31" s="204">
        <v>101.4</v>
      </c>
      <c r="F31" s="147">
        <v>115.5</v>
      </c>
    </row>
    <row r="32" spans="1:6" ht="20" customHeight="1" thickBot="1">
      <c r="A32" s="272" t="s">
        <v>76</v>
      </c>
      <c r="B32" s="147">
        <v>69</v>
      </c>
      <c r="C32" s="204">
        <v>71.8</v>
      </c>
      <c r="D32" s="147">
        <v>84.6</v>
      </c>
      <c r="E32" s="204">
        <v>91.5</v>
      </c>
      <c r="F32" s="147">
        <v>91.5</v>
      </c>
    </row>
    <row r="33" spans="1:6" ht="30" customHeight="1" thickBot="1">
      <c r="A33" s="132" t="s">
        <v>1944</v>
      </c>
      <c r="B33" s="282">
        <v>57.8</v>
      </c>
      <c r="C33" s="283">
        <v>66</v>
      </c>
      <c r="D33" s="282">
        <v>72.900000000000006</v>
      </c>
      <c r="E33" s="283">
        <v>84.5</v>
      </c>
      <c r="F33" s="282">
        <v>97.8</v>
      </c>
    </row>
    <row r="34" spans="1:6" ht="20" customHeight="1">
      <c r="A34" s="136" t="s">
        <v>2410</v>
      </c>
      <c r="B34" s="882"/>
      <c r="C34" s="882"/>
      <c r="D34" s="882"/>
      <c r="E34" s="882"/>
      <c r="F34" s="882"/>
    </row>
    <row r="35" spans="1:6" ht="15.75" customHeight="1">
      <c r="A35" s="3"/>
      <c r="B35" s="883"/>
      <c r="C35" s="883"/>
      <c r="D35" s="883"/>
      <c r="E35" s="883"/>
      <c r="F35" s="883"/>
    </row>
    <row r="36" spans="1:6" ht="20.25" customHeight="1">
      <c r="A36" s="3" t="s">
        <v>2402</v>
      </c>
      <c r="B36" s="883"/>
      <c r="C36" s="883"/>
      <c r="D36" s="883"/>
      <c r="E36" s="883"/>
      <c r="F36" s="883"/>
    </row>
    <row r="37" spans="1:6" ht="13.5" customHeight="1">
      <c r="A37" s="3"/>
      <c r="B37" s="883"/>
      <c r="C37" s="883"/>
      <c r="D37" s="883"/>
      <c r="E37" s="883"/>
      <c r="F37" s="883"/>
    </row>
    <row r="38" spans="1:6" ht="12.75" customHeight="1">
      <c r="A38" s="3" t="s">
        <v>2403</v>
      </c>
      <c r="B38" s="883"/>
      <c r="C38" s="883"/>
      <c r="D38" s="883"/>
      <c r="E38" s="883"/>
      <c r="F38" s="883"/>
    </row>
    <row r="39" spans="1:6">
      <c r="A39" s="2" t="s">
        <v>520</v>
      </c>
      <c r="B39" s="41"/>
      <c r="C39" s="41"/>
      <c r="D39" s="41"/>
      <c r="E39" s="41"/>
      <c r="F39" s="41"/>
    </row>
    <row r="40" spans="1:6">
      <c r="B40" s="41"/>
      <c r="C40" s="41"/>
      <c r="D40" s="41"/>
      <c r="E40" s="41"/>
      <c r="F40" s="41"/>
    </row>
    <row r="41" spans="1:6">
      <c r="B41" s="41"/>
      <c r="C41" s="41"/>
      <c r="D41" s="41"/>
      <c r="E41" s="41"/>
      <c r="F41" s="41"/>
    </row>
    <row r="42" spans="1:6">
      <c r="A42" s="2" t="s">
        <v>1955</v>
      </c>
      <c r="B42" s="41"/>
      <c r="C42" s="41"/>
      <c r="D42" s="41"/>
      <c r="E42" s="41"/>
      <c r="F42" s="41"/>
    </row>
  </sheetData>
  <phoneticPr fontId="0" type="noConversion"/>
  <pageMargins left="0.65" right="0.54" top="0.69" bottom="0.47244094488188981" header="0.57999999999999996" footer="0.51181102362204722"/>
  <pageSetup paperSize="9" scale="90" orientation="portrait" horizontalDpi="4294967292" verticalDpi="4294967292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58E8-9BBA-C249-9AD5-62E36BF1FA3F}">
  <sheetPr>
    <pageSetUpPr fitToPage="1"/>
  </sheetPr>
  <dimension ref="A1:L40"/>
  <sheetViews>
    <sheetView zoomScale="75" workbookViewId="0"/>
  </sheetViews>
  <sheetFormatPr baseColWidth="10" defaultColWidth="11.3984375" defaultRowHeight="13"/>
  <cols>
    <col min="1" max="1" width="12.3984375" style="2" customWidth="1"/>
    <col min="2" max="11" width="10.3984375" style="2" customWidth="1"/>
    <col min="12" max="12" width="10.796875" style="2" customWidth="1"/>
    <col min="13" max="16384" width="11.3984375" style="2"/>
  </cols>
  <sheetData>
    <row r="1" spans="1:12" s="1" customFormat="1" ht="14" customHeight="1"/>
    <row r="2" spans="1:12" s="1" customFormat="1" ht="39.75" customHeight="1">
      <c r="A2" s="1695" t="s">
        <v>1332</v>
      </c>
      <c r="B2" s="1699"/>
      <c r="C2" s="1699"/>
      <c r="D2" s="1699"/>
      <c r="E2" s="1699"/>
      <c r="F2" s="1699"/>
      <c r="G2" s="1699"/>
      <c r="H2" s="1699"/>
      <c r="I2" s="1699"/>
      <c r="J2" s="112"/>
      <c r="K2" s="112"/>
      <c r="L2" s="112">
        <v>2006</v>
      </c>
    </row>
    <row r="3" spans="1:12" ht="24" customHeight="1">
      <c r="A3" s="113" t="s">
        <v>41</v>
      </c>
      <c r="B3" s="114">
        <v>1996</v>
      </c>
      <c r="C3" s="115">
        <v>1997</v>
      </c>
      <c r="D3" s="114">
        <v>1998</v>
      </c>
      <c r="E3" s="115">
        <v>1999</v>
      </c>
      <c r="F3" s="114">
        <v>2000</v>
      </c>
      <c r="G3" s="115">
        <v>2001</v>
      </c>
      <c r="H3" s="114">
        <v>2002</v>
      </c>
      <c r="I3" s="115">
        <v>2003</v>
      </c>
      <c r="J3" s="114">
        <v>2004</v>
      </c>
      <c r="K3" s="115">
        <v>2005</v>
      </c>
      <c r="L3" s="114">
        <v>2006</v>
      </c>
    </row>
    <row r="4" spans="1:12" ht="15" customHeight="1">
      <c r="A4" s="248"/>
      <c r="B4" s="117"/>
      <c r="C4" s="118"/>
      <c r="D4" s="117"/>
      <c r="E4" s="118"/>
      <c r="F4" s="143"/>
      <c r="G4" s="180"/>
      <c r="H4" s="117"/>
      <c r="I4" s="118"/>
      <c r="J4" s="117"/>
      <c r="K4" s="118"/>
      <c r="L4" s="117"/>
    </row>
    <row r="5" spans="1:12" ht="16" customHeight="1">
      <c r="A5" s="249"/>
      <c r="B5" s="123"/>
      <c r="C5" s="122"/>
      <c r="D5" s="123"/>
      <c r="E5" s="122"/>
      <c r="F5" s="144"/>
      <c r="G5" s="183"/>
      <c r="H5" s="123"/>
      <c r="I5" s="122"/>
      <c r="J5" s="123"/>
      <c r="K5" s="122"/>
      <c r="L5" s="123"/>
    </row>
    <row r="6" spans="1:12" ht="30" customHeight="1" thickBot="1">
      <c r="A6" s="268" t="s">
        <v>51</v>
      </c>
      <c r="B6" s="270" t="s">
        <v>1412</v>
      </c>
      <c r="C6" s="271">
        <v>1688.02</v>
      </c>
      <c r="D6" s="270">
        <v>1799.51</v>
      </c>
      <c r="E6" s="271">
        <v>1859.45</v>
      </c>
      <c r="F6" s="270">
        <v>1932.17</v>
      </c>
      <c r="G6" s="271">
        <v>2000.67</v>
      </c>
      <c r="H6" s="270">
        <v>2175.9</v>
      </c>
      <c r="I6" s="198">
        <v>2366.81</v>
      </c>
      <c r="J6" s="145">
        <v>2495.12</v>
      </c>
      <c r="K6" s="198">
        <v>2512.46</v>
      </c>
      <c r="L6" s="145">
        <v>2597.37</v>
      </c>
    </row>
    <row r="7" spans="1:12" ht="20" customHeight="1" thickBot="1">
      <c r="A7" s="272" t="s">
        <v>52</v>
      </c>
      <c r="B7" s="147" t="s">
        <v>1412</v>
      </c>
      <c r="C7" s="204">
        <v>1610.77</v>
      </c>
      <c r="D7" s="147">
        <v>1713.16</v>
      </c>
      <c r="E7" s="204">
        <v>1780.25</v>
      </c>
      <c r="F7" s="147">
        <v>1812.27</v>
      </c>
      <c r="G7" s="204">
        <v>1870.42</v>
      </c>
      <c r="H7" s="147">
        <v>2082.84</v>
      </c>
      <c r="I7" s="198">
        <v>2276.4499999999998</v>
      </c>
      <c r="J7" s="145">
        <v>2416.31</v>
      </c>
      <c r="K7" s="198">
        <v>2477.62</v>
      </c>
      <c r="L7" s="145">
        <v>2658.08</v>
      </c>
    </row>
    <row r="8" spans="1:12" ht="20" customHeight="1" thickBot="1">
      <c r="A8" s="272" t="s">
        <v>53</v>
      </c>
      <c r="B8" s="147" t="s">
        <v>1412</v>
      </c>
      <c r="C8" s="204">
        <v>1310.87</v>
      </c>
      <c r="D8" s="147">
        <v>1376.77</v>
      </c>
      <c r="E8" s="204">
        <v>1372.72</v>
      </c>
      <c r="F8" s="147">
        <v>1445.98</v>
      </c>
      <c r="G8" s="204">
        <v>1524.97</v>
      </c>
      <c r="H8" s="147">
        <v>1680.73</v>
      </c>
      <c r="I8" s="198">
        <v>1833.21</v>
      </c>
      <c r="J8" s="145">
        <v>1964.57</v>
      </c>
      <c r="K8" s="198">
        <v>2018.62</v>
      </c>
      <c r="L8" s="145">
        <v>2089.5100000000002</v>
      </c>
    </row>
    <row r="9" spans="1:12" ht="20" customHeight="1" thickBot="1">
      <c r="A9" s="272" t="s">
        <v>54</v>
      </c>
      <c r="B9" s="147" t="s">
        <v>1412</v>
      </c>
      <c r="C9" s="204">
        <v>1327.83</v>
      </c>
      <c r="D9" s="147">
        <v>1370.87</v>
      </c>
      <c r="E9" s="204">
        <v>1354.37</v>
      </c>
      <c r="F9" s="147">
        <v>1389.03</v>
      </c>
      <c r="G9" s="204">
        <v>1438.94</v>
      </c>
      <c r="H9" s="147">
        <v>1573.5</v>
      </c>
      <c r="I9" s="198">
        <v>1729.88</v>
      </c>
      <c r="J9" s="145">
        <v>1826.57</v>
      </c>
      <c r="K9" s="198">
        <v>1872.59</v>
      </c>
      <c r="L9" s="145">
        <v>1899.6</v>
      </c>
    </row>
    <row r="10" spans="1:12" ht="20" customHeight="1" thickBot="1">
      <c r="A10" s="272" t="s">
        <v>55</v>
      </c>
      <c r="B10" s="147" t="s">
        <v>1412</v>
      </c>
      <c r="C10" s="204">
        <v>1378.39</v>
      </c>
      <c r="D10" s="147">
        <v>1421.61</v>
      </c>
      <c r="E10" s="204">
        <v>1399.03</v>
      </c>
      <c r="F10" s="147">
        <v>1426.25</v>
      </c>
      <c r="G10" s="204">
        <v>1495.42</v>
      </c>
      <c r="H10" s="147">
        <v>1667.21</v>
      </c>
      <c r="I10" s="198">
        <v>1832.71</v>
      </c>
      <c r="J10" s="145">
        <v>1957.54</v>
      </c>
      <c r="K10" s="198">
        <v>2019.36</v>
      </c>
      <c r="L10" s="145">
        <v>2081.8000000000002</v>
      </c>
    </row>
    <row r="11" spans="1:12" ht="20" customHeight="1" thickBot="1">
      <c r="A11" s="272" t="s">
        <v>56</v>
      </c>
      <c r="B11" s="147" t="s">
        <v>1412</v>
      </c>
      <c r="C11" s="204">
        <v>1311.57</v>
      </c>
      <c r="D11" s="147">
        <v>1338.4</v>
      </c>
      <c r="E11" s="204">
        <v>1334.71</v>
      </c>
      <c r="F11" s="147">
        <v>1366.66</v>
      </c>
      <c r="G11" s="204">
        <v>1424.17</v>
      </c>
      <c r="H11" s="147">
        <v>1534.16</v>
      </c>
      <c r="I11" s="198">
        <v>1624.62</v>
      </c>
      <c r="J11" s="145">
        <v>1734.01</v>
      </c>
      <c r="K11" s="198">
        <v>1787.8</v>
      </c>
      <c r="L11" s="145">
        <v>1845.75</v>
      </c>
    </row>
    <row r="12" spans="1:12" ht="20" customHeight="1" thickBot="1">
      <c r="A12" s="272" t="s">
        <v>57</v>
      </c>
      <c r="B12" s="147" t="s">
        <v>1412</v>
      </c>
      <c r="C12" s="204">
        <v>1279.67</v>
      </c>
      <c r="D12" s="147">
        <v>1306.6500000000001</v>
      </c>
      <c r="E12" s="204">
        <v>1290.04</v>
      </c>
      <c r="F12" s="147">
        <v>1317.38</v>
      </c>
      <c r="G12" s="204">
        <v>1362.46</v>
      </c>
      <c r="H12" s="147">
        <v>1471.56</v>
      </c>
      <c r="I12" s="198">
        <v>1597.44</v>
      </c>
      <c r="J12" s="145">
        <v>1703.3</v>
      </c>
      <c r="K12" s="198">
        <v>1752.65</v>
      </c>
      <c r="L12" s="145">
        <v>1803.54</v>
      </c>
    </row>
    <row r="13" spans="1:12" ht="20" customHeight="1" thickBot="1">
      <c r="A13" s="272" t="s">
        <v>58</v>
      </c>
      <c r="B13" s="147" t="s">
        <v>1412</v>
      </c>
      <c r="C13" s="204">
        <v>1314.66</v>
      </c>
      <c r="D13" s="147">
        <v>1401.63</v>
      </c>
      <c r="E13" s="204">
        <v>1415.91</v>
      </c>
      <c r="F13" s="147">
        <v>1452.85</v>
      </c>
      <c r="G13" s="204">
        <v>1515.31</v>
      </c>
      <c r="H13" s="147">
        <v>1686.02</v>
      </c>
      <c r="I13" s="198">
        <v>1873.67</v>
      </c>
      <c r="J13" s="145">
        <v>1994.02</v>
      </c>
      <c r="K13" s="198">
        <v>2059.5700000000002</v>
      </c>
      <c r="L13" s="145">
        <v>2139.7199999999998</v>
      </c>
    </row>
    <row r="14" spans="1:12" ht="20" customHeight="1" thickBot="1">
      <c r="A14" s="272" t="s">
        <v>59</v>
      </c>
      <c r="B14" s="147" t="s">
        <v>1412</v>
      </c>
      <c r="C14" s="204">
        <v>1391.21</v>
      </c>
      <c r="D14" s="147">
        <v>1395.83</v>
      </c>
      <c r="E14" s="204">
        <v>1376.28</v>
      </c>
      <c r="F14" s="147">
        <v>1416.79</v>
      </c>
      <c r="G14" s="204">
        <v>1476.5</v>
      </c>
      <c r="H14" s="147">
        <v>1628.62</v>
      </c>
      <c r="I14" s="198">
        <v>1804.72</v>
      </c>
      <c r="J14" s="145">
        <v>1965.66</v>
      </c>
      <c r="K14" s="198">
        <v>2020.31</v>
      </c>
      <c r="L14" s="145">
        <v>2088.7399999999998</v>
      </c>
    </row>
    <row r="15" spans="1:12" ht="20" customHeight="1" thickBot="1">
      <c r="A15" s="272" t="s">
        <v>60</v>
      </c>
      <c r="B15" s="147" t="s">
        <v>1412</v>
      </c>
      <c r="C15" s="204">
        <v>1662.52</v>
      </c>
      <c r="D15" s="147">
        <v>1691.51</v>
      </c>
      <c r="E15" s="204">
        <v>1708.26</v>
      </c>
      <c r="F15" s="147">
        <v>1792.77</v>
      </c>
      <c r="G15" s="204">
        <v>1884.13</v>
      </c>
      <c r="H15" s="147">
        <v>2032.77</v>
      </c>
      <c r="I15" s="198">
        <v>2145.92</v>
      </c>
      <c r="J15" s="145">
        <v>2232.06</v>
      </c>
      <c r="K15" s="198">
        <v>2290.17</v>
      </c>
      <c r="L15" s="145">
        <v>2366.2199999999998</v>
      </c>
    </row>
    <row r="16" spans="1:12" ht="20" customHeight="1" thickBot="1">
      <c r="A16" s="272" t="s">
        <v>61</v>
      </c>
      <c r="B16" s="147" t="s">
        <v>1412</v>
      </c>
      <c r="C16" s="204">
        <v>1528.63</v>
      </c>
      <c r="D16" s="147">
        <v>1671.86</v>
      </c>
      <c r="E16" s="204">
        <v>1674.73</v>
      </c>
      <c r="F16" s="147">
        <v>1732.84</v>
      </c>
      <c r="G16" s="204">
        <v>1798.83</v>
      </c>
      <c r="H16" s="147">
        <v>1932.71</v>
      </c>
      <c r="I16" s="198">
        <v>2101.9899999999998</v>
      </c>
      <c r="J16" s="145">
        <v>2241.66</v>
      </c>
      <c r="K16" s="198">
        <v>2287.27</v>
      </c>
      <c r="L16" s="145">
        <v>2348.75</v>
      </c>
    </row>
    <row r="17" spans="1:12" ht="20" customHeight="1" thickBot="1">
      <c r="A17" s="272" t="s">
        <v>62</v>
      </c>
      <c r="B17" s="147" t="s">
        <v>1412</v>
      </c>
      <c r="C17" s="204">
        <v>2134.35</v>
      </c>
      <c r="D17" s="147">
        <v>2306.19</v>
      </c>
      <c r="E17" s="204">
        <v>2446.3200000000002</v>
      </c>
      <c r="F17" s="147">
        <v>2556.6999999999998</v>
      </c>
      <c r="G17" s="204">
        <v>2691.54</v>
      </c>
      <c r="H17" s="147">
        <v>2885.13</v>
      </c>
      <c r="I17" s="198">
        <v>3131.64</v>
      </c>
      <c r="J17" s="145">
        <v>3389.7</v>
      </c>
      <c r="K17" s="198">
        <v>3454.84</v>
      </c>
      <c r="L17" s="145">
        <v>3572</v>
      </c>
    </row>
    <row r="18" spans="1:12" ht="20" customHeight="1" thickBot="1">
      <c r="A18" s="272" t="s">
        <v>63</v>
      </c>
      <c r="B18" s="147" t="s">
        <v>1412</v>
      </c>
      <c r="C18" s="204">
        <v>1756.37</v>
      </c>
      <c r="D18" s="147">
        <v>1850.43</v>
      </c>
      <c r="E18" s="204">
        <v>1846.14</v>
      </c>
      <c r="F18" s="147">
        <v>1899.24</v>
      </c>
      <c r="G18" s="204">
        <v>1967.11</v>
      </c>
      <c r="H18" s="147">
        <v>2139.59</v>
      </c>
      <c r="I18" s="198">
        <v>2334.69</v>
      </c>
      <c r="J18" s="145">
        <v>2504.48</v>
      </c>
      <c r="K18" s="198">
        <v>2542.48</v>
      </c>
      <c r="L18" s="145">
        <v>2624.88</v>
      </c>
    </row>
    <row r="19" spans="1:12" ht="20" customHeight="1" thickBot="1">
      <c r="A19" s="272" t="s">
        <v>64</v>
      </c>
      <c r="B19" s="147" t="s">
        <v>1412</v>
      </c>
      <c r="C19" s="204">
        <v>1505.08</v>
      </c>
      <c r="D19" s="147">
        <v>1601.39</v>
      </c>
      <c r="E19" s="204">
        <v>1633.62</v>
      </c>
      <c r="F19" s="147">
        <v>1686.78</v>
      </c>
      <c r="G19" s="204">
        <v>1766.11</v>
      </c>
      <c r="H19" s="147">
        <v>1981.87</v>
      </c>
      <c r="I19" s="198">
        <v>2190.31</v>
      </c>
      <c r="J19" s="145">
        <v>2327.5</v>
      </c>
      <c r="K19" s="198">
        <v>2363.2399999999998</v>
      </c>
      <c r="L19" s="145">
        <v>2444.56</v>
      </c>
    </row>
    <row r="20" spans="1:12" ht="20" customHeight="1" thickBot="1">
      <c r="A20" s="272" t="s">
        <v>65</v>
      </c>
      <c r="B20" s="147" t="s">
        <v>1412</v>
      </c>
      <c r="C20" s="204">
        <v>1258.0999999999999</v>
      </c>
      <c r="D20" s="147">
        <v>1328.57</v>
      </c>
      <c r="E20" s="204">
        <v>1316.4</v>
      </c>
      <c r="F20" s="147">
        <v>1345.5</v>
      </c>
      <c r="G20" s="204">
        <v>1414.62</v>
      </c>
      <c r="H20" s="147">
        <v>1544.03</v>
      </c>
      <c r="I20" s="198">
        <v>1703.59</v>
      </c>
      <c r="J20" s="145">
        <v>1786.16</v>
      </c>
      <c r="K20" s="198">
        <v>1841.02</v>
      </c>
      <c r="L20" s="145">
        <v>1925.49</v>
      </c>
    </row>
    <row r="21" spans="1:12" ht="20" customHeight="1" thickBot="1">
      <c r="A21" s="272" t="s">
        <v>66</v>
      </c>
      <c r="B21" s="147" t="s">
        <v>1412</v>
      </c>
      <c r="C21" s="204">
        <v>1115.75</v>
      </c>
      <c r="D21" s="147">
        <v>1159.99</v>
      </c>
      <c r="E21" s="204">
        <v>1141.01</v>
      </c>
      <c r="F21" s="147">
        <v>1157.06</v>
      </c>
      <c r="G21" s="204">
        <v>1243.0999999999999</v>
      </c>
      <c r="H21" s="147">
        <v>1360.38</v>
      </c>
      <c r="I21" s="198">
        <v>1486.23</v>
      </c>
      <c r="J21" s="145">
        <v>1572.95</v>
      </c>
      <c r="K21" s="198">
        <v>1625.7</v>
      </c>
      <c r="L21" s="145">
        <v>1711.9</v>
      </c>
    </row>
    <row r="22" spans="1:12" ht="20" customHeight="1" thickBot="1">
      <c r="A22" s="272" t="s">
        <v>67</v>
      </c>
      <c r="B22" s="147" t="s">
        <v>1412</v>
      </c>
      <c r="C22" s="204">
        <v>1298.1600000000001</v>
      </c>
      <c r="D22" s="147">
        <v>1383.71</v>
      </c>
      <c r="E22" s="204">
        <v>1410.02</v>
      </c>
      <c r="F22" s="147">
        <v>1446.47</v>
      </c>
      <c r="G22" s="204">
        <v>1514.53</v>
      </c>
      <c r="H22" s="147">
        <v>1649.28</v>
      </c>
      <c r="I22" s="198">
        <v>1789.76</v>
      </c>
      <c r="J22" s="145">
        <v>1926.47</v>
      </c>
      <c r="K22" s="198">
        <v>1987.94</v>
      </c>
      <c r="L22" s="145">
        <v>2078.19</v>
      </c>
    </row>
    <row r="23" spans="1:12" ht="20" customHeight="1" thickBot="1">
      <c r="A23" s="272" t="s">
        <v>68</v>
      </c>
      <c r="B23" s="147" t="s">
        <v>1412</v>
      </c>
      <c r="C23" s="204">
        <v>1279.6500000000001</v>
      </c>
      <c r="D23" s="147">
        <v>1344.95</v>
      </c>
      <c r="E23" s="204">
        <v>1380.23</v>
      </c>
      <c r="F23" s="147">
        <v>1377.12</v>
      </c>
      <c r="G23" s="204">
        <v>1519.27</v>
      </c>
      <c r="H23" s="147">
        <v>1713.63</v>
      </c>
      <c r="I23" s="198">
        <v>1922.61</v>
      </c>
      <c r="J23" s="145">
        <v>2061.46</v>
      </c>
      <c r="K23" s="198">
        <v>2102.89</v>
      </c>
      <c r="L23" s="145">
        <v>2181.4699999999998</v>
      </c>
    </row>
    <row r="24" spans="1:12" ht="20" customHeight="1" thickBot="1">
      <c r="A24" s="272" t="s">
        <v>69</v>
      </c>
      <c r="B24" s="147" t="s">
        <v>1412</v>
      </c>
      <c r="C24" s="204">
        <v>1297.99</v>
      </c>
      <c r="D24" s="147">
        <v>1393.43</v>
      </c>
      <c r="E24" s="204">
        <v>1471.71</v>
      </c>
      <c r="F24" s="147">
        <v>1544.48</v>
      </c>
      <c r="G24" s="204">
        <v>1656.78</v>
      </c>
      <c r="H24" s="147">
        <v>1837.97</v>
      </c>
      <c r="I24" s="198">
        <v>2013.78</v>
      </c>
      <c r="J24" s="145">
        <v>2145.9699999999998</v>
      </c>
      <c r="K24" s="198">
        <v>2187.8200000000002</v>
      </c>
      <c r="L24" s="145">
        <v>2271.02</v>
      </c>
    </row>
    <row r="25" spans="1:12" ht="20" customHeight="1" thickBot="1">
      <c r="A25" s="272" t="s">
        <v>70</v>
      </c>
      <c r="B25" s="147" t="s">
        <v>1412</v>
      </c>
      <c r="C25" s="204">
        <v>1343.68</v>
      </c>
      <c r="D25" s="147">
        <v>1452.32</v>
      </c>
      <c r="E25" s="204">
        <v>1507.06</v>
      </c>
      <c r="F25" s="147">
        <v>1558.7</v>
      </c>
      <c r="G25" s="204">
        <v>1679.14</v>
      </c>
      <c r="H25" s="147">
        <v>1869.09</v>
      </c>
      <c r="I25" s="198">
        <v>2058.1999999999998</v>
      </c>
      <c r="J25" s="145">
        <v>2194.13</v>
      </c>
      <c r="K25" s="198">
        <v>2229.67</v>
      </c>
      <c r="L25" s="145">
        <v>2302.0500000000002</v>
      </c>
    </row>
    <row r="26" spans="1:12" ht="20" customHeight="1" thickBot="1">
      <c r="A26" s="272" t="s">
        <v>71</v>
      </c>
      <c r="B26" s="147" t="s">
        <v>1412</v>
      </c>
      <c r="C26" s="204">
        <v>2095.4899999999998</v>
      </c>
      <c r="D26" s="147">
        <v>2211.92</v>
      </c>
      <c r="E26" s="204">
        <v>2198.02</v>
      </c>
      <c r="F26" s="147">
        <v>2220.3000000000002</v>
      </c>
      <c r="G26" s="204">
        <v>2271.73</v>
      </c>
      <c r="H26" s="147">
        <v>2467.0700000000002</v>
      </c>
      <c r="I26" s="198">
        <v>2676.85</v>
      </c>
      <c r="J26" s="145">
        <v>2936.03</v>
      </c>
      <c r="K26" s="198">
        <v>3024.2</v>
      </c>
      <c r="L26" s="145">
        <v>3163.51</v>
      </c>
    </row>
    <row r="27" spans="1:12" ht="20" customHeight="1" thickBot="1">
      <c r="A27" s="272" t="s">
        <v>72</v>
      </c>
      <c r="B27" s="147" t="s">
        <v>1412</v>
      </c>
      <c r="C27" s="204">
        <v>2197.46</v>
      </c>
      <c r="D27" s="147">
        <v>2269.8000000000002</v>
      </c>
      <c r="E27" s="204">
        <v>2319.29</v>
      </c>
      <c r="F27" s="147">
        <v>2317.16</v>
      </c>
      <c r="G27" s="204">
        <v>2400.63</v>
      </c>
      <c r="H27" s="147">
        <v>2581.7199999999998</v>
      </c>
      <c r="I27" s="198">
        <v>2789.21</v>
      </c>
      <c r="J27" s="145">
        <v>2938.15</v>
      </c>
      <c r="K27" s="198">
        <v>2977.76</v>
      </c>
      <c r="L27" s="145">
        <v>3089.02</v>
      </c>
    </row>
    <row r="28" spans="1:12" ht="20" customHeight="1" thickBot="1">
      <c r="A28" s="272" t="s">
        <v>73</v>
      </c>
      <c r="B28" s="147" t="s">
        <v>1412</v>
      </c>
      <c r="C28" s="204">
        <v>1574.86</v>
      </c>
      <c r="D28" s="147">
        <v>1544.82</v>
      </c>
      <c r="E28" s="204">
        <v>1554.32</v>
      </c>
      <c r="F28" s="147">
        <v>1580.24</v>
      </c>
      <c r="G28" s="204">
        <v>1621.59</v>
      </c>
      <c r="H28" s="147">
        <v>1747.44</v>
      </c>
      <c r="I28" s="198">
        <v>1911.96</v>
      </c>
      <c r="J28" s="145">
        <v>2070.33</v>
      </c>
      <c r="K28" s="198">
        <v>2154.77</v>
      </c>
      <c r="L28" s="145">
        <v>2233.69</v>
      </c>
    </row>
    <row r="29" spans="1:12" ht="20" customHeight="1" thickBot="1">
      <c r="A29" s="272" t="s">
        <v>74</v>
      </c>
      <c r="B29" s="147" t="s">
        <v>1412</v>
      </c>
      <c r="C29" s="204">
        <v>1872.33</v>
      </c>
      <c r="D29" s="147">
        <v>2074.35</v>
      </c>
      <c r="E29" s="204">
        <v>2121.75</v>
      </c>
      <c r="F29" s="147">
        <v>2169.7199999999998</v>
      </c>
      <c r="G29" s="204">
        <v>2241.9899999999998</v>
      </c>
      <c r="H29" s="147">
        <v>2442.38</v>
      </c>
      <c r="I29" s="198">
        <v>2628.36</v>
      </c>
      <c r="J29" s="145">
        <v>2856.16</v>
      </c>
      <c r="K29" s="198">
        <v>2941.13</v>
      </c>
      <c r="L29" s="145">
        <v>3026.67</v>
      </c>
    </row>
    <row r="30" spans="1:12" ht="20" customHeight="1" thickBot="1">
      <c r="A30" s="272" t="s">
        <v>75</v>
      </c>
      <c r="B30" s="147" t="s">
        <v>1412</v>
      </c>
      <c r="C30" s="204">
        <v>2490.64</v>
      </c>
      <c r="D30" s="147">
        <v>2600.92</v>
      </c>
      <c r="E30" s="204">
        <v>2618.6</v>
      </c>
      <c r="F30" s="147">
        <v>2755.39</v>
      </c>
      <c r="G30" s="204">
        <v>2906.95</v>
      </c>
      <c r="H30" s="147">
        <v>3137.29</v>
      </c>
      <c r="I30" s="198">
        <v>3318.18</v>
      </c>
      <c r="J30" s="145">
        <v>3499.12</v>
      </c>
      <c r="K30" s="198">
        <v>3545.51</v>
      </c>
      <c r="L30" s="145">
        <v>3664.36</v>
      </c>
    </row>
    <row r="31" spans="1:12" ht="20" customHeight="1" thickBot="1">
      <c r="A31" s="272" t="s">
        <v>76</v>
      </c>
      <c r="B31" s="147" t="s">
        <v>1412</v>
      </c>
      <c r="C31" s="204">
        <v>1764.15</v>
      </c>
      <c r="D31" s="147">
        <v>1924.67</v>
      </c>
      <c r="E31" s="204">
        <v>1920.33</v>
      </c>
      <c r="F31" s="147">
        <v>2008.3</v>
      </c>
      <c r="G31" s="204">
        <v>2165.84</v>
      </c>
      <c r="H31" s="147">
        <v>2325.96</v>
      </c>
      <c r="I31" s="198">
        <v>2455.4699999999998</v>
      </c>
      <c r="J31" s="145">
        <v>2614.3200000000002</v>
      </c>
      <c r="K31" s="198">
        <v>2681.64</v>
      </c>
      <c r="L31" s="145">
        <v>2755.56</v>
      </c>
    </row>
    <row r="32" spans="1:12" ht="30" customHeight="1" thickBot="1">
      <c r="A32" s="132" t="s">
        <v>1944</v>
      </c>
      <c r="B32" s="282">
        <v>1547.05</v>
      </c>
      <c r="C32" s="283">
        <v>1668.01</v>
      </c>
      <c r="D32" s="282">
        <v>1762.91</v>
      </c>
      <c r="E32" s="283">
        <v>1801.28</v>
      </c>
      <c r="F32" s="282">
        <v>1853.38</v>
      </c>
      <c r="G32" s="283">
        <v>1931.93</v>
      </c>
      <c r="H32" s="282">
        <v>2106.41</v>
      </c>
      <c r="I32" s="200">
        <v>2296.0300000000002</v>
      </c>
      <c r="J32" s="277">
        <v>2443.67</v>
      </c>
      <c r="K32" s="645">
        <v>2493.73</v>
      </c>
      <c r="L32" s="277">
        <v>2595.6</v>
      </c>
    </row>
    <row r="33" spans="1:9" ht="20" customHeight="1">
      <c r="A33" s="136" t="s">
        <v>1245</v>
      </c>
      <c r="B33" s="279"/>
      <c r="C33" s="279"/>
      <c r="D33" s="279"/>
      <c r="E33" s="279"/>
      <c r="F33" s="279"/>
      <c r="G33" s="279"/>
      <c r="H33" s="279"/>
      <c r="I33" s="589"/>
    </row>
    <row r="34" spans="1:9" ht="15.75" customHeight="1">
      <c r="A34" s="3"/>
      <c r="B34" s="281"/>
      <c r="C34" s="281"/>
      <c r="D34" s="281"/>
      <c r="E34" s="281"/>
      <c r="F34" s="281"/>
      <c r="G34" s="281"/>
      <c r="H34" s="281"/>
      <c r="I34" s="590"/>
    </row>
    <row r="35" spans="1:9" ht="14.25" customHeight="1">
      <c r="A35" s="3" t="s">
        <v>1331</v>
      </c>
      <c r="B35" s="281"/>
      <c r="C35" s="281"/>
      <c r="D35" s="281"/>
      <c r="E35" s="281"/>
      <c r="F35" s="281"/>
      <c r="G35" s="281"/>
      <c r="H35" s="281"/>
      <c r="I35" s="590"/>
    </row>
    <row r="36" spans="1:9" ht="13.5" customHeight="1">
      <c r="A36" s="3"/>
      <c r="B36" s="281"/>
      <c r="C36" s="281"/>
      <c r="D36" s="281"/>
      <c r="E36" s="281"/>
      <c r="F36" s="281"/>
      <c r="G36" s="281"/>
      <c r="H36" s="281"/>
      <c r="I36" s="590"/>
    </row>
    <row r="37" spans="1:9" ht="12.75" customHeight="1">
      <c r="A37" s="3" t="s">
        <v>1234</v>
      </c>
      <c r="B37" s="281"/>
      <c r="C37" s="281"/>
      <c r="D37" s="281"/>
      <c r="E37" s="281"/>
      <c r="F37" s="281"/>
      <c r="G37" s="281"/>
      <c r="H37" s="281"/>
      <c r="I37" s="590"/>
    </row>
    <row r="39" spans="1:9">
      <c r="A39" s="3"/>
    </row>
    <row r="40" spans="1:9">
      <c r="A40" s="3" t="s">
        <v>1955</v>
      </c>
    </row>
  </sheetData>
  <mergeCells count="1">
    <mergeCell ref="A2:I2"/>
  </mergeCells>
  <phoneticPr fontId="0" type="noConversion"/>
  <pageMargins left="0.45" right="0.49" top="0.78" bottom="0.49" header="0.5" footer="0.4921259845"/>
  <pageSetup paperSize="9" scale="74" orientation="portrait" horizontalDpi="4294967292" verticalDpi="4294967292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9565-C17D-0B4F-8B1E-1D57A82AC92F}">
  <sheetPr>
    <pageSetUpPr fitToPage="1"/>
  </sheetPr>
  <dimension ref="A1:K25"/>
  <sheetViews>
    <sheetView zoomScale="75" workbookViewId="0">
      <selection activeCell="J11" sqref="J11"/>
    </sheetView>
  </sheetViews>
  <sheetFormatPr baseColWidth="10" defaultColWidth="11.3984375" defaultRowHeight="13"/>
  <cols>
    <col min="1" max="1" width="14.3984375" style="2" customWidth="1"/>
    <col min="2" max="2" width="17" style="2" customWidth="1"/>
    <col min="3" max="3" width="16.3984375" style="2" customWidth="1"/>
    <col min="4" max="4" width="15.796875" style="2" customWidth="1"/>
    <col min="5" max="5" width="17" style="2" customWidth="1"/>
    <col min="6" max="6" width="18" style="2" customWidth="1"/>
    <col min="7" max="7" width="13.19921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12" t="s">
        <v>1871</v>
      </c>
      <c r="G2" s="265">
        <v>2006</v>
      </c>
    </row>
    <row r="3" spans="1:11" ht="24" customHeight="1">
      <c r="A3" s="113" t="s">
        <v>1226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  <c r="G3" s="115" t="s">
        <v>45</v>
      </c>
    </row>
    <row r="4" spans="1:11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  <c r="G4" s="118" t="s">
        <v>46</v>
      </c>
    </row>
    <row r="5" spans="1:11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  <c r="G5" s="118" t="s">
        <v>50</v>
      </c>
    </row>
    <row r="6" spans="1:11" ht="24" customHeight="1">
      <c r="A6" s="249"/>
      <c r="B6" s="123"/>
      <c r="C6" s="122"/>
      <c r="D6" s="123"/>
      <c r="E6" s="183" t="s">
        <v>753</v>
      </c>
      <c r="F6" s="123"/>
      <c r="G6" s="122"/>
    </row>
    <row r="7" spans="1:11" ht="23.25" customHeight="1" thickBot="1">
      <c r="A7" s="250">
        <v>1996</v>
      </c>
      <c r="B7" s="637">
        <v>7263.8791936000007</v>
      </c>
      <c r="C7" s="257">
        <v>3689.7169425000002</v>
      </c>
      <c r="D7" s="637">
        <v>38.020066050000004</v>
      </c>
      <c r="E7" s="257">
        <v>139.01961795</v>
      </c>
      <c r="F7" s="637">
        <v>11130.635820099998</v>
      </c>
      <c r="G7" s="146" t="s">
        <v>1412</v>
      </c>
    </row>
    <row r="8" spans="1:11" ht="20" customHeight="1" thickBot="1">
      <c r="A8" s="251">
        <v>1997</v>
      </c>
      <c r="B8" s="638">
        <v>6540.5888779999996</v>
      </c>
      <c r="C8" s="546">
        <v>4995.2965729999996</v>
      </c>
      <c r="D8" s="638">
        <v>16.474356</v>
      </c>
      <c r="E8" s="546">
        <v>488.324321</v>
      </c>
      <c r="F8" s="638">
        <v>12040.684128000001</v>
      </c>
      <c r="G8" s="148">
        <v>8.1760675904660518E-2</v>
      </c>
      <c r="I8" s="9"/>
      <c r="J8" s="9"/>
      <c r="K8" s="9"/>
    </row>
    <row r="9" spans="1:11" ht="20" customHeight="1" thickBot="1">
      <c r="A9" s="251">
        <v>1998</v>
      </c>
      <c r="B9" s="638">
        <v>6687.4913850000003</v>
      </c>
      <c r="C9" s="546">
        <v>5281.0341630000003</v>
      </c>
      <c r="D9" s="638">
        <v>17.124804000000001</v>
      </c>
      <c r="E9" s="546">
        <v>722.61979599999995</v>
      </c>
      <c r="F9" s="638">
        <v>12708.270148</v>
      </c>
      <c r="G9" s="148">
        <v>5.5444193444752932E-2</v>
      </c>
    </row>
    <row r="10" spans="1:11" ht="20" customHeight="1" thickBot="1">
      <c r="A10" s="251">
        <v>1999</v>
      </c>
      <c r="B10" s="638">
        <v>6794.0647150000004</v>
      </c>
      <c r="C10" s="546">
        <v>5396.1932850000003</v>
      </c>
      <c r="D10" s="638">
        <v>15.330069999999999</v>
      </c>
      <c r="E10" s="546">
        <v>828.25470299999995</v>
      </c>
      <c r="F10" s="638">
        <v>13033.842773</v>
      </c>
      <c r="G10" s="148">
        <v>2.5618956884642552E-2</v>
      </c>
    </row>
    <row r="11" spans="1:11" ht="20" customHeight="1" thickBot="1">
      <c r="A11" s="251">
        <v>2000</v>
      </c>
      <c r="B11" s="638">
        <v>6892.0663969999996</v>
      </c>
      <c r="C11" s="546">
        <v>5620.0400929999996</v>
      </c>
      <c r="D11" s="638">
        <v>15.057027</v>
      </c>
      <c r="E11" s="546">
        <v>914.49116700000002</v>
      </c>
      <c r="F11" s="638">
        <v>13441.654683999999</v>
      </c>
      <c r="G11" s="148">
        <v>3.1288693450008065E-2</v>
      </c>
    </row>
    <row r="12" spans="1:11" ht="20" customHeight="1" thickBot="1">
      <c r="A12" s="251">
        <v>2001</v>
      </c>
      <c r="B12" s="638">
        <v>7135.0009239999999</v>
      </c>
      <c r="C12" s="546">
        <v>5862.0969020000002</v>
      </c>
      <c r="D12" s="638">
        <v>14.859370999999999</v>
      </c>
      <c r="E12" s="546">
        <v>985.35521000000006</v>
      </c>
      <c r="F12" s="638">
        <v>13997.312406999999</v>
      </c>
      <c r="G12" s="148">
        <v>4.1338491135426647E-2</v>
      </c>
    </row>
    <row r="13" spans="1:11" ht="20" customHeight="1" thickBot="1">
      <c r="A13" s="251">
        <v>2002</v>
      </c>
      <c r="B13" s="638">
        <v>7607.4934620000004</v>
      </c>
      <c r="C13" s="546">
        <v>6653.7724580000004</v>
      </c>
      <c r="D13" s="638">
        <v>15.940357000000001</v>
      </c>
      <c r="E13" s="546">
        <v>1077.8389540000001</v>
      </c>
      <c r="F13" s="638">
        <v>15355.045231</v>
      </c>
      <c r="G13" s="148">
        <v>9.6999537091206456E-2</v>
      </c>
    </row>
    <row r="14" spans="1:11" ht="20" customHeight="1" thickBot="1">
      <c r="A14" s="251">
        <v>2003</v>
      </c>
      <c r="B14" s="638">
        <v>8119.6939160000002</v>
      </c>
      <c r="C14" s="546">
        <v>7519.6442960000004</v>
      </c>
      <c r="D14" s="638">
        <v>16.399234</v>
      </c>
      <c r="E14" s="546">
        <v>1164.373707</v>
      </c>
      <c r="F14" s="638">
        <v>16820.111153000002</v>
      </c>
      <c r="G14" s="148">
        <v>9.541267381239682E-2</v>
      </c>
    </row>
    <row r="15" spans="1:11" ht="20" customHeight="1" thickBot="1">
      <c r="A15" s="251">
        <v>2004</v>
      </c>
      <c r="B15" s="638">
        <v>8488.1709709999996</v>
      </c>
      <c r="C15" s="546">
        <v>7961.8606556000004</v>
      </c>
      <c r="D15" s="638">
        <v>16.728842</v>
      </c>
      <c r="E15" s="546">
        <v>1562.9443670000001</v>
      </c>
      <c r="F15" s="638">
        <v>18029.704835599998</v>
      </c>
      <c r="G15" s="148">
        <v>7.1913536812998835E-2</v>
      </c>
    </row>
    <row r="16" spans="1:11" ht="20" customHeight="1" thickBot="1">
      <c r="A16" s="251">
        <v>2005</v>
      </c>
      <c r="B16" s="638">
        <v>8881.818765</v>
      </c>
      <c r="C16" s="546">
        <v>7722.8551509999998</v>
      </c>
      <c r="D16" s="638">
        <v>16.867663</v>
      </c>
      <c r="E16" s="546">
        <v>1874.8780380000001</v>
      </c>
      <c r="F16" s="638">
        <v>18496.419617</v>
      </c>
      <c r="G16" s="148">
        <v>2.588588031005723E-2</v>
      </c>
    </row>
    <row r="17" spans="1:7" ht="30" customHeight="1" thickBot="1">
      <c r="A17" s="887">
        <v>2006</v>
      </c>
      <c r="B17" s="888">
        <v>8791.2609179999999</v>
      </c>
      <c r="C17" s="889">
        <v>7672.0020180000001</v>
      </c>
      <c r="D17" s="888">
        <v>16.96679</v>
      </c>
      <c r="E17" s="889">
        <v>2834.4584479999999</v>
      </c>
      <c r="F17" s="888">
        <v>19314.688173999999</v>
      </c>
      <c r="G17" s="150">
        <v>4.4239294628022563E-2</v>
      </c>
    </row>
    <row r="18" spans="1:7" ht="20" customHeight="1">
      <c r="A18" s="136" t="s">
        <v>453</v>
      </c>
      <c r="B18" s="279"/>
      <c r="C18" s="279"/>
      <c r="D18" s="279"/>
      <c r="E18" s="279"/>
      <c r="F18" s="279"/>
      <c r="G18" s="589"/>
    </row>
    <row r="19" spans="1:7" ht="14.25" customHeight="1">
      <c r="A19" s="3"/>
      <c r="B19" s="281"/>
      <c r="C19" s="281"/>
      <c r="D19" s="281"/>
      <c r="E19" s="281"/>
      <c r="F19" s="281"/>
      <c r="G19" s="590"/>
    </row>
    <row r="20" spans="1:7" ht="12.75" customHeight="1">
      <c r="A20" s="324" t="s">
        <v>1041</v>
      </c>
    </row>
    <row r="22" spans="1:7">
      <c r="A22" s="2" t="s">
        <v>1872</v>
      </c>
    </row>
    <row r="25" spans="1:7">
      <c r="A25" s="2" t="s">
        <v>1955</v>
      </c>
    </row>
  </sheetData>
  <phoneticPr fontId="0" type="noConversion"/>
  <pageMargins left="0.56000000000000005" right="0.51" top="0.94" bottom="0.49" header="0.51" footer="0.4921259845"/>
  <pageSetup paperSize="9" scale="83" orientation="portrait" horizontalDpi="4294967292" verticalDpi="4294967292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D099-2BA2-3442-96AC-37BDDAF5D93B}">
  <sheetPr>
    <pageSetUpPr fitToPage="1"/>
  </sheetPr>
  <dimension ref="A1:I17"/>
  <sheetViews>
    <sheetView zoomScale="75" workbookViewId="0">
      <selection activeCell="A3" sqref="A3"/>
    </sheetView>
  </sheetViews>
  <sheetFormatPr baseColWidth="10" defaultColWidth="11.3984375" defaultRowHeight="13"/>
  <cols>
    <col min="1" max="1" width="19.3984375" style="2" customWidth="1"/>
    <col min="2" max="3" width="17.19921875" style="2" customWidth="1"/>
    <col min="4" max="4" width="16.796875" style="2" customWidth="1"/>
    <col min="5" max="5" width="18.19921875" style="2" customWidth="1"/>
    <col min="6" max="7" width="13.3984375" style="2" customWidth="1"/>
    <col min="8" max="8" width="11.3984375" style="2"/>
    <col min="9" max="9" width="15.796875" style="2" hidden="1" customWidth="1"/>
    <col min="10" max="16384" width="11.3984375" style="2"/>
  </cols>
  <sheetData>
    <row r="1" spans="1:9" ht="14" customHeight="1">
      <c r="A1" s="346"/>
      <c r="B1" s="3"/>
      <c r="C1" s="3"/>
      <c r="D1" s="3"/>
      <c r="E1" s="3"/>
      <c r="F1" s="3"/>
      <c r="G1" s="3"/>
      <c r="I1" s="3"/>
    </row>
    <row r="2" spans="1:9" ht="28" customHeight="1">
      <c r="A2" s="58" t="s">
        <v>794</v>
      </c>
      <c r="B2" s="3"/>
      <c r="C2" s="3"/>
      <c r="D2" s="3"/>
      <c r="E2" s="3"/>
      <c r="F2" s="3"/>
      <c r="G2" s="265">
        <v>2006</v>
      </c>
      <c r="I2" s="3"/>
    </row>
    <row r="3" spans="1:9" ht="24" customHeight="1">
      <c r="A3" s="113" t="s">
        <v>733</v>
      </c>
      <c r="B3" s="114" t="s">
        <v>115</v>
      </c>
      <c r="C3" s="115" t="s">
        <v>116</v>
      </c>
      <c r="D3" s="114" t="s">
        <v>42</v>
      </c>
      <c r="E3" s="115" t="s">
        <v>1951</v>
      </c>
      <c r="F3" s="114" t="s">
        <v>893</v>
      </c>
      <c r="G3" s="115" t="s">
        <v>45</v>
      </c>
      <c r="I3" s="115" t="s">
        <v>1951</v>
      </c>
    </row>
    <row r="4" spans="1:9" ht="15" customHeight="1">
      <c r="A4" s="248"/>
      <c r="B4" s="117"/>
      <c r="C4" s="118"/>
      <c r="D4" s="117"/>
      <c r="E4" s="180"/>
      <c r="F4" s="117" t="s">
        <v>894</v>
      </c>
      <c r="G4" s="118" t="s">
        <v>46</v>
      </c>
      <c r="I4" s="180">
        <v>1999</v>
      </c>
    </row>
    <row r="5" spans="1:9" ht="15" customHeight="1">
      <c r="A5" s="116"/>
      <c r="B5" s="117"/>
      <c r="C5" s="118"/>
      <c r="D5" s="117"/>
      <c r="E5" s="118"/>
      <c r="F5" s="117" t="s">
        <v>734</v>
      </c>
      <c r="G5" s="118" t="s">
        <v>50</v>
      </c>
      <c r="I5" s="118"/>
    </row>
    <row r="6" spans="1:9" ht="24" customHeight="1">
      <c r="A6" s="315"/>
      <c r="B6" s="348"/>
      <c r="C6" s="349"/>
      <c r="D6" s="348"/>
      <c r="E6" s="349"/>
      <c r="F6" s="123"/>
      <c r="G6" s="122"/>
      <c r="I6" s="349"/>
    </row>
    <row r="7" spans="1:9" ht="36" customHeight="1" thickBot="1">
      <c r="A7" s="350" t="s">
        <v>735</v>
      </c>
      <c r="B7" s="184">
        <v>3362620198</v>
      </c>
      <c r="C7" s="185">
        <v>4472216906</v>
      </c>
      <c r="D7" s="184">
        <v>956423814</v>
      </c>
      <c r="E7" s="185">
        <v>8791260918</v>
      </c>
      <c r="F7" s="351">
        <v>0.45515935016927395</v>
      </c>
      <c r="G7" s="352">
        <v>-1.0195867467692018E-2</v>
      </c>
      <c r="I7" s="386">
        <v>6794064715</v>
      </c>
    </row>
    <row r="8" spans="1:9" ht="28.5" customHeight="1" thickBot="1">
      <c r="A8" s="350" t="s">
        <v>736</v>
      </c>
      <c r="B8" s="184">
        <v>3807596958</v>
      </c>
      <c r="C8" s="185">
        <v>3757636150</v>
      </c>
      <c r="D8" s="184">
        <v>106768910</v>
      </c>
      <c r="E8" s="185">
        <v>7672002018</v>
      </c>
      <c r="F8" s="351">
        <v>0.3972107625494819</v>
      </c>
      <c r="G8" s="352">
        <v>-6.5847580986178721E-3</v>
      </c>
      <c r="I8" s="386">
        <v>5396193285</v>
      </c>
    </row>
    <row r="9" spans="1:9" ht="30.75" customHeight="1" thickBot="1">
      <c r="A9" s="350" t="s">
        <v>737</v>
      </c>
      <c r="B9" s="184">
        <v>10785325</v>
      </c>
      <c r="C9" s="185">
        <v>6087114</v>
      </c>
      <c r="D9" s="184">
        <v>94351</v>
      </c>
      <c r="E9" s="185">
        <v>16966790</v>
      </c>
      <c r="F9" s="351">
        <v>8.7843975771969402E-4</v>
      </c>
      <c r="G9" s="352">
        <v>5.876747715436335E-3</v>
      </c>
      <c r="I9" s="386">
        <v>15330070</v>
      </c>
    </row>
    <row r="10" spans="1:9" ht="34.5" customHeight="1" thickBot="1">
      <c r="A10" s="350" t="s">
        <v>738</v>
      </c>
      <c r="B10" s="184">
        <v>1263818281</v>
      </c>
      <c r="C10" s="185">
        <v>1378112317</v>
      </c>
      <c r="D10" s="184">
        <v>192527850</v>
      </c>
      <c r="E10" s="185">
        <v>2834458448</v>
      </c>
      <c r="F10" s="351">
        <v>0.14675144752352448</v>
      </c>
      <c r="G10" s="352">
        <v>0.51180951003278008</v>
      </c>
      <c r="I10" s="386">
        <v>828254703</v>
      </c>
    </row>
    <row r="11" spans="1:9" s="390" customFormat="1" ht="38.25" customHeight="1" thickBot="1">
      <c r="A11" s="387" t="s">
        <v>1951</v>
      </c>
      <c r="B11" s="291">
        <v>8444820761</v>
      </c>
      <c r="C11" s="290">
        <v>9614052487</v>
      </c>
      <c r="D11" s="291">
        <v>1255814925</v>
      </c>
      <c r="E11" s="290">
        <v>19314688174</v>
      </c>
      <c r="F11" s="388">
        <v>1</v>
      </c>
      <c r="G11" s="389">
        <v>4.4239294628022605E-2</v>
      </c>
      <c r="I11" s="391">
        <v>13033842773</v>
      </c>
    </row>
    <row r="12" spans="1:9" ht="19.5" customHeight="1">
      <c r="A12" s="136" t="s">
        <v>453</v>
      </c>
      <c r="B12" s="136"/>
      <c r="C12" s="136"/>
      <c r="D12" s="136"/>
      <c r="E12" s="136"/>
      <c r="F12" s="136"/>
      <c r="G12" s="136"/>
      <c r="I12" s="136"/>
    </row>
    <row r="14" spans="1:9">
      <c r="A14" s="2" t="s">
        <v>795</v>
      </c>
    </row>
    <row r="17" spans="1:1">
      <c r="A17" s="2" t="s">
        <v>1955</v>
      </c>
    </row>
  </sheetData>
  <phoneticPr fontId="0" type="noConversion"/>
  <pageMargins left="0.56000000000000005" right="0.57999999999999996" top="0.96" bottom="0.49" header="0.61" footer="0.4921259845"/>
  <pageSetup paperSize="9" scale="80" orientation="portrait" horizontalDpi="4294967292" verticalDpi="4294967292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40E3-9403-4649-83FC-8DB58FEB55A3}">
  <sheetPr>
    <pageSetUpPr fitToPage="1"/>
  </sheetPr>
  <dimension ref="A1:G19"/>
  <sheetViews>
    <sheetView topLeftCell="A5" zoomScale="75" workbookViewId="0">
      <selection activeCell="F22" sqref="F22"/>
    </sheetView>
  </sheetViews>
  <sheetFormatPr baseColWidth="10" defaultColWidth="11.3984375" defaultRowHeight="13"/>
  <cols>
    <col min="1" max="1" width="19.796875" style="2" customWidth="1"/>
    <col min="2" max="7" width="14.796875" style="2" customWidth="1"/>
    <col min="8" max="16384" width="11.3984375" style="2"/>
  </cols>
  <sheetData>
    <row r="1" spans="1:7" ht="14" customHeight="1">
      <c r="A1" s="346"/>
      <c r="B1" s="3"/>
      <c r="C1" s="3"/>
      <c r="D1" s="3"/>
      <c r="E1" s="3"/>
      <c r="F1" s="3"/>
      <c r="G1" s="3"/>
    </row>
    <row r="2" spans="1:7" ht="26.25" customHeight="1">
      <c r="A2" s="1695" t="s">
        <v>1870</v>
      </c>
      <c r="B2" s="1699"/>
      <c r="C2" s="1699"/>
      <c r="D2" s="1699"/>
      <c r="E2" s="1699"/>
      <c r="F2" s="1699"/>
      <c r="G2" s="265">
        <v>2006</v>
      </c>
    </row>
    <row r="3" spans="1:7" ht="24" customHeight="1">
      <c r="A3" s="113" t="s">
        <v>733</v>
      </c>
      <c r="B3" s="114" t="s">
        <v>115</v>
      </c>
      <c r="C3" s="115" t="s">
        <v>116</v>
      </c>
      <c r="D3" s="114" t="s">
        <v>42</v>
      </c>
      <c r="E3" s="115" t="s">
        <v>1951</v>
      </c>
      <c r="F3" s="114" t="s">
        <v>2362</v>
      </c>
      <c r="G3" s="115" t="s">
        <v>45</v>
      </c>
    </row>
    <row r="4" spans="1:7" ht="15" customHeight="1">
      <c r="A4" s="248"/>
      <c r="B4" s="117"/>
      <c r="C4" s="118"/>
      <c r="D4" s="117"/>
      <c r="E4" s="180"/>
      <c r="F4" s="117" t="s">
        <v>2363</v>
      </c>
      <c r="G4" s="118" t="s">
        <v>46</v>
      </c>
    </row>
    <row r="5" spans="1:7" ht="15" customHeight="1">
      <c r="A5" s="116"/>
      <c r="B5" s="117"/>
      <c r="C5" s="118"/>
      <c r="D5" s="117"/>
      <c r="E5" s="118"/>
      <c r="F5" s="117" t="s">
        <v>2364</v>
      </c>
      <c r="G5" s="118" t="s">
        <v>50</v>
      </c>
    </row>
    <row r="6" spans="1:7" ht="24" customHeight="1">
      <c r="A6" s="315"/>
      <c r="B6" s="348"/>
      <c r="C6" s="349"/>
      <c r="D6" s="348"/>
      <c r="E6" s="349"/>
      <c r="F6" s="123"/>
      <c r="G6" s="122"/>
    </row>
    <row r="7" spans="1:7" ht="38.25" customHeight="1" thickBot="1">
      <c r="A7" s="350" t="s">
        <v>735</v>
      </c>
      <c r="B7" s="184">
        <v>3431.58</v>
      </c>
      <c r="C7" s="185">
        <v>3507.75</v>
      </c>
      <c r="D7" s="184">
        <v>886.32</v>
      </c>
      <c r="E7" s="185">
        <v>2629.69</v>
      </c>
      <c r="F7" s="184">
        <v>46.970000000000255</v>
      </c>
      <c r="G7" s="352">
        <v>6.7521596518576227E-2</v>
      </c>
    </row>
    <row r="8" spans="1:7" ht="37.5" customHeight="1" thickBot="1">
      <c r="A8" s="350" t="s">
        <v>736</v>
      </c>
      <c r="B8" s="184">
        <v>2773.52</v>
      </c>
      <c r="C8" s="185">
        <v>2990.01</v>
      </c>
      <c r="D8" s="184">
        <v>682.88</v>
      </c>
      <c r="E8" s="185">
        <v>2763.07</v>
      </c>
      <c r="F8" s="184">
        <v>180.35</v>
      </c>
      <c r="G8" s="352">
        <v>5.1536544060282026E-2</v>
      </c>
    </row>
    <row r="9" spans="1:7" ht="37.5" customHeight="1" thickBot="1">
      <c r="A9" s="350" t="s">
        <v>737</v>
      </c>
      <c r="B9" s="184">
        <v>2340.56</v>
      </c>
      <c r="C9" s="185">
        <v>2468.9</v>
      </c>
      <c r="D9" s="184">
        <v>643.15</v>
      </c>
      <c r="E9" s="185">
        <v>2359.12</v>
      </c>
      <c r="F9" s="184">
        <v>-223.6</v>
      </c>
      <c r="G9" s="352">
        <v>7.8464717391701813E-2</v>
      </c>
    </row>
    <row r="10" spans="1:7" ht="37.5" customHeight="1" thickBot="1">
      <c r="A10" s="350" t="s">
        <v>738</v>
      </c>
      <c r="B10" s="184">
        <v>2388.2399999999998</v>
      </c>
      <c r="C10" s="185">
        <v>2554.4</v>
      </c>
      <c r="D10" s="184">
        <v>681.18</v>
      </c>
      <c r="E10" s="185">
        <v>2097.1999999999998</v>
      </c>
      <c r="F10" s="184">
        <v>-485.52</v>
      </c>
      <c r="G10" s="352">
        <v>1.3561189673004218E-2</v>
      </c>
    </row>
    <row r="11" spans="1:7" ht="36" customHeight="1" thickBot="1">
      <c r="A11" s="387" t="s">
        <v>1951</v>
      </c>
      <c r="B11" s="291">
        <v>2925.59</v>
      </c>
      <c r="C11" s="290">
        <v>3127.89</v>
      </c>
      <c r="D11" s="291">
        <v>827.15</v>
      </c>
      <c r="E11" s="290">
        <v>2582.7199999999998</v>
      </c>
      <c r="F11" s="291">
        <v>0</v>
      </c>
      <c r="G11" s="389">
        <v>4.1452950095164247E-2</v>
      </c>
    </row>
    <row r="12" spans="1:7" ht="19.5" customHeight="1">
      <c r="A12" s="136" t="s">
        <v>453</v>
      </c>
      <c r="B12" s="136"/>
      <c r="C12" s="136"/>
      <c r="D12" s="136"/>
      <c r="E12" s="136"/>
      <c r="F12" s="136"/>
      <c r="G12" s="136"/>
    </row>
    <row r="14" spans="1:7">
      <c r="A14" s="2" t="s">
        <v>1868</v>
      </c>
    </row>
    <row r="16" spans="1:7">
      <c r="A16" s="2" t="s">
        <v>1869</v>
      </c>
    </row>
    <row r="19" spans="1:1">
      <c r="A19" s="2" t="s">
        <v>1955</v>
      </c>
    </row>
  </sheetData>
  <mergeCells count="1">
    <mergeCell ref="A2:F2"/>
  </mergeCells>
  <phoneticPr fontId="0" type="noConversion"/>
  <pageMargins left="0.6" right="0.57999999999999996" top="0.94" bottom="0.49" header="0.54" footer="0.4921259845"/>
  <pageSetup paperSize="9" scale="85" orientation="portrait" horizontalDpi="4294967292" verticalDpi="4294967292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E94A-0248-A344-B222-6909B31586E7}">
  <sheetPr>
    <pageSetUpPr fitToPage="1"/>
  </sheetPr>
  <dimension ref="A1:K81"/>
  <sheetViews>
    <sheetView topLeftCell="A59" zoomScale="75" workbookViewId="0">
      <selection activeCell="H80" sqref="H80"/>
    </sheetView>
  </sheetViews>
  <sheetFormatPr baseColWidth="10" defaultColWidth="11.3984375" defaultRowHeight="13"/>
  <cols>
    <col min="1" max="1" width="21.59765625" style="2" customWidth="1"/>
    <col min="2" max="3" width="14.3984375" style="2" customWidth="1"/>
    <col min="4" max="6" width="13.19921875" style="2" customWidth="1"/>
    <col min="7" max="7" width="15.796875" style="2" customWidth="1"/>
    <col min="8" max="10" width="13.796875" style="2" customWidth="1"/>
    <col min="11" max="16384" width="11.3984375" style="2"/>
  </cols>
  <sheetData>
    <row r="1" spans="1:11" s="1" customFormat="1" ht="8.25" customHeight="1"/>
    <row r="2" spans="1:11" s="1" customFormat="1" ht="37.5" customHeight="1">
      <c r="A2" s="1695" t="s">
        <v>2203</v>
      </c>
      <c r="B2" s="1699"/>
      <c r="C2" s="1699"/>
      <c r="D2" s="1699"/>
      <c r="E2" s="1699"/>
      <c r="F2" s="112"/>
      <c r="G2" s="112">
        <v>2006</v>
      </c>
    </row>
    <row r="3" spans="1:11" ht="24" customHeight="1">
      <c r="A3" s="328" t="s">
        <v>2206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  <c r="G3" s="170" t="s">
        <v>45</v>
      </c>
    </row>
    <row r="4" spans="1:11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  <c r="G4" s="116" t="s">
        <v>46</v>
      </c>
    </row>
    <row r="5" spans="1:11" ht="15" customHeight="1">
      <c r="A5" s="248" t="s">
        <v>758</v>
      </c>
      <c r="B5" s="117" t="s">
        <v>749</v>
      </c>
      <c r="C5" s="118" t="s">
        <v>750</v>
      </c>
      <c r="D5" s="117" t="s">
        <v>751</v>
      </c>
      <c r="E5" s="180" t="s">
        <v>752</v>
      </c>
      <c r="F5" s="117"/>
      <c r="G5" s="116" t="s">
        <v>50</v>
      </c>
    </row>
    <row r="6" spans="1:11" ht="20.25" customHeight="1">
      <c r="A6" s="314"/>
      <c r="B6" s="123"/>
      <c r="C6" s="122"/>
      <c r="D6" s="123"/>
      <c r="E6" s="183" t="s">
        <v>753</v>
      </c>
      <c r="F6" s="123"/>
      <c r="G6" s="182"/>
    </row>
    <row r="7" spans="1:11" ht="20" customHeight="1" thickBot="1">
      <c r="A7" s="250">
        <v>1996</v>
      </c>
      <c r="B7" s="145">
        <v>1524.5463513417667</v>
      </c>
      <c r="C7" s="198">
        <v>1591.881526355354</v>
      </c>
      <c r="D7" s="145">
        <v>1359.088238474134</v>
      </c>
      <c r="E7" s="198">
        <v>1137.2770798904471</v>
      </c>
      <c r="F7" s="145">
        <v>1538.9405008830074</v>
      </c>
      <c r="G7" s="421" t="s">
        <v>1412</v>
      </c>
    </row>
    <row r="8" spans="1:11" ht="20" customHeight="1" thickBot="1">
      <c r="A8" s="251">
        <v>1997</v>
      </c>
      <c r="B8" s="147">
        <v>1596.7748981305942</v>
      </c>
      <c r="C8" s="204">
        <v>1820.0543916502945</v>
      </c>
      <c r="D8" s="147">
        <v>1429.0086986460665</v>
      </c>
      <c r="E8" s="204">
        <v>1270.8735771137619</v>
      </c>
      <c r="F8" s="147">
        <v>1663.893341996396</v>
      </c>
      <c r="G8" s="499">
        <v>8.1194068933590158E-2</v>
      </c>
      <c r="I8" s="9"/>
      <c r="J8" s="9"/>
      <c r="K8" s="9"/>
    </row>
    <row r="9" spans="1:11" ht="20" customHeight="1" thickBot="1">
      <c r="A9" s="251">
        <v>1998</v>
      </c>
      <c r="B9" s="147">
        <v>1665.5565653402912</v>
      </c>
      <c r="C9" s="204">
        <v>1937.4811057809607</v>
      </c>
      <c r="D9" s="147">
        <v>1448.2169878271459</v>
      </c>
      <c r="E9" s="204">
        <v>1463.0710596518434</v>
      </c>
      <c r="F9" s="147">
        <v>1753.6807220915252</v>
      </c>
      <c r="G9" s="499">
        <v>5.3962220912188608E-2</v>
      </c>
    </row>
    <row r="10" spans="1:11" ht="20" customHeight="1" thickBot="1">
      <c r="A10" s="251">
        <v>1999</v>
      </c>
      <c r="B10" s="147">
        <v>1698.1180433399416</v>
      </c>
      <c r="C10" s="204">
        <v>1985.9900541831798</v>
      </c>
      <c r="D10" s="147">
        <v>1493.6302697798037</v>
      </c>
      <c r="E10" s="204">
        <v>1527.6216147396292</v>
      </c>
      <c r="F10" s="147">
        <v>1792.6961372402147</v>
      </c>
      <c r="G10" s="499">
        <v>2.2247729964299134E-2</v>
      </c>
    </row>
    <row r="11" spans="1:11" ht="20" customHeight="1" thickBot="1">
      <c r="A11" s="251">
        <v>2000</v>
      </c>
      <c r="B11" s="147">
        <v>1758.0451704632812</v>
      </c>
      <c r="C11" s="204">
        <v>2038.1607144334851</v>
      </c>
      <c r="D11" s="147">
        <v>1535.3433088803986</v>
      </c>
      <c r="E11" s="204">
        <v>1583.2530710258736</v>
      </c>
      <c r="F11" s="147">
        <v>1850.1631679231971</v>
      </c>
      <c r="G11" s="499">
        <v>3.2056202659894506E-2</v>
      </c>
    </row>
    <row r="12" spans="1:11" ht="20" customHeight="1" thickBot="1">
      <c r="A12" s="251">
        <v>2001</v>
      </c>
      <c r="B12" s="147">
        <v>1842.9742230994177</v>
      </c>
      <c r="C12" s="204">
        <v>2074.3537866389079</v>
      </c>
      <c r="D12" s="147">
        <v>1595.1792853069078</v>
      </c>
      <c r="E12" s="204">
        <v>1658.0330212983067</v>
      </c>
      <c r="F12" s="147">
        <v>1917.1693080707569</v>
      </c>
      <c r="G12" s="499">
        <v>3.6216340974279504E-2</v>
      </c>
    </row>
    <row r="13" spans="1:11" ht="20" customHeight="1" thickBot="1">
      <c r="A13" s="251">
        <v>2002</v>
      </c>
      <c r="B13" s="147">
        <v>1999.3225217818947</v>
      </c>
      <c r="C13" s="204">
        <v>2236.6776923608968</v>
      </c>
      <c r="D13" s="147">
        <v>1807.8492038743398</v>
      </c>
      <c r="E13" s="204">
        <v>1938.8414423486433</v>
      </c>
      <c r="F13" s="147">
        <v>2090.6453445046668</v>
      </c>
      <c r="G13" s="499">
        <v>9.0485506785250136E-2</v>
      </c>
    </row>
    <row r="14" spans="1:11" ht="20" customHeight="1" thickBot="1">
      <c r="A14" s="251">
        <v>2003</v>
      </c>
      <c r="B14" s="147">
        <v>2216.0796496496105</v>
      </c>
      <c r="C14" s="204">
        <v>2426.9395460837259</v>
      </c>
      <c r="D14" s="147">
        <v>1977.301650220651</v>
      </c>
      <c r="E14" s="204">
        <v>1934.7726722030034</v>
      </c>
      <c r="F14" s="147">
        <v>2281.4625632725915</v>
      </c>
      <c r="G14" s="499">
        <v>9.1271921978299364E-2</v>
      </c>
    </row>
    <row r="15" spans="1:11" ht="20" customHeight="1" thickBot="1">
      <c r="A15" s="251">
        <v>2004</v>
      </c>
      <c r="B15" s="147">
        <v>2343.8682619528158</v>
      </c>
      <c r="C15" s="204">
        <v>2645.1462345444088</v>
      </c>
      <c r="D15" s="147">
        <v>2075.9841086714919</v>
      </c>
      <c r="E15" s="204">
        <v>2100.4541508082671</v>
      </c>
      <c r="F15" s="147">
        <v>2441.8690220833437</v>
      </c>
      <c r="G15" s="499">
        <v>7.0308608781491921E-2</v>
      </c>
    </row>
    <row r="16" spans="1:11" ht="20" customHeight="1" thickBot="1">
      <c r="A16" s="251">
        <v>2005</v>
      </c>
      <c r="B16" s="147">
        <v>2470.8502609985521</v>
      </c>
      <c r="C16" s="204">
        <v>2635.6398124159059</v>
      </c>
      <c r="D16" s="147">
        <v>2194.1314013904234</v>
      </c>
      <c r="E16" s="204">
        <v>2075.4315686877048</v>
      </c>
      <c r="F16" s="147">
        <v>2487.4606144678528</v>
      </c>
      <c r="G16" s="499">
        <v>1.8670777167897112E-2</v>
      </c>
    </row>
    <row r="17" spans="1:7" ht="20.25" customHeight="1" thickBot="1">
      <c r="A17" s="361">
        <v>2006</v>
      </c>
      <c r="B17" s="282">
        <v>2629.69</v>
      </c>
      <c r="C17" s="283">
        <v>2763.07</v>
      </c>
      <c r="D17" s="282">
        <v>2359.12</v>
      </c>
      <c r="E17" s="283">
        <v>2097.1999999999998</v>
      </c>
      <c r="F17" s="282">
        <v>2582.7199999999998</v>
      </c>
      <c r="G17" s="610">
        <v>3.8295836717208154E-2</v>
      </c>
    </row>
    <row r="18" spans="1:7" ht="20" customHeight="1">
      <c r="A18" s="136" t="s">
        <v>453</v>
      </c>
      <c r="B18" s="279"/>
      <c r="C18" s="279"/>
      <c r="D18" s="279"/>
      <c r="E18" s="279"/>
      <c r="F18" s="279"/>
      <c r="G18" s="414"/>
    </row>
    <row r="19" spans="1:7" ht="13.5" customHeight="1">
      <c r="A19" s="3"/>
      <c r="B19" s="281"/>
      <c r="C19" s="281"/>
      <c r="D19" s="281"/>
      <c r="E19" s="281"/>
      <c r="F19" s="281"/>
      <c r="G19" s="415"/>
    </row>
    <row r="20" spans="1:7">
      <c r="A20" s="2" t="s">
        <v>2204</v>
      </c>
      <c r="G20" s="415"/>
    </row>
    <row r="21" spans="1:7">
      <c r="G21" s="415"/>
    </row>
    <row r="22" spans="1:7">
      <c r="G22" s="415"/>
    </row>
    <row r="23" spans="1:7" ht="16">
      <c r="A23" s="843" t="s">
        <v>2205</v>
      </c>
      <c r="G23" s="415"/>
    </row>
    <row r="24" spans="1:7">
      <c r="G24" s="415"/>
    </row>
    <row r="25" spans="1:7" ht="19.5" customHeight="1">
      <c r="A25" s="328" t="s">
        <v>42</v>
      </c>
      <c r="B25" s="114" t="s">
        <v>741</v>
      </c>
      <c r="C25" s="115" t="s">
        <v>742</v>
      </c>
      <c r="D25" s="114" t="s">
        <v>743</v>
      </c>
      <c r="E25" s="115" t="s">
        <v>744</v>
      </c>
      <c r="F25" s="114" t="s">
        <v>1951</v>
      </c>
      <c r="G25" s="394" t="s">
        <v>45</v>
      </c>
    </row>
    <row r="26" spans="1:7" ht="19.5" customHeight="1">
      <c r="A26" s="847" t="s">
        <v>47</v>
      </c>
      <c r="B26" s="117" t="s">
        <v>745</v>
      </c>
      <c r="C26" s="118" t="s">
        <v>746</v>
      </c>
      <c r="D26" s="117" t="s">
        <v>747</v>
      </c>
      <c r="E26" s="180" t="s">
        <v>748</v>
      </c>
      <c r="F26" s="117"/>
      <c r="G26" s="494" t="s">
        <v>46</v>
      </c>
    </row>
    <row r="27" spans="1:7" ht="19.5" customHeight="1">
      <c r="A27" s="248"/>
      <c r="B27" s="117" t="s">
        <v>749</v>
      </c>
      <c r="C27" s="118" t="s">
        <v>750</v>
      </c>
      <c r="D27" s="117" t="s">
        <v>751</v>
      </c>
      <c r="E27" s="180" t="s">
        <v>752</v>
      </c>
      <c r="F27" s="117"/>
      <c r="G27" s="494" t="s">
        <v>50</v>
      </c>
    </row>
    <row r="28" spans="1:7" ht="19.5" customHeight="1">
      <c r="A28" s="249" t="s">
        <v>758</v>
      </c>
      <c r="B28" s="123"/>
      <c r="C28" s="122"/>
      <c r="D28" s="123"/>
      <c r="E28" s="183" t="s">
        <v>753</v>
      </c>
      <c r="F28" s="123"/>
      <c r="G28" s="395"/>
    </row>
    <row r="29" spans="1:7" ht="19.5" customHeight="1" thickBot="1">
      <c r="A29" s="250">
        <v>1996</v>
      </c>
      <c r="B29" s="145" t="s">
        <v>1412</v>
      </c>
      <c r="C29" s="198" t="s">
        <v>1412</v>
      </c>
      <c r="D29" s="145" t="s">
        <v>1412</v>
      </c>
      <c r="E29" s="198" t="s">
        <v>1412</v>
      </c>
      <c r="F29" s="145" t="s">
        <v>1412</v>
      </c>
      <c r="G29" s="421" t="s">
        <v>1412</v>
      </c>
    </row>
    <row r="30" spans="1:7" ht="19.5" customHeight="1" thickBot="1">
      <c r="A30" s="251">
        <v>1997</v>
      </c>
      <c r="B30" s="145">
        <v>580.09</v>
      </c>
      <c r="C30" s="198">
        <v>550.25</v>
      </c>
      <c r="D30" s="145">
        <v>481.77</v>
      </c>
      <c r="E30" s="198">
        <v>467.21</v>
      </c>
      <c r="F30" s="145">
        <v>571.27</v>
      </c>
      <c r="G30" s="499" t="s">
        <v>1412</v>
      </c>
    </row>
    <row r="31" spans="1:7" ht="19.5" customHeight="1" thickBot="1">
      <c r="A31" s="251">
        <v>1998</v>
      </c>
      <c r="B31" s="147">
        <v>596.35</v>
      </c>
      <c r="C31" s="204">
        <v>598.24</v>
      </c>
      <c r="D31" s="147">
        <v>486.78</v>
      </c>
      <c r="E31" s="204">
        <v>475.12</v>
      </c>
      <c r="F31" s="147">
        <v>588.77</v>
      </c>
      <c r="G31" s="499">
        <v>3.0633500796471091E-2</v>
      </c>
    </row>
    <row r="32" spans="1:7" ht="19.5" customHeight="1" thickBot="1">
      <c r="A32" s="251">
        <v>1999</v>
      </c>
      <c r="B32" s="147">
        <v>613.13</v>
      </c>
      <c r="C32" s="204">
        <v>598.32000000000005</v>
      </c>
      <c r="D32" s="147">
        <v>530.1</v>
      </c>
      <c r="E32" s="204">
        <v>498.95</v>
      </c>
      <c r="F32" s="147">
        <v>603.19000000000005</v>
      </c>
      <c r="G32" s="499">
        <v>2.4491737011057113E-2</v>
      </c>
    </row>
    <row r="33" spans="1:7" ht="19.5" customHeight="1" thickBot="1">
      <c r="A33" s="251">
        <v>2000</v>
      </c>
      <c r="B33" s="147">
        <v>634.51</v>
      </c>
      <c r="C33" s="204">
        <v>602.96</v>
      </c>
      <c r="D33" s="147">
        <v>556.69000000000005</v>
      </c>
      <c r="E33" s="204">
        <v>513.95000000000005</v>
      </c>
      <c r="F33" s="147">
        <v>621.73</v>
      </c>
      <c r="G33" s="499">
        <v>3.073658382930744E-2</v>
      </c>
    </row>
    <row r="34" spans="1:7" ht="19.5" customHeight="1" thickBot="1">
      <c r="A34" s="251">
        <v>2001</v>
      </c>
      <c r="B34" s="147">
        <v>669.16</v>
      </c>
      <c r="C34" s="204">
        <v>610.58000000000004</v>
      </c>
      <c r="D34" s="147">
        <v>579.95000000000005</v>
      </c>
      <c r="E34" s="204">
        <v>545.02</v>
      </c>
      <c r="F34" s="147">
        <v>652.66999999999996</v>
      </c>
      <c r="G34" s="499">
        <v>4.9764367169028212E-2</v>
      </c>
    </row>
    <row r="35" spans="1:7" ht="19.5" customHeight="1" thickBot="1">
      <c r="A35" s="251">
        <v>2002</v>
      </c>
      <c r="B35" s="147">
        <v>733.02</v>
      </c>
      <c r="C35" s="204">
        <v>642.46</v>
      </c>
      <c r="D35" s="147">
        <v>644.12</v>
      </c>
      <c r="E35" s="204">
        <v>599.79999999999995</v>
      </c>
      <c r="F35" s="147">
        <v>712.31</v>
      </c>
      <c r="G35" s="499">
        <v>9.1378491427520858E-2</v>
      </c>
    </row>
    <row r="36" spans="1:7" ht="19.5" customHeight="1" thickBot="1">
      <c r="A36" s="251">
        <v>2003</v>
      </c>
      <c r="B36" s="147">
        <v>802.85</v>
      </c>
      <c r="C36" s="204">
        <v>678.78</v>
      </c>
      <c r="D36" s="147">
        <v>685.16</v>
      </c>
      <c r="E36" s="204">
        <v>639.15</v>
      </c>
      <c r="F36" s="147">
        <v>775.13</v>
      </c>
      <c r="G36" s="499">
        <v>8.8191938903005695E-2</v>
      </c>
    </row>
    <row r="37" spans="1:7" ht="19.5" customHeight="1" thickBot="1">
      <c r="A37" s="251">
        <v>2004</v>
      </c>
      <c r="B37" s="147">
        <v>842.54</v>
      </c>
      <c r="C37" s="204">
        <v>700.46</v>
      </c>
      <c r="D37" s="147">
        <v>714.47</v>
      </c>
      <c r="E37" s="204">
        <v>676.24</v>
      </c>
      <c r="F37" s="147">
        <v>811.85</v>
      </c>
      <c r="G37" s="499">
        <v>4.7372698773109123E-2</v>
      </c>
    </row>
    <row r="38" spans="1:7" ht="19.5" customHeight="1" thickBot="1">
      <c r="A38" s="251">
        <v>2005</v>
      </c>
      <c r="B38" s="147">
        <v>845.51</v>
      </c>
      <c r="C38" s="204">
        <v>667.58</v>
      </c>
      <c r="D38" s="147">
        <v>678.63</v>
      </c>
      <c r="E38" s="204">
        <v>696.17</v>
      </c>
      <c r="F38" s="147">
        <v>810.41</v>
      </c>
      <c r="G38" s="499">
        <v>-1.773726673646725E-3</v>
      </c>
    </row>
    <row r="39" spans="1:7" ht="19.5" customHeight="1" thickBot="1">
      <c r="A39" s="848">
        <v>2006</v>
      </c>
      <c r="B39" s="277">
        <v>877.42</v>
      </c>
      <c r="C39" s="645">
        <v>668.2</v>
      </c>
      <c r="D39" s="277">
        <v>628.72</v>
      </c>
      <c r="E39" s="645">
        <v>703.88</v>
      </c>
      <c r="F39" s="277">
        <v>831.45</v>
      </c>
      <c r="G39" s="610">
        <v>2.5962167298034355E-2</v>
      </c>
    </row>
    <row r="40" spans="1:7">
      <c r="A40" s="136"/>
      <c r="G40" s="415"/>
    </row>
    <row r="41" spans="1:7">
      <c r="G41" s="415"/>
    </row>
    <row r="42" spans="1:7" ht="18" customHeight="1">
      <c r="A42" s="328" t="s">
        <v>1380</v>
      </c>
      <c r="B42" s="114" t="s">
        <v>741</v>
      </c>
      <c r="C42" s="115" t="s">
        <v>742</v>
      </c>
      <c r="D42" s="114" t="s">
        <v>743</v>
      </c>
      <c r="E42" s="115" t="s">
        <v>744</v>
      </c>
      <c r="F42" s="114" t="s">
        <v>1951</v>
      </c>
      <c r="G42" s="394" t="s">
        <v>45</v>
      </c>
    </row>
    <row r="43" spans="1:7" ht="18" customHeight="1">
      <c r="A43" s="847" t="s">
        <v>48</v>
      </c>
      <c r="B43" s="117" t="s">
        <v>745</v>
      </c>
      <c r="C43" s="118" t="s">
        <v>746</v>
      </c>
      <c r="D43" s="117" t="s">
        <v>747</v>
      </c>
      <c r="E43" s="180" t="s">
        <v>748</v>
      </c>
      <c r="F43" s="117"/>
      <c r="G43" s="494" t="s">
        <v>46</v>
      </c>
    </row>
    <row r="44" spans="1:7" ht="18" customHeight="1">
      <c r="A44" s="248"/>
      <c r="B44" s="117" t="s">
        <v>749</v>
      </c>
      <c r="C44" s="118" t="s">
        <v>750</v>
      </c>
      <c r="D44" s="117" t="s">
        <v>751</v>
      </c>
      <c r="E44" s="180" t="s">
        <v>752</v>
      </c>
      <c r="F44" s="117"/>
      <c r="G44" s="494" t="s">
        <v>50</v>
      </c>
    </row>
    <row r="45" spans="1:7" ht="18" customHeight="1">
      <c r="A45" s="249" t="s">
        <v>758</v>
      </c>
      <c r="B45" s="123"/>
      <c r="C45" s="122"/>
      <c r="D45" s="123"/>
      <c r="E45" s="183" t="s">
        <v>753</v>
      </c>
      <c r="F45" s="123"/>
      <c r="G45" s="395"/>
    </row>
    <row r="46" spans="1:7" ht="18" customHeight="1" thickBot="1">
      <c r="A46" s="250">
        <v>1996</v>
      </c>
      <c r="B46" s="145" t="s">
        <v>1412</v>
      </c>
      <c r="C46" s="198" t="s">
        <v>1412</v>
      </c>
      <c r="D46" s="145" t="s">
        <v>1412</v>
      </c>
      <c r="E46" s="198" t="s">
        <v>1412</v>
      </c>
      <c r="F46" s="145" t="s">
        <v>1412</v>
      </c>
      <c r="G46" s="421" t="s">
        <v>1412</v>
      </c>
    </row>
    <row r="47" spans="1:7" ht="18" customHeight="1" thickBot="1">
      <c r="A47" s="251">
        <v>1997</v>
      </c>
      <c r="B47" s="145">
        <v>1482.21</v>
      </c>
      <c r="C47" s="198">
        <v>1451.36</v>
      </c>
      <c r="D47" s="145">
        <v>1026.33</v>
      </c>
      <c r="E47" s="198">
        <v>1192.1400000000001</v>
      </c>
      <c r="F47" s="145">
        <v>1459.12</v>
      </c>
      <c r="G47" s="499" t="s">
        <v>1412</v>
      </c>
    </row>
    <row r="48" spans="1:7" ht="18" customHeight="1" thickBot="1">
      <c r="A48" s="251">
        <v>1998</v>
      </c>
      <c r="B48" s="147">
        <v>1603.6</v>
      </c>
      <c r="C48" s="204">
        <v>1550.75</v>
      </c>
      <c r="D48" s="147">
        <v>1128.4000000000001</v>
      </c>
      <c r="E48" s="204">
        <v>1346.71</v>
      </c>
      <c r="F48" s="147">
        <v>1563.95</v>
      </c>
      <c r="G48" s="499">
        <v>7.1844673501836764E-2</v>
      </c>
    </row>
    <row r="49" spans="1:7" ht="18" customHeight="1" thickBot="1">
      <c r="A49" s="251">
        <v>1999</v>
      </c>
      <c r="B49" s="147">
        <v>1573.73</v>
      </c>
      <c r="C49" s="204">
        <v>1627.32</v>
      </c>
      <c r="D49" s="147">
        <v>1190.3499999999999</v>
      </c>
      <c r="E49" s="204">
        <v>1353.56</v>
      </c>
      <c r="F49" s="147">
        <v>1581.32</v>
      </c>
      <c r="G49" s="499">
        <v>1.1106493174334098E-2</v>
      </c>
    </row>
    <row r="50" spans="1:7" ht="18" customHeight="1" thickBot="1">
      <c r="A50" s="251">
        <v>2000</v>
      </c>
      <c r="B50" s="147">
        <v>1562.73</v>
      </c>
      <c r="C50" s="204">
        <v>1613.39</v>
      </c>
      <c r="D50" s="147">
        <v>1195.6199999999999</v>
      </c>
      <c r="E50" s="204">
        <v>1337.81</v>
      </c>
      <c r="F50" s="147">
        <v>1566.95</v>
      </c>
      <c r="G50" s="499">
        <v>-9.0873447499556503E-3</v>
      </c>
    </row>
    <row r="51" spans="1:7" ht="18" customHeight="1" thickBot="1">
      <c r="A51" s="251">
        <v>2001</v>
      </c>
      <c r="B51" s="147">
        <v>1634.37</v>
      </c>
      <c r="C51" s="204">
        <v>1563.11</v>
      </c>
      <c r="D51" s="147">
        <v>1089.92</v>
      </c>
      <c r="E51" s="204">
        <v>1329.03</v>
      </c>
      <c r="F51" s="147">
        <v>1580.79</v>
      </c>
      <c r="G51" s="499">
        <v>8.8324451960815065E-3</v>
      </c>
    </row>
    <row r="52" spans="1:7" ht="18" customHeight="1" thickBot="1">
      <c r="A52" s="251">
        <v>2002</v>
      </c>
      <c r="B52" s="147">
        <v>1877.87</v>
      </c>
      <c r="C52" s="204">
        <v>1730.62</v>
      </c>
      <c r="D52" s="147">
        <v>1097.75</v>
      </c>
      <c r="E52" s="204">
        <v>1513.19</v>
      </c>
      <c r="F52" s="147">
        <v>1782.56</v>
      </c>
      <c r="G52" s="499">
        <v>0.12763871228942492</v>
      </c>
    </row>
    <row r="53" spans="1:7" ht="18" customHeight="1" thickBot="1">
      <c r="A53" s="251">
        <v>2003</v>
      </c>
      <c r="B53" s="147">
        <v>2190.81</v>
      </c>
      <c r="C53" s="204">
        <v>1928.08</v>
      </c>
      <c r="D53" s="147" t="s">
        <v>1412</v>
      </c>
      <c r="E53" s="204">
        <v>1700.21</v>
      </c>
      <c r="F53" s="147">
        <v>2027.01</v>
      </c>
      <c r="G53" s="499">
        <v>0.13713423391077995</v>
      </c>
    </row>
    <row r="54" spans="1:7" ht="18" customHeight="1" thickBot="1">
      <c r="A54" s="251">
        <v>2004</v>
      </c>
      <c r="B54" s="147">
        <v>2378.7399999999998</v>
      </c>
      <c r="C54" s="204">
        <v>2151.4699999999998</v>
      </c>
      <c r="D54" s="147" t="s">
        <v>1412</v>
      </c>
      <c r="E54" s="204">
        <v>1884.42</v>
      </c>
      <c r="F54" s="147">
        <v>2229.4699999999998</v>
      </c>
      <c r="G54" s="499">
        <v>9.9881105667954273E-2</v>
      </c>
    </row>
    <row r="55" spans="1:7" ht="18" customHeight="1" thickBot="1">
      <c r="A55" s="251">
        <v>2005</v>
      </c>
      <c r="B55" s="147">
        <v>2507.23</v>
      </c>
      <c r="C55" s="204">
        <v>2168.7399999999998</v>
      </c>
      <c r="D55" s="147">
        <v>1851.68</v>
      </c>
      <c r="E55" s="204">
        <v>1944.77</v>
      </c>
      <c r="F55" s="147">
        <v>2295.98</v>
      </c>
      <c r="G55" s="499">
        <v>2.9832202272288999E-2</v>
      </c>
    </row>
    <row r="56" spans="1:7" ht="18" customHeight="1" thickBot="1">
      <c r="A56" s="848">
        <v>2006</v>
      </c>
      <c r="B56" s="277">
        <v>2691.66</v>
      </c>
      <c r="C56" s="645">
        <v>2245.9699999999998</v>
      </c>
      <c r="D56" s="277">
        <v>2055.88</v>
      </c>
      <c r="E56" s="645">
        <v>1999.33</v>
      </c>
      <c r="F56" s="277">
        <v>2397.42</v>
      </c>
      <c r="G56" s="610">
        <v>4.4181569525866937E-2</v>
      </c>
    </row>
    <row r="57" spans="1:7">
      <c r="D57" s="4"/>
      <c r="E57" s="4"/>
      <c r="F57" s="4"/>
      <c r="G57" s="415"/>
    </row>
    <row r="58" spans="1:7">
      <c r="D58" s="4"/>
      <c r="E58" s="4"/>
      <c r="F58" s="4"/>
      <c r="G58" s="415"/>
    </row>
    <row r="59" spans="1:7" ht="17.25" customHeight="1">
      <c r="A59" s="328" t="s">
        <v>2350</v>
      </c>
      <c r="B59" s="114" t="s">
        <v>741</v>
      </c>
      <c r="C59" s="115" t="s">
        <v>742</v>
      </c>
      <c r="D59" s="114" t="s">
        <v>743</v>
      </c>
      <c r="E59" s="115" t="s">
        <v>744</v>
      </c>
      <c r="F59" s="114" t="s">
        <v>1951</v>
      </c>
      <c r="G59" s="394" t="s">
        <v>45</v>
      </c>
    </row>
    <row r="60" spans="1:7" ht="17.25" customHeight="1">
      <c r="A60" s="847" t="s">
        <v>2351</v>
      </c>
      <c r="B60" s="117" t="s">
        <v>745</v>
      </c>
      <c r="C60" s="118" t="s">
        <v>746</v>
      </c>
      <c r="D60" s="117" t="s">
        <v>747</v>
      </c>
      <c r="E60" s="180" t="s">
        <v>748</v>
      </c>
      <c r="F60" s="117"/>
      <c r="G60" s="494" t="s">
        <v>46</v>
      </c>
    </row>
    <row r="61" spans="1:7" ht="17.25" customHeight="1">
      <c r="A61" s="248"/>
      <c r="B61" s="117" t="s">
        <v>749</v>
      </c>
      <c r="C61" s="118" t="s">
        <v>750</v>
      </c>
      <c r="D61" s="117" t="s">
        <v>751</v>
      </c>
      <c r="E61" s="180" t="s">
        <v>752</v>
      </c>
      <c r="F61" s="117"/>
      <c r="G61" s="494" t="s">
        <v>50</v>
      </c>
    </row>
    <row r="62" spans="1:7" ht="17.25" customHeight="1">
      <c r="A62" s="249" t="s">
        <v>758</v>
      </c>
      <c r="B62" s="123"/>
      <c r="C62" s="122"/>
      <c r="D62" s="123"/>
      <c r="E62" s="183" t="s">
        <v>753</v>
      </c>
      <c r="F62" s="123"/>
      <c r="G62" s="395"/>
    </row>
    <row r="63" spans="1:7" ht="18" customHeight="1" thickBot="1">
      <c r="A63" s="250">
        <v>1996</v>
      </c>
      <c r="B63" s="145" t="s">
        <v>1412</v>
      </c>
      <c r="C63" s="198" t="s">
        <v>1412</v>
      </c>
      <c r="D63" s="145" t="s">
        <v>1412</v>
      </c>
      <c r="E63" s="198" t="s">
        <v>1412</v>
      </c>
      <c r="F63" s="145" t="s">
        <v>1412</v>
      </c>
      <c r="G63" s="421" t="s">
        <v>1412</v>
      </c>
    </row>
    <row r="64" spans="1:7" ht="18" customHeight="1" thickBot="1">
      <c r="A64" s="251">
        <v>1997</v>
      </c>
      <c r="B64" s="145">
        <v>2126.5300000000002</v>
      </c>
      <c r="C64" s="198">
        <v>1958.46</v>
      </c>
      <c r="D64" s="145">
        <v>1504.55</v>
      </c>
      <c r="E64" s="198">
        <v>1682.8</v>
      </c>
      <c r="F64" s="145">
        <v>2024.73</v>
      </c>
      <c r="G64" s="499" t="s">
        <v>1412</v>
      </c>
    </row>
    <row r="65" spans="1:7" ht="18" customHeight="1" thickBot="1">
      <c r="A65" s="251">
        <v>1998</v>
      </c>
      <c r="B65" s="147">
        <v>2235.63</v>
      </c>
      <c r="C65" s="204">
        <v>2101.02</v>
      </c>
      <c r="D65" s="147">
        <v>1540.56</v>
      </c>
      <c r="E65" s="204">
        <v>1785.82</v>
      </c>
      <c r="F65" s="147">
        <v>2142.38</v>
      </c>
      <c r="G65" s="499">
        <v>5.8106512967161184E-2</v>
      </c>
    </row>
    <row r="66" spans="1:7" ht="18" customHeight="1" thickBot="1">
      <c r="A66" s="251">
        <v>1999</v>
      </c>
      <c r="B66" s="147">
        <v>2291.9499999999998</v>
      </c>
      <c r="C66" s="204">
        <v>2146.02</v>
      </c>
      <c r="D66" s="147">
        <v>1573.36</v>
      </c>
      <c r="E66" s="204">
        <v>1836.75</v>
      </c>
      <c r="F66" s="147">
        <v>2190.21</v>
      </c>
      <c r="G66" s="499">
        <v>2.2325637842026014E-2</v>
      </c>
    </row>
    <row r="67" spans="1:7" ht="18" customHeight="1" thickBot="1">
      <c r="A67" s="251">
        <v>2000</v>
      </c>
      <c r="B67" s="147">
        <v>2391.3000000000002</v>
      </c>
      <c r="C67" s="204">
        <v>2189.4499999999998</v>
      </c>
      <c r="D67" s="147">
        <v>1603.82</v>
      </c>
      <c r="E67" s="204">
        <v>1892.01</v>
      </c>
      <c r="F67" s="147">
        <v>2256.67</v>
      </c>
      <c r="G67" s="499">
        <v>3.0344122253117334E-2</v>
      </c>
    </row>
    <row r="68" spans="1:7" ht="18" customHeight="1" thickBot="1">
      <c r="A68" s="251">
        <v>2001</v>
      </c>
      <c r="B68" s="147">
        <v>2526.09</v>
      </c>
      <c r="C68" s="204">
        <v>2257.6</v>
      </c>
      <c r="D68" s="147">
        <v>1672.86</v>
      </c>
      <c r="E68" s="204">
        <v>1970.97</v>
      </c>
      <c r="F68" s="147">
        <v>2352.56</v>
      </c>
      <c r="G68" s="499">
        <v>4.2491813158326064E-2</v>
      </c>
    </row>
    <row r="69" spans="1:7" ht="18" customHeight="1" thickBot="1">
      <c r="A69" s="251">
        <v>2002</v>
      </c>
      <c r="B69" s="147">
        <v>2766.22</v>
      </c>
      <c r="C69" s="204">
        <v>2437.5300000000002</v>
      </c>
      <c r="D69" s="147">
        <v>1880.68</v>
      </c>
      <c r="E69" s="204">
        <v>2141.06</v>
      </c>
      <c r="F69" s="147">
        <v>2553.98</v>
      </c>
      <c r="G69" s="499">
        <v>8.5617370013942207E-2</v>
      </c>
    </row>
    <row r="70" spans="1:7" ht="18" customHeight="1" thickBot="1">
      <c r="A70" s="251">
        <v>2003</v>
      </c>
      <c r="B70" s="147">
        <v>3047.08</v>
      </c>
      <c r="C70" s="204">
        <v>2613.56</v>
      </c>
      <c r="D70" s="147">
        <v>2034.73</v>
      </c>
      <c r="E70" s="204">
        <v>2312.13</v>
      </c>
      <c r="F70" s="147">
        <v>2767.57</v>
      </c>
      <c r="G70" s="499">
        <v>8.3630255522752828E-2</v>
      </c>
    </row>
    <row r="71" spans="1:7" ht="18" customHeight="1" thickBot="1">
      <c r="A71" s="251">
        <v>2004</v>
      </c>
      <c r="B71" s="147">
        <v>3173.07</v>
      </c>
      <c r="C71" s="204">
        <v>2831.45</v>
      </c>
      <c r="D71" s="147">
        <v>2136.08</v>
      </c>
      <c r="E71" s="204">
        <v>2495.14</v>
      </c>
      <c r="F71" s="147">
        <v>2944.97</v>
      </c>
      <c r="G71" s="499">
        <v>6.4099553037502144E-2</v>
      </c>
    </row>
    <row r="72" spans="1:7" ht="18" customHeight="1" thickBot="1">
      <c r="A72" s="251">
        <v>2005</v>
      </c>
      <c r="B72" s="147">
        <v>3301.13</v>
      </c>
      <c r="C72" s="204">
        <v>2823.32</v>
      </c>
      <c r="D72" s="147">
        <v>2250.2800000000002</v>
      </c>
      <c r="E72" s="204">
        <v>2555.81</v>
      </c>
      <c r="F72" s="147">
        <v>3001.01</v>
      </c>
      <c r="G72" s="499">
        <v>1.9029056323154547E-2</v>
      </c>
    </row>
    <row r="73" spans="1:7" ht="18" customHeight="1" thickBot="1">
      <c r="A73" s="848">
        <v>2006</v>
      </c>
      <c r="B73" s="277">
        <v>3486.08</v>
      </c>
      <c r="C73" s="645">
        <v>2931.77</v>
      </c>
      <c r="D73" s="277">
        <v>2407.8200000000002</v>
      </c>
      <c r="E73" s="645">
        <v>2641.79</v>
      </c>
      <c r="F73" s="277">
        <v>3120.11</v>
      </c>
      <c r="G73" s="610">
        <v>3.9686638831593291E-2</v>
      </c>
    </row>
    <row r="74" spans="1:7" ht="15" customHeight="1">
      <c r="A74" s="660" t="s">
        <v>1245</v>
      </c>
    </row>
    <row r="76" spans="1:7">
      <c r="A76" s="3" t="s">
        <v>2352</v>
      </c>
    </row>
    <row r="78" spans="1:7" ht="12" customHeight="1">
      <c r="A78" s="2" t="s">
        <v>2374</v>
      </c>
      <c r="B78" s="151"/>
      <c r="F78" s="151"/>
      <c r="G78" s="193"/>
    </row>
    <row r="81" spans="1:1">
      <c r="A81" s="2" t="s">
        <v>1955</v>
      </c>
    </row>
  </sheetData>
  <mergeCells count="1">
    <mergeCell ref="A2:E2"/>
  </mergeCells>
  <phoneticPr fontId="0" type="noConversion"/>
  <pageMargins left="0.47244094488188981" right="0.43307086614173229" top="0.43" bottom="0.37" header="0.31" footer="0.28000000000000003"/>
  <pageSetup paperSize="9" scale="56" orientation="portrait" horizontalDpi="1200" verticalDpi="12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F4C8-286B-D340-9920-DDDF34A6A32F}">
  <sheetPr>
    <pageSetUpPr fitToPage="1"/>
  </sheetPr>
  <dimension ref="A1:B16"/>
  <sheetViews>
    <sheetView workbookViewId="0">
      <selection activeCell="A14" sqref="A14"/>
    </sheetView>
  </sheetViews>
  <sheetFormatPr baseColWidth="10" defaultColWidth="11.3984375" defaultRowHeight="13"/>
  <cols>
    <col min="1" max="1" width="5.59765625" style="260" customWidth="1"/>
    <col min="2" max="16384" width="11.3984375" style="260"/>
  </cols>
  <sheetData>
    <row r="1" spans="1:2" ht="16">
      <c r="A1" s="259" t="s">
        <v>861</v>
      </c>
    </row>
    <row r="2" spans="1:2" ht="16">
      <c r="A2" s="259"/>
    </row>
    <row r="3" spans="1:2">
      <c r="A3" s="260">
        <v>4.01</v>
      </c>
      <c r="B3" s="261" t="s">
        <v>862</v>
      </c>
    </row>
    <row r="4" spans="1:2">
      <c r="A4" s="260">
        <v>4.0199999999999996</v>
      </c>
      <c r="B4" s="261" t="s">
        <v>863</v>
      </c>
    </row>
    <row r="5" spans="1:2">
      <c r="A5" s="260">
        <v>4.03</v>
      </c>
      <c r="B5" s="261" t="s">
        <v>864</v>
      </c>
    </row>
    <row r="6" spans="1:2">
      <c r="A6" s="260">
        <v>4.04</v>
      </c>
      <c r="B6" s="261" t="s">
        <v>865</v>
      </c>
    </row>
    <row r="7" spans="1:2">
      <c r="A7" s="260">
        <v>4.05</v>
      </c>
      <c r="B7" s="261" t="s">
        <v>866</v>
      </c>
    </row>
    <row r="8" spans="1:2">
      <c r="A8" s="260">
        <v>4.0599999999999996</v>
      </c>
      <c r="B8" s="261" t="s">
        <v>867</v>
      </c>
    </row>
    <row r="9" spans="1:2">
      <c r="A9" s="260">
        <v>4.07</v>
      </c>
      <c r="B9" s="261" t="s">
        <v>868</v>
      </c>
    </row>
    <row r="10" spans="1:2">
      <c r="A10" s="260">
        <v>4.08</v>
      </c>
      <c r="B10" s="261" t="s">
        <v>869</v>
      </c>
    </row>
    <row r="11" spans="1:2">
      <c r="A11" s="260">
        <v>4.09</v>
      </c>
      <c r="B11" s="261" t="s">
        <v>870</v>
      </c>
    </row>
    <row r="12" spans="1:2">
      <c r="A12" s="262">
        <v>4.0999999999999996</v>
      </c>
      <c r="B12" s="261" t="s">
        <v>871</v>
      </c>
    </row>
    <row r="13" spans="1:2">
      <c r="A13" s="260">
        <v>4.1100000000000003</v>
      </c>
      <c r="B13" s="263" t="s">
        <v>872</v>
      </c>
    </row>
    <row r="16" spans="1:2">
      <c r="A16" s="264" t="s">
        <v>1955</v>
      </c>
    </row>
  </sheetData>
  <phoneticPr fontId="30" type="noConversion"/>
  <pageMargins left="0.46" right="0.35" top="0.78" bottom="0.984251969" header="0.38" footer="0.4921259845"/>
  <pageSetup paperSize="9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7A57-568F-E34A-9FC1-5B0413948141}">
  <sheetPr>
    <pageSetUpPr fitToPage="1"/>
  </sheetPr>
  <dimension ref="A1:H38"/>
  <sheetViews>
    <sheetView zoomScale="75" workbookViewId="0">
      <selection activeCell="A19" sqref="A19"/>
    </sheetView>
  </sheetViews>
  <sheetFormatPr baseColWidth="10" defaultColWidth="11.3984375" defaultRowHeight="13"/>
  <cols>
    <col min="1" max="1" width="16.796875" style="2" customWidth="1"/>
    <col min="2" max="2" width="12.796875" style="2" customWidth="1"/>
    <col min="3" max="3" width="11.3984375" style="2"/>
    <col min="4" max="4" width="11.796875" style="2" customWidth="1"/>
    <col min="5" max="5" width="12.796875" style="2" customWidth="1"/>
    <col min="6" max="6" width="11.3984375" style="2"/>
    <col min="7" max="7" width="12.796875" style="2" customWidth="1"/>
    <col min="8" max="8" width="13.19921875" style="2" customWidth="1"/>
    <col min="9" max="16384" width="11.3984375" style="2"/>
  </cols>
  <sheetData>
    <row r="1" spans="1:8" s="1" customFormat="1" ht="14" customHeight="1"/>
    <row r="2" spans="1:8" s="1" customFormat="1" ht="37.5" customHeight="1">
      <c r="A2" s="1695" t="s">
        <v>1548</v>
      </c>
      <c r="B2" s="1699"/>
      <c r="C2" s="1699"/>
      <c r="D2" s="1699"/>
      <c r="E2" s="1699"/>
      <c r="F2" s="1699"/>
      <c r="G2" s="1699"/>
      <c r="H2" s="265">
        <v>2006</v>
      </c>
    </row>
    <row r="3" spans="1:8" ht="24" customHeight="1">
      <c r="A3" s="113" t="s">
        <v>1226</v>
      </c>
      <c r="B3" s="114" t="s">
        <v>1549</v>
      </c>
      <c r="C3" s="115" t="s">
        <v>45</v>
      </c>
      <c r="D3" s="114" t="s">
        <v>1550</v>
      </c>
      <c r="E3" s="115" t="s">
        <v>1551</v>
      </c>
      <c r="F3" s="114" t="s">
        <v>45</v>
      </c>
      <c r="G3" s="115" t="s">
        <v>1552</v>
      </c>
      <c r="H3" s="114" t="s">
        <v>1552</v>
      </c>
    </row>
    <row r="4" spans="1:8" ht="15" customHeight="1">
      <c r="A4" s="248"/>
      <c r="B4" s="117" t="s">
        <v>1550</v>
      </c>
      <c r="C4" s="118" t="s">
        <v>46</v>
      </c>
      <c r="D4" s="117" t="s">
        <v>1553</v>
      </c>
      <c r="E4" s="118" t="s">
        <v>1554</v>
      </c>
      <c r="F4" s="117" t="s">
        <v>46</v>
      </c>
      <c r="G4" s="118" t="s">
        <v>256</v>
      </c>
      <c r="H4" s="117" t="s">
        <v>257</v>
      </c>
    </row>
    <row r="5" spans="1:8" ht="15" customHeight="1">
      <c r="A5" s="248"/>
      <c r="B5" s="117" t="s">
        <v>1555</v>
      </c>
      <c r="C5" s="118" t="s">
        <v>50</v>
      </c>
      <c r="D5" s="117" t="s">
        <v>435</v>
      </c>
      <c r="E5" s="118" t="s">
        <v>919</v>
      </c>
      <c r="F5" s="117" t="s">
        <v>50</v>
      </c>
      <c r="G5" s="784" t="s">
        <v>1007</v>
      </c>
      <c r="H5" s="366" t="s">
        <v>1007</v>
      </c>
    </row>
    <row r="6" spans="1:8" ht="15" customHeight="1">
      <c r="A6" s="249"/>
      <c r="B6" s="123"/>
      <c r="C6" s="122"/>
      <c r="D6" s="123"/>
      <c r="E6" s="118"/>
      <c r="F6" s="123"/>
      <c r="G6" s="122"/>
      <c r="H6" s="123"/>
    </row>
    <row r="7" spans="1:8" ht="30" customHeight="1" thickBot="1">
      <c r="A7" s="625">
        <v>1996</v>
      </c>
      <c r="B7" s="270">
        <v>1656431</v>
      </c>
      <c r="C7" s="369" t="s">
        <v>860</v>
      </c>
      <c r="D7" s="641">
        <v>0.23300000000000001</v>
      </c>
      <c r="E7" s="271">
        <v>821972</v>
      </c>
      <c r="F7" s="641" t="s">
        <v>860</v>
      </c>
      <c r="G7" s="271">
        <v>1508.6632014229194</v>
      </c>
      <c r="H7" s="270">
        <v>901.63486133741753</v>
      </c>
    </row>
    <row r="8" spans="1:8" ht="22.5" customHeight="1" thickBot="1">
      <c r="A8" s="625">
        <v>1997</v>
      </c>
      <c r="B8" s="147">
        <v>1955994</v>
      </c>
      <c r="C8" s="148">
        <v>0.1808484627491275</v>
      </c>
      <c r="D8" s="461">
        <v>0.27500000000000002</v>
      </c>
      <c r="E8" s="204">
        <v>988940</v>
      </c>
      <c r="F8" s="461">
        <v>0.203131006895612</v>
      </c>
      <c r="G8" s="204">
        <v>2016.5343367646167</v>
      </c>
      <c r="H8" s="147">
        <v>1019.5488672255641</v>
      </c>
    </row>
    <row r="9" spans="1:8" ht="22.5" customHeight="1" thickBot="1">
      <c r="A9" s="625">
        <v>1998</v>
      </c>
      <c r="B9" s="147">
        <v>2240522</v>
      </c>
      <c r="C9" s="148">
        <v>0.14546465888954668</v>
      </c>
      <c r="D9" s="461">
        <v>0.314</v>
      </c>
      <c r="E9" s="204">
        <v>1178551</v>
      </c>
      <c r="F9" s="461">
        <v>0.19173155095354621</v>
      </c>
      <c r="G9" s="204">
        <v>2075.8295126812504</v>
      </c>
      <c r="H9" s="147">
        <v>1091.9200739827595</v>
      </c>
    </row>
    <row r="10" spans="1:8" ht="22.5" customHeight="1" thickBot="1">
      <c r="A10" s="625">
        <v>1999</v>
      </c>
      <c r="B10" s="147">
        <v>2334267</v>
      </c>
      <c r="C10" s="148">
        <v>4.1840696052080718E-2</v>
      </c>
      <c r="D10" s="461">
        <v>0.32570843248350928</v>
      </c>
      <c r="E10" s="204">
        <v>1230090</v>
      </c>
      <c r="F10" s="461">
        <v>4.3730818606916459E-2</v>
      </c>
      <c r="G10" s="204">
        <v>2186.5653545675523</v>
      </c>
      <c r="H10" s="147">
        <v>1152.2555804455958</v>
      </c>
    </row>
    <row r="11" spans="1:8" ht="22.5" customHeight="1" thickBot="1">
      <c r="A11" s="625">
        <v>2000</v>
      </c>
      <c r="B11" s="147">
        <v>2337717</v>
      </c>
      <c r="C11" s="148">
        <v>1.4779800254212565E-3</v>
      </c>
      <c r="D11" s="461">
        <v>0.32427568045795824</v>
      </c>
      <c r="E11" s="204">
        <v>1242695</v>
      </c>
      <c r="F11" s="461">
        <v>1.0247217683258949E-2</v>
      </c>
      <c r="G11" s="204">
        <v>2048</v>
      </c>
      <c r="H11" s="147">
        <v>1088.8085894058177</v>
      </c>
    </row>
    <row r="12" spans="1:8" s="390" customFormat="1" ht="22.5" customHeight="1" thickBot="1">
      <c r="A12" s="633">
        <v>2001</v>
      </c>
      <c r="B12" s="318">
        <v>2376421</v>
      </c>
      <c r="C12" s="785">
        <v>1.6556323969068969E-2</v>
      </c>
      <c r="D12" s="786">
        <v>0.32731543251630535</v>
      </c>
      <c r="E12" s="319">
        <v>1268943</v>
      </c>
      <c r="F12" s="786">
        <v>2.1121836009640339E-2</v>
      </c>
      <c r="G12" s="319">
        <v>2094.0647990098846</v>
      </c>
      <c r="H12" s="318">
        <v>1118.1520446082575</v>
      </c>
    </row>
    <row r="13" spans="1:8" s="390" customFormat="1" ht="22.5" customHeight="1" thickBot="1">
      <c r="A13" s="633">
        <v>2002</v>
      </c>
      <c r="B13" s="318">
        <v>2433822</v>
      </c>
      <c r="C13" s="785">
        <v>2.415439015224996E-2</v>
      </c>
      <c r="D13" s="786">
        <v>0.33123274136234532</v>
      </c>
      <c r="E13" s="319">
        <v>1289405</v>
      </c>
      <c r="F13" s="786">
        <v>1.6125231787401009E-2</v>
      </c>
      <c r="G13" s="319">
        <v>2242.922441746387</v>
      </c>
      <c r="H13" s="318">
        <v>1188.2690726766377</v>
      </c>
    </row>
    <row r="14" spans="1:8" s="390" customFormat="1" ht="22.5" customHeight="1" thickBot="1">
      <c r="A14" s="633">
        <v>2003</v>
      </c>
      <c r="B14" s="318">
        <v>2427518.2400000002</v>
      </c>
      <c r="C14" s="785">
        <v>-2.5900661593164071E-3</v>
      </c>
      <c r="D14" s="786">
        <v>0.32781924661963846</v>
      </c>
      <c r="E14" s="319">
        <v>1287365.05</v>
      </c>
      <c r="F14" s="786">
        <v>-1.5820863111279649E-3</v>
      </c>
      <c r="G14" s="319">
        <v>2381.2207531966164</v>
      </c>
      <c r="H14" s="318">
        <v>1262.8124985787954</v>
      </c>
    </row>
    <row r="15" spans="1:8" s="390" customFormat="1" ht="22.5" customHeight="1" thickBot="1">
      <c r="A15" s="633">
        <v>2004</v>
      </c>
      <c r="B15" s="318">
        <v>2361377</v>
      </c>
      <c r="C15" s="785">
        <v>-2.7246444088510832E-2</v>
      </c>
      <c r="D15" s="786">
        <v>0.31678850545846371</v>
      </c>
      <c r="E15" s="319">
        <v>1245875</v>
      </c>
      <c r="F15" s="786">
        <v>-3.2228659617565387E-2</v>
      </c>
      <c r="G15" s="319">
        <v>2544.2606213303907</v>
      </c>
      <c r="H15" s="318">
        <v>1342.3653663095729</v>
      </c>
    </row>
    <row r="16" spans="1:8" s="390" customFormat="1" ht="22.5" customHeight="1" thickBot="1">
      <c r="A16" s="633">
        <v>2005</v>
      </c>
      <c r="B16" s="318">
        <v>2262160</v>
      </c>
      <c r="C16" s="785">
        <v>-4.2016586085152907E-2</v>
      </c>
      <c r="D16" s="786">
        <v>0.30157087047434061</v>
      </c>
      <c r="E16" s="319">
        <v>1215989</v>
      </c>
      <c r="F16" s="786">
        <v>-2.3987960268887276E-2</v>
      </c>
      <c r="G16" s="319">
        <v>2633.0518524427443</v>
      </c>
      <c r="H16" s="318">
        <v>1415.3561591576192</v>
      </c>
    </row>
    <row r="17" spans="1:8" ht="27.75" customHeight="1" thickBot="1">
      <c r="A17" s="361">
        <v>2006</v>
      </c>
      <c r="B17" s="282">
        <v>2178397</v>
      </c>
      <c r="C17" s="787">
        <v>-3.7027884853414461E-2</v>
      </c>
      <c r="D17" s="462">
        <v>0.28823891259788642</v>
      </c>
      <c r="E17" s="283">
        <v>1182675</v>
      </c>
      <c r="F17" s="788">
        <v>-2.7396629410298967E-2</v>
      </c>
      <c r="G17" s="283">
        <v>2797.6739949690323</v>
      </c>
      <c r="H17" s="199">
        <v>1518.8870954192464</v>
      </c>
    </row>
    <row r="18" spans="1:8" ht="16.5" customHeight="1">
      <c r="A18" s="278" t="s">
        <v>1559</v>
      </c>
      <c r="B18" s="136"/>
      <c r="C18" s="136"/>
      <c r="D18" s="136"/>
      <c r="E18" s="136"/>
      <c r="F18" s="136"/>
      <c r="G18" s="136"/>
      <c r="H18" s="136"/>
    </row>
    <row r="19" spans="1:8" ht="10.5" customHeight="1">
      <c r="A19" s="280"/>
      <c r="B19" s="3"/>
      <c r="C19" s="3"/>
      <c r="D19" s="3"/>
      <c r="E19" s="3"/>
      <c r="F19" s="3"/>
      <c r="G19" s="3"/>
      <c r="H19" s="3"/>
    </row>
    <row r="20" spans="1:8" ht="16.5" customHeight="1">
      <c r="A20" s="280" t="s">
        <v>1556</v>
      </c>
      <c r="B20" s="3"/>
      <c r="C20" s="3"/>
      <c r="D20" s="3"/>
      <c r="E20" s="3"/>
      <c r="F20" s="3"/>
      <c r="G20" s="3"/>
      <c r="H20" s="3"/>
    </row>
    <row r="21" spans="1:8" ht="12.75" customHeight="1">
      <c r="A21" s="280"/>
      <c r="B21" s="3"/>
      <c r="C21" s="3"/>
      <c r="D21" s="3"/>
      <c r="E21" s="3"/>
      <c r="F21" s="3"/>
      <c r="G21" s="3"/>
      <c r="H21" s="3"/>
    </row>
    <row r="22" spans="1:8">
      <c r="A22" s="3" t="s">
        <v>1557</v>
      </c>
      <c r="B22" s="3"/>
      <c r="C22" s="3"/>
      <c r="D22" s="3"/>
      <c r="E22" s="3"/>
      <c r="F22" s="3"/>
      <c r="G22" s="3"/>
      <c r="H22" s="3"/>
    </row>
    <row r="23" spans="1:8" ht="15" customHeight="1">
      <c r="A23" s="294" t="s">
        <v>1558</v>
      </c>
    </row>
    <row r="24" spans="1:8" ht="15" customHeight="1"/>
    <row r="25" spans="1:8" ht="15" customHeight="1">
      <c r="A25" s="789"/>
    </row>
    <row r="26" spans="1:8" ht="15" customHeight="1">
      <c r="A26" s="192" t="s">
        <v>1955</v>
      </c>
    </row>
    <row r="27" spans="1:8" ht="30" customHeight="1"/>
    <row r="28" spans="1:8" ht="30" customHeight="1"/>
    <row r="29" spans="1:8" ht="30" customHeight="1"/>
    <row r="30" spans="1:8" ht="30" customHeight="1"/>
    <row r="31" spans="1:8" ht="30" customHeight="1"/>
    <row r="32" spans="1:8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</sheetData>
  <mergeCells count="1">
    <mergeCell ref="A2:G2"/>
  </mergeCells>
  <phoneticPr fontId="0" type="noConversion"/>
  <pageMargins left="0.57999999999999996" right="0.66" top="0.83" bottom="0.76" header="0.47" footer="0.47"/>
  <pageSetup paperSize="9" scale="88" orientation="portrait" horizontalDpi="4294967292" verticalDpi="4294967292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35DE-78BE-0E4B-A74B-0DC3115C1C9C}">
  <sheetPr>
    <pageSetUpPr fitToPage="1"/>
  </sheetPr>
  <dimension ref="A1:H42"/>
  <sheetViews>
    <sheetView topLeftCell="A23" zoomScale="75" workbookViewId="0">
      <selection activeCell="A36" sqref="A36"/>
    </sheetView>
  </sheetViews>
  <sheetFormatPr baseColWidth="10" defaultColWidth="11.3984375" defaultRowHeight="13"/>
  <cols>
    <col min="1" max="3" width="13.19921875" style="2" customWidth="1"/>
    <col min="4" max="4" width="13.796875" style="2" customWidth="1"/>
    <col min="5" max="5" width="13.19921875" style="2" customWidth="1"/>
    <col min="6" max="7" width="14" style="159" customWidth="1"/>
    <col min="8" max="8" width="15" style="2" customWidth="1"/>
    <col min="9" max="16384" width="11.3984375" style="2"/>
  </cols>
  <sheetData>
    <row r="1" spans="1:8" s="1" customFormat="1" ht="14" customHeight="1">
      <c r="F1" s="139"/>
      <c r="G1" s="139"/>
    </row>
    <row r="2" spans="1:8" s="1" customFormat="1" ht="28" customHeight="1">
      <c r="A2" s="112" t="s">
        <v>873</v>
      </c>
      <c r="F2" s="139"/>
      <c r="G2" s="265"/>
      <c r="H2" s="265">
        <v>2006</v>
      </c>
    </row>
    <row r="3" spans="1:8" ht="24" customHeight="1">
      <c r="A3" s="113" t="s">
        <v>41</v>
      </c>
      <c r="B3" s="1703" t="s">
        <v>888</v>
      </c>
      <c r="C3" s="1704"/>
      <c r="D3" s="1704"/>
      <c r="E3" s="113"/>
      <c r="F3" s="114"/>
      <c r="G3" s="266"/>
      <c r="H3" s="114" t="s">
        <v>874</v>
      </c>
    </row>
    <row r="4" spans="1:8" ht="15" customHeight="1">
      <c r="A4" s="248"/>
      <c r="B4" s="117" t="s">
        <v>875</v>
      </c>
      <c r="C4" s="180" t="s">
        <v>876</v>
      </c>
      <c r="D4" s="143" t="s">
        <v>1951</v>
      </c>
      <c r="E4" s="180" t="s">
        <v>45</v>
      </c>
      <c r="F4" s="143" t="s">
        <v>874</v>
      </c>
      <c r="G4" s="180" t="s">
        <v>874</v>
      </c>
      <c r="H4" s="267" t="s">
        <v>877</v>
      </c>
    </row>
    <row r="5" spans="1:8" ht="15" customHeight="1">
      <c r="A5" s="248"/>
      <c r="B5" s="117" t="s">
        <v>878</v>
      </c>
      <c r="C5" s="118" t="s">
        <v>878</v>
      </c>
      <c r="D5" s="117" t="s">
        <v>878</v>
      </c>
      <c r="E5" s="118" t="s">
        <v>46</v>
      </c>
      <c r="F5" s="143" t="s">
        <v>879</v>
      </c>
      <c r="G5" s="180" t="s">
        <v>880</v>
      </c>
      <c r="H5" s="143" t="s">
        <v>881</v>
      </c>
    </row>
    <row r="6" spans="1:8" ht="15" customHeight="1">
      <c r="A6" s="248"/>
      <c r="B6" s="117"/>
      <c r="C6" s="118"/>
      <c r="D6" s="117"/>
      <c r="E6" s="118" t="s">
        <v>50</v>
      </c>
      <c r="F6" s="143" t="s">
        <v>882</v>
      </c>
      <c r="G6" s="180" t="s">
        <v>883</v>
      </c>
      <c r="H6" s="143" t="s">
        <v>884</v>
      </c>
    </row>
    <row r="7" spans="1:8" ht="16" customHeight="1">
      <c r="A7" s="249"/>
      <c r="B7" s="123"/>
      <c r="C7" s="122"/>
      <c r="D7" s="123"/>
      <c r="E7" s="122"/>
      <c r="F7" s="143" t="s">
        <v>883</v>
      </c>
      <c r="G7" s="183"/>
      <c r="H7" s="267" t="s">
        <v>885</v>
      </c>
    </row>
    <row r="8" spans="1:8" ht="30" customHeight="1" thickBot="1">
      <c r="A8" s="268" t="s">
        <v>51</v>
      </c>
      <c r="B8" s="126">
        <v>179420</v>
      </c>
      <c r="C8" s="127">
        <v>213420</v>
      </c>
      <c r="D8" s="126">
        <v>392840</v>
      </c>
      <c r="E8" s="269">
        <v>8.2049465793046453E-3</v>
      </c>
      <c r="F8" s="270">
        <v>45911</v>
      </c>
      <c r="G8" s="271">
        <v>47296</v>
      </c>
      <c r="H8" s="270">
        <v>93207</v>
      </c>
    </row>
    <row r="9" spans="1:8" ht="20" customHeight="1" thickBot="1">
      <c r="A9" s="272" t="s">
        <v>52</v>
      </c>
      <c r="B9" s="126">
        <v>127034</v>
      </c>
      <c r="C9" s="127">
        <v>145544</v>
      </c>
      <c r="D9" s="126">
        <v>272578</v>
      </c>
      <c r="E9" s="269">
        <v>-2.7691275981750797E-2</v>
      </c>
      <c r="F9" s="270">
        <v>33648</v>
      </c>
      <c r="G9" s="271">
        <v>29660</v>
      </c>
      <c r="H9" s="270">
        <v>29660</v>
      </c>
    </row>
    <row r="10" spans="1:8" ht="20" customHeight="1" thickBot="1">
      <c r="A10" s="272" t="s">
        <v>53</v>
      </c>
      <c r="B10" s="126">
        <v>59908</v>
      </c>
      <c r="C10" s="127">
        <v>66913</v>
      </c>
      <c r="D10" s="126">
        <v>126821</v>
      </c>
      <c r="E10" s="269">
        <v>-8.7375776285773907E-2</v>
      </c>
      <c r="F10" s="270">
        <v>16655</v>
      </c>
      <c r="G10" s="271">
        <v>8672</v>
      </c>
      <c r="H10" s="270">
        <v>25327</v>
      </c>
    </row>
    <row r="11" spans="1:8" ht="20" customHeight="1" thickBot="1">
      <c r="A11" s="272" t="s">
        <v>54</v>
      </c>
      <c r="B11" s="126">
        <v>7242</v>
      </c>
      <c r="C11" s="127">
        <v>7576</v>
      </c>
      <c r="D11" s="126">
        <v>14818</v>
      </c>
      <c r="E11" s="269">
        <v>3.0315672368238074E-2</v>
      </c>
      <c r="F11" s="270">
        <v>1043</v>
      </c>
      <c r="G11" s="271">
        <v>331</v>
      </c>
      <c r="H11" s="270" t="s">
        <v>1412</v>
      </c>
    </row>
    <row r="12" spans="1:8" ht="20" customHeight="1" thickBot="1">
      <c r="A12" s="272" t="s">
        <v>55</v>
      </c>
      <c r="B12" s="126">
        <v>16240</v>
      </c>
      <c r="C12" s="127">
        <v>17507</v>
      </c>
      <c r="D12" s="126">
        <v>33747</v>
      </c>
      <c r="E12" s="269">
        <v>-1.203232039346566E-2</v>
      </c>
      <c r="F12" s="270">
        <v>3479</v>
      </c>
      <c r="G12" s="271">
        <v>1875</v>
      </c>
      <c r="H12" s="270">
        <v>8000</v>
      </c>
    </row>
    <row r="13" spans="1:8" ht="20" customHeight="1" thickBot="1">
      <c r="A13" s="272" t="s">
        <v>56</v>
      </c>
      <c r="B13" s="126">
        <v>8967</v>
      </c>
      <c r="C13" s="127">
        <v>9757</v>
      </c>
      <c r="D13" s="126">
        <v>18724</v>
      </c>
      <c r="E13" s="269">
        <v>4.6501229599821149E-2</v>
      </c>
      <c r="F13" s="270">
        <v>981</v>
      </c>
      <c r="G13" s="271">
        <v>336</v>
      </c>
      <c r="H13" s="270">
        <v>235</v>
      </c>
    </row>
    <row r="14" spans="1:8" ht="20" customHeight="1" thickBot="1">
      <c r="A14" s="272" t="s">
        <v>57</v>
      </c>
      <c r="B14" s="126">
        <v>6333</v>
      </c>
      <c r="C14" s="127">
        <v>6645</v>
      </c>
      <c r="D14" s="126">
        <v>12978</v>
      </c>
      <c r="E14" s="269">
        <v>0.10970500213766567</v>
      </c>
      <c r="F14" s="270">
        <v>748</v>
      </c>
      <c r="G14" s="271">
        <v>475</v>
      </c>
      <c r="H14" s="270" t="s">
        <v>1412</v>
      </c>
    </row>
    <row r="15" spans="1:8" ht="20" customHeight="1" thickBot="1">
      <c r="A15" s="272" t="s">
        <v>58</v>
      </c>
      <c r="B15" s="126">
        <v>4190</v>
      </c>
      <c r="C15" s="127">
        <v>4428</v>
      </c>
      <c r="D15" s="126">
        <v>8618</v>
      </c>
      <c r="E15" s="269">
        <v>-3.4397759103641457E-2</v>
      </c>
      <c r="F15" s="270">
        <v>979</v>
      </c>
      <c r="G15" s="271">
        <v>1096</v>
      </c>
      <c r="H15" s="270">
        <v>2075</v>
      </c>
    </row>
    <row r="16" spans="1:8" ht="20" customHeight="1" thickBot="1">
      <c r="A16" s="272" t="s">
        <v>59</v>
      </c>
      <c r="B16" s="126">
        <v>16534</v>
      </c>
      <c r="C16" s="127">
        <v>18178</v>
      </c>
      <c r="D16" s="126">
        <v>34712</v>
      </c>
      <c r="E16" s="269">
        <v>2.3228392878198327E-2</v>
      </c>
      <c r="F16" s="270">
        <v>1926</v>
      </c>
      <c r="G16" s="271">
        <v>1968</v>
      </c>
      <c r="H16" s="270" t="s">
        <v>1412</v>
      </c>
    </row>
    <row r="17" spans="1:8" ht="20" customHeight="1" thickBot="1">
      <c r="A17" s="272" t="s">
        <v>60</v>
      </c>
      <c r="B17" s="126">
        <v>41423</v>
      </c>
      <c r="C17" s="127">
        <v>47112</v>
      </c>
      <c r="D17" s="126">
        <v>88535</v>
      </c>
      <c r="E17" s="269">
        <v>-1.2800642262190159E-2</v>
      </c>
      <c r="F17" s="270">
        <v>10398</v>
      </c>
      <c r="G17" s="271">
        <v>6645</v>
      </c>
      <c r="H17" s="270">
        <v>17043</v>
      </c>
    </row>
    <row r="18" spans="1:8" ht="20" customHeight="1" thickBot="1">
      <c r="A18" s="272" t="s">
        <v>61</v>
      </c>
      <c r="B18" s="126">
        <v>26545</v>
      </c>
      <c r="C18" s="127">
        <v>29553</v>
      </c>
      <c r="D18" s="126">
        <v>56098</v>
      </c>
      <c r="E18" s="269">
        <v>-5.4427157955062616E-2</v>
      </c>
      <c r="F18" s="270" t="s">
        <v>1412</v>
      </c>
      <c r="G18" s="271">
        <v>6789</v>
      </c>
      <c r="H18" s="270" t="s">
        <v>1412</v>
      </c>
    </row>
    <row r="19" spans="1:8" ht="20" customHeight="1" thickBot="1">
      <c r="A19" s="272" t="s">
        <v>62</v>
      </c>
      <c r="B19" s="126">
        <v>27540</v>
      </c>
      <c r="C19" s="127">
        <v>31689</v>
      </c>
      <c r="D19" s="126">
        <v>59229</v>
      </c>
      <c r="E19" s="269">
        <v>0.15964757709251101</v>
      </c>
      <c r="F19" s="270">
        <v>13020</v>
      </c>
      <c r="G19" s="271">
        <v>12858</v>
      </c>
      <c r="H19" s="270">
        <v>679</v>
      </c>
    </row>
    <row r="20" spans="1:8" ht="20" customHeight="1" thickBot="1">
      <c r="A20" s="272" t="s">
        <v>63</v>
      </c>
      <c r="B20" s="126">
        <v>37437</v>
      </c>
      <c r="C20" s="127">
        <v>38879</v>
      </c>
      <c r="D20" s="126">
        <v>76316</v>
      </c>
      <c r="E20" s="269">
        <v>-0.19022102437316299</v>
      </c>
      <c r="F20" s="270" t="s">
        <v>1412</v>
      </c>
      <c r="G20" s="271" t="s">
        <v>1412</v>
      </c>
      <c r="H20" s="270" t="s">
        <v>1412</v>
      </c>
    </row>
    <row r="21" spans="1:8" ht="20" customHeight="1" thickBot="1">
      <c r="A21" s="272" t="s">
        <v>64</v>
      </c>
      <c r="B21" s="126">
        <v>11598</v>
      </c>
      <c r="C21" s="127">
        <v>12171</v>
      </c>
      <c r="D21" s="126">
        <v>23769</v>
      </c>
      <c r="E21" s="269">
        <v>-5.9802609568417528E-3</v>
      </c>
      <c r="F21" s="270" t="s">
        <v>1412</v>
      </c>
      <c r="G21" s="271">
        <v>1786</v>
      </c>
      <c r="H21" s="270" t="s">
        <v>1412</v>
      </c>
    </row>
    <row r="22" spans="1:8" ht="20" customHeight="1" thickBot="1">
      <c r="A22" s="272" t="s">
        <v>65</v>
      </c>
      <c r="B22" s="126">
        <v>6861</v>
      </c>
      <c r="C22" s="127">
        <v>7241</v>
      </c>
      <c r="D22" s="126">
        <v>14102</v>
      </c>
      <c r="E22" s="269">
        <v>4.6142433234421368E-2</v>
      </c>
      <c r="F22" s="270">
        <v>1356</v>
      </c>
      <c r="G22" s="271">
        <v>430</v>
      </c>
      <c r="H22" s="270" t="s">
        <v>1412</v>
      </c>
    </row>
    <row r="23" spans="1:8" ht="20" customHeight="1" thickBot="1">
      <c r="A23" s="272" t="s">
        <v>66</v>
      </c>
      <c r="B23" s="126">
        <v>3904</v>
      </c>
      <c r="C23" s="127">
        <v>3698</v>
      </c>
      <c r="D23" s="126">
        <v>7602</v>
      </c>
      <c r="E23" s="269">
        <v>0.13327370304114491</v>
      </c>
      <c r="F23" s="270">
        <v>306</v>
      </c>
      <c r="G23" s="271">
        <v>149</v>
      </c>
      <c r="H23" s="270">
        <v>1533</v>
      </c>
    </row>
    <row r="24" spans="1:8" ht="20" customHeight="1" thickBot="1">
      <c r="A24" s="272" t="s">
        <v>67</v>
      </c>
      <c r="B24" s="126">
        <v>60365</v>
      </c>
      <c r="C24" s="127">
        <v>65208</v>
      </c>
      <c r="D24" s="126">
        <v>125573</v>
      </c>
      <c r="E24" s="269">
        <v>-0.2356532430853136</v>
      </c>
      <c r="F24" s="270">
        <v>17322</v>
      </c>
      <c r="G24" s="271">
        <v>20673</v>
      </c>
      <c r="H24" s="270" t="s">
        <v>1412</v>
      </c>
    </row>
    <row r="25" spans="1:8" ht="20" customHeight="1" thickBot="1">
      <c r="A25" s="272" t="s">
        <v>68</v>
      </c>
      <c r="B25" s="126">
        <v>27160</v>
      </c>
      <c r="C25" s="127">
        <v>31005</v>
      </c>
      <c r="D25" s="126">
        <v>58165</v>
      </c>
      <c r="E25" s="269">
        <v>-2.0081877453375339E-2</v>
      </c>
      <c r="F25" s="270">
        <v>4689</v>
      </c>
      <c r="G25" s="271">
        <v>2590</v>
      </c>
      <c r="H25" s="270">
        <v>192</v>
      </c>
    </row>
    <row r="26" spans="1:8" ht="20" customHeight="1" thickBot="1">
      <c r="A26" s="272" t="s">
        <v>69</v>
      </c>
      <c r="B26" s="126">
        <v>71681</v>
      </c>
      <c r="C26" s="127">
        <v>78860</v>
      </c>
      <c r="D26" s="126">
        <v>150541</v>
      </c>
      <c r="E26" s="269">
        <v>6.8492664542092824E-2</v>
      </c>
      <c r="F26" s="270">
        <v>16291</v>
      </c>
      <c r="G26" s="271" t="s">
        <v>1412</v>
      </c>
      <c r="H26" s="270">
        <v>2704</v>
      </c>
    </row>
    <row r="27" spans="1:8" ht="20" customHeight="1" thickBot="1">
      <c r="A27" s="272" t="s">
        <v>70</v>
      </c>
      <c r="B27" s="126">
        <v>44399</v>
      </c>
      <c r="C27" s="127">
        <v>46542</v>
      </c>
      <c r="D27" s="126">
        <v>90941</v>
      </c>
      <c r="E27" s="269">
        <v>-3.6897008207572149E-2</v>
      </c>
      <c r="F27" s="270">
        <v>6579</v>
      </c>
      <c r="G27" s="271">
        <v>3523</v>
      </c>
      <c r="H27" s="270" t="s">
        <v>1412</v>
      </c>
    </row>
    <row r="28" spans="1:8" ht="20" customHeight="1" thickBot="1">
      <c r="A28" s="272" t="s">
        <v>71</v>
      </c>
      <c r="B28" s="126">
        <v>37843</v>
      </c>
      <c r="C28" s="127">
        <v>50588</v>
      </c>
      <c r="D28" s="126">
        <v>88431</v>
      </c>
      <c r="E28" s="269">
        <v>-9.2130794107078695E-2</v>
      </c>
      <c r="F28" s="270">
        <v>21840</v>
      </c>
      <c r="G28" s="271" t="s">
        <v>1412</v>
      </c>
      <c r="H28" s="270" t="s">
        <v>1412</v>
      </c>
    </row>
    <row r="29" spans="1:8" ht="20" customHeight="1" thickBot="1">
      <c r="A29" s="272" t="s">
        <v>72</v>
      </c>
      <c r="B29" s="126">
        <v>78720</v>
      </c>
      <c r="C29" s="127">
        <v>63574</v>
      </c>
      <c r="D29" s="126">
        <v>142294</v>
      </c>
      <c r="E29" s="269">
        <v>2.2888361728128821E-2</v>
      </c>
      <c r="F29" s="270">
        <v>29409</v>
      </c>
      <c r="G29" s="271">
        <v>20935</v>
      </c>
      <c r="H29" s="270">
        <v>50344</v>
      </c>
    </row>
    <row r="30" spans="1:8" ht="20" customHeight="1" thickBot="1">
      <c r="A30" s="272" t="s">
        <v>73</v>
      </c>
      <c r="B30" s="126">
        <v>42342.818688458879</v>
      </c>
      <c r="C30" s="127">
        <v>52395.181311541113</v>
      </c>
      <c r="D30" s="126">
        <v>94738</v>
      </c>
      <c r="E30" s="269">
        <v>0.22744645841700892</v>
      </c>
      <c r="F30" s="270">
        <v>7828</v>
      </c>
      <c r="G30" s="271">
        <v>4460</v>
      </c>
      <c r="H30" s="270" t="s">
        <v>1412</v>
      </c>
    </row>
    <row r="31" spans="1:8" ht="20" customHeight="1" thickBot="1">
      <c r="A31" s="272" t="s">
        <v>74</v>
      </c>
      <c r="B31" s="126">
        <v>15575</v>
      </c>
      <c r="C31" s="127">
        <v>19444</v>
      </c>
      <c r="D31" s="126">
        <v>35019</v>
      </c>
      <c r="E31" s="269">
        <v>-0.29099854227405247</v>
      </c>
      <c r="F31" s="270">
        <v>9222</v>
      </c>
      <c r="G31" s="271">
        <v>8287</v>
      </c>
      <c r="H31" s="270">
        <v>17508</v>
      </c>
    </row>
    <row r="32" spans="1:8" ht="20" customHeight="1" thickBot="1">
      <c r="A32" s="272" t="s">
        <v>75</v>
      </c>
      <c r="B32" s="126">
        <v>59449</v>
      </c>
      <c r="C32" s="127">
        <v>67774</v>
      </c>
      <c r="D32" s="126">
        <v>127223</v>
      </c>
      <c r="E32" s="269">
        <v>-0.13731327090382647</v>
      </c>
      <c r="F32" s="270">
        <v>26529</v>
      </c>
      <c r="G32" s="271">
        <v>19392</v>
      </c>
      <c r="H32" s="270">
        <v>45921</v>
      </c>
    </row>
    <row r="33" spans="1:8" ht="20" customHeight="1" thickBot="1">
      <c r="A33" s="272" t="s">
        <v>76</v>
      </c>
      <c r="B33" s="126">
        <v>10460</v>
      </c>
      <c r="C33" s="127">
        <v>13525</v>
      </c>
      <c r="D33" s="126">
        <v>23985</v>
      </c>
      <c r="E33" s="269">
        <v>-1.2353304508956145E-2</v>
      </c>
      <c r="F33" s="270">
        <v>4167</v>
      </c>
      <c r="G33" s="271">
        <v>1180</v>
      </c>
      <c r="H33" s="270" t="s">
        <v>1412</v>
      </c>
    </row>
    <row r="34" spans="1:8" ht="30" customHeight="1" thickBot="1">
      <c r="A34" s="273" t="s">
        <v>1944</v>
      </c>
      <c r="B34" s="133">
        <v>1029170.8186884589</v>
      </c>
      <c r="C34" s="134">
        <v>1149226.1813115412</v>
      </c>
      <c r="D34" s="133">
        <v>2178397</v>
      </c>
      <c r="E34" s="274">
        <v>-3.7027884853414433E-2</v>
      </c>
      <c r="F34" s="275" t="s">
        <v>1412</v>
      </c>
      <c r="G34" s="276" t="s">
        <v>1412</v>
      </c>
      <c r="H34" s="277" t="s">
        <v>1412</v>
      </c>
    </row>
    <row r="35" spans="1:8" ht="20" customHeight="1">
      <c r="A35" s="278" t="s">
        <v>966</v>
      </c>
      <c r="B35" s="279"/>
      <c r="C35" s="279"/>
      <c r="D35" s="279"/>
      <c r="E35" s="279"/>
      <c r="F35" s="279"/>
      <c r="G35" s="279"/>
    </row>
    <row r="36" spans="1:8" ht="14.25" customHeight="1">
      <c r="A36" s="280"/>
      <c r="B36" s="281"/>
      <c r="C36" s="281"/>
      <c r="D36" s="281"/>
      <c r="E36" s="281"/>
      <c r="F36" s="281"/>
      <c r="G36" s="281"/>
    </row>
    <row r="37" spans="1:8" ht="20" customHeight="1">
      <c r="A37" s="280" t="s">
        <v>886</v>
      </c>
      <c r="B37" s="281"/>
      <c r="C37" s="281"/>
      <c r="D37" s="281"/>
      <c r="E37" s="281"/>
      <c r="F37" s="281"/>
      <c r="G37" s="281"/>
    </row>
    <row r="38" spans="1:8" ht="15.75" customHeight="1">
      <c r="A38" s="280"/>
      <c r="B38" s="281"/>
      <c r="C38" s="281"/>
      <c r="D38" s="281"/>
      <c r="E38" s="281"/>
      <c r="F38" s="281"/>
      <c r="G38" s="281"/>
    </row>
    <row r="39" spans="1:8" ht="11.25" customHeight="1">
      <c r="A39" s="3" t="s">
        <v>887</v>
      </c>
      <c r="B39" s="281"/>
      <c r="C39" s="281"/>
      <c r="D39" s="281"/>
      <c r="E39" s="281"/>
      <c r="F39" s="281"/>
      <c r="G39" s="281"/>
    </row>
    <row r="41" spans="1:8">
      <c r="E41" s="8"/>
    </row>
    <row r="42" spans="1:8">
      <c r="A42" s="2" t="s">
        <v>1955</v>
      </c>
    </row>
  </sheetData>
  <mergeCells count="1">
    <mergeCell ref="B3:D3"/>
  </mergeCells>
  <phoneticPr fontId="0" type="noConversion"/>
  <pageMargins left="0.56000000000000005" right="0.5" top="0.76" bottom="0.49" header="0.42" footer="0.4921259845"/>
  <pageSetup paperSize="9" scale="85" orientation="portrait" horizontalDpi="1200" verticalDpi="12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DB32-28FB-6F43-A886-BBE07964F6FB}">
  <sheetPr>
    <pageSetUpPr fitToPage="1"/>
  </sheetPr>
  <dimension ref="A1:I35"/>
  <sheetViews>
    <sheetView zoomScale="75" workbookViewId="0">
      <selection activeCell="A31" sqref="A31"/>
    </sheetView>
  </sheetViews>
  <sheetFormatPr baseColWidth="10" defaultColWidth="11.3984375" defaultRowHeight="13"/>
  <cols>
    <col min="1" max="5" width="17.796875" style="2" customWidth="1"/>
    <col min="6" max="6" width="15.796875" style="2" customWidth="1"/>
    <col min="7" max="16384" width="11.3984375" style="2"/>
  </cols>
  <sheetData>
    <row r="1" spans="1:9" s="1" customFormat="1" ht="14" customHeight="1"/>
    <row r="2" spans="1:9" s="1" customFormat="1" ht="28" customHeight="1">
      <c r="A2" s="112" t="s">
        <v>889</v>
      </c>
      <c r="E2" s="265">
        <v>2006</v>
      </c>
    </row>
    <row r="3" spans="1:9" ht="27" customHeight="1">
      <c r="A3" s="113" t="s">
        <v>890</v>
      </c>
      <c r="B3" s="114" t="s">
        <v>891</v>
      </c>
      <c r="C3" s="115" t="s">
        <v>892</v>
      </c>
      <c r="D3" s="114" t="s">
        <v>1951</v>
      </c>
      <c r="E3" s="115" t="s">
        <v>893</v>
      </c>
    </row>
    <row r="4" spans="1:9" ht="15" customHeight="1">
      <c r="A4" s="116"/>
      <c r="B4" s="117"/>
      <c r="C4" s="118"/>
      <c r="D4" s="117"/>
      <c r="E4" s="118" t="s">
        <v>894</v>
      </c>
    </row>
    <row r="5" spans="1:9" ht="15" customHeight="1">
      <c r="A5" s="116"/>
      <c r="B5" s="117"/>
      <c r="C5" s="118"/>
      <c r="D5" s="117"/>
      <c r="E5" s="118" t="s">
        <v>895</v>
      </c>
    </row>
    <row r="6" spans="1:9" ht="24" customHeight="1">
      <c r="A6" s="120"/>
      <c r="B6" s="123"/>
      <c r="C6" s="122"/>
      <c r="D6" s="123"/>
      <c r="E6" s="122"/>
    </row>
    <row r="7" spans="1:9" ht="30" customHeight="1" thickBot="1">
      <c r="A7" s="125" t="s">
        <v>896</v>
      </c>
      <c r="B7" s="126">
        <v>84503.073316551294</v>
      </c>
      <c r="C7" s="127">
        <v>81659.926683448706</v>
      </c>
      <c r="D7" s="126">
        <v>166163</v>
      </c>
      <c r="E7" s="269">
        <v>7.6277648197275338E-2</v>
      </c>
      <c r="G7" s="129"/>
      <c r="H7" s="129"/>
      <c r="I7" s="129"/>
    </row>
    <row r="8" spans="1:9" ht="20" customHeight="1" thickBot="1">
      <c r="A8" s="130" t="s">
        <v>897</v>
      </c>
      <c r="B8" s="194">
        <v>92652.055256622523</v>
      </c>
      <c r="C8" s="195">
        <v>88339.944743377477</v>
      </c>
      <c r="D8" s="194">
        <v>180992</v>
      </c>
      <c r="E8" s="269">
        <v>8.3084947325946554E-2</v>
      </c>
      <c r="G8" s="129"/>
      <c r="H8" s="129"/>
      <c r="I8" s="129"/>
    </row>
    <row r="9" spans="1:9" ht="20" customHeight="1" thickBot="1">
      <c r="A9" s="130" t="s">
        <v>898</v>
      </c>
      <c r="B9" s="194">
        <v>91575.009966777405</v>
      </c>
      <c r="C9" s="195">
        <v>87400.990033222595</v>
      </c>
      <c r="D9" s="194">
        <v>178976</v>
      </c>
      <c r="E9" s="269">
        <v>8.215949617998923E-2</v>
      </c>
      <c r="G9" s="129"/>
      <c r="H9" s="129"/>
      <c r="I9" s="129"/>
    </row>
    <row r="10" spans="1:9" ht="20" customHeight="1" thickBot="1">
      <c r="A10" s="130" t="s">
        <v>899</v>
      </c>
      <c r="B10" s="194">
        <v>48577.228337236535</v>
      </c>
      <c r="C10" s="195">
        <v>47327.771662763465</v>
      </c>
      <c r="D10" s="194">
        <v>95905</v>
      </c>
      <c r="E10" s="269">
        <v>4.4025492139403426E-2</v>
      </c>
      <c r="G10" s="129"/>
      <c r="H10" s="129"/>
      <c r="I10" s="129"/>
    </row>
    <row r="11" spans="1:9" ht="20" customHeight="1" thickBot="1">
      <c r="A11" s="130" t="s">
        <v>900</v>
      </c>
      <c r="B11" s="194">
        <v>41965.515738498791</v>
      </c>
      <c r="C11" s="195">
        <v>41199.484261501209</v>
      </c>
      <c r="D11" s="194">
        <v>83165</v>
      </c>
      <c r="E11" s="269">
        <v>3.8177155036478658E-2</v>
      </c>
      <c r="G11" s="129"/>
      <c r="H11" s="129"/>
      <c r="I11" s="129"/>
    </row>
    <row r="12" spans="1:9" ht="20" customHeight="1" thickBot="1">
      <c r="A12" s="130" t="s">
        <v>901</v>
      </c>
      <c r="B12" s="194">
        <v>88897.667198723066</v>
      </c>
      <c r="C12" s="195">
        <v>93718.332801276934</v>
      </c>
      <c r="D12" s="194">
        <v>182616</v>
      </c>
      <c r="E12" s="269">
        <v>8.3830449637967736E-2</v>
      </c>
      <c r="G12" s="129"/>
      <c r="H12" s="129"/>
      <c r="I12" s="129"/>
    </row>
    <row r="13" spans="1:9" ht="20" customHeight="1" thickBot="1">
      <c r="A13" s="130" t="s">
        <v>902</v>
      </c>
      <c r="B13" s="194">
        <v>68308.368131868134</v>
      </c>
      <c r="C13" s="195">
        <v>79048.631868131866</v>
      </c>
      <c r="D13" s="194">
        <v>147357</v>
      </c>
      <c r="E13" s="269">
        <v>6.7644694699818264E-2</v>
      </c>
      <c r="G13" s="129"/>
      <c r="H13" s="129"/>
      <c r="I13" s="129"/>
    </row>
    <row r="14" spans="1:9" ht="20" customHeight="1" thickBot="1">
      <c r="A14" s="130" t="s">
        <v>903</v>
      </c>
      <c r="B14" s="194">
        <v>63463.12854710556</v>
      </c>
      <c r="C14" s="195">
        <v>79645.87145289444</v>
      </c>
      <c r="D14" s="194">
        <v>143109</v>
      </c>
      <c r="E14" s="269">
        <v>6.5694636927979611E-2</v>
      </c>
      <c r="G14" s="129"/>
      <c r="H14" s="129"/>
      <c r="I14" s="129"/>
    </row>
    <row r="15" spans="1:9" ht="20" customHeight="1" thickBot="1">
      <c r="A15" s="130" t="s">
        <v>904</v>
      </c>
      <c r="B15" s="194">
        <v>79173.931358230751</v>
      </c>
      <c r="C15" s="195">
        <v>96694.068641769249</v>
      </c>
      <c r="D15" s="194">
        <v>175868</v>
      </c>
      <c r="E15" s="269">
        <v>8.0732758996638357E-2</v>
      </c>
      <c r="G15" s="129"/>
      <c r="H15" s="129"/>
      <c r="I15" s="129"/>
    </row>
    <row r="16" spans="1:9" ht="20" customHeight="1" thickBot="1">
      <c r="A16" s="130" t="s">
        <v>905</v>
      </c>
      <c r="B16" s="194">
        <v>81215.665730337074</v>
      </c>
      <c r="C16" s="195">
        <v>89740.334269662926</v>
      </c>
      <c r="D16" s="194">
        <v>170956</v>
      </c>
      <c r="E16" s="269">
        <v>7.8477889934662967E-2</v>
      </c>
      <c r="G16" s="129"/>
      <c r="H16" s="129"/>
      <c r="I16" s="129"/>
    </row>
    <row r="17" spans="1:9" ht="20" customHeight="1" thickBot="1">
      <c r="A17" s="130" t="s">
        <v>906</v>
      </c>
      <c r="B17" s="194">
        <v>61447.045671438311</v>
      </c>
      <c r="C17" s="195">
        <v>61012.954328561689</v>
      </c>
      <c r="D17" s="194">
        <v>122460</v>
      </c>
      <c r="E17" s="269">
        <v>5.6215648479133969E-2</v>
      </c>
      <c r="G17" s="129"/>
      <c r="H17" s="129"/>
      <c r="I17" s="129"/>
    </row>
    <row r="18" spans="1:9" ht="20" customHeight="1" thickBot="1">
      <c r="A18" s="130" t="s">
        <v>907</v>
      </c>
      <c r="B18" s="194">
        <v>42354.30557057869</v>
      </c>
      <c r="C18" s="195">
        <v>41938.69442942131</v>
      </c>
      <c r="D18" s="194">
        <v>84293</v>
      </c>
      <c r="E18" s="269">
        <v>3.8694966987192873E-2</v>
      </c>
      <c r="G18" s="129"/>
      <c r="H18" s="129"/>
      <c r="I18" s="129"/>
    </row>
    <row r="19" spans="1:9" ht="20" customHeight="1" thickBot="1">
      <c r="A19" s="130" t="s">
        <v>908</v>
      </c>
      <c r="B19" s="194">
        <v>33576.340398201668</v>
      </c>
      <c r="C19" s="195">
        <v>35331.659601798332</v>
      </c>
      <c r="D19" s="194">
        <v>68908</v>
      </c>
      <c r="E19" s="269">
        <v>3.1632434308346918E-2</v>
      </c>
      <c r="G19" s="129"/>
      <c r="H19" s="129"/>
      <c r="I19" s="129"/>
    </row>
    <row r="20" spans="1:9" ht="20" customHeight="1" thickBot="1">
      <c r="A20" s="130" t="s">
        <v>909</v>
      </c>
      <c r="B20" s="194">
        <v>27586.067658998647</v>
      </c>
      <c r="C20" s="195">
        <v>33896.932341001353</v>
      </c>
      <c r="D20" s="194">
        <v>61483</v>
      </c>
      <c r="E20" s="269">
        <v>2.8223964685959446E-2</v>
      </c>
      <c r="G20" s="129"/>
      <c r="H20" s="129"/>
      <c r="I20" s="129"/>
    </row>
    <row r="21" spans="1:9" ht="20" customHeight="1" thickBot="1">
      <c r="A21" s="130" t="s">
        <v>910</v>
      </c>
      <c r="B21" s="194">
        <v>25885.097467382962</v>
      </c>
      <c r="C21" s="195">
        <v>33473.902532617038</v>
      </c>
      <c r="D21" s="194">
        <v>59359</v>
      </c>
      <c r="E21" s="269">
        <v>2.7248935800040123E-2</v>
      </c>
      <c r="G21" s="129"/>
      <c r="H21" s="129"/>
      <c r="I21" s="129"/>
    </row>
    <row r="22" spans="1:9" ht="20" customHeight="1" thickBot="1">
      <c r="A22" s="130" t="s">
        <v>911</v>
      </c>
      <c r="B22" s="194">
        <v>26059.711237553343</v>
      </c>
      <c r="C22" s="195">
        <v>36002.288762446653</v>
      </c>
      <c r="D22" s="194">
        <v>62062</v>
      </c>
      <c r="E22" s="269">
        <v>2.8489756458533501E-2</v>
      </c>
      <c r="G22" s="129"/>
      <c r="H22" s="129"/>
      <c r="I22" s="129"/>
    </row>
    <row r="23" spans="1:9" ht="20" customHeight="1" thickBot="1">
      <c r="A23" s="130" t="s">
        <v>912</v>
      </c>
      <c r="B23" s="194">
        <v>22138.502177068214</v>
      </c>
      <c r="C23" s="195">
        <v>35413.497822931786</v>
      </c>
      <c r="D23" s="194">
        <v>57552</v>
      </c>
      <c r="E23" s="269">
        <v>2.6419426761972221E-2</v>
      </c>
      <c r="G23" s="129"/>
      <c r="H23" s="129"/>
      <c r="I23" s="129"/>
    </row>
    <row r="24" spans="1:9" ht="20" customHeight="1" thickBot="1">
      <c r="A24" s="130" t="s">
        <v>913</v>
      </c>
      <c r="B24" s="194">
        <v>16724.530364372469</v>
      </c>
      <c r="C24" s="195">
        <v>31590.469635627531</v>
      </c>
      <c r="D24" s="194">
        <v>48315</v>
      </c>
      <c r="E24" s="269">
        <v>2.2179152835777868E-2</v>
      </c>
      <c r="G24" s="129"/>
      <c r="H24" s="129"/>
      <c r="I24" s="129"/>
    </row>
    <row r="25" spans="1:9" ht="20" customHeight="1" thickBot="1">
      <c r="A25" s="130" t="s">
        <v>914</v>
      </c>
      <c r="B25" s="194">
        <v>9553.068511198946</v>
      </c>
      <c r="C25" s="195">
        <v>20644.931488801052</v>
      </c>
      <c r="D25" s="194">
        <v>30198</v>
      </c>
      <c r="E25" s="269">
        <v>1.3862486957152437E-2</v>
      </c>
      <c r="G25" s="129"/>
      <c r="H25" s="129"/>
      <c r="I25" s="129"/>
    </row>
    <row r="26" spans="1:9" ht="20" customHeight="1" thickBot="1">
      <c r="A26" s="130" t="s">
        <v>915</v>
      </c>
      <c r="B26" s="194">
        <v>3860.4985590778097</v>
      </c>
      <c r="C26" s="195">
        <v>11039.501440922189</v>
      </c>
      <c r="D26" s="194">
        <v>14900</v>
      </c>
      <c r="E26" s="269">
        <v>6.8398919021647568E-3</v>
      </c>
      <c r="G26" s="129"/>
      <c r="H26" s="129"/>
      <c r="I26" s="129"/>
    </row>
    <row r="27" spans="1:9" ht="20" customHeight="1" thickBot="1">
      <c r="A27" s="130" t="s">
        <v>916</v>
      </c>
      <c r="B27" s="194">
        <v>1000.0074906367041</v>
      </c>
      <c r="C27" s="195">
        <v>3454.9925093632955</v>
      </c>
      <c r="D27" s="194">
        <v>4455</v>
      </c>
      <c r="E27" s="269">
        <v>2.0450817734324828E-3</v>
      </c>
      <c r="G27" s="129"/>
      <c r="H27" s="129"/>
      <c r="I27" s="129"/>
    </row>
    <row r="28" spans="1:9" ht="20" customHeight="1" thickBot="1">
      <c r="A28" s="130" t="s">
        <v>917</v>
      </c>
      <c r="B28" s="194">
        <v>18654</v>
      </c>
      <c r="C28" s="195">
        <v>20651</v>
      </c>
      <c r="D28" s="194">
        <v>39305</v>
      </c>
      <c r="E28" s="269">
        <v>1.8043083974133272E-2</v>
      </c>
      <c r="G28" s="129"/>
      <c r="H28" s="129"/>
      <c r="I28" s="129"/>
    </row>
    <row r="29" spans="1:9" ht="30" customHeight="1" thickBot="1">
      <c r="A29" s="132" t="s">
        <v>1951</v>
      </c>
      <c r="B29" s="282">
        <v>1029170.818688459</v>
      </c>
      <c r="C29" s="283">
        <v>1149226.181311541</v>
      </c>
      <c r="D29" s="282">
        <v>2178397</v>
      </c>
      <c r="E29" s="274">
        <v>1</v>
      </c>
      <c r="G29" s="129"/>
      <c r="H29" s="129"/>
      <c r="I29" s="129"/>
    </row>
    <row r="30" spans="1:9" ht="20" customHeight="1">
      <c r="A30" s="278" t="s">
        <v>966</v>
      </c>
      <c r="B30" s="136"/>
      <c r="C30" s="136"/>
      <c r="D30" s="136"/>
      <c r="E30" s="136"/>
    </row>
    <row r="32" spans="1:9">
      <c r="A32" s="280" t="s">
        <v>886</v>
      </c>
    </row>
    <row r="35" spans="1:1">
      <c r="A35" s="2" t="s">
        <v>1955</v>
      </c>
    </row>
  </sheetData>
  <phoneticPr fontId="0" type="noConversion"/>
  <pageMargins left="0.74" right="0.88" top="0.85" bottom="0.49" header="0.49" footer="0.4921259845"/>
  <pageSetup paperSize="9" scale="82" orientation="portrait" horizontalDpi="1200" verticalDpi="12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CE7C-8987-4D4F-B368-C196FE83707B}">
  <sheetPr>
    <pageSetUpPr fitToPage="1"/>
  </sheetPr>
  <dimension ref="A1:K43"/>
  <sheetViews>
    <sheetView topLeftCell="A23" zoomScale="75" workbookViewId="0">
      <selection activeCell="A36" sqref="A36"/>
    </sheetView>
  </sheetViews>
  <sheetFormatPr baseColWidth="10" defaultColWidth="11.3984375" defaultRowHeight="13"/>
  <cols>
    <col min="1" max="1" width="11.796875" style="2" customWidth="1"/>
    <col min="2" max="6" width="11.3984375" style="2"/>
    <col min="7" max="7" width="13.19921875" style="2" customWidth="1"/>
    <col min="8" max="8" width="12.3984375" style="2" customWidth="1"/>
    <col min="9" max="9" width="13.19921875" style="2" customWidth="1"/>
    <col min="10" max="16384" width="11.3984375" style="2"/>
  </cols>
  <sheetData>
    <row r="1" spans="1:11" s="1" customFormat="1" ht="14" customHeight="1"/>
    <row r="2" spans="1:11" s="1" customFormat="1" ht="27" customHeight="1">
      <c r="A2" s="112" t="s">
        <v>936</v>
      </c>
      <c r="I2" s="265">
        <v>2006</v>
      </c>
    </row>
    <row r="3" spans="1:11" ht="24" customHeight="1">
      <c r="A3" s="113" t="s">
        <v>41</v>
      </c>
      <c r="B3" s="1703" t="s">
        <v>918</v>
      </c>
      <c r="C3" s="1704"/>
      <c r="D3" s="1704"/>
      <c r="E3" s="1704"/>
      <c r="F3" s="1704"/>
      <c r="G3" s="284" t="s">
        <v>919</v>
      </c>
      <c r="H3" s="114"/>
      <c r="I3" s="115" t="s">
        <v>920</v>
      </c>
    </row>
    <row r="4" spans="1:11" ht="15" customHeight="1">
      <c r="A4" s="248"/>
      <c r="B4" s="117" t="s">
        <v>921</v>
      </c>
      <c r="C4" s="180" t="s">
        <v>922</v>
      </c>
      <c r="D4" s="143" t="s">
        <v>923</v>
      </c>
      <c r="E4" s="180" t="s">
        <v>924</v>
      </c>
      <c r="F4" s="143" t="s">
        <v>925</v>
      </c>
      <c r="G4" s="285" t="s">
        <v>1951</v>
      </c>
      <c r="H4" s="119" t="s">
        <v>45</v>
      </c>
      <c r="I4" s="180" t="s">
        <v>926</v>
      </c>
    </row>
    <row r="5" spans="1:11" ht="15" customHeight="1">
      <c r="A5" s="248"/>
      <c r="B5" s="117"/>
      <c r="C5" s="118" t="s">
        <v>927</v>
      </c>
      <c r="D5" s="117" t="s">
        <v>927</v>
      </c>
      <c r="E5" s="118" t="s">
        <v>927</v>
      </c>
      <c r="F5" s="143" t="s">
        <v>928</v>
      </c>
      <c r="G5" s="285"/>
      <c r="H5" s="119" t="s">
        <v>2313</v>
      </c>
      <c r="I5" s="180" t="s">
        <v>929</v>
      </c>
    </row>
    <row r="6" spans="1:11" ht="17.25" customHeight="1">
      <c r="A6" s="248"/>
      <c r="B6" s="117"/>
      <c r="C6" s="118"/>
      <c r="D6" s="117"/>
      <c r="E6" s="118"/>
      <c r="F6" s="143" t="s">
        <v>930</v>
      </c>
      <c r="G6" s="285"/>
      <c r="H6" s="119" t="s">
        <v>50</v>
      </c>
      <c r="I6" s="180" t="s">
        <v>937</v>
      </c>
    </row>
    <row r="7" spans="1:11" ht="13.5" customHeight="1">
      <c r="A7" s="249"/>
      <c r="B7" s="123"/>
      <c r="C7" s="122"/>
      <c r="D7" s="123"/>
      <c r="E7" s="122"/>
      <c r="F7" s="144"/>
      <c r="G7" s="286"/>
      <c r="H7" s="123"/>
      <c r="I7" s="183"/>
    </row>
    <row r="8" spans="1:11" ht="30" customHeight="1" thickBot="1">
      <c r="A8" s="268" t="s">
        <v>51</v>
      </c>
      <c r="B8" s="126">
        <v>195742</v>
      </c>
      <c r="C8" s="127">
        <v>33735</v>
      </c>
      <c r="D8" s="126">
        <v>14527</v>
      </c>
      <c r="E8" s="127">
        <v>13168</v>
      </c>
      <c r="F8" s="126">
        <v>6403</v>
      </c>
      <c r="G8" s="287">
        <v>263575</v>
      </c>
      <c r="H8" s="128">
        <v>1.3344662135145942E-2</v>
      </c>
      <c r="I8" s="185">
        <v>17856</v>
      </c>
      <c r="K8" s="129"/>
    </row>
    <row r="9" spans="1:11" ht="20" customHeight="1" thickBot="1">
      <c r="A9" s="272" t="s">
        <v>52</v>
      </c>
      <c r="B9" s="194">
        <v>82215</v>
      </c>
      <c r="C9" s="195">
        <v>23984</v>
      </c>
      <c r="D9" s="194">
        <v>11822</v>
      </c>
      <c r="E9" s="195">
        <v>15534</v>
      </c>
      <c r="F9" s="194">
        <v>9128</v>
      </c>
      <c r="G9" s="288">
        <v>142683</v>
      </c>
      <c r="H9" s="128">
        <v>-1.5599127939066123E-2</v>
      </c>
      <c r="I9" s="195">
        <v>13410</v>
      </c>
      <c r="K9" s="129"/>
    </row>
    <row r="10" spans="1:11" ht="20" customHeight="1" thickBot="1">
      <c r="A10" s="272" t="s">
        <v>53</v>
      </c>
      <c r="B10" s="194">
        <v>29226</v>
      </c>
      <c r="C10" s="195">
        <v>9734</v>
      </c>
      <c r="D10" s="194">
        <v>5055</v>
      </c>
      <c r="E10" s="195">
        <v>8135</v>
      </c>
      <c r="F10" s="194">
        <v>5582</v>
      </c>
      <c r="G10" s="288">
        <v>57732</v>
      </c>
      <c r="H10" s="128">
        <v>-6.7364543956576525E-2</v>
      </c>
      <c r="I10" s="195">
        <v>1796</v>
      </c>
      <c r="K10" s="129"/>
    </row>
    <row r="11" spans="1:11" ht="20" customHeight="1" thickBot="1">
      <c r="A11" s="272" t="s">
        <v>54</v>
      </c>
      <c r="B11" s="194">
        <v>2568</v>
      </c>
      <c r="C11" s="195">
        <v>1432</v>
      </c>
      <c r="D11" s="194">
        <v>574</v>
      </c>
      <c r="E11" s="195">
        <v>1047</v>
      </c>
      <c r="F11" s="194">
        <v>627</v>
      </c>
      <c r="G11" s="288">
        <v>6248</v>
      </c>
      <c r="H11" s="128">
        <v>4.9378569029224051E-2</v>
      </c>
      <c r="I11" s="195">
        <v>220</v>
      </c>
      <c r="K11" s="129"/>
    </row>
    <row r="12" spans="1:11" ht="20" customHeight="1" thickBot="1">
      <c r="A12" s="272" t="s">
        <v>55</v>
      </c>
      <c r="B12" s="194">
        <v>12603</v>
      </c>
      <c r="C12" s="195">
        <v>1297</v>
      </c>
      <c r="D12" s="194">
        <v>1452</v>
      </c>
      <c r="E12" s="195">
        <v>1896</v>
      </c>
      <c r="F12" s="194">
        <v>1178</v>
      </c>
      <c r="G12" s="288">
        <v>18426</v>
      </c>
      <c r="H12" s="128">
        <v>1.6831300700844324E-2</v>
      </c>
      <c r="I12" s="195">
        <v>1258</v>
      </c>
      <c r="K12" s="129"/>
    </row>
    <row r="13" spans="1:11" ht="20" customHeight="1" thickBot="1">
      <c r="A13" s="272" t="s">
        <v>56</v>
      </c>
      <c r="B13" s="194">
        <v>4558</v>
      </c>
      <c r="C13" s="195">
        <v>1769</v>
      </c>
      <c r="D13" s="194">
        <v>799</v>
      </c>
      <c r="E13" s="195">
        <v>1125</v>
      </c>
      <c r="F13" s="194">
        <v>525</v>
      </c>
      <c r="G13" s="288">
        <v>8776</v>
      </c>
      <c r="H13" s="128">
        <v>7.8530170824628237E-2</v>
      </c>
      <c r="I13" s="195">
        <v>402</v>
      </c>
      <c r="K13" s="129"/>
    </row>
    <row r="14" spans="1:11" ht="20" customHeight="1" thickBot="1">
      <c r="A14" s="272" t="s">
        <v>57</v>
      </c>
      <c r="B14" s="194">
        <v>4080</v>
      </c>
      <c r="C14" s="195">
        <v>1145</v>
      </c>
      <c r="D14" s="194">
        <v>441</v>
      </c>
      <c r="E14" s="195">
        <v>740</v>
      </c>
      <c r="F14" s="194">
        <v>385</v>
      </c>
      <c r="G14" s="288">
        <v>6791</v>
      </c>
      <c r="H14" s="128">
        <v>0.15611167858358871</v>
      </c>
      <c r="I14" s="195">
        <v>315</v>
      </c>
      <c r="K14" s="129"/>
    </row>
    <row r="15" spans="1:11" ht="20" customHeight="1" thickBot="1">
      <c r="A15" s="272" t="s">
        <v>58</v>
      </c>
      <c r="B15" s="194">
        <v>2274</v>
      </c>
      <c r="C15" s="195">
        <v>582</v>
      </c>
      <c r="D15" s="194">
        <v>332</v>
      </c>
      <c r="E15" s="195">
        <v>390</v>
      </c>
      <c r="F15" s="194">
        <v>306</v>
      </c>
      <c r="G15" s="288">
        <v>3884</v>
      </c>
      <c r="H15" s="128">
        <v>-0.2745610758311543</v>
      </c>
      <c r="I15" s="195">
        <v>320</v>
      </c>
      <c r="K15" s="129"/>
    </row>
    <row r="16" spans="1:11" ht="20" customHeight="1" thickBot="1">
      <c r="A16" s="272" t="s">
        <v>59</v>
      </c>
      <c r="B16" s="194">
        <v>9715</v>
      </c>
      <c r="C16" s="195">
        <v>2582</v>
      </c>
      <c r="D16" s="194">
        <v>1515</v>
      </c>
      <c r="E16" s="195">
        <v>2208</v>
      </c>
      <c r="F16" s="194">
        <v>870</v>
      </c>
      <c r="G16" s="288">
        <v>16890</v>
      </c>
      <c r="H16" s="128">
        <v>2.2830497184036819E-2</v>
      </c>
      <c r="I16" s="195">
        <v>831</v>
      </c>
      <c r="K16" s="129"/>
    </row>
    <row r="17" spans="1:11" ht="20" customHeight="1" thickBot="1">
      <c r="A17" s="272" t="s">
        <v>931</v>
      </c>
      <c r="B17" s="194">
        <v>18176</v>
      </c>
      <c r="C17" s="195">
        <v>6507</v>
      </c>
      <c r="D17" s="194">
        <v>3826</v>
      </c>
      <c r="E17" s="195">
        <v>4949</v>
      </c>
      <c r="F17" s="194">
        <v>3036</v>
      </c>
      <c r="G17" s="288">
        <v>36494</v>
      </c>
      <c r="H17" s="128">
        <v>-8.0187012422191419E-3</v>
      </c>
      <c r="I17" s="195">
        <v>4513</v>
      </c>
      <c r="K17" s="129"/>
    </row>
    <row r="18" spans="1:11" ht="20" customHeight="1" thickBot="1">
      <c r="A18" s="272" t="s">
        <v>932</v>
      </c>
      <c r="B18" s="194">
        <v>10805</v>
      </c>
      <c r="C18" s="195">
        <v>4394</v>
      </c>
      <c r="D18" s="194">
        <v>2696</v>
      </c>
      <c r="E18" s="195">
        <v>3938</v>
      </c>
      <c r="F18" s="194">
        <v>2378</v>
      </c>
      <c r="G18" s="288">
        <v>24211</v>
      </c>
      <c r="H18" s="128">
        <v>-6.5031859432322842E-2</v>
      </c>
      <c r="I18" s="195">
        <v>3275</v>
      </c>
      <c r="K18" s="129"/>
    </row>
    <row r="19" spans="1:11" ht="20" customHeight="1" thickBot="1">
      <c r="A19" s="272" t="s">
        <v>62</v>
      </c>
      <c r="B19" s="194">
        <v>23846</v>
      </c>
      <c r="C19" s="195">
        <v>5290</v>
      </c>
      <c r="D19" s="194">
        <v>2876</v>
      </c>
      <c r="E19" s="195">
        <v>2555</v>
      </c>
      <c r="F19" s="194">
        <v>1141</v>
      </c>
      <c r="G19" s="288">
        <v>35708</v>
      </c>
      <c r="H19" s="128">
        <v>0.16418883672404799</v>
      </c>
      <c r="I19" s="195">
        <v>2700</v>
      </c>
      <c r="K19" s="129"/>
    </row>
    <row r="20" spans="1:11" ht="20" customHeight="1" thickBot="1">
      <c r="A20" s="272" t="s">
        <v>63</v>
      </c>
      <c r="B20" s="147">
        <v>18901</v>
      </c>
      <c r="C20" s="204">
        <v>6095</v>
      </c>
      <c r="D20" s="194">
        <v>3838</v>
      </c>
      <c r="E20" s="195">
        <v>5490</v>
      </c>
      <c r="F20" s="147">
        <v>2323</v>
      </c>
      <c r="G20" s="289">
        <v>36647</v>
      </c>
      <c r="H20" s="128">
        <v>-0.18890266035146741</v>
      </c>
      <c r="I20" s="204">
        <v>3289</v>
      </c>
      <c r="K20" s="129"/>
    </row>
    <row r="21" spans="1:11" ht="20" customHeight="1" thickBot="1">
      <c r="A21" s="272" t="s">
        <v>64</v>
      </c>
      <c r="B21" s="194">
        <v>5227</v>
      </c>
      <c r="C21" s="195">
        <v>2044</v>
      </c>
      <c r="D21" s="194">
        <v>1109</v>
      </c>
      <c r="E21" s="195">
        <v>1678</v>
      </c>
      <c r="F21" s="194">
        <v>832</v>
      </c>
      <c r="G21" s="288">
        <v>10890</v>
      </c>
      <c r="H21" s="128">
        <v>6.1905201884874805E-3</v>
      </c>
      <c r="I21" s="195">
        <v>1082</v>
      </c>
      <c r="K21" s="129"/>
    </row>
    <row r="22" spans="1:11" ht="20" customHeight="1" thickBot="1">
      <c r="A22" s="272" t="s">
        <v>65</v>
      </c>
      <c r="B22" s="194">
        <v>2072</v>
      </c>
      <c r="C22" s="195">
        <v>778</v>
      </c>
      <c r="D22" s="194">
        <v>609</v>
      </c>
      <c r="E22" s="195">
        <v>1054</v>
      </c>
      <c r="F22" s="194">
        <v>815</v>
      </c>
      <c r="G22" s="288">
        <v>5328</v>
      </c>
      <c r="H22" s="128">
        <v>5.3380782918149468E-2</v>
      </c>
      <c r="I22" s="195">
        <v>742</v>
      </c>
      <c r="K22" s="129"/>
    </row>
    <row r="23" spans="1:11" ht="20" customHeight="1" thickBot="1">
      <c r="A23" s="272" t="s">
        <v>66</v>
      </c>
      <c r="B23" s="194">
        <v>1126</v>
      </c>
      <c r="C23" s="195">
        <v>542</v>
      </c>
      <c r="D23" s="194">
        <v>280</v>
      </c>
      <c r="E23" s="195">
        <v>492</v>
      </c>
      <c r="F23" s="194">
        <v>485</v>
      </c>
      <c r="G23" s="288">
        <v>2925</v>
      </c>
      <c r="H23" s="128">
        <v>0.35605006954102919</v>
      </c>
      <c r="I23" s="195">
        <v>103</v>
      </c>
      <c r="K23" s="129"/>
    </row>
    <row r="24" spans="1:11" ht="20" customHeight="1" thickBot="1">
      <c r="A24" s="272" t="s">
        <v>67</v>
      </c>
      <c r="B24" s="194">
        <v>25518</v>
      </c>
      <c r="C24" s="195">
        <v>11966</v>
      </c>
      <c r="D24" s="194">
        <v>5014</v>
      </c>
      <c r="E24" s="195">
        <v>8722</v>
      </c>
      <c r="F24" s="194">
        <v>6736</v>
      </c>
      <c r="G24" s="288">
        <v>57956</v>
      </c>
      <c r="H24" s="128">
        <v>-0.13453296498170686</v>
      </c>
      <c r="I24" s="195">
        <v>7053</v>
      </c>
      <c r="K24" s="129"/>
    </row>
    <row r="25" spans="1:11" ht="20" customHeight="1" thickBot="1">
      <c r="A25" s="272" t="s">
        <v>68</v>
      </c>
      <c r="B25" s="194">
        <v>16345</v>
      </c>
      <c r="C25" s="195">
        <v>4710</v>
      </c>
      <c r="D25" s="194">
        <v>2553</v>
      </c>
      <c r="E25" s="195">
        <v>3682</v>
      </c>
      <c r="F25" s="194">
        <v>1913</v>
      </c>
      <c r="G25" s="288">
        <v>29203</v>
      </c>
      <c r="H25" s="128">
        <v>-1.421145017553335E-2</v>
      </c>
      <c r="I25" s="195">
        <v>2346</v>
      </c>
      <c r="K25" s="129"/>
    </row>
    <row r="26" spans="1:11" ht="20" customHeight="1" thickBot="1">
      <c r="A26" s="272" t="s">
        <v>69</v>
      </c>
      <c r="B26" s="194">
        <v>23646</v>
      </c>
      <c r="C26" s="195">
        <v>10666</v>
      </c>
      <c r="D26" s="194">
        <v>6915</v>
      </c>
      <c r="E26" s="195">
        <v>10804</v>
      </c>
      <c r="F26" s="194">
        <v>5975</v>
      </c>
      <c r="G26" s="288">
        <v>58006</v>
      </c>
      <c r="H26" s="128">
        <v>2.5801545616920437E-2</v>
      </c>
      <c r="I26" s="195">
        <v>5066</v>
      </c>
      <c r="K26" s="129"/>
    </row>
    <row r="27" spans="1:11" ht="20" customHeight="1" thickBot="1">
      <c r="A27" s="272" t="s">
        <v>70</v>
      </c>
      <c r="B27" s="194">
        <v>31076</v>
      </c>
      <c r="C27" s="195">
        <v>12570</v>
      </c>
      <c r="D27" s="194">
        <v>4399</v>
      </c>
      <c r="E27" s="195">
        <v>2813</v>
      </c>
      <c r="F27" s="194">
        <v>1909</v>
      </c>
      <c r="G27" s="288">
        <v>52767</v>
      </c>
      <c r="H27" s="128">
        <v>-8.4049367286361504E-2</v>
      </c>
      <c r="I27" s="195">
        <v>2719</v>
      </c>
      <c r="K27" s="129"/>
    </row>
    <row r="28" spans="1:11" ht="20" customHeight="1" thickBot="1">
      <c r="A28" s="272" t="s">
        <v>71</v>
      </c>
      <c r="B28" s="194">
        <v>35298</v>
      </c>
      <c r="C28" s="195">
        <v>10246</v>
      </c>
      <c r="D28" s="194">
        <v>3498</v>
      </c>
      <c r="E28" s="195">
        <v>4217</v>
      </c>
      <c r="F28" s="194">
        <v>1943</v>
      </c>
      <c r="G28" s="288">
        <v>55202</v>
      </c>
      <c r="H28" s="128">
        <v>-8.5605433162166636E-2</v>
      </c>
      <c r="I28" s="195">
        <v>4365</v>
      </c>
      <c r="K28" s="129"/>
    </row>
    <row r="29" spans="1:11" ht="20" customHeight="1" thickBot="1">
      <c r="A29" s="272" t="s">
        <v>72</v>
      </c>
      <c r="B29" s="194">
        <v>45028</v>
      </c>
      <c r="C29" s="195">
        <v>13320</v>
      </c>
      <c r="D29" s="194">
        <v>7209</v>
      </c>
      <c r="E29" s="195">
        <v>7117</v>
      </c>
      <c r="F29" s="194">
        <v>3857</v>
      </c>
      <c r="G29" s="288">
        <v>76531</v>
      </c>
      <c r="H29" s="128">
        <v>2.2430930369262012E-2</v>
      </c>
      <c r="I29" s="195">
        <v>8674</v>
      </c>
      <c r="K29" s="129"/>
    </row>
    <row r="30" spans="1:11" ht="20" customHeight="1" thickBot="1">
      <c r="A30" s="272" t="s">
        <v>73</v>
      </c>
      <c r="B30" s="194">
        <v>34436</v>
      </c>
      <c r="C30" s="195">
        <v>6752</v>
      </c>
      <c r="D30" s="194">
        <v>3701</v>
      </c>
      <c r="E30" s="195">
        <v>5278</v>
      </c>
      <c r="F30" s="194">
        <v>2754</v>
      </c>
      <c r="G30" s="288">
        <v>52921</v>
      </c>
      <c r="H30" s="128">
        <v>0.19961464354527939</v>
      </c>
      <c r="I30" s="195">
        <v>4360</v>
      </c>
      <c r="K30" s="129"/>
    </row>
    <row r="31" spans="1:11" ht="20" customHeight="1" thickBot="1">
      <c r="A31" s="272" t="s">
        <v>74</v>
      </c>
      <c r="B31" s="194">
        <v>14603</v>
      </c>
      <c r="C31" s="195">
        <v>3029</v>
      </c>
      <c r="D31" s="194">
        <v>1573</v>
      </c>
      <c r="E31" s="195">
        <v>1395</v>
      </c>
      <c r="F31" s="194">
        <v>761</v>
      </c>
      <c r="G31" s="288">
        <v>21361</v>
      </c>
      <c r="H31" s="128">
        <v>-0.27194955691888206</v>
      </c>
      <c r="I31" s="195">
        <v>2026</v>
      </c>
      <c r="K31" s="129"/>
    </row>
    <row r="32" spans="1:11" ht="20" customHeight="1" thickBot="1">
      <c r="A32" s="272" t="s">
        <v>75</v>
      </c>
      <c r="B32" s="194">
        <v>54634</v>
      </c>
      <c r="C32" s="195">
        <v>16539</v>
      </c>
      <c r="D32" s="194">
        <v>8574</v>
      </c>
      <c r="E32" s="195">
        <v>5682</v>
      </c>
      <c r="F32" s="194">
        <v>2724</v>
      </c>
      <c r="G32" s="288">
        <v>88153</v>
      </c>
      <c r="H32" s="128">
        <v>-0.11668570512435118</v>
      </c>
      <c r="I32" s="195">
        <v>11237</v>
      </c>
      <c r="K32" s="129"/>
    </row>
    <row r="33" spans="1:11" ht="20" customHeight="1" thickBot="1">
      <c r="A33" s="272" t="s">
        <v>76</v>
      </c>
      <c r="B33" s="194">
        <v>8854</v>
      </c>
      <c r="C33" s="195">
        <v>1992</v>
      </c>
      <c r="D33" s="194">
        <v>781</v>
      </c>
      <c r="E33" s="195">
        <v>898</v>
      </c>
      <c r="F33" s="194">
        <v>842</v>
      </c>
      <c r="G33" s="288">
        <v>13367</v>
      </c>
      <c r="H33" s="128">
        <v>5.793829947328819E-3</v>
      </c>
      <c r="I33" s="195">
        <v>1324</v>
      </c>
      <c r="J33" s="9"/>
      <c r="K33" s="129"/>
    </row>
    <row r="34" spans="1:11" ht="30" customHeight="1" thickBot="1">
      <c r="A34" s="290" t="s">
        <v>1944</v>
      </c>
      <c r="B34" s="291">
        <v>712572</v>
      </c>
      <c r="C34" s="290">
        <v>193700</v>
      </c>
      <c r="D34" s="291">
        <v>95968</v>
      </c>
      <c r="E34" s="290">
        <v>115007</v>
      </c>
      <c r="F34" s="291">
        <v>65428</v>
      </c>
      <c r="G34" s="290">
        <v>1182675</v>
      </c>
      <c r="H34" s="135">
        <v>-2.7396629410298943E-2</v>
      </c>
      <c r="I34" s="290">
        <v>101282</v>
      </c>
      <c r="K34" s="129"/>
    </row>
    <row r="35" spans="1:11" ht="19.5" customHeight="1">
      <c r="A35" s="278" t="s">
        <v>966</v>
      </c>
      <c r="B35" s="279"/>
      <c r="C35" s="279"/>
      <c r="D35" s="279"/>
      <c r="E35" s="279"/>
      <c r="F35" s="279"/>
      <c r="G35" s="279"/>
      <c r="H35" s="279"/>
      <c r="I35" s="279"/>
    </row>
    <row r="36" spans="1:11" ht="13.5" customHeight="1">
      <c r="A36" s="280"/>
      <c r="B36" s="281"/>
      <c r="C36" s="281"/>
      <c r="D36" s="281"/>
      <c r="E36" s="281"/>
      <c r="F36" s="281"/>
      <c r="G36" s="281"/>
      <c r="H36" s="281"/>
      <c r="I36" s="281"/>
    </row>
    <row r="37" spans="1:11" ht="15.75" customHeight="1">
      <c r="A37" s="280" t="s">
        <v>933</v>
      </c>
      <c r="B37" s="281"/>
      <c r="C37" s="281"/>
      <c r="D37" s="281"/>
      <c r="E37" s="281"/>
      <c r="F37" s="281"/>
      <c r="G37" s="281"/>
      <c r="H37" s="281"/>
      <c r="I37" s="281"/>
    </row>
    <row r="38" spans="1:11" ht="13.5" customHeight="1">
      <c r="A38" s="280"/>
      <c r="B38" s="281"/>
      <c r="C38" s="281"/>
      <c r="D38" s="281"/>
      <c r="E38" s="281"/>
      <c r="F38" s="281"/>
      <c r="G38" s="281"/>
      <c r="H38" s="281"/>
      <c r="I38" s="281"/>
    </row>
    <row r="39" spans="1:11" ht="11.25" customHeight="1">
      <c r="A39" s="3" t="s">
        <v>934</v>
      </c>
      <c r="B39" s="281"/>
      <c r="C39" s="281"/>
      <c r="D39" s="281"/>
      <c r="E39" s="281"/>
      <c r="F39" s="281"/>
      <c r="G39" s="281"/>
      <c r="H39" s="281"/>
      <c r="I39" s="281"/>
    </row>
    <row r="40" spans="1:11">
      <c r="A40" s="41" t="s">
        <v>935</v>
      </c>
    </row>
    <row r="43" spans="1:11">
      <c r="A43" s="2" t="s">
        <v>1955</v>
      </c>
    </row>
  </sheetData>
  <mergeCells count="1">
    <mergeCell ref="B3:F3"/>
  </mergeCells>
  <phoneticPr fontId="0" type="noConversion"/>
  <pageMargins left="0.65" right="0.72" top="0.92" bottom="0.49" header="0.52" footer="0.4921259845"/>
  <pageSetup paperSize="9" scale="83" orientation="portrait" horizontalDpi="1200" verticalDpi="1200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0D4D-F0C0-CB44-9FCF-826226A16B1C}">
  <sheetPr>
    <pageSetUpPr fitToPage="1"/>
  </sheetPr>
  <dimension ref="A1:I42"/>
  <sheetViews>
    <sheetView topLeftCell="A2" zoomScale="75" workbookViewId="0">
      <selection activeCell="I8" sqref="I8"/>
    </sheetView>
  </sheetViews>
  <sheetFormatPr baseColWidth="10" defaultColWidth="11.3984375" defaultRowHeight="13"/>
  <cols>
    <col min="1" max="8" width="12.19921875" style="2" customWidth="1"/>
    <col min="9" max="9" width="13" style="2" customWidth="1"/>
    <col min="10" max="16384" width="11.3984375" style="2"/>
  </cols>
  <sheetData>
    <row r="1" spans="1:9" s="1" customFormat="1" ht="14" customHeight="1"/>
    <row r="2" spans="1:9" s="1" customFormat="1" ht="28" customHeight="1">
      <c r="A2" s="112" t="s">
        <v>953</v>
      </c>
      <c r="I2" s="265">
        <v>2006</v>
      </c>
    </row>
    <row r="3" spans="1:9" ht="24" customHeight="1">
      <c r="A3" s="113" t="s">
        <v>41</v>
      </c>
      <c r="B3" s="256" t="s">
        <v>938</v>
      </c>
      <c r="C3" s="115"/>
      <c r="D3" s="114"/>
      <c r="E3" s="113"/>
      <c r="F3" s="256"/>
      <c r="G3" s="115"/>
      <c r="H3" s="256"/>
      <c r="I3" s="284" t="s">
        <v>919</v>
      </c>
    </row>
    <row r="4" spans="1:9" ht="15" customHeight="1">
      <c r="A4" s="248"/>
      <c r="B4" s="117" t="s">
        <v>939</v>
      </c>
      <c r="C4" s="180" t="s">
        <v>940</v>
      </c>
      <c r="D4" s="143" t="s">
        <v>941</v>
      </c>
      <c r="E4" s="180" t="s">
        <v>942</v>
      </c>
      <c r="F4" s="143" t="s">
        <v>943</v>
      </c>
      <c r="G4" s="180" t="s">
        <v>944</v>
      </c>
      <c r="H4" s="143" t="s">
        <v>945</v>
      </c>
      <c r="I4" s="292" t="s">
        <v>1951</v>
      </c>
    </row>
    <row r="5" spans="1:9" ht="15" customHeight="1">
      <c r="A5" s="248"/>
      <c r="B5" s="117" t="s">
        <v>946</v>
      </c>
      <c r="C5" s="118" t="s">
        <v>947</v>
      </c>
      <c r="D5" s="117" t="s">
        <v>948</v>
      </c>
      <c r="E5" s="118" t="s">
        <v>949</v>
      </c>
      <c r="F5" s="143" t="s">
        <v>950</v>
      </c>
      <c r="G5" s="180" t="s">
        <v>950</v>
      </c>
      <c r="H5" s="143" t="s">
        <v>951</v>
      </c>
      <c r="I5" s="292"/>
    </row>
    <row r="6" spans="1:9" ht="15" customHeight="1">
      <c r="A6" s="248"/>
      <c r="B6" s="117"/>
      <c r="C6" s="118"/>
      <c r="D6" s="117"/>
      <c r="E6" s="118"/>
      <c r="F6" s="143"/>
      <c r="G6" s="180"/>
      <c r="H6" s="143" t="s">
        <v>952</v>
      </c>
      <c r="I6" s="292"/>
    </row>
    <row r="7" spans="1:9" ht="16" customHeight="1">
      <c r="A7" s="249"/>
      <c r="B7" s="123"/>
      <c r="C7" s="122"/>
      <c r="D7" s="123"/>
      <c r="E7" s="122"/>
      <c r="F7" s="144"/>
      <c r="G7" s="183"/>
      <c r="H7" s="144"/>
      <c r="I7" s="293"/>
    </row>
    <row r="8" spans="1:9" ht="30" customHeight="1" thickBot="1">
      <c r="A8" s="268" t="s">
        <v>51</v>
      </c>
      <c r="B8" s="126">
        <v>39722</v>
      </c>
      <c r="C8" s="127">
        <v>107560</v>
      </c>
      <c r="D8" s="126">
        <v>52716</v>
      </c>
      <c r="E8" s="127">
        <v>34072</v>
      </c>
      <c r="F8" s="126">
        <v>20817</v>
      </c>
      <c r="G8" s="127">
        <v>7848</v>
      </c>
      <c r="H8" s="126">
        <v>840</v>
      </c>
      <c r="I8" s="287">
        <v>263575</v>
      </c>
    </row>
    <row r="9" spans="1:9" ht="20" customHeight="1" thickBot="1">
      <c r="A9" s="272" t="s">
        <v>52</v>
      </c>
      <c r="B9" s="194">
        <v>37790</v>
      </c>
      <c r="C9" s="195">
        <v>34628</v>
      </c>
      <c r="D9" s="194">
        <v>41557</v>
      </c>
      <c r="E9" s="195">
        <v>14373</v>
      </c>
      <c r="F9" s="194">
        <v>9064</v>
      </c>
      <c r="G9" s="195">
        <v>5271</v>
      </c>
      <c r="H9" s="194" t="s">
        <v>967</v>
      </c>
      <c r="I9" s="288">
        <v>142683</v>
      </c>
    </row>
    <row r="10" spans="1:9" ht="20" customHeight="1" thickBot="1">
      <c r="A10" s="272" t="s">
        <v>53</v>
      </c>
      <c r="B10" s="194">
        <v>6736</v>
      </c>
      <c r="C10" s="195">
        <v>7619</v>
      </c>
      <c r="D10" s="194">
        <v>15872</v>
      </c>
      <c r="E10" s="195">
        <v>18902</v>
      </c>
      <c r="F10" s="194">
        <v>3759</v>
      </c>
      <c r="G10" s="195">
        <v>4844</v>
      </c>
      <c r="H10" s="194" t="s">
        <v>967</v>
      </c>
      <c r="I10" s="288">
        <v>57732</v>
      </c>
    </row>
    <row r="11" spans="1:9" ht="20" customHeight="1" thickBot="1">
      <c r="A11" s="272" t="s">
        <v>54</v>
      </c>
      <c r="B11" s="194">
        <v>987</v>
      </c>
      <c r="C11" s="195">
        <v>1050</v>
      </c>
      <c r="D11" s="194">
        <v>1595</v>
      </c>
      <c r="E11" s="195">
        <v>1823</v>
      </c>
      <c r="F11" s="194">
        <v>382</v>
      </c>
      <c r="G11" s="195">
        <v>411</v>
      </c>
      <c r="H11" s="194" t="s">
        <v>967</v>
      </c>
      <c r="I11" s="288">
        <v>6248</v>
      </c>
    </row>
    <row r="12" spans="1:9" ht="20" customHeight="1" thickBot="1">
      <c r="A12" s="272" t="s">
        <v>55</v>
      </c>
      <c r="B12" s="194">
        <v>1268</v>
      </c>
      <c r="C12" s="195">
        <v>2101</v>
      </c>
      <c r="D12" s="194">
        <v>6187</v>
      </c>
      <c r="E12" s="195">
        <v>2217</v>
      </c>
      <c r="F12" s="194">
        <v>1428</v>
      </c>
      <c r="G12" s="195">
        <v>1032</v>
      </c>
      <c r="H12" s="194">
        <v>4193</v>
      </c>
      <c r="I12" s="288">
        <v>18426</v>
      </c>
    </row>
    <row r="13" spans="1:9" ht="20" customHeight="1" thickBot="1">
      <c r="A13" s="272" t="s">
        <v>56</v>
      </c>
      <c r="B13" s="194">
        <v>1382</v>
      </c>
      <c r="C13" s="195">
        <v>1897</v>
      </c>
      <c r="D13" s="194">
        <v>3378</v>
      </c>
      <c r="E13" s="195">
        <v>1362</v>
      </c>
      <c r="F13" s="194">
        <v>549</v>
      </c>
      <c r="G13" s="195">
        <v>208</v>
      </c>
      <c r="H13" s="194" t="s">
        <v>967</v>
      </c>
      <c r="I13" s="288">
        <v>8776</v>
      </c>
    </row>
    <row r="14" spans="1:9" ht="20" customHeight="1" thickBot="1">
      <c r="A14" s="272" t="s">
        <v>57</v>
      </c>
      <c r="B14" s="194">
        <v>1387</v>
      </c>
      <c r="C14" s="195">
        <v>1840</v>
      </c>
      <c r="D14" s="194">
        <v>2768</v>
      </c>
      <c r="E14" s="195">
        <v>606</v>
      </c>
      <c r="F14" s="194">
        <v>115</v>
      </c>
      <c r="G14" s="195">
        <v>75</v>
      </c>
      <c r="H14" s="194" t="s">
        <v>967</v>
      </c>
      <c r="I14" s="288">
        <v>6791</v>
      </c>
    </row>
    <row r="15" spans="1:9" ht="20" customHeight="1" thickBot="1">
      <c r="A15" s="272" t="s">
        <v>58</v>
      </c>
      <c r="B15" s="194">
        <v>760</v>
      </c>
      <c r="C15" s="195">
        <v>695</v>
      </c>
      <c r="D15" s="194">
        <v>1325</v>
      </c>
      <c r="E15" s="195">
        <v>646</v>
      </c>
      <c r="F15" s="194">
        <v>204</v>
      </c>
      <c r="G15" s="195">
        <v>254</v>
      </c>
      <c r="H15" s="194" t="s">
        <v>967</v>
      </c>
      <c r="I15" s="288">
        <v>3884</v>
      </c>
    </row>
    <row r="16" spans="1:9" ht="20" customHeight="1" thickBot="1">
      <c r="A16" s="272" t="s">
        <v>59</v>
      </c>
      <c r="B16" s="194">
        <v>2346</v>
      </c>
      <c r="C16" s="195">
        <v>2385</v>
      </c>
      <c r="D16" s="194">
        <v>7214</v>
      </c>
      <c r="E16" s="195">
        <v>3004</v>
      </c>
      <c r="F16" s="194">
        <v>1037</v>
      </c>
      <c r="G16" s="195">
        <v>904</v>
      </c>
      <c r="H16" s="194" t="s">
        <v>967</v>
      </c>
      <c r="I16" s="288">
        <v>16890</v>
      </c>
    </row>
    <row r="17" spans="1:9" ht="20" customHeight="1" thickBot="1">
      <c r="A17" s="272" t="s">
        <v>60</v>
      </c>
      <c r="B17" s="194">
        <v>706</v>
      </c>
      <c r="C17" s="195">
        <v>5553</v>
      </c>
      <c r="D17" s="194">
        <v>14695</v>
      </c>
      <c r="E17" s="195">
        <v>8485</v>
      </c>
      <c r="F17" s="194">
        <v>3619</v>
      </c>
      <c r="G17" s="195">
        <v>3436</v>
      </c>
      <c r="H17" s="194" t="s">
        <v>967</v>
      </c>
      <c r="I17" s="288">
        <v>36494</v>
      </c>
    </row>
    <row r="18" spans="1:9" ht="20" customHeight="1" thickBot="1">
      <c r="A18" s="272" t="s">
        <v>61</v>
      </c>
      <c r="B18" s="194">
        <v>1988</v>
      </c>
      <c r="C18" s="195">
        <v>4692</v>
      </c>
      <c r="D18" s="194">
        <v>8198</v>
      </c>
      <c r="E18" s="195">
        <v>5948</v>
      </c>
      <c r="F18" s="194">
        <v>1862</v>
      </c>
      <c r="G18" s="195">
        <v>1523</v>
      </c>
      <c r="H18" s="194" t="s">
        <v>967</v>
      </c>
      <c r="I18" s="288">
        <v>24211</v>
      </c>
    </row>
    <row r="19" spans="1:9" ht="20" customHeight="1" thickBot="1">
      <c r="A19" s="272" t="s">
        <v>62</v>
      </c>
      <c r="B19" s="194">
        <v>5317</v>
      </c>
      <c r="C19" s="195">
        <v>3547</v>
      </c>
      <c r="D19" s="194">
        <v>5444</v>
      </c>
      <c r="E19" s="195">
        <v>5160</v>
      </c>
      <c r="F19" s="194">
        <v>5368</v>
      </c>
      <c r="G19" s="195">
        <v>10816</v>
      </c>
      <c r="H19" s="194">
        <v>56</v>
      </c>
      <c r="I19" s="288">
        <v>35708</v>
      </c>
    </row>
    <row r="20" spans="1:9" ht="20" customHeight="1" thickBot="1">
      <c r="A20" s="272" t="s">
        <v>63</v>
      </c>
      <c r="B20" s="147">
        <v>4958</v>
      </c>
      <c r="C20" s="204">
        <v>8201</v>
      </c>
      <c r="D20" s="194">
        <v>17823</v>
      </c>
      <c r="E20" s="195">
        <v>3457</v>
      </c>
      <c r="F20" s="147">
        <v>1563</v>
      </c>
      <c r="G20" s="204">
        <v>645</v>
      </c>
      <c r="H20" s="147" t="s">
        <v>967</v>
      </c>
      <c r="I20" s="288">
        <v>36647</v>
      </c>
    </row>
    <row r="21" spans="1:9" ht="20" customHeight="1" thickBot="1">
      <c r="A21" s="272" t="s">
        <v>64</v>
      </c>
      <c r="B21" s="194">
        <v>1346</v>
      </c>
      <c r="C21" s="195">
        <v>1434</v>
      </c>
      <c r="D21" s="194">
        <v>4770</v>
      </c>
      <c r="E21" s="195">
        <v>1647</v>
      </c>
      <c r="F21" s="194">
        <v>897</v>
      </c>
      <c r="G21" s="195">
        <v>796</v>
      </c>
      <c r="H21" s="194" t="s">
        <v>967</v>
      </c>
      <c r="I21" s="288">
        <v>10890</v>
      </c>
    </row>
    <row r="22" spans="1:9" ht="20" customHeight="1" thickBot="1">
      <c r="A22" s="272" t="s">
        <v>65</v>
      </c>
      <c r="B22" s="194">
        <v>297</v>
      </c>
      <c r="C22" s="195">
        <v>348</v>
      </c>
      <c r="D22" s="194">
        <v>782</v>
      </c>
      <c r="E22" s="195">
        <v>1958</v>
      </c>
      <c r="F22" s="194">
        <v>578</v>
      </c>
      <c r="G22" s="195">
        <v>1365</v>
      </c>
      <c r="H22" s="194" t="s">
        <v>967</v>
      </c>
      <c r="I22" s="288">
        <v>5328</v>
      </c>
    </row>
    <row r="23" spans="1:9" ht="20" customHeight="1" thickBot="1">
      <c r="A23" s="272" t="s">
        <v>66</v>
      </c>
      <c r="B23" s="194">
        <v>661</v>
      </c>
      <c r="C23" s="195">
        <v>523</v>
      </c>
      <c r="D23" s="194">
        <v>568</v>
      </c>
      <c r="E23" s="195">
        <v>765</v>
      </c>
      <c r="F23" s="194">
        <v>79</v>
      </c>
      <c r="G23" s="195">
        <v>329</v>
      </c>
      <c r="H23" s="194" t="s">
        <v>967</v>
      </c>
      <c r="I23" s="288">
        <v>2925</v>
      </c>
    </row>
    <row r="24" spans="1:9" ht="20" customHeight="1" thickBot="1">
      <c r="A24" s="272" t="s">
        <v>67</v>
      </c>
      <c r="B24" s="194">
        <v>10152</v>
      </c>
      <c r="C24" s="195">
        <v>8025</v>
      </c>
      <c r="D24" s="194">
        <v>29606</v>
      </c>
      <c r="E24" s="195">
        <v>5440</v>
      </c>
      <c r="F24" s="194">
        <v>2488</v>
      </c>
      <c r="G24" s="195">
        <v>2245</v>
      </c>
      <c r="H24" s="194" t="s">
        <v>967</v>
      </c>
      <c r="I24" s="288">
        <v>57956</v>
      </c>
    </row>
    <row r="25" spans="1:9" ht="20" customHeight="1" thickBot="1">
      <c r="A25" s="272" t="s">
        <v>68</v>
      </c>
      <c r="B25" s="194">
        <v>3445</v>
      </c>
      <c r="C25" s="195">
        <v>4820</v>
      </c>
      <c r="D25" s="194">
        <v>8018</v>
      </c>
      <c r="E25" s="195">
        <v>8866</v>
      </c>
      <c r="F25" s="194">
        <v>2053</v>
      </c>
      <c r="G25" s="195">
        <v>2001</v>
      </c>
      <c r="H25" s="194" t="s">
        <v>967</v>
      </c>
      <c r="I25" s="288">
        <v>29203</v>
      </c>
    </row>
    <row r="26" spans="1:9" ht="20" customHeight="1" thickBot="1">
      <c r="A26" s="272" t="s">
        <v>69</v>
      </c>
      <c r="B26" s="194">
        <v>5970</v>
      </c>
      <c r="C26" s="195">
        <v>7679</v>
      </c>
      <c r="D26" s="194">
        <v>15926</v>
      </c>
      <c r="E26" s="195">
        <v>17813</v>
      </c>
      <c r="F26" s="194">
        <v>4729</v>
      </c>
      <c r="G26" s="195">
        <v>5889</v>
      </c>
      <c r="H26" s="194" t="s">
        <v>967</v>
      </c>
      <c r="I26" s="288">
        <v>58006</v>
      </c>
    </row>
    <row r="27" spans="1:9" ht="20" customHeight="1" thickBot="1">
      <c r="A27" s="272" t="s">
        <v>70</v>
      </c>
      <c r="B27" s="194">
        <v>6562</v>
      </c>
      <c r="C27" s="195">
        <v>12531</v>
      </c>
      <c r="D27" s="194">
        <v>25971</v>
      </c>
      <c r="E27" s="195">
        <v>6101</v>
      </c>
      <c r="F27" s="194">
        <v>1326</v>
      </c>
      <c r="G27" s="195">
        <v>276</v>
      </c>
      <c r="H27" s="194" t="s">
        <v>967</v>
      </c>
      <c r="I27" s="288">
        <v>52767</v>
      </c>
    </row>
    <row r="28" spans="1:9" ht="20" customHeight="1" thickBot="1">
      <c r="A28" s="272" t="s">
        <v>71</v>
      </c>
      <c r="B28" s="194">
        <v>2423</v>
      </c>
      <c r="C28" s="195">
        <v>4266</v>
      </c>
      <c r="D28" s="194">
        <v>9809</v>
      </c>
      <c r="E28" s="195">
        <v>26751</v>
      </c>
      <c r="F28" s="194">
        <v>3371</v>
      </c>
      <c r="G28" s="195">
        <v>8582</v>
      </c>
      <c r="H28" s="194" t="s">
        <v>967</v>
      </c>
      <c r="I28" s="288">
        <v>55202</v>
      </c>
    </row>
    <row r="29" spans="1:9" ht="20" customHeight="1" thickBot="1">
      <c r="A29" s="272" t="s">
        <v>72</v>
      </c>
      <c r="B29" s="194">
        <v>6161</v>
      </c>
      <c r="C29" s="195">
        <v>4986</v>
      </c>
      <c r="D29" s="194">
        <v>9399</v>
      </c>
      <c r="E29" s="195">
        <v>12333</v>
      </c>
      <c r="F29" s="194">
        <v>27875</v>
      </c>
      <c r="G29" s="195">
        <v>15777</v>
      </c>
      <c r="H29" s="194" t="s">
        <v>967</v>
      </c>
      <c r="I29" s="288">
        <v>76531</v>
      </c>
    </row>
    <row r="30" spans="1:9" ht="20" customHeight="1" thickBot="1">
      <c r="A30" s="272" t="s">
        <v>73</v>
      </c>
      <c r="B30" s="194">
        <v>846</v>
      </c>
      <c r="C30" s="195">
        <v>5500</v>
      </c>
      <c r="D30" s="194">
        <v>18469</v>
      </c>
      <c r="E30" s="195">
        <v>18653</v>
      </c>
      <c r="F30" s="194">
        <v>3801</v>
      </c>
      <c r="G30" s="195">
        <v>5652</v>
      </c>
      <c r="H30" s="194" t="s">
        <v>967</v>
      </c>
      <c r="I30" s="288">
        <v>52921</v>
      </c>
    </row>
    <row r="31" spans="1:9" ht="20" customHeight="1" thickBot="1">
      <c r="A31" s="272" t="s">
        <v>74</v>
      </c>
      <c r="B31" s="194">
        <v>4619</v>
      </c>
      <c r="C31" s="195">
        <v>1500</v>
      </c>
      <c r="D31" s="194">
        <v>2156</v>
      </c>
      <c r="E31" s="195">
        <v>2230</v>
      </c>
      <c r="F31" s="194">
        <v>7890</v>
      </c>
      <c r="G31" s="195">
        <v>2966</v>
      </c>
      <c r="H31" s="194" t="s">
        <v>967</v>
      </c>
      <c r="I31" s="288">
        <v>21361</v>
      </c>
    </row>
    <row r="32" spans="1:9" ht="20" customHeight="1" thickBot="1">
      <c r="A32" s="272" t="s">
        <v>75</v>
      </c>
      <c r="B32" s="194">
        <v>24395</v>
      </c>
      <c r="C32" s="195">
        <v>12338</v>
      </c>
      <c r="D32" s="194">
        <v>9477</v>
      </c>
      <c r="E32" s="195">
        <v>8596</v>
      </c>
      <c r="F32" s="194">
        <v>17805</v>
      </c>
      <c r="G32" s="195">
        <v>6695</v>
      </c>
      <c r="H32" s="194">
        <v>8847</v>
      </c>
      <c r="I32" s="288">
        <v>88153</v>
      </c>
    </row>
    <row r="33" spans="1:9" ht="20" customHeight="1" thickBot="1">
      <c r="A33" s="272" t="s">
        <v>76</v>
      </c>
      <c r="B33" s="194">
        <v>2678</v>
      </c>
      <c r="C33" s="195">
        <v>2291</v>
      </c>
      <c r="D33" s="194">
        <v>3440</v>
      </c>
      <c r="E33" s="195">
        <v>1112</v>
      </c>
      <c r="F33" s="194">
        <v>2842</v>
      </c>
      <c r="G33" s="195">
        <v>1004</v>
      </c>
      <c r="H33" s="194" t="s">
        <v>967</v>
      </c>
      <c r="I33" s="288">
        <v>13367</v>
      </c>
    </row>
    <row r="34" spans="1:9" ht="30" customHeight="1" thickBot="1">
      <c r="A34" s="290" t="s">
        <v>1944</v>
      </c>
      <c r="B34" s="291">
        <v>174902</v>
      </c>
      <c r="C34" s="290">
        <v>248009</v>
      </c>
      <c r="D34" s="291">
        <v>317163</v>
      </c>
      <c r="E34" s="290">
        <v>212320</v>
      </c>
      <c r="F34" s="291">
        <v>125501</v>
      </c>
      <c r="G34" s="290">
        <v>90844</v>
      </c>
      <c r="H34" s="291">
        <v>13936</v>
      </c>
      <c r="I34" s="290">
        <v>1182675</v>
      </c>
    </row>
    <row r="35" spans="1:9" ht="20" customHeight="1">
      <c r="A35" s="278" t="s">
        <v>966</v>
      </c>
      <c r="B35" s="279"/>
      <c r="C35" s="279"/>
      <c r="D35" s="279"/>
      <c r="E35" s="279"/>
      <c r="F35" s="279"/>
      <c r="G35" s="279"/>
      <c r="H35" s="279"/>
      <c r="I35" s="279"/>
    </row>
    <row r="36" spans="1:9" ht="14.25" customHeight="1">
      <c r="A36" s="280"/>
      <c r="B36" s="281"/>
      <c r="C36" s="281"/>
      <c r="D36" s="281"/>
      <c r="E36" s="281"/>
      <c r="F36" s="281"/>
      <c r="G36" s="281"/>
      <c r="H36" s="281"/>
      <c r="I36" s="281"/>
    </row>
    <row r="37" spans="1:9" ht="20" customHeight="1">
      <c r="A37" s="280" t="s">
        <v>933</v>
      </c>
      <c r="B37" s="281"/>
      <c r="C37" s="281"/>
      <c r="D37" s="281"/>
      <c r="E37" s="281"/>
      <c r="F37" s="281"/>
      <c r="G37" s="281"/>
      <c r="H37" s="281"/>
      <c r="I37" s="281"/>
    </row>
    <row r="38" spans="1:9" ht="13.5" customHeight="1">
      <c r="A38" s="280"/>
      <c r="B38" s="281"/>
      <c r="C38" s="281"/>
      <c r="D38" s="281"/>
      <c r="E38" s="281"/>
      <c r="F38" s="281"/>
      <c r="G38" s="281"/>
      <c r="H38" s="281"/>
      <c r="I38" s="281"/>
    </row>
    <row r="39" spans="1:9" ht="11.25" customHeight="1">
      <c r="A39" s="3" t="s">
        <v>934</v>
      </c>
      <c r="B39" s="281"/>
      <c r="C39" s="281"/>
      <c r="D39" s="281"/>
      <c r="E39" s="281"/>
      <c r="F39" s="281"/>
      <c r="G39" s="281"/>
      <c r="H39" s="281"/>
      <c r="I39" s="281"/>
    </row>
    <row r="40" spans="1:9" ht="11.25" customHeight="1">
      <c r="A40" s="3"/>
      <c r="B40" s="281"/>
      <c r="C40" s="281"/>
      <c r="D40" s="281"/>
      <c r="E40" s="281"/>
      <c r="F40" s="281"/>
      <c r="G40" s="281"/>
      <c r="H40" s="281"/>
      <c r="I40" s="281"/>
    </row>
    <row r="41" spans="1:9" ht="11.25" customHeight="1">
      <c r="A41" s="3"/>
      <c r="B41" s="281"/>
      <c r="C41" s="281"/>
      <c r="D41" s="281"/>
      <c r="E41" s="281"/>
      <c r="F41" s="281"/>
      <c r="G41" s="281"/>
      <c r="H41" s="281"/>
      <c r="I41" s="281"/>
    </row>
    <row r="42" spans="1:9">
      <c r="A42" s="294" t="s">
        <v>1955</v>
      </c>
    </row>
  </sheetData>
  <phoneticPr fontId="0" type="noConversion"/>
  <pageMargins left="0.6" right="0.69" top="0.83" bottom="0.49" header="0.51" footer="0.4921259845"/>
  <pageSetup paperSize="9" scale="81" orientation="portrait" horizontalDpi="4294967292" verticalDpi="4294967292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69FC-CC43-444B-9191-F3652B47BE11}">
  <sheetPr>
    <pageSetUpPr fitToPage="1"/>
  </sheetPr>
  <dimension ref="A1:I42"/>
  <sheetViews>
    <sheetView topLeftCell="A21" zoomScale="75" workbookViewId="0">
      <selection activeCell="A33" sqref="A33"/>
    </sheetView>
  </sheetViews>
  <sheetFormatPr baseColWidth="10" defaultColWidth="11.3984375" defaultRowHeight="13"/>
  <cols>
    <col min="1" max="9" width="13.3984375" style="2" customWidth="1"/>
    <col min="10" max="10" width="16.19921875" style="2" customWidth="1"/>
    <col min="11" max="16384" width="11.3984375" style="2"/>
  </cols>
  <sheetData>
    <row r="1" spans="1:9" s="1" customFormat="1" ht="14" customHeight="1"/>
    <row r="2" spans="1:9" s="1" customFormat="1" ht="28" customHeight="1">
      <c r="A2" s="112" t="s">
        <v>965</v>
      </c>
      <c r="I2" s="265">
        <v>2006</v>
      </c>
    </row>
    <row r="3" spans="1:9" ht="24" customHeight="1">
      <c r="A3" s="113" t="s">
        <v>41</v>
      </c>
      <c r="B3" s="256"/>
      <c r="C3" s="115"/>
      <c r="D3" s="256" t="s">
        <v>954</v>
      </c>
      <c r="E3" s="113"/>
      <c r="F3" s="256"/>
      <c r="G3" s="115"/>
      <c r="H3" s="256"/>
      <c r="I3" s="115"/>
    </row>
    <row r="4" spans="1:9" ht="15" customHeight="1">
      <c r="A4" s="248"/>
      <c r="B4" s="295" t="s">
        <v>955</v>
      </c>
      <c r="C4" s="180"/>
      <c r="D4" s="143"/>
      <c r="E4" s="180"/>
      <c r="F4" s="296" t="s">
        <v>956</v>
      </c>
      <c r="G4" s="180"/>
      <c r="H4" s="143"/>
      <c r="I4" s="118"/>
    </row>
    <row r="5" spans="1:9" ht="15" customHeight="1">
      <c r="A5" s="248"/>
      <c r="B5" s="117" t="s">
        <v>957</v>
      </c>
      <c r="C5" s="118" t="s">
        <v>958</v>
      </c>
      <c r="D5" s="117" t="s">
        <v>959</v>
      </c>
      <c r="E5" s="118" t="s">
        <v>960</v>
      </c>
      <c r="F5" s="143" t="s">
        <v>957</v>
      </c>
      <c r="G5" s="180" t="s">
        <v>958</v>
      </c>
      <c r="H5" s="143" t="s">
        <v>959</v>
      </c>
      <c r="I5" s="118" t="s">
        <v>960</v>
      </c>
    </row>
    <row r="6" spans="1:9" ht="31" customHeight="1">
      <c r="A6" s="249"/>
      <c r="B6" s="123" t="s">
        <v>42</v>
      </c>
      <c r="C6" s="122"/>
      <c r="D6" s="123"/>
      <c r="E6" s="122"/>
      <c r="F6" s="144" t="s">
        <v>42</v>
      </c>
      <c r="G6" s="183"/>
      <c r="H6" s="144"/>
      <c r="I6" s="122"/>
    </row>
    <row r="7" spans="1:9" ht="30" customHeight="1" thickBot="1">
      <c r="A7" s="297" t="s">
        <v>51</v>
      </c>
      <c r="B7" s="184">
        <v>36000</v>
      </c>
      <c r="C7" s="185">
        <v>47500</v>
      </c>
      <c r="D7" s="184">
        <v>47500</v>
      </c>
      <c r="E7" s="185">
        <v>47500</v>
      </c>
      <c r="F7" s="298">
        <v>47500</v>
      </c>
      <c r="G7" s="185">
        <v>47500</v>
      </c>
      <c r="H7" s="184">
        <v>47500</v>
      </c>
      <c r="I7" s="185">
        <v>47500</v>
      </c>
    </row>
    <row r="8" spans="1:9" ht="20" customHeight="1" thickBot="1">
      <c r="A8" s="272" t="s">
        <v>52</v>
      </c>
      <c r="B8" s="194">
        <v>35200</v>
      </c>
      <c r="C8" s="195">
        <v>47200</v>
      </c>
      <c r="D8" s="194">
        <v>55700</v>
      </c>
      <c r="E8" s="195">
        <v>64200</v>
      </c>
      <c r="F8" s="299">
        <v>49000</v>
      </c>
      <c r="G8" s="195">
        <v>57500</v>
      </c>
      <c r="H8" s="194">
        <v>66000</v>
      </c>
      <c r="I8" s="195">
        <v>74500</v>
      </c>
    </row>
    <row r="9" spans="1:9" ht="20" customHeight="1" thickBot="1">
      <c r="A9" s="272" t="s">
        <v>53</v>
      </c>
      <c r="B9" s="194">
        <v>27235</v>
      </c>
      <c r="C9" s="195">
        <v>34122</v>
      </c>
      <c r="D9" s="194">
        <v>41009</v>
      </c>
      <c r="E9" s="195">
        <v>47896</v>
      </c>
      <c r="F9" s="299">
        <v>54991</v>
      </c>
      <c r="G9" s="195">
        <v>61878</v>
      </c>
      <c r="H9" s="194">
        <v>68765</v>
      </c>
      <c r="I9" s="195">
        <v>75652</v>
      </c>
    </row>
    <row r="10" spans="1:9" ht="20" customHeight="1" thickBot="1">
      <c r="A10" s="272" t="s">
        <v>54</v>
      </c>
      <c r="B10" s="194">
        <v>27200</v>
      </c>
      <c r="C10" s="195">
        <v>34600</v>
      </c>
      <c r="D10" s="194">
        <v>42100</v>
      </c>
      <c r="E10" s="195">
        <v>49500</v>
      </c>
      <c r="F10" s="299">
        <v>54400</v>
      </c>
      <c r="G10" s="195">
        <v>61800</v>
      </c>
      <c r="H10" s="194">
        <v>65000</v>
      </c>
      <c r="I10" s="195">
        <v>65000</v>
      </c>
    </row>
    <row r="11" spans="1:9" ht="20" customHeight="1" thickBot="1">
      <c r="A11" s="272" t="s">
        <v>55</v>
      </c>
      <c r="B11" s="194">
        <v>29760</v>
      </c>
      <c r="C11" s="195">
        <v>48000</v>
      </c>
      <c r="D11" s="194">
        <v>54000</v>
      </c>
      <c r="E11" s="195">
        <v>64000</v>
      </c>
      <c r="F11" s="299">
        <v>42000</v>
      </c>
      <c r="G11" s="195">
        <v>72000</v>
      </c>
      <c r="H11" s="194">
        <v>78000</v>
      </c>
      <c r="I11" s="195">
        <v>82000</v>
      </c>
    </row>
    <row r="12" spans="1:9" ht="20" customHeight="1" thickBot="1">
      <c r="A12" s="272" t="s">
        <v>56</v>
      </c>
      <c r="B12" s="194">
        <v>36100</v>
      </c>
      <c r="C12" s="195">
        <v>45300</v>
      </c>
      <c r="D12" s="194">
        <v>54600</v>
      </c>
      <c r="E12" s="195">
        <v>63800</v>
      </c>
      <c r="F12" s="299">
        <v>73600</v>
      </c>
      <c r="G12" s="195">
        <v>82900</v>
      </c>
      <c r="H12" s="194">
        <v>92100</v>
      </c>
      <c r="I12" s="195">
        <v>101400</v>
      </c>
    </row>
    <row r="13" spans="1:9" ht="20" customHeight="1" thickBot="1">
      <c r="A13" s="272" t="s">
        <v>57</v>
      </c>
      <c r="B13" s="194">
        <v>31650</v>
      </c>
      <c r="C13" s="195">
        <v>39650</v>
      </c>
      <c r="D13" s="194">
        <v>47650</v>
      </c>
      <c r="E13" s="195">
        <v>55650</v>
      </c>
      <c r="F13" s="299">
        <v>63300</v>
      </c>
      <c r="G13" s="195">
        <v>71300</v>
      </c>
      <c r="H13" s="194">
        <v>79300</v>
      </c>
      <c r="I13" s="195">
        <v>87300</v>
      </c>
    </row>
    <row r="14" spans="1:9" ht="20" customHeight="1" thickBot="1">
      <c r="A14" s="272" t="s">
        <v>58</v>
      </c>
      <c r="B14" s="194">
        <v>33200</v>
      </c>
      <c r="C14" s="195">
        <v>40100</v>
      </c>
      <c r="D14" s="194">
        <v>44600</v>
      </c>
      <c r="E14" s="195">
        <v>50100</v>
      </c>
      <c r="F14" s="299">
        <v>50100</v>
      </c>
      <c r="G14" s="195">
        <v>60100</v>
      </c>
      <c r="H14" s="194">
        <v>62100</v>
      </c>
      <c r="I14" s="195">
        <v>68200</v>
      </c>
    </row>
    <row r="15" spans="1:9" ht="20" customHeight="1" thickBot="1">
      <c r="A15" s="272" t="s">
        <v>59</v>
      </c>
      <c r="B15" s="194">
        <v>36400</v>
      </c>
      <c r="C15" s="195">
        <v>45500</v>
      </c>
      <c r="D15" s="194">
        <v>54700</v>
      </c>
      <c r="E15" s="195">
        <v>63800</v>
      </c>
      <c r="F15" s="299">
        <v>73400</v>
      </c>
      <c r="G15" s="195">
        <v>82600</v>
      </c>
      <c r="H15" s="194">
        <v>91700</v>
      </c>
      <c r="I15" s="195">
        <v>100900</v>
      </c>
    </row>
    <row r="16" spans="1:9" ht="20" customHeight="1" thickBot="1">
      <c r="A16" s="272" t="s">
        <v>60</v>
      </c>
      <c r="B16" s="194">
        <v>37400</v>
      </c>
      <c r="C16" s="195">
        <v>55900</v>
      </c>
      <c r="D16" s="194">
        <v>65900</v>
      </c>
      <c r="E16" s="195">
        <v>75900</v>
      </c>
      <c r="F16" s="299">
        <v>55400</v>
      </c>
      <c r="G16" s="195">
        <v>65400</v>
      </c>
      <c r="H16" s="194">
        <v>75400</v>
      </c>
      <c r="I16" s="195">
        <v>85400</v>
      </c>
    </row>
    <row r="17" spans="1:9" ht="20" customHeight="1" thickBot="1">
      <c r="A17" s="272" t="s">
        <v>61</v>
      </c>
      <c r="B17" s="194">
        <v>27900</v>
      </c>
      <c r="C17" s="195">
        <v>37300</v>
      </c>
      <c r="D17" s="194">
        <v>45700</v>
      </c>
      <c r="E17" s="195">
        <v>54100</v>
      </c>
      <c r="F17" s="299">
        <v>47900</v>
      </c>
      <c r="G17" s="195">
        <v>55300</v>
      </c>
      <c r="H17" s="194">
        <v>62700</v>
      </c>
      <c r="I17" s="195">
        <v>69100</v>
      </c>
    </row>
    <row r="18" spans="1:9" ht="20" customHeight="1" thickBot="1">
      <c r="A18" s="272" t="s">
        <v>62</v>
      </c>
      <c r="B18" s="194">
        <v>39000</v>
      </c>
      <c r="C18" s="195">
        <v>74000</v>
      </c>
      <c r="D18" s="194">
        <v>82000</v>
      </c>
      <c r="E18" s="195">
        <v>88000</v>
      </c>
      <c r="F18" s="299">
        <v>64000</v>
      </c>
      <c r="G18" s="195">
        <v>74000</v>
      </c>
      <c r="H18" s="194">
        <v>82000</v>
      </c>
      <c r="I18" s="195">
        <v>88000</v>
      </c>
    </row>
    <row r="19" spans="1:9" ht="20" customHeight="1" thickBot="1">
      <c r="A19" s="272" t="s">
        <v>63</v>
      </c>
      <c r="B19" s="147">
        <v>24814</v>
      </c>
      <c r="C19" s="204">
        <v>36014</v>
      </c>
      <c r="D19" s="194">
        <v>47214</v>
      </c>
      <c r="E19" s="195">
        <v>58414</v>
      </c>
      <c r="F19" s="300">
        <v>52814</v>
      </c>
      <c r="G19" s="204">
        <v>64014</v>
      </c>
      <c r="H19" s="147">
        <v>71214</v>
      </c>
      <c r="I19" s="195">
        <v>82414</v>
      </c>
    </row>
    <row r="20" spans="1:9" ht="20" customHeight="1" thickBot="1">
      <c r="A20" s="272" t="s">
        <v>64</v>
      </c>
      <c r="B20" s="194">
        <v>25000</v>
      </c>
      <c r="C20" s="195">
        <v>31200</v>
      </c>
      <c r="D20" s="194">
        <v>37400</v>
      </c>
      <c r="E20" s="195">
        <v>43600</v>
      </c>
      <c r="F20" s="299">
        <v>50150</v>
      </c>
      <c r="G20" s="195">
        <v>56350</v>
      </c>
      <c r="H20" s="194">
        <v>62550</v>
      </c>
      <c r="I20" s="195">
        <v>68750</v>
      </c>
    </row>
    <row r="21" spans="1:9" ht="20" customHeight="1" thickBot="1">
      <c r="A21" s="272" t="s">
        <v>65</v>
      </c>
      <c r="B21" s="194">
        <v>30067</v>
      </c>
      <c r="C21" s="195">
        <v>38621</v>
      </c>
      <c r="D21" s="194">
        <v>47176</v>
      </c>
      <c r="E21" s="195">
        <v>55730</v>
      </c>
      <c r="F21" s="299">
        <v>51269</v>
      </c>
      <c r="G21" s="195">
        <v>59823</v>
      </c>
      <c r="H21" s="194">
        <v>68378</v>
      </c>
      <c r="I21" s="195">
        <v>76932</v>
      </c>
    </row>
    <row r="22" spans="1:9" ht="20" customHeight="1" thickBot="1">
      <c r="A22" s="272" t="s">
        <v>66</v>
      </c>
      <c r="B22" s="194">
        <v>35700</v>
      </c>
      <c r="C22" s="195">
        <v>44400</v>
      </c>
      <c r="D22" s="194">
        <v>53200</v>
      </c>
      <c r="E22" s="195">
        <v>61900</v>
      </c>
      <c r="F22" s="299">
        <v>71400</v>
      </c>
      <c r="G22" s="195">
        <v>80100</v>
      </c>
      <c r="H22" s="194">
        <v>88800</v>
      </c>
      <c r="I22" s="195">
        <v>97600</v>
      </c>
    </row>
    <row r="23" spans="1:9" ht="20" customHeight="1" thickBot="1">
      <c r="A23" s="272" t="s">
        <v>67</v>
      </c>
      <c r="B23" s="194">
        <v>22000</v>
      </c>
      <c r="C23" s="195">
        <v>34700</v>
      </c>
      <c r="D23" s="194">
        <v>49600</v>
      </c>
      <c r="E23" s="195">
        <v>64500</v>
      </c>
      <c r="F23" s="299">
        <v>44000</v>
      </c>
      <c r="G23" s="195">
        <v>54500</v>
      </c>
      <c r="H23" s="194">
        <v>69400</v>
      </c>
      <c r="I23" s="195">
        <v>84300</v>
      </c>
    </row>
    <row r="24" spans="1:9" ht="20" customHeight="1" thickBot="1">
      <c r="A24" s="272" t="s">
        <v>68</v>
      </c>
      <c r="B24" s="194">
        <v>35000</v>
      </c>
      <c r="C24" s="195">
        <v>41000</v>
      </c>
      <c r="D24" s="194">
        <v>48000</v>
      </c>
      <c r="E24" s="195">
        <v>51000</v>
      </c>
      <c r="F24" s="299">
        <v>58000</v>
      </c>
      <c r="G24" s="195">
        <v>61000</v>
      </c>
      <c r="H24" s="194">
        <v>66000</v>
      </c>
      <c r="I24" s="195">
        <v>73000</v>
      </c>
    </row>
    <row r="25" spans="1:9" ht="20" customHeight="1" thickBot="1">
      <c r="A25" s="272" t="s">
        <v>69</v>
      </c>
      <c r="B25" s="194">
        <v>24800</v>
      </c>
      <c r="C25" s="195">
        <v>32000</v>
      </c>
      <c r="D25" s="194">
        <v>39300</v>
      </c>
      <c r="E25" s="195">
        <v>46600</v>
      </c>
      <c r="F25" s="299">
        <v>50700</v>
      </c>
      <c r="G25" s="195">
        <v>57900</v>
      </c>
      <c r="H25" s="194">
        <v>65200</v>
      </c>
      <c r="I25" s="195">
        <v>72500</v>
      </c>
    </row>
    <row r="26" spans="1:9" ht="20" customHeight="1" thickBot="1">
      <c r="A26" s="272" t="s">
        <v>70</v>
      </c>
      <c r="B26" s="194">
        <v>27400</v>
      </c>
      <c r="C26" s="195">
        <v>41900</v>
      </c>
      <c r="D26" s="194">
        <v>41900</v>
      </c>
      <c r="E26" s="195">
        <v>41900</v>
      </c>
      <c r="F26" s="299">
        <v>41900</v>
      </c>
      <c r="G26" s="195">
        <v>41900</v>
      </c>
      <c r="H26" s="194">
        <v>41900</v>
      </c>
      <c r="I26" s="195">
        <v>41900</v>
      </c>
    </row>
    <row r="27" spans="1:9" ht="20" customHeight="1" thickBot="1">
      <c r="A27" s="272" t="s">
        <v>71</v>
      </c>
      <c r="B27" s="194">
        <v>22000</v>
      </c>
      <c r="C27" s="195">
        <v>30000</v>
      </c>
      <c r="D27" s="194">
        <v>35000</v>
      </c>
      <c r="E27" s="195">
        <v>54000</v>
      </c>
      <c r="F27" s="299">
        <v>30000</v>
      </c>
      <c r="G27" s="195">
        <v>30000</v>
      </c>
      <c r="H27" s="194">
        <v>35000</v>
      </c>
      <c r="I27" s="195">
        <v>54000</v>
      </c>
    </row>
    <row r="28" spans="1:9" ht="20" customHeight="1" thickBot="1">
      <c r="A28" s="272" t="s">
        <v>72</v>
      </c>
      <c r="B28" s="194">
        <v>30000</v>
      </c>
      <c r="C28" s="195">
        <v>52000</v>
      </c>
      <c r="D28" s="194">
        <v>59000</v>
      </c>
      <c r="E28" s="195">
        <v>66000</v>
      </c>
      <c r="F28" s="299">
        <v>45000</v>
      </c>
      <c r="G28" s="195">
        <v>52000</v>
      </c>
      <c r="H28" s="194">
        <v>59000</v>
      </c>
      <c r="I28" s="195">
        <v>66000</v>
      </c>
    </row>
    <row r="29" spans="1:9" ht="20" customHeight="1" thickBot="1">
      <c r="A29" s="272" t="s">
        <v>73</v>
      </c>
      <c r="B29" s="194">
        <v>34000</v>
      </c>
      <c r="C29" s="195">
        <v>58150</v>
      </c>
      <c r="D29" s="194">
        <v>70400</v>
      </c>
      <c r="E29" s="195">
        <v>82650</v>
      </c>
      <c r="F29" s="299">
        <v>51000</v>
      </c>
      <c r="G29" s="195">
        <v>63250</v>
      </c>
      <c r="H29" s="194">
        <v>75500</v>
      </c>
      <c r="I29" s="195">
        <v>87750</v>
      </c>
    </row>
    <row r="30" spans="1:9" ht="20" customHeight="1" thickBot="1">
      <c r="A30" s="272" t="s">
        <v>74</v>
      </c>
      <c r="B30" s="194">
        <v>28800</v>
      </c>
      <c r="C30" s="195">
        <v>38800</v>
      </c>
      <c r="D30" s="194">
        <v>48800</v>
      </c>
      <c r="E30" s="195">
        <v>58800</v>
      </c>
      <c r="F30" s="299">
        <v>42300</v>
      </c>
      <c r="G30" s="195">
        <v>52300</v>
      </c>
      <c r="H30" s="194">
        <v>62300</v>
      </c>
      <c r="I30" s="195">
        <v>72300</v>
      </c>
    </row>
    <row r="31" spans="1:9" ht="20" customHeight="1" thickBot="1">
      <c r="A31" s="272" t="s">
        <v>75</v>
      </c>
      <c r="B31" s="194">
        <v>30000</v>
      </c>
      <c r="C31" s="195">
        <v>52000</v>
      </c>
      <c r="D31" s="194">
        <v>59000</v>
      </c>
      <c r="E31" s="195">
        <v>66000</v>
      </c>
      <c r="F31" s="299">
        <v>45000</v>
      </c>
      <c r="G31" s="195">
        <v>52000</v>
      </c>
      <c r="H31" s="194">
        <v>59000</v>
      </c>
      <c r="I31" s="195">
        <v>66000</v>
      </c>
    </row>
    <row r="32" spans="1:9" ht="23.25" customHeight="1" thickBot="1">
      <c r="A32" s="301" t="s">
        <v>76</v>
      </c>
      <c r="B32" s="302">
        <v>33000</v>
      </c>
      <c r="C32" s="303">
        <v>47000</v>
      </c>
      <c r="D32" s="302">
        <v>51000</v>
      </c>
      <c r="E32" s="303">
        <v>57000</v>
      </c>
      <c r="F32" s="304">
        <v>38000</v>
      </c>
      <c r="G32" s="303">
        <v>47000</v>
      </c>
      <c r="H32" s="302">
        <v>51000</v>
      </c>
      <c r="I32" s="303">
        <v>57000</v>
      </c>
    </row>
    <row r="33" spans="1:9" ht="17.25" customHeight="1">
      <c r="A33" s="280" t="s">
        <v>966</v>
      </c>
      <c r="B33" s="281"/>
      <c r="C33" s="281"/>
      <c r="D33" s="281"/>
      <c r="E33" s="281"/>
      <c r="F33" s="281"/>
      <c r="G33" s="281"/>
      <c r="H33" s="281"/>
      <c r="I33" s="281"/>
    </row>
    <row r="34" spans="1:9" ht="12" customHeight="1">
      <c r="A34" s="280"/>
      <c r="B34" s="281"/>
      <c r="C34" s="281"/>
      <c r="D34" s="281"/>
      <c r="E34" s="281"/>
      <c r="F34" s="281"/>
      <c r="G34" s="281"/>
      <c r="H34" s="281"/>
      <c r="I34" s="281"/>
    </row>
    <row r="35" spans="1:9" ht="17.25" customHeight="1">
      <c r="A35" s="280" t="s">
        <v>961</v>
      </c>
      <c r="B35" s="281"/>
      <c r="C35" s="281"/>
      <c r="D35" s="281"/>
      <c r="E35" s="281"/>
      <c r="F35" s="281"/>
      <c r="G35" s="281"/>
      <c r="H35" s="281"/>
      <c r="I35" s="281"/>
    </row>
    <row r="36" spans="1:9" ht="12" customHeight="1">
      <c r="A36" s="280"/>
      <c r="B36" s="281"/>
      <c r="C36" s="281"/>
      <c r="D36" s="281"/>
      <c r="E36" s="281"/>
      <c r="F36" s="281"/>
      <c r="G36" s="281"/>
      <c r="H36" s="281"/>
      <c r="I36" s="281"/>
    </row>
    <row r="37" spans="1:9" ht="12" customHeight="1">
      <c r="A37" s="280" t="s">
        <v>962</v>
      </c>
      <c r="B37" s="281"/>
      <c r="C37" s="281"/>
      <c r="D37" s="281"/>
      <c r="E37" s="281"/>
      <c r="F37" s="281"/>
      <c r="G37" s="281"/>
      <c r="H37" s="281"/>
      <c r="I37" s="281"/>
    </row>
    <row r="38" spans="1:9" ht="14.25" customHeight="1">
      <c r="A38" s="3" t="s">
        <v>963</v>
      </c>
      <c r="B38" s="281"/>
      <c r="C38" s="281"/>
      <c r="D38" s="281"/>
      <c r="E38" s="281"/>
      <c r="F38" s="281"/>
      <c r="G38" s="281"/>
      <c r="H38" s="281"/>
      <c r="I38" s="281"/>
    </row>
    <row r="39" spans="1:9">
      <c r="A39" s="294" t="s">
        <v>964</v>
      </c>
    </row>
    <row r="40" spans="1:9">
      <c r="A40" s="294"/>
    </row>
    <row r="42" spans="1:9">
      <c r="A42" s="2" t="s">
        <v>1955</v>
      </c>
    </row>
  </sheetData>
  <phoneticPr fontId="0" type="noConversion"/>
  <pageMargins left="0.57999999999999996" right="0.59" top="0.78" bottom="0.49" header="0.4" footer="0.4921259845"/>
  <pageSetup paperSize="9" scale="76" orientation="portrait" horizontalDpi="4294967292" verticalDpi="4294967292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6440-17DA-0D44-9AB5-527B98DFFEB8}">
  <sheetPr>
    <pageSetUpPr fitToPage="1"/>
  </sheetPr>
  <dimension ref="A1:L33"/>
  <sheetViews>
    <sheetView zoomScale="75" workbookViewId="0">
      <selection activeCell="I15" sqref="I15"/>
    </sheetView>
  </sheetViews>
  <sheetFormatPr baseColWidth="10" defaultColWidth="11.3984375" defaultRowHeight="13"/>
  <cols>
    <col min="1" max="3" width="12.3984375" style="2" customWidth="1"/>
    <col min="4" max="4" width="12.796875" style="2" customWidth="1"/>
    <col min="5" max="5" width="13.19921875" style="2" customWidth="1"/>
    <col min="6" max="6" width="13.3984375" style="2" customWidth="1"/>
    <col min="7" max="7" width="13.19921875" style="2" customWidth="1"/>
    <col min="8" max="8" width="13.3984375" style="446" customWidth="1"/>
    <col min="9" max="16384" width="11.3984375" style="2"/>
  </cols>
  <sheetData>
    <row r="1" spans="1:12" s="1" customFormat="1" ht="14" customHeight="1">
      <c r="H1" s="452"/>
    </row>
    <row r="2" spans="1:12" s="1" customFormat="1" ht="28" customHeight="1">
      <c r="A2" s="58" t="s">
        <v>1046</v>
      </c>
      <c r="B2" s="58"/>
      <c r="H2" s="265">
        <v>2006</v>
      </c>
    </row>
    <row r="3" spans="1:12" ht="24" customHeight="1">
      <c r="A3" s="113" t="s">
        <v>758</v>
      </c>
      <c r="B3" s="114" t="s">
        <v>1047</v>
      </c>
      <c r="C3" s="170" t="s">
        <v>45</v>
      </c>
      <c r="D3" s="466" t="s">
        <v>1048</v>
      </c>
      <c r="E3" s="115" t="s">
        <v>231</v>
      </c>
      <c r="F3" s="466"/>
      <c r="G3" s="115" t="s">
        <v>1049</v>
      </c>
      <c r="H3" s="541"/>
    </row>
    <row r="4" spans="1:12" ht="15" customHeight="1">
      <c r="A4" s="248"/>
      <c r="B4" s="117" t="s">
        <v>655</v>
      </c>
      <c r="C4" s="116" t="s">
        <v>46</v>
      </c>
      <c r="D4" s="119" t="s">
        <v>656</v>
      </c>
      <c r="E4" s="118" t="s">
        <v>1050</v>
      </c>
      <c r="F4" s="614" t="s">
        <v>1045</v>
      </c>
      <c r="G4" s="118" t="s">
        <v>1051</v>
      </c>
      <c r="H4" s="614" t="s">
        <v>1045</v>
      </c>
    </row>
    <row r="5" spans="1:12" ht="15" customHeight="1">
      <c r="A5" s="248"/>
      <c r="B5" s="117" t="s">
        <v>1435</v>
      </c>
      <c r="C5" s="116" t="s">
        <v>50</v>
      </c>
      <c r="D5" s="119" t="s">
        <v>1052</v>
      </c>
      <c r="E5" s="118" t="s">
        <v>657</v>
      </c>
      <c r="F5" s="614" t="s">
        <v>255</v>
      </c>
      <c r="G5" s="118" t="s">
        <v>659</v>
      </c>
      <c r="H5" s="614" t="s">
        <v>255</v>
      </c>
    </row>
    <row r="6" spans="1:12" ht="24" customHeight="1">
      <c r="A6" s="249"/>
      <c r="B6" s="123"/>
      <c r="C6" s="120"/>
      <c r="D6" s="121" t="s">
        <v>1053</v>
      </c>
      <c r="E6" s="122" t="s">
        <v>1435</v>
      </c>
      <c r="F6" s="624" t="s">
        <v>94</v>
      </c>
      <c r="G6" s="122" t="s">
        <v>1435</v>
      </c>
      <c r="H6" s="624" t="s">
        <v>94</v>
      </c>
    </row>
    <row r="7" spans="1:12" ht="26.25" customHeight="1" thickBot="1">
      <c r="A7" s="625">
        <v>1996</v>
      </c>
      <c r="B7" s="626">
        <v>2470.5</v>
      </c>
      <c r="C7" s="627" t="s">
        <v>1412</v>
      </c>
      <c r="D7" s="128">
        <v>0.26510074357417535</v>
      </c>
      <c r="E7" s="628">
        <v>1815.5686129999999</v>
      </c>
      <c r="F7" s="128">
        <v>0.2482836813614821</v>
      </c>
      <c r="G7" s="628">
        <v>1467.1668685500001</v>
      </c>
      <c r="H7" s="128">
        <v>0.19641864881833015</v>
      </c>
      <c r="J7" s="9"/>
      <c r="K7" s="9"/>
      <c r="L7" s="9"/>
    </row>
    <row r="8" spans="1:12" ht="20" customHeight="1" thickBot="1">
      <c r="A8" s="251">
        <v>1997</v>
      </c>
      <c r="B8" s="629">
        <v>2716.0039999999999</v>
      </c>
      <c r="C8" s="499">
        <v>9.9374215745800409E-2</v>
      </c>
      <c r="D8" s="545">
        <v>0.23152856917736497</v>
      </c>
      <c r="E8" s="546">
        <v>2087.17148</v>
      </c>
      <c r="F8" s="545">
        <v>0.26871138542004225</v>
      </c>
      <c r="G8" s="546">
        <v>1994.2314670000001</v>
      </c>
      <c r="H8" s="545">
        <v>0.32454456351229566</v>
      </c>
    </row>
    <row r="9" spans="1:12" ht="20" customHeight="1" thickBot="1">
      <c r="A9" s="251">
        <v>1998</v>
      </c>
      <c r="B9" s="629">
        <v>2972.5</v>
      </c>
      <c r="C9" s="499">
        <v>9.4438741621882774E-2</v>
      </c>
      <c r="D9" s="545">
        <v>0.23858957510513035</v>
      </c>
      <c r="E9" s="546">
        <v>2263.292488</v>
      </c>
      <c r="F9" s="545">
        <v>0.29253266403277173</v>
      </c>
      <c r="G9" s="546">
        <v>2446.4709480000001</v>
      </c>
      <c r="H9" s="545">
        <v>0.3175521493515443</v>
      </c>
    </row>
    <row r="10" spans="1:12" ht="20" customHeight="1" thickBot="1">
      <c r="A10" s="251">
        <v>1999</v>
      </c>
      <c r="B10" s="629">
        <v>3270</v>
      </c>
      <c r="C10" s="499">
        <v>0.10008410428931876</v>
      </c>
      <c r="D10" s="545">
        <v>0.24261539724770631</v>
      </c>
      <c r="E10" s="546">
        <v>2476.6476510000002</v>
      </c>
      <c r="F10" s="545">
        <v>0.31373131445899005</v>
      </c>
      <c r="G10" s="546">
        <v>2689.6721769999999</v>
      </c>
      <c r="H10" s="545">
        <v>0.33145279359936858</v>
      </c>
    </row>
    <row r="11" spans="1:12" ht="20" customHeight="1" thickBot="1">
      <c r="A11" s="251">
        <v>2000</v>
      </c>
      <c r="B11" s="629">
        <v>3319.5</v>
      </c>
      <c r="C11" s="499">
        <v>1.5137614678899083E-2</v>
      </c>
      <c r="D11" s="545">
        <v>0.23698356288597677</v>
      </c>
      <c r="E11" s="546">
        <v>2532.833063</v>
      </c>
      <c r="F11" s="545">
        <v>0.31286862956128064</v>
      </c>
      <c r="G11" s="546">
        <v>2545.3263492000001</v>
      </c>
      <c r="H11" s="545">
        <v>0.3246756501223273</v>
      </c>
    </row>
    <row r="12" spans="1:12" s="151" customFormat="1" ht="20" customHeight="1" thickBot="1">
      <c r="A12" s="251">
        <v>2001</v>
      </c>
      <c r="B12" s="629">
        <v>3369</v>
      </c>
      <c r="C12" s="499">
        <v>1.4911884319927699E-2</v>
      </c>
      <c r="D12" s="545">
        <v>0.20699731491831064</v>
      </c>
      <c r="E12" s="546">
        <v>2671.6260460402113</v>
      </c>
      <c r="F12" s="545">
        <v>0.31892270100585679</v>
      </c>
      <c r="G12" s="546">
        <v>2657.2</v>
      </c>
      <c r="H12" s="545">
        <v>0.32313659872418687</v>
      </c>
    </row>
    <row r="13" spans="1:12" ht="20" customHeight="1" thickBot="1">
      <c r="A13" s="251">
        <v>2002</v>
      </c>
      <c r="B13" s="629">
        <v>3420</v>
      </c>
      <c r="C13" s="499">
        <v>1.5138023152270703E-2</v>
      </c>
      <c r="D13" s="545">
        <v>0.16712682076023389</v>
      </c>
      <c r="E13" s="546">
        <v>2848.426273</v>
      </c>
      <c r="F13" s="545">
        <v>0.32754041548755747</v>
      </c>
      <c r="G13" s="546">
        <v>2892</v>
      </c>
      <c r="H13" s="545">
        <v>0.33503586516078104</v>
      </c>
    </row>
    <row r="14" spans="1:12" s="151" customFormat="1" ht="21.75" customHeight="1" thickBot="1">
      <c r="A14" s="251">
        <v>2003</v>
      </c>
      <c r="B14" s="629">
        <v>3471</v>
      </c>
      <c r="C14" s="499">
        <v>1.4912280701754385E-2</v>
      </c>
      <c r="D14" s="545">
        <v>0.14690290982425813</v>
      </c>
      <c r="E14" s="546">
        <v>2961.1</v>
      </c>
      <c r="F14" s="545">
        <v>0.3270202057873508</v>
      </c>
      <c r="G14" s="546">
        <v>3065.5</v>
      </c>
      <c r="H14" s="545">
        <v>0.34986041988328265</v>
      </c>
    </row>
    <row r="15" spans="1:12" ht="20" customHeight="1" thickBot="1">
      <c r="A15" s="251">
        <v>2004</v>
      </c>
      <c r="B15" s="629">
        <v>3523.5</v>
      </c>
      <c r="C15" s="499">
        <v>1.512532411408816E-2</v>
      </c>
      <c r="D15" s="545">
        <v>0.14139350078047386</v>
      </c>
      <c r="E15" s="546">
        <v>3025.3</v>
      </c>
      <c r="F15" s="545">
        <v>0.32786069857980232</v>
      </c>
      <c r="G15" s="546">
        <v>3169.8</v>
      </c>
      <c r="H15" s="545">
        <v>0.35221732419197194</v>
      </c>
    </row>
    <row r="16" spans="1:12" ht="21.75" customHeight="1" thickBot="1">
      <c r="A16" s="251">
        <v>2005</v>
      </c>
      <c r="B16" s="629">
        <v>3576</v>
      </c>
      <c r="C16" s="499">
        <v>1.489995742869306E-2</v>
      </c>
      <c r="D16" s="545">
        <v>0.12762163310961971</v>
      </c>
      <c r="E16" s="546">
        <v>3119.6250399999999</v>
      </c>
      <c r="F16" s="545">
        <v>0.32919981434691908</v>
      </c>
      <c r="G16" s="546">
        <v>3201.7620889999998</v>
      </c>
      <c r="H16" s="545">
        <v>0.35637005695084922</v>
      </c>
    </row>
    <row r="17" spans="1:8" s="151" customFormat="1" ht="21.75" customHeight="1" thickBot="1">
      <c r="A17" s="252">
        <v>2006</v>
      </c>
      <c r="B17" s="630">
        <v>3780</v>
      </c>
      <c r="C17" s="533">
        <v>5.7046979865771813E-2</v>
      </c>
      <c r="D17" s="631">
        <v>0.14549879814814826</v>
      </c>
      <c r="E17" s="632">
        <v>3230.0145429999998</v>
      </c>
      <c r="F17" s="631">
        <v>0.32827053311505788</v>
      </c>
      <c r="G17" s="632">
        <v>3308.7390919999998</v>
      </c>
      <c r="H17" s="631">
        <v>0.35384170478437954</v>
      </c>
    </row>
    <row r="18" spans="1:8" ht="25.5" customHeight="1" thickBot="1">
      <c r="A18" s="633">
        <v>2007</v>
      </c>
      <c r="B18" s="634">
        <v>3987</v>
      </c>
      <c r="C18" s="504">
        <v>5.4761904761904762E-2</v>
      </c>
      <c r="D18" s="529">
        <v>0.13915572259844489</v>
      </c>
      <c r="E18" s="635">
        <v>3432.186134</v>
      </c>
      <c r="F18" s="529" t="s">
        <v>1412</v>
      </c>
      <c r="G18" s="635" t="s">
        <v>1412</v>
      </c>
      <c r="H18" s="529" t="s">
        <v>1412</v>
      </c>
    </row>
    <row r="19" spans="1:8" ht="20" customHeight="1">
      <c r="A19" s="636" t="s">
        <v>2334</v>
      </c>
      <c r="B19" s="136"/>
      <c r="C19" s="136"/>
      <c r="D19" s="136"/>
      <c r="E19" s="136"/>
      <c r="F19" s="136"/>
      <c r="G19" s="136"/>
      <c r="H19" s="436"/>
    </row>
    <row r="20" spans="1:8" ht="13.5" customHeight="1">
      <c r="A20" s="608"/>
      <c r="B20" s="3"/>
      <c r="C20" s="3"/>
      <c r="D20" s="3"/>
      <c r="E20" s="3"/>
      <c r="F20" s="3"/>
      <c r="G20" s="3"/>
      <c r="H20" s="437"/>
    </row>
    <row r="21" spans="1:8" ht="20" customHeight="1">
      <c r="A21" s="280" t="s">
        <v>1054</v>
      </c>
      <c r="B21" s="3"/>
      <c r="C21" s="3"/>
      <c r="D21" s="3"/>
      <c r="E21" s="3"/>
      <c r="F21" s="3"/>
      <c r="G21" s="3"/>
      <c r="H21" s="437"/>
    </row>
    <row r="22" spans="1:8" ht="12.75" customHeight="1">
      <c r="A22" s="608"/>
      <c r="B22" s="3"/>
      <c r="C22" s="3"/>
      <c r="D22" s="3"/>
      <c r="E22" s="3"/>
      <c r="F22" s="3"/>
      <c r="G22" s="3"/>
      <c r="H22" s="437"/>
    </row>
    <row r="23" spans="1:8" ht="14.25" customHeight="1">
      <c r="A23" s="608" t="s">
        <v>1055</v>
      </c>
      <c r="B23" s="3"/>
      <c r="C23" s="3"/>
      <c r="D23" s="3"/>
      <c r="E23" s="3"/>
      <c r="F23" s="3"/>
      <c r="G23" s="3"/>
      <c r="H23" s="437"/>
    </row>
    <row r="24" spans="1:8" ht="14.25" customHeight="1">
      <c r="A24" s="608" t="s">
        <v>1056</v>
      </c>
      <c r="B24" s="3"/>
      <c r="C24" s="3"/>
      <c r="D24" s="3"/>
      <c r="E24" s="3"/>
      <c r="F24" s="3"/>
      <c r="G24" s="3"/>
      <c r="H24" s="437"/>
    </row>
    <row r="25" spans="1:8" ht="12" customHeight="1">
      <c r="A25" s="294" t="s">
        <v>1687</v>
      </c>
    </row>
    <row r="26" spans="1:8" ht="12" customHeight="1">
      <c r="A26" s="294" t="s">
        <v>1688</v>
      </c>
    </row>
    <row r="27" spans="1:8">
      <c r="A27" s="294" t="s">
        <v>1689</v>
      </c>
      <c r="B27" s="294"/>
    </row>
    <row r="28" spans="1:8">
      <c r="A28" s="294" t="s">
        <v>1690</v>
      </c>
    </row>
    <row r="29" spans="1:8">
      <c r="A29" s="294" t="s">
        <v>1691</v>
      </c>
    </row>
    <row r="30" spans="1:8">
      <c r="A30" s="294" t="s">
        <v>654</v>
      </c>
    </row>
    <row r="33" spans="1:1">
      <c r="A33" s="2" t="s">
        <v>1955</v>
      </c>
    </row>
  </sheetData>
  <phoneticPr fontId="0" type="noConversion"/>
  <pageMargins left="0.6" right="0.7" top="0.81" bottom="0.49" header="0.49" footer="0.4921259845"/>
  <pageSetup paperSize="9" scale="78" orientation="portrait" horizontalDpi="4294967292" verticalDpi="4294967292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5090-C7D4-244E-9409-7D8343311D00}">
  <sheetPr>
    <pageSetUpPr fitToPage="1"/>
  </sheetPr>
  <dimension ref="A1:M49"/>
  <sheetViews>
    <sheetView zoomScale="75" workbookViewId="0">
      <selection activeCell="B6" sqref="B6"/>
    </sheetView>
  </sheetViews>
  <sheetFormatPr baseColWidth="10" defaultColWidth="11.3984375" defaultRowHeight="13"/>
  <cols>
    <col min="1" max="1" width="9.796875" style="2" customWidth="1"/>
    <col min="2" max="3" width="11" style="2" customWidth="1"/>
    <col min="4" max="4" width="11.19921875" style="97" customWidth="1"/>
    <col min="5" max="5" width="15.3984375" style="2" customWidth="1"/>
    <col min="6" max="6" width="14.796875" style="2" customWidth="1"/>
    <col min="7" max="7" width="11" style="2" customWidth="1"/>
    <col min="8" max="8" width="15" style="151" customWidth="1"/>
    <col min="9" max="9" width="10.796875" style="2" customWidth="1"/>
    <col min="10" max="16384" width="11.3984375" style="2"/>
  </cols>
  <sheetData>
    <row r="1" spans="1:10" s="1" customFormat="1" ht="14" customHeight="1">
      <c r="D1" s="169"/>
      <c r="H1" s="17"/>
    </row>
    <row r="2" spans="1:10" s="1" customFormat="1" ht="28" customHeight="1">
      <c r="A2" s="112" t="s">
        <v>224</v>
      </c>
      <c r="D2" s="169"/>
      <c r="H2" s="17"/>
      <c r="I2" s="265">
        <v>2006</v>
      </c>
    </row>
    <row r="3" spans="1:10" ht="24" customHeight="1">
      <c r="A3" s="113" t="s">
        <v>41</v>
      </c>
      <c r="B3" s="114" t="s">
        <v>205</v>
      </c>
      <c r="C3" s="115" t="s">
        <v>206</v>
      </c>
      <c r="D3" s="466" t="s">
        <v>1432</v>
      </c>
      <c r="E3" s="113" t="s">
        <v>2333</v>
      </c>
      <c r="F3" s="256"/>
      <c r="G3" s="115"/>
      <c r="H3" s="427"/>
      <c r="I3" s="115"/>
    </row>
    <row r="4" spans="1:10" ht="18" customHeight="1">
      <c r="A4" s="248"/>
      <c r="B4" s="117" t="s">
        <v>207</v>
      </c>
      <c r="C4" s="180" t="s">
        <v>208</v>
      </c>
      <c r="D4" s="179" t="s">
        <v>225</v>
      </c>
      <c r="E4" s="180" t="s">
        <v>209</v>
      </c>
      <c r="F4" s="143" t="s">
        <v>210</v>
      </c>
      <c r="G4" s="178" t="s">
        <v>210</v>
      </c>
      <c r="H4" s="599" t="s">
        <v>1951</v>
      </c>
      <c r="I4" s="116" t="s">
        <v>45</v>
      </c>
    </row>
    <row r="5" spans="1:10" ht="18.75" customHeight="1">
      <c r="A5" s="248"/>
      <c r="B5" s="117" t="s">
        <v>226</v>
      </c>
      <c r="C5" s="118" t="s">
        <v>211</v>
      </c>
      <c r="D5" s="119"/>
      <c r="E5" s="118" t="s">
        <v>212</v>
      </c>
      <c r="F5" s="143" t="s">
        <v>212</v>
      </c>
      <c r="G5" s="178" t="s">
        <v>212</v>
      </c>
      <c r="H5" s="599" t="s">
        <v>213</v>
      </c>
      <c r="I5" s="116" t="s">
        <v>2313</v>
      </c>
    </row>
    <row r="6" spans="1:10" ht="15" customHeight="1">
      <c r="A6" s="248"/>
      <c r="B6" s="117">
        <v>2004</v>
      </c>
      <c r="C6" s="118" t="s">
        <v>2337</v>
      </c>
      <c r="D6" s="119"/>
      <c r="E6" s="118" t="s">
        <v>1007</v>
      </c>
      <c r="F6" s="143" t="s">
        <v>1007</v>
      </c>
      <c r="G6" s="178" t="s">
        <v>214</v>
      </c>
      <c r="H6" s="599" t="s">
        <v>215</v>
      </c>
      <c r="I6" s="116" t="s">
        <v>50</v>
      </c>
    </row>
    <row r="7" spans="1:10" ht="18" customHeight="1">
      <c r="A7" s="248"/>
      <c r="B7" s="117"/>
      <c r="C7" s="118"/>
      <c r="D7" s="119"/>
      <c r="E7" s="118"/>
      <c r="F7" s="143"/>
      <c r="G7" s="178" t="s">
        <v>209</v>
      </c>
      <c r="H7" s="599" t="s">
        <v>227</v>
      </c>
      <c r="I7" s="118"/>
    </row>
    <row r="8" spans="1:10" ht="23.25" customHeight="1">
      <c r="A8" s="249"/>
      <c r="B8" s="123"/>
      <c r="C8" s="122"/>
      <c r="D8" s="121"/>
      <c r="E8" s="122"/>
      <c r="F8" s="144"/>
      <c r="G8" s="182" t="s">
        <v>228</v>
      </c>
      <c r="H8" s="316"/>
      <c r="I8" s="122"/>
    </row>
    <row r="9" spans="1:10" ht="30" customHeight="1" thickBot="1">
      <c r="A9" s="268" t="s">
        <v>51</v>
      </c>
      <c r="B9" s="126">
        <v>1282257</v>
      </c>
      <c r="C9" s="127">
        <v>147</v>
      </c>
      <c r="D9" s="600" t="s">
        <v>1412</v>
      </c>
      <c r="E9" s="127">
        <v>333651762.14010012</v>
      </c>
      <c r="F9" s="126">
        <v>315920750.91820753</v>
      </c>
      <c r="G9" s="171">
        <v>0.94685773242088456</v>
      </c>
      <c r="H9" s="601">
        <v>649572513.05830765</v>
      </c>
      <c r="I9" s="171">
        <v>6.5143117094464742E-2</v>
      </c>
      <c r="J9" s="8"/>
    </row>
    <row r="10" spans="1:10" ht="20" customHeight="1" thickBot="1">
      <c r="A10" s="272" t="s">
        <v>52</v>
      </c>
      <c r="B10" s="194">
        <v>961705</v>
      </c>
      <c r="C10" s="195">
        <v>68</v>
      </c>
      <c r="D10" s="602" t="s">
        <v>1412</v>
      </c>
      <c r="E10" s="195">
        <v>372336575.80062914</v>
      </c>
      <c r="F10" s="194">
        <v>114849014.66270208</v>
      </c>
      <c r="G10" s="499">
        <v>0.30845482858014728</v>
      </c>
      <c r="H10" s="253">
        <v>487185590.46333122</v>
      </c>
      <c r="I10" s="499">
        <v>4.9838760461708764E-2</v>
      </c>
      <c r="J10" s="8"/>
    </row>
    <row r="11" spans="1:10" ht="20" customHeight="1" thickBot="1">
      <c r="A11" s="272" t="s">
        <v>53</v>
      </c>
      <c r="B11" s="194">
        <v>353907</v>
      </c>
      <c r="C11" s="195">
        <v>64</v>
      </c>
      <c r="D11" s="602" t="s">
        <v>1412</v>
      </c>
      <c r="E11" s="195">
        <v>139804444.51667207</v>
      </c>
      <c r="F11" s="194">
        <v>39479629.876313478</v>
      </c>
      <c r="G11" s="499">
        <v>0.28239180816319054</v>
      </c>
      <c r="H11" s="253">
        <v>179284074.39298555</v>
      </c>
      <c r="I11" s="499">
        <v>5.3970906457265322E-2</v>
      </c>
      <c r="J11" s="8"/>
    </row>
    <row r="12" spans="1:10" ht="20" customHeight="1" thickBot="1">
      <c r="A12" s="272" t="s">
        <v>54</v>
      </c>
      <c r="B12" s="194">
        <v>34768</v>
      </c>
      <c r="C12" s="195">
        <v>40</v>
      </c>
      <c r="D12" s="602" t="s">
        <v>1412</v>
      </c>
      <c r="E12" s="195">
        <v>15496710.828845114</v>
      </c>
      <c r="F12" s="194">
        <v>2116245.9606372118</v>
      </c>
      <c r="G12" s="499">
        <v>0.13656097632654376</v>
      </c>
      <c r="H12" s="253">
        <v>17612956.789482325</v>
      </c>
      <c r="I12" s="499">
        <v>6.4185418829910912E-2</v>
      </c>
      <c r="J12" s="8"/>
    </row>
    <row r="13" spans="1:10" ht="20" customHeight="1" thickBot="1">
      <c r="A13" s="272" t="s">
        <v>55</v>
      </c>
      <c r="B13" s="194">
        <v>135188</v>
      </c>
      <c r="C13" s="195">
        <v>110</v>
      </c>
      <c r="D13" s="602" t="s">
        <v>1412</v>
      </c>
      <c r="E13" s="195">
        <v>42372391.75984557</v>
      </c>
      <c r="F13" s="194">
        <v>26111858.195761219</v>
      </c>
      <c r="G13" s="499">
        <v>0.61624697382568483</v>
      </c>
      <c r="H13" s="253">
        <v>68484249.955606788</v>
      </c>
      <c r="I13" s="499">
        <v>7.1201674412843419E-2</v>
      </c>
      <c r="J13" s="8"/>
    </row>
    <row r="14" spans="1:10" ht="20" customHeight="1" thickBot="1">
      <c r="A14" s="272" t="s">
        <v>56</v>
      </c>
      <c r="B14" s="194">
        <v>33050</v>
      </c>
      <c r="C14" s="195">
        <v>30</v>
      </c>
      <c r="D14" s="602" t="s">
        <v>1412</v>
      </c>
      <c r="E14" s="195">
        <v>15490886.848587161</v>
      </c>
      <c r="F14" s="194">
        <v>1251756.4410007037</v>
      </c>
      <c r="G14" s="499">
        <v>8.0805989562493616E-2</v>
      </c>
      <c r="H14" s="253">
        <v>16742643.289587865</v>
      </c>
      <c r="I14" s="499">
        <v>5.3114118817976896E-2</v>
      </c>
      <c r="J14" s="8"/>
    </row>
    <row r="15" spans="1:10" ht="20" customHeight="1" thickBot="1">
      <c r="A15" s="272" t="s">
        <v>57</v>
      </c>
      <c r="B15" s="194">
        <v>38743</v>
      </c>
      <c r="C15" s="195">
        <v>128</v>
      </c>
      <c r="D15" s="602" t="s">
        <v>1412</v>
      </c>
      <c r="E15" s="195">
        <v>11092184.545917965</v>
      </c>
      <c r="F15" s="194">
        <v>8534448.7057765163</v>
      </c>
      <c r="G15" s="499">
        <v>0.76941099117551903</v>
      </c>
      <c r="H15" s="253">
        <v>19626633.251694482</v>
      </c>
      <c r="I15" s="499">
        <v>6.978915710247291E-2</v>
      </c>
      <c r="J15" s="8"/>
    </row>
    <row r="16" spans="1:10" ht="20" customHeight="1" thickBot="1">
      <c r="A16" s="272" t="s">
        <v>58</v>
      </c>
      <c r="B16" s="194">
        <v>38275</v>
      </c>
      <c r="C16" s="195">
        <v>77</v>
      </c>
      <c r="D16" s="602" t="s">
        <v>1412</v>
      </c>
      <c r="E16" s="195">
        <v>14162780.614007831</v>
      </c>
      <c r="F16" s="194">
        <v>5226770.7296828032</v>
      </c>
      <c r="G16" s="499">
        <v>0.36904975598599732</v>
      </c>
      <c r="H16" s="253">
        <v>19389551.343690634</v>
      </c>
      <c r="I16" s="499">
        <v>5.159551402075957E-2</v>
      </c>
      <c r="J16" s="8"/>
    </row>
    <row r="17" spans="1:10" ht="20" customHeight="1" thickBot="1">
      <c r="A17" s="272" t="s">
        <v>59</v>
      </c>
      <c r="B17" s="194">
        <v>104699</v>
      </c>
      <c r="C17" s="195">
        <v>224</v>
      </c>
      <c r="D17" s="602" t="s">
        <v>1412</v>
      </c>
      <c r="E17" s="195">
        <v>18495002.539429121</v>
      </c>
      <c r="F17" s="194">
        <v>34543969.012055293</v>
      </c>
      <c r="G17" s="499">
        <v>1.8677461080857765</v>
      </c>
      <c r="H17" s="253">
        <v>53038971.551484413</v>
      </c>
      <c r="I17" s="499">
        <v>7.341578957757311E-2</v>
      </c>
      <c r="J17" s="8"/>
    </row>
    <row r="18" spans="1:10" ht="20" customHeight="1" thickBot="1">
      <c r="A18" s="272" t="s">
        <v>60</v>
      </c>
      <c r="B18" s="194">
        <v>251949</v>
      </c>
      <c r="C18" s="195">
        <v>47</v>
      </c>
      <c r="D18" s="602" t="s">
        <v>1412</v>
      </c>
      <c r="E18" s="195">
        <v>108412899.7233368</v>
      </c>
      <c r="F18" s="194">
        <v>19220753.352862075</v>
      </c>
      <c r="G18" s="499">
        <v>0.17729212484780207</v>
      </c>
      <c r="H18" s="253">
        <v>127633653.07619888</v>
      </c>
      <c r="I18" s="499">
        <v>8.1746972056517375E-2</v>
      </c>
      <c r="J18" s="8"/>
    </row>
    <row r="19" spans="1:10" ht="20" customHeight="1" thickBot="1">
      <c r="A19" s="272" t="s">
        <v>61</v>
      </c>
      <c r="B19" s="194">
        <v>246169</v>
      </c>
      <c r="C19" s="195">
        <v>76</v>
      </c>
      <c r="D19" s="602" t="s">
        <v>1412</v>
      </c>
      <c r="E19" s="195">
        <v>91548490.894614965</v>
      </c>
      <c r="F19" s="194">
        <v>33157099.30068171</v>
      </c>
      <c r="G19" s="499">
        <v>0.36218073041586385</v>
      </c>
      <c r="H19" s="253">
        <v>124705590.19529667</v>
      </c>
      <c r="I19" s="499">
        <v>5.2269028618604052E-2</v>
      </c>
      <c r="J19" s="8"/>
    </row>
    <row r="20" spans="1:10" ht="20" customHeight="1" thickBot="1">
      <c r="A20" s="272" t="s">
        <v>62</v>
      </c>
      <c r="B20" s="194">
        <v>192768</v>
      </c>
      <c r="C20" s="195">
        <v>173</v>
      </c>
      <c r="D20" s="602" t="s">
        <v>1412</v>
      </c>
      <c r="E20" s="195">
        <v>44010498.890248872</v>
      </c>
      <c r="F20" s="194">
        <v>53642931.114207201</v>
      </c>
      <c r="G20" s="499">
        <v>1.2188666901499843</v>
      </c>
      <c r="H20" s="253">
        <v>97653430.004456073</v>
      </c>
      <c r="I20" s="499">
        <v>1.6917014224471227E-2</v>
      </c>
      <c r="J20" s="8"/>
    </row>
    <row r="21" spans="1:10" ht="20" customHeight="1" thickBot="1">
      <c r="A21" s="272" t="s">
        <v>63</v>
      </c>
      <c r="B21" s="147">
        <v>264420</v>
      </c>
      <c r="C21" s="204">
        <v>109</v>
      </c>
      <c r="D21" s="602" t="s">
        <v>1412</v>
      </c>
      <c r="E21" s="195">
        <v>83295902.212992623</v>
      </c>
      <c r="F21" s="147">
        <v>50655375.809180543</v>
      </c>
      <c r="G21" s="499">
        <v>0.60813766900143185</v>
      </c>
      <c r="H21" s="255">
        <v>133951278.02217317</v>
      </c>
      <c r="I21" s="499">
        <v>4.5069736711652375E-2</v>
      </c>
      <c r="J21" s="8"/>
    </row>
    <row r="22" spans="1:10" ht="20" customHeight="1" thickBot="1">
      <c r="A22" s="272" t="s">
        <v>64</v>
      </c>
      <c r="B22" s="194">
        <v>74625</v>
      </c>
      <c r="C22" s="195">
        <v>94</v>
      </c>
      <c r="D22" s="602" t="s">
        <v>1412</v>
      </c>
      <c r="E22" s="195">
        <v>25350187.531968214</v>
      </c>
      <c r="F22" s="194">
        <v>12453738.503901511</v>
      </c>
      <c r="G22" s="499">
        <v>0.49126810159477313</v>
      </c>
      <c r="H22" s="253">
        <v>37803926.035869725</v>
      </c>
      <c r="I22" s="499">
        <v>4.6656217479784878E-2</v>
      </c>
      <c r="J22" s="8"/>
    </row>
    <row r="23" spans="1:10" ht="20" customHeight="1" thickBot="1">
      <c r="A23" s="272" t="s">
        <v>65</v>
      </c>
      <c r="B23" s="194">
        <v>52550</v>
      </c>
      <c r="C23" s="195">
        <v>61</v>
      </c>
      <c r="D23" s="602" t="s">
        <v>1412</v>
      </c>
      <c r="E23" s="195">
        <v>21074537.151491199</v>
      </c>
      <c r="F23" s="194">
        <v>5546518.9715902619</v>
      </c>
      <c r="G23" s="499">
        <v>0.26318580245534834</v>
      </c>
      <c r="H23" s="253">
        <v>26621056.123081461</v>
      </c>
      <c r="I23" s="499">
        <v>4.0028478880055784E-2</v>
      </c>
      <c r="J23" s="8"/>
    </row>
    <row r="24" spans="1:10" ht="20" customHeight="1" thickBot="1">
      <c r="A24" s="272" t="s">
        <v>66</v>
      </c>
      <c r="B24" s="194">
        <v>14678</v>
      </c>
      <c r="C24" s="195">
        <v>61</v>
      </c>
      <c r="D24" s="602" t="s">
        <v>1412</v>
      </c>
      <c r="E24" s="195">
        <v>5886433.0410958678</v>
      </c>
      <c r="F24" s="194">
        <v>1549225.6035204912</v>
      </c>
      <c r="G24" s="499">
        <v>0.26318580245534812</v>
      </c>
      <c r="H24" s="253">
        <v>7435658.6446163589</v>
      </c>
      <c r="I24" s="499">
        <v>4.3059021157571431E-2</v>
      </c>
      <c r="J24" s="8"/>
    </row>
    <row r="25" spans="1:10" ht="20" customHeight="1" thickBot="1">
      <c r="A25" s="272" t="s">
        <v>67</v>
      </c>
      <c r="B25" s="194">
        <v>459469</v>
      </c>
      <c r="C25" s="195">
        <v>79</v>
      </c>
      <c r="D25" s="602" t="s">
        <v>1412</v>
      </c>
      <c r="E25" s="195">
        <v>168314117.41832051</v>
      </c>
      <c r="F25" s="194">
        <v>64446111.617190719</v>
      </c>
      <c r="G25" s="499">
        <v>0.38289189644751653</v>
      </c>
      <c r="H25" s="253">
        <v>232760229.03551123</v>
      </c>
      <c r="I25" s="499">
        <v>5.218342605089088E-2</v>
      </c>
      <c r="J25" s="8"/>
    </row>
    <row r="26" spans="1:10" ht="20" customHeight="1" thickBot="1">
      <c r="A26" s="272" t="s">
        <v>68</v>
      </c>
      <c r="B26" s="194">
        <v>191671</v>
      </c>
      <c r="C26" s="195">
        <v>58</v>
      </c>
      <c r="D26" s="602" t="s">
        <v>1412</v>
      </c>
      <c r="E26" s="195">
        <v>78036041.834969699</v>
      </c>
      <c r="F26" s="194">
        <v>19061664.124443173</v>
      </c>
      <c r="G26" s="499">
        <v>0.24426743945771498</v>
      </c>
      <c r="H26" s="253">
        <v>97097705.959412873</v>
      </c>
      <c r="I26" s="499">
        <v>5.4156192916764878E-2</v>
      </c>
      <c r="J26" s="8"/>
    </row>
    <row r="27" spans="1:10" ht="20" customHeight="1" thickBot="1">
      <c r="A27" s="272" t="s">
        <v>69</v>
      </c>
      <c r="B27" s="194">
        <v>564168</v>
      </c>
      <c r="C27" s="195">
        <v>108</v>
      </c>
      <c r="D27" s="602" t="s">
        <v>1412</v>
      </c>
      <c r="E27" s="195">
        <v>178616791.764193</v>
      </c>
      <c r="F27" s="194">
        <v>107182408.82280266</v>
      </c>
      <c r="G27" s="499">
        <v>0.60006905153857626</v>
      </c>
      <c r="H27" s="253">
        <v>285799200.58699566</v>
      </c>
      <c r="I27" s="499">
        <v>6.1983541060010028E-2</v>
      </c>
      <c r="J27" s="8"/>
    </row>
    <row r="28" spans="1:10" ht="20" customHeight="1" thickBot="1">
      <c r="A28" s="272" t="s">
        <v>70</v>
      </c>
      <c r="B28" s="194">
        <v>233323</v>
      </c>
      <c r="C28" s="195">
        <v>86</v>
      </c>
      <c r="D28" s="602" t="s">
        <v>1412</v>
      </c>
      <c r="E28" s="195">
        <v>82514520.888368741</v>
      </c>
      <c r="F28" s="194">
        <v>35683474.883386463</v>
      </c>
      <c r="G28" s="499">
        <v>0.43245085227679497</v>
      </c>
      <c r="H28" s="253">
        <v>118197995.7717552</v>
      </c>
      <c r="I28" s="499">
        <v>5.9624480473751351E-2</v>
      </c>
      <c r="J28" s="8"/>
    </row>
    <row r="29" spans="1:10" ht="20" customHeight="1" thickBot="1">
      <c r="A29" s="272" t="s">
        <v>71</v>
      </c>
      <c r="B29" s="194">
        <v>319513</v>
      </c>
      <c r="C29" s="195">
        <v>88</v>
      </c>
      <c r="D29" s="602" t="s">
        <v>1412</v>
      </c>
      <c r="E29" s="195">
        <v>111864520.11672121</v>
      </c>
      <c r="F29" s="194">
        <v>49996060.379075676</v>
      </c>
      <c r="G29" s="499">
        <v>0.44693402632853557</v>
      </c>
      <c r="H29" s="253">
        <v>161860580.49579689</v>
      </c>
      <c r="I29" s="499">
        <v>4.2955040108505038E-2</v>
      </c>
      <c r="J29" s="8"/>
    </row>
    <row r="30" spans="1:10" ht="20" customHeight="1" thickBot="1">
      <c r="A30" s="272" t="s">
        <v>72</v>
      </c>
      <c r="B30" s="194">
        <v>656558</v>
      </c>
      <c r="C30" s="195">
        <v>99</v>
      </c>
      <c r="D30" s="602" t="s">
        <v>1412</v>
      </c>
      <c r="E30" s="195">
        <v>217494075.27913356</v>
      </c>
      <c r="F30" s="194">
        <v>115108538.72768122</v>
      </c>
      <c r="G30" s="499">
        <v>0.52924907761257423</v>
      </c>
      <c r="H30" s="253">
        <v>332602614.00681478</v>
      </c>
      <c r="I30" s="499">
        <v>6.5031245695244211E-2</v>
      </c>
      <c r="J30" s="8"/>
    </row>
    <row r="31" spans="1:10" ht="20" customHeight="1" thickBot="1">
      <c r="A31" s="272" t="s">
        <v>73</v>
      </c>
      <c r="B31" s="194">
        <v>286557</v>
      </c>
      <c r="C31" s="195">
        <v>32</v>
      </c>
      <c r="D31" s="602" t="s">
        <v>1412</v>
      </c>
      <c r="E31" s="195">
        <v>132967909.27748448</v>
      </c>
      <c r="F31" s="194">
        <v>12197646.944434732</v>
      </c>
      <c r="G31" s="499">
        <v>9.1733765016790911E-2</v>
      </c>
      <c r="H31" s="253">
        <v>145165556.22191921</v>
      </c>
      <c r="I31" s="499">
        <v>7.5607229483352079E-2</v>
      </c>
      <c r="J31" s="8"/>
    </row>
    <row r="32" spans="1:10" ht="20" customHeight="1" thickBot="1">
      <c r="A32" s="272" t="s">
        <v>74</v>
      </c>
      <c r="B32" s="194">
        <v>168728</v>
      </c>
      <c r="C32" s="195">
        <v>63</v>
      </c>
      <c r="D32" s="602" t="s">
        <v>1412</v>
      </c>
      <c r="E32" s="195">
        <v>66988998.338457912</v>
      </c>
      <c r="F32" s="194">
        <v>18486121.690757856</v>
      </c>
      <c r="G32" s="499">
        <v>0.27595757735259496</v>
      </c>
      <c r="H32" s="253">
        <v>85475120.029215768</v>
      </c>
      <c r="I32" s="499">
        <v>4.4975629669679273E-2</v>
      </c>
      <c r="J32" s="8"/>
    </row>
    <row r="33" spans="1:13" ht="20" customHeight="1" thickBot="1">
      <c r="A33" s="272" t="s">
        <v>75</v>
      </c>
      <c r="B33" s="194">
        <v>434066</v>
      </c>
      <c r="C33" s="195">
        <v>152</v>
      </c>
      <c r="D33" s="602" t="s">
        <v>1412</v>
      </c>
      <c r="E33" s="195">
        <v>110141659.23682617</v>
      </c>
      <c r="F33" s="194">
        <v>109749784.09564723</v>
      </c>
      <c r="G33" s="499">
        <v>0.9964420806451052</v>
      </c>
      <c r="H33" s="253">
        <v>219891443.3324734</v>
      </c>
      <c r="I33" s="499">
        <v>5.4855849018993208E-2</v>
      </c>
    </row>
    <row r="34" spans="1:13" ht="20" customHeight="1" thickBot="1">
      <c r="A34" s="272" t="s">
        <v>76</v>
      </c>
      <c r="B34" s="194">
        <v>67921</v>
      </c>
      <c r="C34" s="195">
        <v>38</v>
      </c>
      <c r="D34" s="602" t="s">
        <v>1412</v>
      </c>
      <c r="E34" s="195">
        <v>30579676.805742271</v>
      </c>
      <c r="F34" s="194">
        <v>3828101.5564997047</v>
      </c>
      <c r="G34" s="499">
        <v>0.12518450017695612</v>
      </c>
      <c r="H34" s="253">
        <v>34407778.362241976</v>
      </c>
      <c r="I34" s="499">
        <v>3.7109759400476783E-2</v>
      </c>
      <c r="K34" s="9"/>
      <c r="L34" s="9"/>
      <c r="M34" s="9"/>
    </row>
    <row r="35" spans="1:13" s="151" customFormat="1" ht="30" customHeight="1" thickBot="1">
      <c r="A35" s="273" t="s">
        <v>1944</v>
      </c>
      <c r="B35" s="291">
        <v>7461725</v>
      </c>
      <c r="C35" s="290">
        <v>100</v>
      </c>
      <c r="D35" s="520" t="s">
        <v>1412</v>
      </c>
      <c r="E35" s="290">
        <v>2520000000</v>
      </c>
      <c r="F35" s="291">
        <v>1260000000</v>
      </c>
      <c r="G35" s="603">
        <v>0.5</v>
      </c>
      <c r="H35" s="291">
        <v>3780000000</v>
      </c>
      <c r="I35" s="603">
        <v>5.7046979865771785E-2</v>
      </c>
    </row>
    <row r="36" spans="1:13" ht="20" customHeight="1">
      <c r="A36" s="278" t="s">
        <v>2334</v>
      </c>
      <c r="B36" s="279"/>
      <c r="C36" s="279"/>
      <c r="D36" s="604"/>
      <c r="E36" s="279"/>
      <c r="F36" s="279"/>
      <c r="G36" s="279"/>
      <c r="H36" s="605"/>
      <c r="I36" s="279"/>
    </row>
    <row r="37" spans="1:13" ht="14.25" customHeight="1">
      <c r="A37" s="280"/>
      <c r="B37" s="281"/>
      <c r="C37" s="281"/>
      <c r="D37" s="606"/>
      <c r="E37" s="281"/>
      <c r="F37" s="281"/>
      <c r="G37" s="281"/>
      <c r="H37" s="607"/>
      <c r="I37" s="281"/>
    </row>
    <row r="38" spans="1:13" ht="15.75" customHeight="1">
      <c r="A38" s="280" t="s">
        <v>216</v>
      </c>
      <c r="B38" s="281"/>
      <c r="C38" s="281"/>
      <c r="D38" s="606"/>
      <c r="E38" s="281"/>
      <c r="F38" s="281"/>
      <c r="G38" s="281"/>
      <c r="H38" s="607"/>
      <c r="I38" s="281"/>
    </row>
    <row r="39" spans="1:13" ht="13.5" customHeight="1">
      <c r="A39" s="280"/>
      <c r="B39" s="281"/>
      <c r="C39" s="281"/>
      <c r="D39" s="606"/>
      <c r="E39" s="281"/>
      <c r="F39" s="281"/>
      <c r="G39" s="281"/>
      <c r="H39" s="607"/>
      <c r="I39" s="281"/>
    </row>
    <row r="40" spans="1:13" ht="11.25" customHeight="1">
      <c r="A40" s="3" t="s">
        <v>217</v>
      </c>
      <c r="B40" s="281"/>
      <c r="C40" s="281"/>
      <c r="D40" s="606"/>
      <c r="E40" s="281"/>
      <c r="F40" s="281"/>
      <c r="G40" s="281"/>
      <c r="H40" s="607"/>
      <c r="I40" s="281"/>
    </row>
    <row r="41" spans="1:13">
      <c r="A41" s="2" t="s">
        <v>218</v>
      </c>
    </row>
    <row r="42" spans="1:13">
      <c r="A42" s="2" t="s">
        <v>219</v>
      </c>
    </row>
    <row r="43" spans="1:13">
      <c r="A43" s="2" t="s">
        <v>220</v>
      </c>
    </row>
    <row r="44" spans="1:13">
      <c r="A44" s="2" t="s">
        <v>221</v>
      </c>
    </row>
    <row r="45" spans="1:13">
      <c r="A45" s="2" t="s">
        <v>222</v>
      </c>
    </row>
    <row r="46" spans="1:13">
      <c r="A46" s="608" t="s">
        <v>223</v>
      </c>
    </row>
    <row r="49" spans="1:1">
      <c r="A49" s="2" t="s">
        <v>1955</v>
      </c>
    </row>
  </sheetData>
  <phoneticPr fontId="0" type="noConversion"/>
  <pageMargins left="0.56000000000000005" right="0.51" top="0.81" bottom="0.49" header="0.42" footer="0.4921259845"/>
  <pageSetup paperSize="9" scale="84" orientation="portrait" horizontalDpi="1200" verticalDpi="120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D91F-C7A1-4141-990E-45E78808A227}">
  <sheetPr>
    <pageSetUpPr fitToPage="1"/>
  </sheetPr>
  <dimension ref="A1:I47"/>
  <sheetViews>
    <sheetView topLeftCell="A26" zoomScale="75" workbookViewId="0">
      <selection activeCell="A38" sqref="A38"/>
    </sheetView>
  </sheetViews>
  <sheetFormatPr baseColWidth="10" defaultColWidth="11.3984375" defaultRowHeight="13"/>
  <cols>
    <col min="1" max="1" width="12.59765625" style="2" customWidth="1"/>
    <col min="2" max="2" width="12.59765625" style="97" customWidth="1"/>
    <col min="3" max="3" width="14.796875" style="151" customWidth="1"/>
    <col min="4" max="4" width="14.796875" style="8" customWidth="1"/>
    <col min="5" max="5" width="15.796875" style="2" customWidth="1"/>
    <col min="6" max="6" width="12.59765625" style="97" customWidth="1"/>
    <col min="7" max="7" width="13.19921875" style="97" customWidth="1"/>
    <col min="8" max="16384" width="11.3984375" style="2"/>
  </cols>
  <sheetData>
    <row r="1" spans="1:9" s="1" customFormat="1" ht="14" customHeight="1">
      <c r="B1" s="169"/>
      <c r="D1" s="175"/>
      <c r="E1" s="17"/>
      <c r="F1" s="175"/>
      <c r="H1" s="169"/>
      <c r="I1" s="169"/>
    </row>
    <row r="2" spans="1:9" s="1" customFormat="1" ht="28" customHeight="1">
      <c r="A2" s="112" t="s">
        <v>229</v>
      </c>
      <c r="B2" s="169"/>
      <c r="D2" s="175"/>
      <c r="E2" s="17"/>
      <c r="F2" s="169"/>
      <c r="G2" s="265">
        <v>2006</v>
      </c>
    </row>
    <row r="3" spans="1:9" ht="24" customHeight="1">
      <c r="A3" s="113" t="s">
        <v>41</v>
      </c>
      <c r="B3" s="466" t="s">
        <v>230</v>
      </c>
      <c r="C3" s="115" t="s">
        <v>209</v>
      </c>
      <c r="D3" s="393" t="s">
        <v>210</v>
      </c>
      <c r="E3" s="284" t="s">
        <v>231</v>
      </c>
      <c r="F3" s="466" t="s">
        <v>232</v>
      </c>
      <c r="G3" s="170" t="s">
        <v>45</v>
      </c>
    </row>
    <row r="4" spans="1:9" ht="15" customHeight="1">
      <c r="A4" s="248"/>
      <c r="B4" s="119" t="s">
        <v>233</v>
      </c>
      <c r="C4" s="180" t="s">
        <v>234</v>
      </c>
      <c r="D4" s="179" t="s">
        <v>234</v>
      </c>
      <c r="E4" s="285" t="s">
        <v>235</v>
      </c>
      <c r="F4" s="119" t="s">
        <v>1951</v>
      </c>
      <c r="G4" s="116" t="s">
        <v>96</v>
      </c>
    </row>
    <row r="5" spans="1:9" ht="15.75" customHeight="1">
      <c r="A5" s="248"/>
      <c r="B5" s="119" t="s">
        <v>247</v>
      </c>
      <c r="C5" s="118" t="s">
        <v>236</v>
      </c>
      <c r="D5" s="179" t="s">
        <v>236</v>
      </c>
      <c r="E5" s="285" t="s">
        <v>236</v>
      </c>
      <c r="F5" s="119" t="s">
        <v>237</v>
      </c>
      <c r="G5" s="116" t="s">
        <v>2313</v>
      </c>
    </row>
    <row r="6" spans="1:9" ht="15" customHeight="1">
      <c r="A6" s="248"/>
      <c r="B6" s="119"/>
      <c r="C6" s="118" t="s">
        <v>238</v>
      </c>
      <c r="D6" s="179" t="s">
        <v>238</v>
      </c>
      <c r="E6" s="285" t="s">
        <v>238</v>
      </c>
      <c r="F6" s="119" t="s">
        <v>239</v>
      </c>
      <c r="G6" s="116" t="s">
        <v>50</v>
      </c>
    </row>
    <row r="7" spans="1:9" ht="21" customHeight="1">
      <c r="A7" s="249"/>
      <c r="B7" s="121"/>
      <c r="C7" s="122" t="s">
        <v>248</v>
      </c>
      <c r="D7" s="181" t="s">
        <v>248</v>
      </c>
      <c r="E7" s="286" t="s">
        <v>249</v>
      </c>
      <c r="F7" s="181" t="s">
        <v>250</v>
      </c>
      <c r="G7" s="178"/>
    </row>
    <row r="8" spans="1:9" ht="30" customHeight="1" thickBot="1">
      <c r="A8" s="268" t="s">
        <v>51</v>
      </c>
      <c r="B8" s="128">
        <v>0.19999999914812605</v>
      </c>
      <c r="C8" s="127">
        <v>266921409.99630934</v>
      </c>
      <c r="D8" s="600">
        <v>252736601.00369069</v>
      </c>
      <c r="E8" s="287">
        <v>519658011</v>
      </c>
      <c r="F8" s="128">
        <v>0.80000000085187395</v>
      </c>
      <c r="G8" s="171">
        <v>-1.7282326819302529E-2</v>
      </c>
    </row>
    <row r="9" spans="1:9" ht="20" customHeight="1" thickBot="1">
      <c r="A9" s="272" t="s">
        <v>52</v>
      </c>
      <c r="B9" s="545">
        <v>-1.1015695022820182E-9</v>
      </c>
      <c r="C9" s="195">
        <v>372336576.21078378</v>
      </c>
      <c r="D9" s="602">
        <v>114849014.78921625</v>
      </c>
      <c r="E9" s="288">
        <v>487185591</v>
      </c>
      <c r="F9" s="128">
        <v>1.0000000011015695</v>
      </c>
      <c r="G9" s="171">
        <v>4.9838761589085623E-2</v>
      </c>
    </row>
    <row r="10" spans="1:9" ht="20" customHeight="1" thickBot="1">
      <c r="A10" s="272" t="s">
        <v>53</v>
      </c>
      <c r="B10" s="545">
        <v>0.18899656596777603</v>
      </c>
      <c r="C10" s="195">
        <v>113381884.59598857</v>
      </c>
      <c r="D10" s="602">
        <v>32018115.404011417</v>
      </c>
      <c r="E10" s="288">
        <v>145400000</v>
      </c>
      <c r="F10" s="128">
        <v>0.81100343403222397</v>
      </c>
      <c r="G10" s="171">
        <v>8.6616855337506848E-5</v>
      </c>
    </row>
    <row r="11" spans="1:9" ht="20" customHeight="1" thickBot="1">
      <c r="A11" s="272" t="s">
        <v>54</v>
      </c>
      <c r="B11" s="545">
        <v>0.22999998455122483</v>
      </c>
      <c r="C11" s="195">
        <v>11932467.577615939</v>
      </c>
      <c r="D11" s="602">
        <v>1629509.4223840612</v>
      </c>
      <c r="E11" s="288">
        <v>13561977</v>
      </c>
      <c r="F11" s="128">
        <v>0.77000001544877517</v>
      </c>
      <c r="G11" s="171">
        <v>5.5957265192180694E-2</v>
      </c>
    </row>
    <row r="12" spans="1:9" ht="20" customHeight="1" thickBot="1">
      <c r="A12" s="272" t="s">
        <v>55</v>
      </c>
      <c r="B12" s="545">
        <v>0.29910891874971535</v>
      </c>
      <c r="C12" s="195">
        <v>29698431.475718815</v>
      </c>
      <c r="D12" s="602">
        <v>18301568.524281189</v>
      </c>
      <c r="E12" s="288">
        <v>48000000</v>
      </c>
      <c r="F12" s="128">
        <v>0.70089108125028465</v>
      </c>
      <c r="G12" s="171">
        <v>-5.6974459724950854E-2</v>
      </c>
    </row>
    <row r="13" spans="1:9" ht="20" customHeight="1" thickBot="1">
      <c r="A13" s="272" t="s">
        <v>56</v>
      </c>
      <c r="B13" s="545">
        <v>1.7296424403845378E-8</v>
      </c>
      <c r="C13" s="195">
        <v>15490886.580650209</v>
      </c>
      <c r="D13" s="602">
        <v>1251756.4193497931</v>
      </c>
      <c r="E13" s="288">
        <v>16742643</v>
      </c>
      <c r="F13" s="128">
        <v>0.9999999827035756</v>
      </c>
      <c r="G13" s="171">
        <v>5.3114112187255147E-2</v>
      </c>
    </row>
    <row r="14" spans="1:9" ht="20" customHeight="1" thickBot="1">
      <c r="A14" s="272" t="s">
        <v>57</v>
      </c>
      <c r="B14" s="545">
        <v>0.42170417847798281</v>
      </c>
      <c r="C14" s="195">
        <v>6414563.9744554535</v>
      </c>
      <c r="D14" s="602">
        <v>4935436.0255445465</v>
      </c>
      <c r="E14" s="288">
        <v>11350000</v>
      </c>
      <c r="F14" s="128">
        <v>0.57829582152201719</v>
      </c>
      <c r="G14" s="171">
        <v>0.19477520067749543</v>
      </c>
    </row>
    <row r="15" spans="1:9" ht="20" customHeight="1" thickBot="1">
      <c r="A15" s="272" t="s">
        <v>58</v>
      </c>
      <c r="B15" s="545">
        <v>0.29999994536147134</v>
      </c>
      <c r="C15" s="195">
        <v>9913947.2036389764</v>
      </c>
      <c r="D15" s="602">
        <v>3658739.7963610245</v>
      </c>
      <c r="E15" s="288">
        <v>13572687</v>
      </c>
      <c r="F15" s="128">
        <v>0.70000005463852866</v>
      </c>
      <c r="G15" s="171">
        <v>5.1595617953544393E-2</v>
      </c>
    </row>
    <row r="16" spans="1:9" ht="20" customHeight="1" thickBot="1">
      <c r="A16" s="272" t="s">
        <v>59</v>
      </c>
      <c r="B16" s="545">
        <v>0.24549998181704924</v>
      </c>
      <c r="C16" s="195">
        <v>13954479.752292993</v>
      </c>
      <c r="D16" s="602">
        <v>26063425.247707006</v>
      </c>
      <c r="E16" s="288">
        <v>40017905</v>
      </c>
      <c r="F16" s="128">
        <v>0.75450001818295076</v>
      </c>
      <c r="G16" s="171">
        <v>8.7103675702985051E-2</v>
      </c>
    </row>
    <row r="17" spans="1:7" ht="20" customHeight="1" thickBot="1">
      <c r="A17" s="272" t="s">
        <v>60</v>
      </c>
      <c r="B17" s="545">
        <v>5.970124394849563E-10</v>
      </c>
      <c r="C17" s="195">
        <v>108412899.65861295</v>
      </c>
      <c r="D17" s="602">
        <v>19220753.341387045</v>
      </c>
      <c r="E17" s="288">
        <v>127633653</v>
      </c>
      <c r="F17" s="128">
        <v>0.99999999940298756</v>
      </c>
      <c r="G17" s="171">
        <v>8.1746973309778204E-2</v>
      </c>
    </row>
    <row r="18" spans="1:7" ht="20" customHeight="1" thickBot="1">
      <c r="A18" s="272" t="s">
        <v>61</v>
      </c>
      <c r="B18" s="545">
        <v>0.30000000109624336</v>
      </c>
      <c r="C18" s="195">
        <v>64083943.525871053</v>
      </c>
      <c r="D18" s="602">
        <v>23209969.474128947</v>
      </c>
      <c r="E18" s="288">
        <v>87293913</v>
      </c>
      <c r="F18" s="128">
        <v>0.69999999890375664</v>
      </c>
      <c r="G18" s="171">
        <v>5.226902741743733E-2</v>
      </c>
    </row>
    <row r="19" spans="1:7" ht="20" customHeight="1" thickBot="1">
      <c r="A19" s="272" t="s">
        <v>62</v>
      </c>
      <c r="B19" s="545">
        <v>4.5631498579723484E-11</v>
      </c>
      <c r="C19" s="195">
        <v>44010498.888240606</v>
      </c>
      <c r="D19" s="602">
        <v>53642931.111759394</v>
      </c>
      <c r="E19" s="288">
        <v>97653430</v>
      </c>
      <c r="F19" s="128">
        <v>0.9999999999543685</v>
      </c>
      <c r="G19" s="171">
        <v>1.6917010032020841E-2</v>
      </c>
    </row>
    <row r="20" spans="1:7" ht="20" customHeight="1" thickBot="1">
      <c r="A20" s="272" t="s">
        <v>63</v>
      </c>
      <c r="B20" s="545">
        <v>0.32811391329090445</v>
      </c>
      <c r="C20" s="195">
        <v>55965357.776791103</v>
      </c>
      <c r="D20" s="602">
        <v>34034642.223208897</v>
      </c>
      <c r="E20" s="289">
        <v>90000000</v>
      </c>
      <c r="F20" s="128">
        <v>0.67188608670909555</v>
      </c>
      <c r="G20" s="171">
        <v>-0.11764705882352944</v>
      </c>
    </row>
    <row r="21" spans="1:7" ht="20" customHeight="1" thickBot="1">
      <c r="A21" s="272" t="s">
        <v>64</v>
      </c>
      <c r="B21" s="545">
        <v>6.0944094369555057E-2</v>
      </c>
      <c r="C21" s="195">
        <v>23805243.310734026</v>
      </c>
      <c r="D21" s="602">
        <v>11694756.689265976</v>
      </c>
      <c r="E21" s="288">
        <v>35500000</v>
      </c>
      <c r="F21" s="128">
        <v>0.93905590563044494</v>
      </c>
      <c r="G21" s="171">
        <v>6.9277108433734913E-2</v>
      </c>
    </row>
    <row r="22" spans="1:7" ht="20" customHeight="1" thickBot="1">
      <c r="A22" s="272" t="s">
        <v>65</v>
      </c>
      <c r="B22" s="545">
        <v>0.13242882276277579</v>
      </c>
      <c r="C22" s="195">
        <v>18283661.006248835</v>
      </c>
      <c r="D22" s="602">
        <v>4811999.9937511617</v>
      </c>
      <c r="E22" s="288">
        <v>23095661</v>
      </c>
      <c r="F22" s="128">
        <v>0.86757117723722421</v>
      </c>
      <c r="G22" s="171">
        <v>2.5658309903814347E-2</v>
      </c>
    </row>
    <row r="23" spans="1:7" ht="20" customHeight="1" thickBot="1">
      <c r="A23" s="272" t="s">
        <v>66</v>
      </c>
      <c r="B23" s="545">
        <v>0.15071410592896828</v>
      </c>
      <c r="C23" s="195">
        <v>4999264.5481963661</v>
      </c>
      <c r="D23" s="602">
        <v>1315735.4518036339</v>
      </c>
      <c r="E23" s="288">
        <v>6315000</v>
      </c>
      <c r="F23" s="128">
        <v>0.84928589407103172</v>
      </c>
      <c r="G23" s="171">
        <v>0.10112532741695701</v>
      </c>
    </row>
    <row r="24" spans="1:7" ht="20" customHeight="1" thickBot="1">
      <c r="A24" s="272" t="s">
        <v>67</v>
      </c>
      <c r="B24" s="545">
        <v>0.37500000063238692</v>
      </c>
      <c r="C24" s="195">
        <v>105196323.28001067</v>
      </c>
      <c r="D24" s="602">
        <v>40278819.719989322</v>
      </c>
      <c r="E24" s="288">
        <v>145475143</v>
      </c>
      <c r="F24" s="128">
        <v>0.62499999936761308</v>
      </c>
      <c r="G24" s="171">
        <v>9.6024398130819755E-2</v>
      </c>
    </row>
    <row r="25" spans="1:7" ht="20" customHeight="1" thickBot="1">
      <c r="A25" s="272" t="s">
        <v>68</v>
      </c>
      <c r="B25" s="545">
        <v>0.2550493002354205</v>
      </c>
      <c r="C25" s="195">
        <v>58133003.971818678</v>
      </c>
      <c r="D25" s="602">
        <v>14200000.028181322</v>
      </c>
      <c r="E25" s="288">
        <v>72333004</v>
      </c>
      <c r="F25" s="128">
        <v>0.7449506997645795</v>
      </c>
      <c r="G25" s="171">
        <v>9.6950820230512047E-2</v>
      </c>
    </row>
    <row r="26" spans="1:7" ht="20" customHeight="1" thickBot="1">
      <c r="A26" s="272" t="s">
        <v>69</v>
      </c>
      <c r="B26" s="545">
        <v>0.4573112882000927</v>
      </c>
      <c r="C26" s="195">
        <v>96933316.628342196</v>
      </c>
      <c r="D26" s="602">
        <v>58166683.371657796</v>
      </c>
      <c r="E26" s="288">
        <v>155100000</v>
      </c>
      <c r="F26" s="128">
        <v>0.5426887117999073</v>
      </c>
      <c r="G26" s="171">
        <v>6.2328767123287721E-2</v>
      </c>
    </row>
    <row r="27" spans="1:7" ht="20" customHeight="1" thickBot="1">
      <c r="A27" s="272" t="s">
        <v>70</v>
      </c>
      <c r="B27" s="545">
        <v>-1.9310377741277307E-9</v>
      </c>
      <c r="C27" s="195">
        <v>82514521.047707394</v>
      </c>
      <c r="D27" s="602">
        <v>35683474.952292599</v>
      </c>
      <c r="E27" s="288">
        <v>118197996</v>
      </c>
      <c r="F27" s="128">
        <v>1.0000000019310378</v>
      </c>
      <c r="G27" s="171">
        <v>5.962448494832584E-2</v>
      </c>
    </row>
    <row r="28" spans="1:7" ht="20" customHeight="1" thickBot="1">
      <c r="A28" s="272" t="s">
        <v>71</v>
      </c>
      <c r="B28" s="545">
        <v>3.0631107650336276E-9</v>
      </c>
      <c r="C28" s="195">
        <v>111864519.7740678</v>
      </c>
      <c r="D28" s="602">
        <v>49996060.225932203</v>
      </c>
      <c r="E28" s="288">
        <v>161860580</v>
      </c>
      <c r="F28" s="128">
        <v>0.99999999693688923</v>
      </c>
      <c r="G28" s="171">
        <v>4.2955037619413217E-2</v>
      </c>
    </row>
    <row r="29" spans="1:7" ht="20" customHeight="1" thickBot="1">
      <c r="A29" s="272" t="s">
        <v>72</v>
      </c>
      <c r="B29" s="545">
        <v>2.0489276941759726E-11</v>
      </c>
      <c r="C29" s="195">
        <v>217494075.27467728</v>
      </c>
      <c r="D29" s="602">
        <v>115108538.72532272</v>
      </c>
      <c r="E29" s="288">
        <v>332602614</v>
      </c>
      <c r="F29" s="128">
        <v>0.99999999997951072</v>
      </c>
      <c r="G29" s="171">
        <v>6.5031244524186071E-2</v>
      </c>
    </row>
    <row r="30" spans="1:7" ht="20" customHeight="1" thickBot="1">
      <c r="A30" s="272" t="s">
        <v>73</v>
      </c>
      <c r="B30" s="545">
        <v>1.5287318078094358E-9</v>
      </c>
      <c r="C30" s="195">
        <v>132967909.07421221</v>
      </c>
      <c r="D30" s="602">
        <v>12197646.925787801</v>
      </c>
      <c r="E30" s="288">
        <v>145165556</v>
      </c>
      <c r="F30" s="128">
        <v>0.99999999847126819</v>
      </c>
      <c r="G30" s="171">
        <v>7.5607225800378597E-2</v>
      </c>
    </row>
    <row r="31" spans="1:7" ht="20" customHeight="1" thickBot="1">
      <c r="A31" s="272" t="s">
        <v>74</v>
      </c>
      <c r="B31" s="545">
        <v>4.0657000867947768E-2</v>
      </c>
      <c r="C31" s="195">
        <v>64265426.574868277</v>
      </c>
      <c r="D31" s="602">
        <v>17734531.425131727</v>
      </c>
      <c r="E31" s="288">
        <v>81999958</v>
      </c>
      <c r="F31" s="128">
        <v>0.95934299913205223</v>
      </c>
      <c r="G31" s="171">
        <v>2.4900520843973428E-3</v>
      </c>
    </row>
    <row r="32" spans="1:7" ht="20" customHeight="1" thickBot="1">
      <c r="A32" s="272" t="s">
        <v>75</v>
      </c>
      <c r="B32" s="545">
        <v>1.5119887564196688E-9</v>
      </c>
      <c r="C32" s="195">
        <v>110141659.07029322</v>
      </c>
      <c r="D32" s="602">
        <v>109749783.9297068</v>
      </c>
      <c r="E32" s="288">
        <v>219891443</v>
      </c>
      <c r="F32" s="128">
        <v>0.99999999848801124</v>
      </c>
      <c r="G32" s="171">
        <v>5.485584752352346E-2</v>
      </c>
    </row>
    <row r="33" spans="1:9" ht="20" customHeight="1" thickBot="1">
      <c r="A33" s="272" t="s">
        <v>76</v>
      </c>
      <c r="B33" s="545">
        <v>1.0527909433122318E-8</v>
      </c>
      <c r="C33" s="195">
        <v>30579676.483802203</v>
      </c>
      <c r="D33" s="602">
        <v>3828101.5161977983</v>
      </c>
      <c r="E33" s="288">
        <v>34407778</v>
      </c>
      <c r="F33" s="128">
        <v>0.99999998947209057</v>
      </c>
      <c r="G33" s="171">
        <v>3.7109736641813607E-2</v>
      </c>
      <c r="H33" s="9"/>
      <c r="I33" s="9"/>
    </row>
    <row r="34" spans="1:9" s="188" customFormat="1" ht="30" customHeight="1" thickBot="1">
      <c r="A34" s="273" t="s">
        <v>251</v>
      </c>
      <c r="B34" s="609">
        <v>0.14549879814814815</v>
      </c>
      <c r="C34" s="290">
        <v>2169695947.2619491</v>
      </c>
      <c r="D34" s="520">
        <v>1060318595.7380512</v>
      </c>
      <c r="E34" s="290">
        <v>3230014543</v>
      </c>
      <c r="F34" s="550">
        <v>0.85450120185185185</v>
      </c>
      <c r="G34" s="610">
        <v>3.5385503573211574E-2</v>
      </c>
      <c r="H34" s="611"/>
    </row>
    <row r="35" spans="1:9" ht="20" customHeight="1">
      <c r="A35" s="278" t="s">
        <v>2334</v>
      </c>
      <c r="B35" s="604"/>
      <c r="C35" s="605"/>
      <c r="D35" s="279"/>
      <c r="E35" s="279"/>
      <c r="F35" s="606"/>
    </row>
    <row r="36" spans="1:9" ht="11.25" customHeight="1">
      <c r="A36" s="280"/>
      <c r="B36" s="606"/>
      <c r="C36" s="607"/>
      <c r="D36" s="281"/>
      <c r="E36" s="281"/>
      <c r="F36" s="606"/>
    </row>
    <row r="37" spans="1:9" ht="15.75" customHeight="1">
      <c r="A37" s="280" t="s">
        <v>240</v>
      </c>
      <c r="B37" s="606"/>
      <c r="C37" s="607"/>
      <c r="D37" s="281"/>
      <c r="E37" s="281"/>
      <c r="F37" s="606"/>
    </row>
    <row r="38" spans="1:9" ht="10.5" customHeight="1">
      <c r="A38" s="280"/>
      <c r="B38" s="606"/>
      <c r="C38" s="607"/>
      <c r="D38" s="281"/>
      <c r="E38" s="281"/>
      <c r="F38" s="606"/>
    </row>
    <row r="39" spans="1:9" ht="11.25" customHeight="1">
      <c r="A39" s="3" t="s">
        <v>241</v>
      </c>
      <c r="B39" s="606"/>
      <c r="C39" s="607"/>
      <c r="D39" s="281"/>
      <c r="E39" s="281"/>
      <c r="F39" s="606"/>
    </row>
    <row r="40" spans="1:9">
      <c r="A40" s="2" t="s">
        <v>242</v>
      </c>
    </row>
    <row r="41" spans="1:9">
      <c r="A41" s="2" t="s">
        <v>243</v>
      </c>
    </row>
    <row r="42" spans="1:9">
      <c r="A42" s="2" t="s">
        <v>244</v>
      </c>
    </row>
    <row r="43" spans="1:9">
      <c r="A43" s="2" t="s">
        <v>245</v>
      </c>
    </row>
    <row r="44" spans="1:9">
      <c r="A44" s="2" t="s">
        <v>246</v>
      </c>
    </row>
    <row r="47" spans="1:9">
      <c r="A47" s="2" t="s">
        <v>1955</v>
      </c>
    </row>
  </sheetData>
  <phoneticPr fontId="0" type="noConversion"/>
  <pageMargins left="0.53" right="0.64" top="0.67" bottom="0.49" header="0.38" footer="0.4921259845"/>
  <pageSetup paperSize="9" scale="90" orientation="portrait" horizontalDpi="1200" verticalDpi="120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E03E-4628-E448-929C-D463732E783D}">
  <sheetPr>
    <pageSetUpPr fitToPage="1"/>
  </sheetPr>
  <dimension ref="A1:L42"/>
  <sheetViews>
    <sheetView zoomScale="75" workbookViewId="0">
      <selection activeCell="F5" sqref="F5"/>
    </sheetView>
  </sheetViews>
  <sheetFormatPr baseColWidth="10" defaultColWidth="11.3984375" defaultRowHeight="13"/>
  <cols>
    <col min="1" max="1" width="11.796875" style="2" customWidth="1"/>
    <col min="2" max="3" width="17.19921875" style="2" customWidth="1"/>
    <col min="4" max="4" width="17.19921875" style="151" customWidth="1"/>
    <col min="5" max="5" width="16" style="97" customWidth="1"/>
    <col min="6" max="6" width="13.796875" style="623" customWidth="1"/>
    <col min="7" max="7" width="13.19921875" style="97" customWidth="1"/>
    <col min="8" max="8" width="14.59765625" style="97" customWidth="1"/>
    <col min="9" max="9" width="7.3984375" style="2" customWidth="1"/>
    <col min="10" max="10" width="11.59765625" style="2" customWidth="1"/>
    <col min="11" max="16384" width="11.3984375" style="2"/>
  </cols>
  <sheetData>
    <row r="1" spans="1:10" s="1" customFormat="1" ht="14" customHeight="1">
      <c r="D1" s="17"/>
      <c r="E1" s="169"/>
      <c r="F1" s="612"/>
      <c r="G1" s="169"/>
      <c r="H1" s="169"/>
    </row>
    <row r="2" spans="1:10" s="1" customFormat="1" ht="28" customHeight="1">
      <c r="A2" s="112" t="s">
        <v>252</v>
      </c>
      <c r="D2" s="17"/>
      <c r="E2" s="169"/>
      <c r="F2" s="612"/>
      <c r="G2" s="169"/>
      <c r="H2" s="265">
        <v>2006</v>
      </c>
    </row>
    <row r="3" spans="1:10" ht="24" customHeight="1">
      <c r="A3" s="113" t="s">
        <v>41</v>
      </c>
      <c r="B3" s="114" t="s">
        <v>1020</v>
      </c>
      <c r="C3" s="115" t="s">
        <v>1020</v>
      </c>
      <c r="D3" s="427" t="s">
        <v>1951</v>
      </c>
      <c r="E3" s="170" t="s">
        <v>45</v>
      </c>
      <c r="F3" s="613"/>
      <c r="G3" s="170" t="s">
        <v>1951</v>
      </c>
      <c r="H3" s="466" t="s">
        <v>1951</v>
      </c>
    </row>
    <row r="4" spans="1:10" ht="15" customHeight="1">
      <c r="A4" s="248"/>
      <c r="B4" s="143" t="s">
        <v>253</v>
      </c>
      <c r="C4" s="180" t="s">
        <v>253</v>
      </c>
      <c r="D4" s="599" t="s">
        <v>254</v>
      </c>
      <c r="E4" s="116" t="s">
        <v>46</v>
      </c>
      <c r="F4" s="614" t="s">
        <v>1045</v>
      </c>
      <c r="G4" s="178" t="s">
        <v>1020</v>
      </c>
      <c r="H4" s="119" t="s">
        <v>1020</v>
      </c>
    </row>
    <row r="5" spans="1:10" ht="15.75" customHeight="1">
      <c r="A5" s="248"/>
      <c r="B5" s="117" t="s">
        <v>2335</v>
      </c>
      <c r="C5" s="118" t="s">
        <v>2336</v>
      </c>
      <c r="D5" s="599" t="s">
        <v>1044</v>
      </c>
      <c r="E5" s="116" t="s">
        <v>50</v>
      </c>
      <c r="F5" s="614" t="s">
        <v>255</v>
      </c>
      <c r="G5" s="178" t="s">
        <v>256</v>
      </c>
      <c r="H5" s="119" t="s">
        <v>257</v>
      </c>
    </row>
    <row r="6" spans="1:10" ht="15" customHeight="1">
      <c r="A6" s="248"/>
      <c r="B6" s="117" t="s">
        <v>1007</v>
      </c>
      <c r="C6" s="118" t="s">
        <v>258</v>
      </c>
      <c r="D6" s="599" t="s">
        <v>1007</v>
      </c>
      <c r="E6" s="116"/>
      <c r="F6" s="614" t="s">
        <v>94</v>
      </c>
      <c r="G6" s="178" t="s">
        <v>1007</v>
      </c>
      <c r="H6" s="119" t="s">
        <v>1007</v>
      </c>
    </row>
    <row r="7" spans="1:10" ht="24" customHeight="1">
      <c r="A7" s="249"/>
      <c r="B7" s="123"/>
      <c r="C7" s="122" t="s">
        <v>1007</v>
      </c>
      <c r="D7" s="316"/>
      <c r="E7" s="182"/>
      <c r="F7" s="615"/>
      <c r="G7" s="182"/>
      <c r="H7" s="181"/>
    </row>
    <row r="8" spans="1:10" ht="30" customHeight="1" thickBot="1">
      <c r="A8" s="268" t="s">
        <v>51</v>
      </c>
      <c r="B8" s="126">
        <v>504941736</v>
      </c>
      <c r="C8" s="127">
        <v>7433563</v>
      </c>
      <c r="D8" s="601">
        <v>512375299</v>
      </c>
      <c r="E8" s="171">
        <v>-6.1948120468720133E-3</v>
      </c>
      <c r="F8" s="616">
        <v>0.48635178449537242</v>
      </c>
      <c r="G8" s="400">
        <v>1943.9449834013089</v>
      </c>
      <c r="H8" s="600">
        <v>1304.2849480704613</v>
      </c>
      <c r="I8" s="8"/>
      <c r="J8" s="129"/>
    </row>
    <row r="9" spans="1:10" ht="20" customHeight="1" thickBot="1">
      <c r="A9" s="272" t="s">
        <v>52</v>
      </c>
      <c r="B9" s="194">
        <v>464644276</v>
      </c>
      <c r="C9" s="195">
        <v>24402636</v>
      </c>
      <c r="D9" s="253">
        <v>489046912</v>
      </c>
      <c r="E9" s="171">
        <v>5.3849731883894102E-2</v>
      </c>
      <c r="F9" s="617">
        <v>0.23857397140665312</v>
      </c>
      <c r="G9" s="618">
        <v>3427.5065144411037</v>
      </c>
      <c r="H9" s="600">
        <v>1794.1540109619998</v>
      </c>
      <c r="I9" s="8"/>
      <c r="J9" s="129"/>
    </row>
    <row r="10" spans="1:10" ht="20" customHeight="1" thickBot="1">
      <c r="A10" s="272" t="s">
        <v>53</v>
      </c>
      <c r="B10" s="194">
        <v>145199465</v>
      </c>
      <c r="C10" s="195">
        <v>0</v>
      </c>
      <c r="D10" s="253">
        <v>145199465</v>
      </c>
      <c r="E10" s="171">
        <v>-2.6833281108090849E-2</v>
      </c>
      <c r="F10" s="617">
        <v>0.22020711990915393</v>
      </c>
      <c r="G10" s="618">
        <v>2515.0603651354536</v>
      </c>
      <c r="H10" s="600">
        <v>1144.916575330584</v>
      </c>
      <c r="I10" s="8"/>
      <c r="J10" s="129"/>
    </row>
    <row r="11" spans="1:10" ht="20" customHeight="1" thickBot="1">
      <c r="A11" s="272" t="s">
        <v>54</v>
      </c>
      <c r="B11" s="194">
        <v>13003180</v>
      </c>
      <c r="C11" s="195">
        <v>489432</v>
      </c>
      <c r="D11" s="253">
        <v>13492612</v>
      </c>
      <c r="E11" s="171">
        <v>7.7759728952367935E-2</v>
      </c>
      <c r="F11" s="617">
        <v>0.1201527917648562</v>
      </c>
      <c r="G11" s="618">
        <v>2159.5089628681176</v>
      </c>
      <c r="H11" s="600">
        <v>910.55554055877985</v>
      </c>
      <c r="I11" s="8"/>
      <c r="J11" s="129"/>
    </row>
    <row r="12" spans="1:10" ht="20" customHeight="1" thickBot="1">
      <c r="A12" s="272" t="s">
        <v>55</v>
      </c>
      <c r="B12" s="194">
        <v>42344571</v>
      </c>
      <c r="C12" s="195">
        <v>1216931</v>
      </c>
      <c r="D12" s="253">
        <v>43561502</v>
      </c>
      <c r="E12" s="171">
        <v>6.8328378301556733E-2</v>
      </c>
      <c r="F12" s="617">
        <v>0.38128267478013039</v>
      </c>
      <c r="G12" s="618">
        <v>2364.1323130359274</v>
      </c>
      <c r="H12" s="600">
        <v>1290.8259104512995</v>
      </c>
      <c r="I12" s="8"/>
      <c r="J12" s="129"/>
    </row>
    <row r="13" spans="1:10" ht="20" customHeight="1" thickBot="1">
      <c r="A13" s="272" t="s">
        <v>56</v>
      </c>
      <c r="B13" s="194">
        <v>17886265</v>
      </c>
      <c r="C13" s="195">
        <v>0</v>
      </c>
      <c r="D13" s="253">
        <v>17886265</v>
      </c>
      <c r="E13" s="171">
        <v>0.12303823616668262</v>
      </c>
      <c r="F13" s="617">
        <v>7.5038304531437949E-2</v>
      </c>
      <c r="G13" s="618">
        <v>2038.0885369188697</v>
      </c>
      <c r="H13" s="600">
        <v>955.25875881221964</v>
      </c>
      <c r="I13" s="8"/>
      <c r="J13" s="129"/>
    </row>
    <row r="14" spans="1:10" ht="20" customHeight="1" thickBot="1">
      <c r="A14" s="272" t="s">
        <v>57</v>
      </c>
      <c r="B14" s="194">
        <v>11095628</v>
      </c>
      <c r="C14" s="195">
        <v>141452</v>
      </c>
      <c r="D14" s="253">
        <v>11237080</v>
      </c>
      <c r="E14" s="171">
        <v>0.18359693992285028</v>
      </c>
      <c r="F14" s="617">
        <v>0.43484018980019723</v>
      </c>
      <c r="G14" s="618">
        <v>1654.7018112207334</v>
      </c>
      <c r="H14" s="600">
        <v>865.8560641084913</v>
      </c>
      <c r="I14" s="8"/>
      <c r="J14" s="129"/>
    </row>
    <row r="15" spans="1:10" ht="20" customHeight="1" thickBot="1">
      <c r="A15" s="272" t="s">
        <v>58</v>
      </c>
      <c r="B15" s="194">
        <v>12353168</v>
      </c>
      <c r="C15" s="195">
        <v>0</v>
      </c>
      <c r="D15" s="253">
        <v>12353168</v>
      </c>
      <c r="E15" s="171">
        <v>-9.8325490655208389E-2</v>
      </c>
      <c r="F15" s="617">
        <v>0.26956639786652298</v>
      </c>
      <c r="G15" s="618">
        <v>3180.5272914521111</v>
      </c>
      <c r="H15" s="600">
        <v>1433.4147133905778</v>
      </c>
      <c r="I15" s="8"/>
      <c r="J15" s="129"/>
    </row>
    <row r="16" spans="1:10" ht="20" customHeight="1" thickBot="1">
      <c r="A16" s="272" t="s">
        <v>59</v>
      </c>
      <c r="B16" s="194">
        <v>38737128</v>
      </c>
      <c r="C16" s="195">
        <v>2243537</v>
      </c>
      <c r="D16" s="253">
        <v>40980665</v>
      </c>
      <c r="E16" s="171">
        <v>7.9402089428302569E-2</v>
      </c>
      <c r="F16" s="617">
        <v>0.65129409198215793</v>
      </c>
      <c r="G16" s="618">
        <v>2426.3271166370632</v>
      </c>
      <c r="H16" s="600">
        <v>1180.590717907352</v>
      </c>
      <c r="I16" s="8"/>
      <c r="J16" s="129"/>
    </row>
    <row r="17" spans="1:10" ht="20" customHeight="1" thickBot="1">
      <c r="A17" s="272" t="s">
        <v>60</v>
      </c>
      <c r="B17" s="194">
        <v>125800211</v>
      </c>
      <c r="C17" s="195">
        <v>0</v>
      </c>
      <c r="D17" s="253">
        <v>125800211</v>
      </c>
      <c r="E17" s="171">
        <v>7.2450371589790438E-2</v>
      </c>
      <c r="F17" s="617">
        <v>0.15015953351620373</v>
      </c>
      <c r="G17" s="618">
        <v>3447.1477777168848</v>
      </c>
      <c r="H17" s="600">
        <v>1420.909369176032</v>
      </c>
      <c r="I17" s="8"/>
      <c r="J17" s="129"/>
    </row>
    <row r="18" spans="1:10" ht="20" customHeight="1" thickBot="1">
      <c r="A18" s="272" t="s">
        <v>61</v>
      </c>
      <c r="B18" s="194">
        <v>80729052</v>
      </c>
      <c r="C18" s="195">
        <v>6295619</v>
      </c>
      <c r="D18" s="253">
        <v>87024671</v>
      </c>
      <c r="E18" s="171">
        <v>7.8918140529916948E-3</v>
      </c>
      <c r="F18" s="617">
        <v>0.26588301609321796</v>
      </c>
      <c r="G18" s="618">
        <v>3594.4269546900168</v>
      </c>
      <c r="H18" s="600">
        <v>1551.297212021819</v>
      </c>
      <c r="I18" s="8"/>
      <c r="J18" s="129"/>
    </row>
    <row r="19" spans="1:10" ht="20" customHeight="1" thickBot="1">
      <c r="A19" s="272" t="s">
        <v>62</v>
      </c>
      <c r="B19" s="194">
        <v>122669611</v>
      </c>
      <c r="C19" s="195">
        <v>80951</v>
      </c>
      <c r="D19" s="253">
        <v>122750562</v>
      </c>
      <c r="E19" s="171">
        <v>2.5157026112813266E-3</v>
      </c>
      <c r="F19" s="617">
        <v>0.64146397146434242</v>
      </c>
      <c r="G19" s="618">
        <v>3437.6207572532767</v>
      </c>
      <c r="H19" s="600">
        <v>2072.4739907815429</v>
      </c>
      <c r="I19" s="8"/>
      <c r="J19" s="129"/>
    </row>
    <row r="20" spans="1:10" ht="20" customHeight="1" thickBot="1">
      <c r="A20" s="272" t="s">
        <v>63</v>
      </c>
      <c r="B20" s="194">
        <v>85792751</v>
      </c>
      <c r="C20" s="195">
        <v>3716429</v>
      </c>
      <c r="D20" s="255">
        <v>89509180</v>
      </c>
      <c r="E20" s="171">
        <v>-7.9625834603782128E-2</v>
      </c>
      <c r="F20" s="617">
        <v>0.37816269794897017</v>
      </c>
      <c r="G20" s="618">
        <v>2442.4695063715994</v>
      </c>
      <c r="H20" s="600">
        <v>1172.8756748257247</v>
      </c>
      <c r="I20" s="8"/>
      <c r="J20" s="129"/>
    </row>
    <row r="21" spans="1:10" ht="20" customHeight="1" thickBot="1">
      <c r="A21" s="272" t="s">
        <v>64</v>
      </c>
      <c r="B21" s="194">
        <v>32861098</v>
      </c>
      <c r="C21" s="195">
        <v>1941966</v>
      </c>
      <c r="D21" s="253">
        <v>34803064</v>
      </c>
      <c r="E21" s="171">
        <v>4.599804223236003E-2</v>
      </c>
      <c r="F21" s="617">
        <v>0.32942975940279279</v>
      </c>
      <c r="G21" s="618">
        <v>3195.8736455463727</v>
      </c>
      <c r="H21" s="600">
        <v>1464.2207917876226</v>
      </c>
      <c r="I21" s="8"/>
      <c r="J21" s="129"/>
    </row>
    <row r="22" spans="1:10" ht="20" customHeight="1" thickBot="1">
      <c r="A22" s="272" t="s">
        <v>65</v>
      </c>
      <c r="B22" s="194">
        <v>23046591</v>
      </c>
      <c r="C22" s="195">
        <v>563179</v>
      </c>
      <c r="D22" s="253">
        <v>23609770</v>
      </c>
      <c r="E22" s="171">
        <v>6.7208385293011E-2</v>
      </c>
      <c r="F22" s="617">
        <v>0.20835082256201565</v>
      </c>
      <c r="G22" s="618">
        <v>4431.2631381381379</v>
      </c>
      <c r="H22" s="600">
        <v>1674.2142958445611</v>
      </c>
      <c r="I22" s="8"/>
      <c r="J22" s="129"/>
    </row>
    <row r="23" spans="1:10" ht="20" customHeight="1" thickBot="1">
      <c r="A23" s="272" t="s">
        <v>66</v>
      </c>
      <c r="B23" s="194">
        <v>6209304</v>
      </c>
      <c r="C23" s="195">
        <v>80159</v>
      </c>
      <c r="D23" s="253">
        <v>6289463</v>
      </c>
      <c r="E23" s="171">
        <v>0.27849763498398283</v>
      </c>
      <c r="F23" s="617">
        <v>0.20835085602697717</v>
      </c>
      <c r="G23" s="618">
        <v>2150.2437606837607</v>
      </c>
      <c r="H23" s="600">
        <v>827.34319915811625</v>
      </c>
      <c r="I23" s="8"/>
      <c r="J23" s="129"/>
    </row>
    <row r="24" spans="1:10" ht="20" customHeight="1" thickBot="1">
      <c r="A24" s="272" t="s">
        <v>67</v>
      </c>
      <c r="B24" s="194">
        <v>138202374</v>
      </c>
      <c r="C24" s="195">
        <v>0</v>
      </c>
      <c r="D24" s="253">
        <v>138202374</v>
      </c>
      <c r="E24" s="171">
        <v>-2.6689881193201648E-2</v>
      </c>
      <c r="F24" s="617">
        <v>0.30823591351621787</v>
      </c>
      <c r="G24" s="618">
        <v>2384.6085651183657</v>
      </c>
      <c r="H24" s="600">
        <v>1100.5739609629459</v>
      </c>
      <c r="I24" s="8"/>
      <c r="J24" s="129"/>
    </row>
    <row r="25" spans="1:10" ht="20" customHeight="1" thickBot="1">
      <c r="A25" s="272" t="s">
        <v>68</v>
      </c>
      <c r="B25" s="194">
        <v>62612214</v>
      </c>
      <c r="C25" s="195">
        <v>4320114</v>
      </c>
      <c r="D25" s="253">
        <v>66932328</v>
      </c>
      <c r="E25" s="171">
        <v>6.1396268734348398E-2</v>
      </c>
      <c r="F25" s="617">
        <v>0.19631425340532008</v>
      </c>
      <c r="G25" s="618">
        <v>2291.9675375817551</v>
      </c>
      <c r="H25" s="600">
        <v>1150.7320209748129</v>
      </c>
      <c r="I25" s="8"/>
      <c r="J25" s="129"/>
    </row>
    <row r="26" spans="1:10" ht="20" customHeight="1" thickBot="1">
      <c r="A26" s="272" t="s">
        <v>69</v>
      </c>
      <c r="B26" s="194">
        <v>147583568</v>
      </c>
      <c r="C26" s="195">
        <v>3633434</v>
      </c>
      <c r="D26" s="253">
        <v>151217002</v>
      </c>
      <c r="E26" s="171">
        <v>1.7327984790127069E-2</v>
      </c>
      <c r="F26" s="617">
        <v>0.37502696952026598</v>
      </c>
      <c r="G26" s="618">
        <v>2606.9200082750062</v>
      </c>
      <c r="H26" s="600">
        <v>1004.4904843198863</v>
      </c>
      <c r="I26" s="8"/>
      <c r="J26" s="129"/>
    </row>
    <row r="27" spans="1:10" ht="20" customHeight="1" thickBot="1">
      <c r="A27" s="272" t="s">
        <v>70</v>
      </c>
      <c r="B27" s="194">
        <v>99053294</v>
      </c>
      <c r="C27" s="195">
        <v>3291385</v>
      </c>
      <c r="D27" s="253">
        <v>102344679</v>
      </c>
      <c r="E27" s="171">
        <v>1.8676947248970892E-2</v>
      </c>
      <c r="F27" s="617">
        <v>0.30189577320380279</v>
      </c>
      <c r="G27" s="618">
        <v>1939.5584171925636</v>
      </c>
      <c r="H27" s="600">
        <v>1125.3964548443496</v>
      </c>
      <c r="I27" s="8"/>
      <c r="J27" s="129"/>
    </row>
    <row r="28" spans="1:10" ht="20" customHeight="1" thickBot="1">
      <c r="A28" s="272" t="s">
        <v>71</v>
      </c>
      <c r="B28" s="194">
        <v>223347678</v>
      </c>
      <c r="C28" s="195">
        <v>1946239</v>
      </c>
      <c r="D28" s="253">
        <v>225293917</v>
      </c>
      <c r="E28" s="171">
        <v>-2.4346296209195466E-2</v>
      </c>
      <c r="F28" s="617">
        <v>0.50347296771443684</v>
      </c>
      <c r="G28" s="618">
        <v>4081.2636679830439</v>
      </c>
      <c r="H28" s="600">
        <v>2547.6803044181338</v>
      </c>
      <c r="I28" s="8"/>
      <c r="J28" s="129"/>
    </row>
    <row r="29" spans="1:10" ht="20" customHeight="1" thickBot="1">
      <c r="A29" s="272" t="s">
        <v>72</v>
      </c>
      <c r="B29" s="194">
        <v>342970797</v>
      </c>
      <c r="C29" s="195">
        <v>663866</v>
      </c>
      <c r="D29" s="253">
        <v>343634663</v>
      </c>
      <c r="E29" s="171">
        <v>0.21522680270383179</v>
      </c>
      <c r="F29" s="617">
        <v>0.35494613068181657</v>
      </c>
      <c r="G29" s="618">
        <v>4490.1368465066444</v>
      </c>
      <c r="H29" s="600">
        <v>2414.9624228709572</v>
      </c>
      <c r="I29" s="8"/>
      <c r="J29" s="129"/>
    </row>
    <row r="30" spans="1:10" ht="20" customHeight="1" thickBot="1">
      <c r="A30" s="272" t="s">
        <v>73</v>
      </c>
      <c r="B30" s="194">
        <v>140032482</v>
      </c>
      <c r="C30" s="195">
        <v>5133689</v>
      </c>
      <c r="D30" s="253">
        <v>145166171</v>
      </c>
      <c r="E30" s="171">
        <v>7.5541286708491459E-2</v>
      </c>
      <c r="F30" s="617">
        <v>8.4029646273442046E-2</v>
      </c>
      <c r="G30" s="618">
        <v>2743.073090077663</v>
      </c>
      <c r="H30" s="600">
        <v>1532.2908547784416</v>
      </c>
      <c r="I30" s="8"/>
      <c r="J30" s="129"/>
    </row>
    <row r="31" spans="1:10" ht="20" customHeight="1" thickBot="1">
      <c r="A31" s="272" t="s">
        <v>74</v>
      </c>
      <c r="B31" s="194">
        <v>71440363</v>
      </c>
      <c r="C31" s="195">
        <v>11016936</v>
      </c>
      <c r="D31" s="253">
        <v>82457299</v>
      </c>
      <c r="E31" s="171">
        <v>8.3609261845351644E-3</v>
      </c>
      <c r="F31" s="617">
        <v>0.22242178948888441</v>
      </c>
      <c r="G31" s="618">
        <v>3860.1797200505594</v>
      </c>
      <c r="H31" s="600">
        <v>2354.6445929352635</v>
      </c>
      <c r="I31" s="8"/>
      <c r="J31" s="129"/>
    </row>
    <row r="32" spans="1:10" ht="20" customHeight="1" thickBot="1">
      <c r="A32" s="272" t="s">
        <v>75</v>
      </c>
      <c r="B32" s="194">
        <v>211695325</v>
      </c>
      <c r="C32" s="195">
        <v>31201093</v>
      </c>
      <c r="D32" s="253">
        <v>242896418</v>
      </c>
      <c r="E32" s="171">
        <v>7.3568367125428046E-3</v>
      </c>
      <c r="F32" s="617">
        <v>0.54654885441744139</v>
      </c>
      <c r="G32" s="618">
        <v>2755.3959366102117</v>
      </c>
      <c r="H32" s="600">
        <v>1909.2178143889078</v>
      </c>
      <c r="J32" s="129"/>
    </row>
    <row r="33" spans="1:12" ht="20" customHeight="1" thickBot="1">
      <c r="A33" s="272" t="s">
        <v>76</v>
      </c>
      <c r="B33" s="194">
        <v>33314549</v>
      </c>
      <c r="C33" s="195">
        <v>1359803</v>
      </c>
      <c r="D33" s="253">
        <v>34674352</v>
      </c>
      <c r="E33" s="171">
        <v>4.5144736487940013E-2</v>
      </c>
      <c r="F33" s="617">
        <v>0.1180894454783178</v>
      </c>
      <c r="G33" s="618">
        <v>2594.0264831300965</v>
      </c>
      <c r="H33" s="600">
        <v>1445.6682092974777</v>
      </c>
      <c r="J33" s="9"/>
      <c r="K33" s="9"/>
      <c r="L33" s="9"/>
    </row>
    <row r="34" spans="1:12" ht="30" customHeight="1" thickBot="1">
      <c r="A34" s="273" t="s">
        <v>1944</v>
      </c>
      <c r="B34" s="291">
        <v>3197566679</v>
      </c>
      <c r="C34" s="290">
        <v>111172413</v>
      </c>
      <c r="D34" s="291">
        <v>3308739092</v>
      </c>
      <c r="E34" s="172">
        <v>3.3411915072494316E-2</v>
      </c>
      <c r="F34" s="619">
        <v>0.35384170478437954</v>
      </c>
      <c r="G34" s="548">
        <v>2797.6739949690323</v>
      </c>
      <c r="H34" s="620">
        <v>1518.8870954192464</v>
      </c>
      <c r="J34" s="129"/>
    </row>
    <row r="35" spans="1:12" ht="20" customHeight="1">
      <c r="A35" s="278" t="s">
        <v>2334</v>
      </c>
      <c r="B35" s="279"/>
      <c r="C35" s="279"/>
      <c r="D35" s="605"/>
      <c r="E35" s="604"/>
      <c r="F35" s="621"/>
      <c r="G35" s="604"/>
      <c r="H35" s="604"/>
    </row>
    <row r="36" spans="1:12" ht="8.25" customHeight="1">
      <c r="A36" s="280"/>
      <c r="B36" s="281"/>
      <c r="C36" s="281"/>
      <c r="D36" s="607"/>
      <c r="E36" s="606"/>
      <c r="F36" s="622"/>
      <c r="G36" s="606"/>
      <c r="H36" s="606"/>
    </row>
    <row r="37" spans="1:12" ht="14.25" customHeight="1">
      <c r="A37" s="280" t="s">
        <v>259</v>
      </c>
      <c r="B37" s="281"/>
      <c r="C37" s="281"/>
      <c r="D37" s="607"/>
      <c r="E37" s="606"/>
      <c r="F37" s="622"/>
      <c r="G37" s="606"/>
      <c r="H37" s="606"/>
    </row>
    <row r="38" spans="1:12" ht="12.75" customHeight="1">
      <c r="A38" s="280"/>
      <c r="B38" s="281"/>
      <c r="C38" s="281"/>
      <c r="D38" s="607"/>
      <c r="E38" s="606"/>
      <c r="F38" s="622"/>
      <c r="G38" s="606"/>
      <c r="H38" s="606"/>
    </row>
    <row r="39" spans="1:12" ht="11.25" customHeight="1">
      <c r="A39" s="3" t="s">
        <v>1043</v>
      </c>
      <c r="B39" s="281"/>
      <c r="C39" s="281"/>
      <c r="D39" s="607"/>
      <c r="E39" s="606"/>
      <c r="F39" s="622"/>
      <c r="G39" s="606"/>
      <c r="H39" s="606"/>
    </row>
    <row r="42" spans="1:12">
      <c r="A42" s="2" t="s">
        <v>1955</v>
      </c>
    </row>
  </sheetData>
  <phoneticPr fontId="0" type="noConversion"/>
  <pageMargins left="0.59" right="0.56999999999999995" top="0.87" bottom="0.49" header="0.42" footer="0.4921259845"/>
  <pageSetup paperSize="9" scale="76" orientation="portrait" horizontalDpi="4294967292" verticalDpi="4294967292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1EC1-461F-7041-BB96-F3712628DE13}">
  <sheetPr>
    <pageSetUpPr fitToPage="1"/>
  </sheetPr>
  <dimension ref="A1:I49"/>
  <sheetViews>
    <sheetView zoomScale="75" workbookViewId="0">
      <selection activeCell="A36" sqref="A36"/>
    </sheetView>
  </sheetViews>
  <sheetFormatPr baseColWidth="10" defaultColWidth="11.3984375" defaultRowHeight="13"/>
  <cols>
    <col min="1" max="7" width="13.19921875" style="2" customWidth="1"/>
    <col min="8" max="8" width="12.796875" style="2" customWidth="1"/>
    <col min="9" max="9" width="13.796875" style="97" customWidth="1"/>
    <col min="10" max="16384" width="11.3984375" style="2"/>
  </cols>
  <sheetData>
    <row r="1" spans="1:9" s="1" customFormat="1" ht="14" customHeight="1">
      <c r="I1" s="169"/>
    </row>
    <row r="2" spans="1:9" s="1" customFormat="1" ht="28" customHeight="1">
      <c r="A2" s="112" t="s">
        <v>1523</v>
      </c>
      <c r="H2" s="771"/>
      <c r="I2" s="363">
        <v>2006</v>
      </c>
    </row>
    <row r="3" spans="1:9" ht="24" customHeight="1">
      <c r="A3" s="113" t="s">
        <v>41</v>
      </c>
      <c r="B3" s="1703" t="s">
        <v>1544</v>
      </c>
      <c r="C3" s="1704"/>
      <c r="D3" s="1704"/>
      <c r="E3" s="1705" t="s">
        <v>1545</v>
      </c>
      <c r="F3" s="1704"/>
      <c r="G3" s="1704"/>
      <c r="H3" s="775" t="s">
        <v>1524</v>
      </c>
      <c r="I3" s="776" t="s">
        <v>1525</v>
      </c>
    </row>
    <row r="4" spans="1:9" ht="15" customHeight="1">
      <c r="A4" s="248"/>
      <c r="B4" s="117" t="s">
        <v>875</v>
      </c>
      <c r="C4" s="180" t="s">
        <v>876</v>
      </c>
      <c r="D4" s="143" t="s">
        <v>1951</v>
      </c>
      <c r="E4" s="180" t="s">
        <v>875</v>
      </c>
      <c r="F4" s="143" t="s">
        <v>876</v>
      </c>
      <c r="G4" s="118" t="s">
        <v>1951</v>
      </c>
      <c r="H4" s="179" t="s">
        <v>1526</v>
      </c>
      <c r="I4" s="116" t="s">
        <v>919</v>
      </c>
    </row>
    <row r="5" spans="1:9" ht="18.75" customHeight="1">
      <c r="A5" s="248"/>
      <c r="B5" s="117" t="s">
        <v>878</v>
      </c>
      <c r="C5" s="118" t="s">
        <v>878</v>
      </c>
      <c r="D5" s="117" t="s">
        <v>878</v>
      </c>
      <c r="E5" s="180" t="s">
        <v>878</v>
      </c>
      <c r="F5" s="143" t="s">
        <v>878</v>
      </c>
      <c r="G5" s="118" t="s">
        <v>878</v>
      </c>
      <c r="H5" s="179" t="s">
        <v>1546</v>
      </c>
      <c r="I5" s="116" t="s">
        <v>1547</v>
      </c>
    </row>
    <row r="6" spans="1:9" ht="15" customHeight="1">
      <c r="A6" s="248"/>
      <c r="B6" s="117"/>
      <c r="C6" s="118"/>
      <c r="D6" s="117"/>
      <c r="E6" s="180"/>
      <c r="F6" s="143"/>
      <c r="G6" s="118"/>
      <c r="H6" s="777">
        <v>2000</v>
      </c>
      <c r="I6" s="116" t="s">
        <v>1527</v>
      </c>
    </row>
    <row r="7" spans="1:9" ht="16" customHeight="1">
      <c r="A7" s="249"/>
      <c r="B7" s="123"/>
      <c r="C7" s="122"/>
      <c r="D7" s="123"/>
      <c r="E7" s="183"/>
      <c r="F7" s="144"/>
      <c r="G7" s="122"/>
      <c r="H7" s="144"/>
      <c r="I7" s="120"/>
    </row>
    <row r="8" spans="1:9" ht="30" customHeight="1" thickBot="1">
      <c r="A8" s="268" t="s">
        <v>51</v>
      </c>
      <c r="B8" s="126">
        <v>644920</v>
      </c>
      <c r="C8" s="127">
        <v>661683</v>
      </c>
      <c r="D8" s="126">
        <v>1306603</v>
      </c>
      <c r="E8" s="269">
        <v>0.27820504868820939</v>
      </c>
      <c r="F8" s="778">
        <v>0.32254115641477865</v>
      </c>
      <c r="G8" s="269">
        <v>0.30065750652646595</v>
      </c>
      <c r="H8" s="126">
        <v>567573</v>
      </c>
      <c r="I8" s="779">
        <v>0.46438960274713559</v>
      </c>
    </row>
    <row r="9" spans="1:9" ht="20" customHeight="1" thickBot="1">
      <c r="A9" s="272" t="s">
        <v>52</v>
      </c>
      <c r="B9" s="126">
        <v>471252</v>
      </c>
      <c r="C9" s="127">
        <v>495491</v>
      </c>
      <c r="D9" s="126">
        <v>966743</v>
      </c>
      <c r="E9" s="269">
        <v>0.26956702571023572</v>
      </c>
      <c r="F9" s="778">
        <v>0.29373691954041548</v>
      </c>
      <c r="G9" s="269">
        <v>0.2819549766587397</v>
      </c>
      <c r="H9" s="126">
        <v>415901</v>
      </c>
      <c r="I9" s="779">
        <v>0.34306962474242669</v>
      </c>
    </row>
    <row r="10" spans="1:9" ht="20" customHeight="1" thickBot="1">
      <c r="A10" s="272" t="s">
        <v>53</v>
      </c>
      <c r="B10" s="126">
        <v>176710</v>
      </c>
      <c r="C10" s="127">
        <v>181547</v>
      </c>
      <c r="D10" s="126">
        <v>358257</v>
      </c>
      <c r="E10" s="269">
        <v>0.33901873125459792</v>
      </c>
      <c r="F10" s="778">
        <v>0.36857122398056702</v>
      </c>
      <c r="G10" s="269">
        <v>0.35399447882386109</v>
      </c>
      <c r="H10" s="126">
        <v>140594</v>
      </c>
      <c r="I10" s="779">
        <v>0.41062918758979755</v>
      </c>
    </row>
    <row r="11" spans="1:9" ht="20" customHeight="1" thickBot="1">
      <c r="A11" s="272" t="s">
        <v>54</v>
      </c>
      <c r="B11" s="126">
        <v>17540</v>
      </c>
      <c r="C11" s="127">
        <v>17035</v>
      </c>
      <c r="D11" s="126">
        <v>34575</v>
      </c>
      <c r="E11" s="269">
        <v>0.41288483466362602</v>
      </c>
      <c r="F11" s="778">
        <v>0.44473143528030523</v>
      </c>
      <c r="G11" s="269">
        <v>0.4285755603759942</v>
      </c>
      <c r="H11" s="126">
        <v>13430</v>
      </c>
      <c r="I11" s="779">
        <v>0.4652271034996277</v>
      </c>
    </row>
    <row r="12" spans="1:9" ht="20" customHeight="1" thickBot="1">
      <c r="A12" s="272" t="s">
        <v>55</v>
      </c>
      <c r="B12" s="126">
        <v>70130</v>
      </c>
      <c r="C12" s="127">
        <v>68030</v>
      </c>
      <c r="D12" s="126">
        <v>138160</v>
      </c>
      <c r="E12" s="269">
        <v>0.2315699415371453</v>
      </c>
      <c r="F12" s="778">
        <v>0.25734234896369251</v>
      </c>
      <c r="G12" s="269">
        <v>0.2442602779386219</v>
      </c>
      <c r="H12" s="126">
        <v>50089</v>
      </c>
      <c r="I12" s="779">
        <v>0.3678651999440995</v>
      </c>
    </row>
    <row r="13" spans="1:9" ht="20" customHeight="1" thickBot="1">
      <c r="A13" s="272" t="s">
        <v>56</v>
      </c>
      <c r="B13" s="126">
        <v>16815</v>
      </c>
      <c r="C13" s="127">
        <v>16590</v>
      </c>
      <c r="D13" s="126">
        <v>33405</v>
      </c>
      <c r="E13" s="269">
        <v>0.5332738626226583</v>
      </c>
      <c r="F13" s="778">
        <v>0.58812537673297172</v>
      </c>
      <c r="G13" s="269">
        <v>0.56051489298009283</v>
      </c>
      <c r="H13" s="126">
        <v>12445</v>
      </c>
      <c r="I13" s="779">
        <v>0.70518280433909197</v>
      </c>
    </row>
    <row r="14" spans="1:9" ht="20" customHeight="1" thickBot="1">
      <c r="A14" s="272" t="s">
        <v>57</v>
      </c>
      <c r="B14" s="126">
        <v>20114</v>
      </c>
      <c r="C14" s="127">
        <v>19260</v>
      </c>
      <c r="D14" s="126">
        <v>39374</v>
      </c>
      <c r="E14" s="269">
        <v>0.31485532464949784</v>
      </c>
      <c r="F14" s="778">
        <v>0.34501557632398755</v>
      </c>
      <c r="G14" s="269">
        <v>0.32960837100624779</v>
      </c>
      <c r="H14" s="126">
        <v>15153</v>
      </c>
      <c r="I14" s="779">
        <v>0.44816208011614861</v>
      </c>
    </row>
    <row r="15" spans="1:9" ht="20" customHeight="1" thickBot="1">
      <c r="A15" s="272" t="s">
        <v>58</v>
      </c>
      <c r="B15" s="126">
        <v>18905</v>
      </c>
      <c r="C15" s="127">
        <v>19096</v>
      </c>
      <c r="D15" s="126">
        <v>38001</v>
      </c>
      <c r="E15" s="269">
        <v>0.22163448823062681</v>
      </c>
      <c r="F15" s="778">
        <v>0.23188102220360285</v>
      </c>
      <c r="G15" s="269">
        <v>0.2267835056972185</v>
      </c>
      <c r="H15" s="126">
        <v>15382</v>
      </c>
      <c r="I15" s="779">
        <v>0.25250292549733455</v>
      </c>
    </row>
    <row r="16" spans="1:9" ht="20" customHeight="1" thickBot="1">
      <c r="A16" s="272" t="s">
        <v>59</v>
      </c>
      <c r="B16" s="126">
        <v>54217</v>
      </c>
      <c r="C16" s="127">
        <v>53135</v>
      </c>
      <c r="D16" s="126">
        <v>107352</v>
      </c>
      <c r="E16" s="269">
        <v>0.30495969898740249</v>
      </c>
      <c r="F16" s="778">
        <v>0.34210972052319566</v>
      </c>
      <c r="G16" s="269">
        <v>0.32334749236157689</v>
      </c>
      <c r="H16" s="126">
        <v>40819</v>
      </c>
      <c r="I16" s="779">
        <v>0.4137778975477106</v>
      </c>
    </row>
    <row r="17" spans="1:9" ht="20" customHeight="1" thickBot="1">
      <c r="A17" s="272" t="s">
        <v>60</v>
      </c>
      <c r="B17" s="126">
        <v>128907</v>
      </c>
      <c r="C17" s="127">
        <v>130868</v>
      </c>
      <c r="D17" s="126">
        <v>259775</v>
      </c>
      <c r="E17" s="269">
        <v>0.32134019099040395</v>
      </c>
      <c r="F17" s="778">
        <v>0.35999633218204602</v>
      </c>
      <c r="G17" s="269">
        <v>0.34081416610528342</v>
      </c>
      <c r="H17" s="126">
        <v>94093</v>
      </c>
      <c r="I17" s="779">
        <v>0.38785031830210537</v>
      </c>
    </row>
    <row r="18" spans="1:9" ht="20" customHeight="1" thickBot="1">
      <c r="A18" s="272" t="s">
        <v>61</v>
      </c>
      <c r="B18" s="126">
        <v>122013</v>
      </c>
      <c r="C18" s="127">
        <v>125549</v>
      </c>
      <c r="D18" s="126">
        <v>247562</v>
      </c>
      <c r="E18" s="269">
        <v>0.21755878471966103</v>
      </c>
      <c r="F18" s="778">
        <v>0.23539016638921856</v>
      </c>
      <c r="G18" s="269">
        <v>0.22660182095798223</v>
      </c>
      <c r="H18" s="126">
        <v>102584</v>
      </c>
      <c r="I18" s="779">
        <v>0.23601146377602744</v>
      </c>
    </row>
    <row r="19" spans="1:9" ht="20" customHeight="1" thickBot="1">
      <c r="A19" s="272" t="s">
        <v>62</v>
      </c>
      <c r="B19" s="126">
        <v>90697</v>
      </c>
      <c r="C19" s="127">
        <v>99627</v>
      </c>
      <c r="D19" s="126">
        <v>190324</v>
      </c>
      <c r="E19" s="269">
        <v>0.30364841174460017</v>
      </c>
      <c r="F19" s="778">
        <v>0.31807642506549427</v>
      </c>
      <c r="G19" s="269">
        <v>0.31120089951871543</v>
      </c>
      <c r="H19" s="126">
        <v>95999</v>
      </c>
      <c r="I19" s="779">
        <v>0.37196220793966606</v>
      </c>
    </row>
    <row r="20" spans="1:9" ht="20" customHeight="1" thickBot="1">
      <c r="A20" s="272" t="s">
        <v>63</v>
      </c>
      <c r="B20" s="126">
        <v>130155</v>
      </c>
      <c r="C20" s="127">
        <v>135674</v>
      </c>
      <c r="D20" s="126">
        <v>265829</v>
      </c>
      <c r="E20" s="269">
        <v>0.28763397487610926</v>
      </c>
      <c r="F20" s="778">
        <v>0.28656190574465262</v>
      </c>
      <c r="G20" s="269">
        <v>0.2870868114464562</v>
      </c>
      <c r="H20" s="126">
        <v>111675</v>
      </c>
      <c r="I20" s="779">
        <v>0.32815760017909112</v>
      </c>
    </row>
    <row r="21" spans="1:9" ht="20" customHeight="1" thickBot="1">
      <c r="A21" s="272" t="s">
        <v>64</v>
      </c>
      <c r="B21" s="126">
        <v>36438</v>
      </c>
      <c r="C21" s="127">
        <v>37897</v>
      </c>
      <c r="D21" s="126">
        <v>74335</v>
      </c>
      <c r="E21" s="269">
        <v>0.31829408858883584</v>
      </c>
      <c r="F21" s="778">
        <v>0.32115998627859726</v>
      </c>
      <c r="G21" s="269">
        <v>0.31975516244030405</v>
      </c>
      <c r="H21" s="126">
        <v>31427</v>
      </c>
      <c r="I21" s="779">
        <v>0.3465173258662933</v>
      </c>
    </row>
    <row r="22" spans="1:9" ht="20" customHeight="1" thickBot="1">
      <c r="A22" s="272" t="s">
        <v>65</v>
      </c>
      <c r="B22" s="126">
        <v>26079</v>
      </c>
      <c r="C22" s="127">
        <v>26201</v>
      </c>
      <c r="D22" s="126">
        <v>52280</v>
      </c>
      <c r="E22" s="269">
        <v>0.26308524099850455</v>
      </c>
      <c r="F22" s="778">
        <v>0.27636349757642836</v>
      </c>
      <c r="G22" s="269">
        <v>0.26973986228003061</v>
      </c>
      <c r="H22" s="126">
        <v>21572</v>
      </c>
      <c r="I22" s="779">
        <v>0.2469868347858335</v>
      </c>
    </row>
    <row r="23" spans="1:9" ht="20" customHeight="1" thickBot="1">
      <c r="A23" s="272" t="s">
        <v>66</v>
      </c>
      <c r="B23" s="126">
        <v>7769</v>
      </c>
      <c r="C23" s="127">
        <v>7371</v>
      </c>
      <c r="D23" s="126">
        <v>15140</v>
      </c>
      <c r="E23" s="269">
        <v>0.50250997554382804</v>
      </c>
      <c r="F23" s="778">
        <v>0.50169583502916837</v>
      </c>
      <c r="G23" s="269">
        <v>0.50211360634081903</v>
      </c>
      <c r="H23" s="126">
        <v>5290</v>
      </c>
      <c r="I23" s="779">
        <v>0.552930056710775</v>
      </c>
    </row>
    <row r="24" spans="1:9" ht="20" customHeight="1" thickBot="1">
      <c r="A24" s="272" t="s">
        <v>67</v>
      </c>
      <c r="B24" s="126">
        <v>229633</v>
      </c>
      <c r="C24" s="127">
        <v>233387</v>
      </c>
      <c r="D24" s="126">
        <v>463020</v>
      </c>
      <c r="E24" s="269">
        <v>0.26287598036867521</v>
      </c>
      <c r="F24" s="778">
        <v>0.27939859546590001</v>
      </c>
      <c r="G24" s="269">
        <v>0.27120426763422745</v>
      </c>
      <c r="H24" s="126">
        <v>183750</v>
      </c>
      <c r="I24" s="779">
        <v>0.31540680272108845</v>
      </c>
    </row>
    <row r="25" spans="1:9" ht="20" customHeight="1" thickBot="1">
      <c r="A25" s="272" t="s">
        <v>68</v>
      </c>
      <c r="B25" s="126">
        <v>95159</v>
      </c>
      <c r="C25" s="127">
        <v>96282</v>
      </c>
      <c r="D25" s="126">
        <v>191441</v>
      </c>
      <c r="E25" s="269">
        <v>0.28541703885076558</v>
      </c>
      <c r="F25" s="778">
        <v>0.32202280800149563</v>
      </c>
      <c r="G25" s="269">
        <v>0.30382728882527776</v>
      </c>
      <c r="H25" s="126">
        <v>77781</v>
      </c>
      <c r="I25" s="779">
        <v>0.37545158843419346</v>
      </c>
    </row>
    <row r="26" spans="1:9" ht="20" customHeight="1" thickBot="1">
      <c r="A26" s="272" t="s">
        <v>69</v>
      </c>
      <c r="B26" s="126">
        <v>286003</v>
      </c>
      <c r="C26" s="127">
        <v>286716</v>
      </c>
      <c r="D26" s="126">
        <v>572719</v>
      </c>
      <c r="E26" s="269">
        <v>0.25063023814435514</v>
      </c>
      <c r="F26" s="778">
        <v>0.27504568981152083</v>
      </c>
      <c r="G26" s="269">
        <v>0.26285316184725843</v>
      </c>
      <c r="H26" s="126">
        <v>224128</v>
      </c>
      <c r="I26" s="779">
        <v>0.25880746716162195</v>
      </c>
    </row>
    <row r="27" spans="1:9" ht="20" customHeight="1" thickBot="1">
      <c r="A27" s="272" t="s">
        <v>70</v>
      </c>
      <c r="B27" s="126">
        <v>117652</v>
      </c>
      <c r="C27" s="127">
        <v>118270</v>
      </c>
      <c r="D27" s="126">
        <v>235922</v>
      </c>
      <c r="E27" s="269">
        <v>0.37737565022269065</v>
      </c>
      <c r="F27" s="778">
        <v>0.39352329415743637</v>
      </c>
      <c r="G27" s="269">
        <v>0.38547062164613727</v>
      </c>
      <c r="H27" s="126">
        <v>91537</v>
      </c>
      <c r="I27" s="779">
        <v>0.57645542239750047</v>
      </c>
    </row>
    <row r="28" spans="1:9" ht="20" customHeight="1" thickBot="1">
      <c r="A28" s="272" t="s">
        <v>71</v>
      </c>
      <c r="B28" s="126">
        <v>155808</v>
      </c>
      <c r="C28" s="127">
        <v>169029</v>
      </c>
      <c r="D28" s="126">
        <v>324837</v>
      </c>
      <c r="E28" s="269">
        <v>0.24288226535222837</v>
      </c>
      <c r="F28" s="778">
        <v>0.29928592135077414</v>
      </c>
      <c r="G28" s="269">
        <v>0.27223191939341884</v>
      </c>
      <c r="H28" s="126">
        <v>134916</v>
      </c>
      <c r="I28" s="779">
        <v>0.40915829108482316</v>
      </c>
    </row>
    <row r="29" spans="1:9" ht="20" customHeight="1" thickBot="1">
      <c r="A29" s="272" t="s">
        <v>72</v>
      </c>
      <c r="B29" s="126">
        <v>326548</v>
      </c>
      <c r="C29" s="127">
        <v>344884</v>
      </c>
      <c r="D29" s="126">
        <v>671432</v>
      </c>
      <c r="E29" s="269">
        <v>0.241067163173561</v>
      </c>
      <c r="F29" s="778">
        <v>0.184334442885144</v>
      </c>
      <c r="G29" s="269">
        <v>0.21192615186645855</v>
      </c>
      <c r="H29" s="126">
        <v>278752</v>
      </c>
      <c r="I29" s="779">
        <v>0.27454870278957638</v>
      </c>
    </row>
    <row r="30" spans="1:9" ht="20" customHeight="1" thickBot="1">
      <c r="A30" s="272" t="s">
        <v>73</v>
      </c>
      <c r="B30" s="126">
        <v>144892</v>
      </c>
      <c r="C30" s="127">
        <v>148412</v>
      </c>
      <c r="D30" s="126">
        <v>293304</v>
      </c>
      <c r="E30" s="269">
        <v>0.29223710548863208</v>
      </c>
      <c r="F30" s="778">
        <v>0.35303871190699615</v>
      </c>
      <c r="G30" s="269">
        <v>0.32300275482093666</v>
      </c>
      <c r="H30" s="126">
        <v>107378</v>
      </c>
      <c r="I30" s="779">
        <v>0.49284769692115704</v>
      </c>
    </row>
    <row r="31" spans="1:9" ht="20" customHeight="1" thickBot="1">
      <c r="A31" s="272" t="s">
        <v>74</v>
      </c>
      <c r="B31" s="126">
        <v>82099</v>
      </c>
      <c r="C31" s="127">
        <v>87308</v>
      </c>
      <c r="D31" s="126">
        <v>169407</v>
      </c>
      <c r="E31" s="269">
        <v>0.18970998428726293</v>
      </c>
      <c r="F31" s="778">
        <v>0.22270582306317863</v>
      </c>
      <c r="G31" s="269">
        <v>0.20671518886468682</v>
      </c>
      <c r="H31" s="126">
        <v>74049</v>
      </c>
      <c r="I31" s="779">
        <v>0.28847114748342312</v>
      </c>
    </row>
    <row r="32" spans="1:9" ht="20" customHeight="1" thickBot="1">
      <c r="A32" s="272" t="s">
        <v>75</v>
      </c>
      <c r="B32" s="126">
        <v>210860</v>
      </c>
      <c r="C32" s="127">
        <v>228925</v>
      </c>
      <c r="D32" s="126">
        <v>439785</v>
      </c>
      <c r="E32" s="269">
        <v>0.28193588162762023</v>
      </c>
      <c r="F32" s="778">
        <v>0.29605329256306651</v>
      </c>
      <c r="G32" s="269">
        <v>0.28928453676228155</v>
      </c>
      <c r="H32" s="126">
        <v>181611</v>
      </c>
      <c r="I32" s="779">
        <v>0.48539460715485294</v>
      </c>
    </row>
    <row r="33" spans="1:9" ht="20" customHeight="1" thickBot="1">
      <c r="A33" s="272" t="s">
        <v>76</v>
      </c>
      <c r="B33" s="126">
        <v>33382</v>
      </c>
      <c r="C33" s="127">
        <v>34645</v>
      </c>
      <c r="D33" s="126">
        <v>68027</v>
      </c>
      <c r="E33" s="269">
        <v>0.31334251992091544</v>
      </c>
      <c r="F33" s="778">
        <v>0.39038822340886131</v>
      </c>
      <c r="G33" s="269">
        <v>0.35258059299983829</v>
      </c>
      <c r="H33" s="126">
        <v>27471</v>
      </c>
      <c r="I33" s="779">
        <v>0.48658585417349204</v>
      </c>
    </row>
    <row r="34" spans="1:9" ht="30" customHeight="1" thickBot="1">
      <c r="A34" s="273" t="s">
        <v>1944</v>
      </c>
      <c r="B34" s="291">
        <v>3714697</v>
      </c>
      <c r="C34" s="290">
        <v>3842912</v>
      </c>
      <c r="D34" s="291">
        <v>7557609</v>
      </c>
      <c r="E34" s="274">
        <v>0.277053772807973</v>
      </c>
      <c r="F34" s="780">
        <v>0.29905087113926659</v>
      </c>
      <c r="G34" s="274">
        <v>0.28823891259788642</v>
      </c>
      <c r="H34" s="781">
        <v>3115399</v>
      </c>
      <c r="I34" s="782">
        <v>0.37962232125002288</v>
      </c>
    </row>
    <row r="35" spans="1:9" ht="20" customHeight="1">
      <c r="A35" s="278" t="s">
        <v>1559</v>
      </c>
      <c r="B35" s="279"/>
      <c r="C35" s="279"/>
      <c r="D35" s="279"/>
      <c r="E35" s="279"/>
      <c r="F35" s="279"/>
      <c r="G35" s="279"/>
    </row>
    <row r="36" spans="1:9" ht="14.25" customHeight="1">
      <c r="A36" s="280"/>
      <c r="B36" s="281"/>
      <c r="C36" s="281"/>
      <c r="D36" s="281"/>
      <c r="E36" s="281"/>
      <c r="F36" s="281"/>
      <c r="G36" s="281"/>
    </row>
    <row r="37" spans="1:9" ht="20" customHeight="1">
      <c r="A37" s="280" t="s">
        <v>1528</v>
      </c>
      <c r="B37" s="281"/>
      <c r="C37" s="281"/>
      <c r="D37" s="281"/>
      <c r="E37" s="281"/>
      <c r="F37" s="281"/>
      <c r="G37" s="281"/>
    </row>
    <row r="38" spans="1:9" ht="15.75" customHeight="1">
      <c r="A38" s="280"/>
      <c r="B38" s="281"/>
      <c r="C38" s="281"/>
      <c r="D38" s="281"/>
      <c r="E38" s="281"/>
      <c r="F38" s="281"/>
      <c r="G38" s="281"/>
    </row>
    <row r="39" spans="1:9" ht="11.25" customHeight="1">
      <c r="A39" s="3" t="s">
        <v>1529</v>
      </c>
      <c r="B39" s="281"/>
      <c r="C39" s="281"/>
      <c r="D39" s="281"/>
      <c r="E39" s="281"/>
      <c r="F39" s="281"/>
      <c r="G39" s="281"/>
    </row>
    <row r="40" spans="1:9">
      <c r="A40" s="2" t="s">
        <v>1530</v>
      </c>
    </row>
    <row r="41" spans="1:9">
      <c r="A41" s="2" t="s">
        <v>1538</v>
      </c>
    </row>
    <row r="42" spans="1:9">
      <c r="A42" s="2" t="s">
        <v>1539</v>
      </c>
    </row>
    <row r="43" spans="1:9">
      <c r="A43" s="2" t="s">
        <v>1540</v>
      </c>
    </row>
    <row r="44" spans="1:9">
      <c r="A44" s="2" t="s">
        <v>1541</v>
      </c>
    </row>
    <row r="45" spans="1:9">
      <c r="A45" s="783" t="s">
        <v>1542</v>
      </c>
    </row>
    <row r="46" spans="1:9">
      <c r="A46" s="783" t="s">
        <v>1543</v>
      </c>
    </row>
    <row r="49" spans="1:1">
      <c r="A49" s="2" t="s">
        <v>1955</v>
      </c>
    </row>
  </sheetData>
  <mergeCells count="2">
    <mergeCell ref="B3:D3"/>
    <mergeCell ref="E3:G3"/>
  </mergeCells>
  <phoneticPr fontId="0" type="noConversion"/>
  <pageMargins left="0.57999999999999996" right="0.51" top="0.87" bottom="0.49" header="0.51" footer="0.4921259845"/>
  <pageSetup paperSize="9" scale="78" orientation="portrait" horizontalDpi="1200" verticalDpi="12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C674-99A8-2B45-B7D5-2CD2D604F73C}">
  <dimension ref="A1:B9"/>
  <sheetViews>
    <sheetView workbookViewId="0">
      <selection activeCell="A9" sqref="A9"/>
    </sheetView>
  </sheetViews>
  <sheetFormatPr baseColWidth="10" defaultColWidth="11.3984375" defaultRowHeight="13"/>
  <cols>
    <col min="1" max="1" width="5.59765625" style="51" customWidth="1"/>
    <col min="2" max="16384" width="11.3984375" style="51"/>
  </cols>
  <sheetData>
    <row r="1" spans="1:2" ht="16">
      <c r="A1" s="50" t="s">
        <v>730</v>
      </c>
    </row>
    <row r="2" spans="1:2" ht="16">
      <c r="A2" s="50"/>
    </row>
    <row r="3" spans="1:2">
      <c r="A3" s="51">
        <v>5.01</v>
      </c>
      <c r="B3" s="52" t="s">
        <v>731</v>
      </c>
    </row>
    <row r="4" spans="1:2">
      <c r="A4" s="51">
        <v>5.0199999999999996</v>
      </c>
      <c r="B4" s="52" t="s">
        <v>732</v>
      </c>
    </row>
    <row r="5" spans="1:2">
      <c r="A5" s="51">
        <v>5.03</v>
      </c>
      <c r="B5" s="51" t="s">
        <v>1919</v>
      </c>
    </row>
    <row r="6" spans="1:2">
      <c r="A6" s="51">
        <v>5.04</v>
      </c>
      <c r="B6" s="51" t="s">
        <v>1920</v>
      </c>
    </row>
    <row r="9" spans="1:2">
      <c r="A9" s="53" t="s">
        <v>1955</v>
      </c>
    </row>
  </sheetData>
  <phoneticPr fontId="30" type="noConversion"/>
  <pageMargins left="0.54" right="0.51" top="0.78" bottom="0.984251969" header="0.36" footer="0.4921259845"/>
  <pageSetup paperSize="9" orientation="portrait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C1A5-B5E1-FE43-8282-DE2BA259AEB7}">
  <dimension ref="A1:AD109"/>
  <sheetViews>
    <sheetView topLeftCell="A81" zoomScale="75" workbookViewId="0">
      <selection activeCell="D106" sqref="D106"/>
    </sheetView>
  </sheetViews>
  <sheetFormatPr baseColWidth="10" defaultColWidth="11.3984375" defaultRowHeight="13"/>
  <cols>
    <col min="1" max="1" width="6.19921875" style="97" customWidth="1"/>
    <col min="2" max="2" width="38.59765625" style="97" customWidth="1"/>
    <col min="3" max="3" width="10.796875" style="97" customWidth="1"/>
    <col min="4" max="4" width="11.796875" style="97" customWidth="1"/>
    <col min="5" max="6" width="10.796875" style="2" customWidth="1"/>
    <col min="7" max="7" width="11.19921875" style="2" customWidth="1"/>
    <col min="8" max="9" width="11.19921875" style="8" customWidth="1"/>
    <col min="10" max="16" width="10.796875" style="2" customWidth="1"/>
    <col min="17" max="17" width="3" style="2" customWidth="1"/>
    <col min="18" max="18" width="10.796875" style="2" customWidth="1"/>
    <col min="19" max="19" width="11.796875" style="818" customWidth="1"/>
    <col min="20" max="20" width="11.3984375" style="2"/>
    <col min="21" max="22" width="12.19921875" style="2" customWidth="1"/>
    <col min="23" max="28" width="11.3984375" style="2"/>
    <col min="29" max="29" width="11.796875" style="2" customWidth="1"/>
    <col min="30" max="30" width="12.3984375" style="2" customWidth="1"/>
    <col min="31" max="16384" width="11.3984375" style="2"/>
  </cols>
  <sheetData>
    <row r="1" spans="1:30" s="1" customFormat="1" ht="14" customHeight="1">
      <c r="A1" s="169"/>
      <c r="B1" s="169"/>
      <c r="C1" s="169"/>
      <c r="D1" s="169"/>
      <c r="H1" s="175"/>
      <c r="I1" s="175"/>
      <c r="S1" s="772"/>
    </row>
    <row r="2" spans="1:30" s="1" customFormat="1" ht="32.25" customHeight="1">
      <c r="A2" s="1707" t="s">
        <v>525</v>
      </c>
      <c r="B2" s="1708"/>
      <c r="C2" s="55"/>
      <c r="D2" s="55"/>
      <c r="E2" s="54"/>
      <c r="F2" s="54"/>
      <c r="G2" s="54"/>
      <c r="H2" s="56"/>
      <c r="I2" s="175"/>
      <c r="J2" s="17"/>
      <c r="V2" s="773"/>
      <c r="AD2" s="773">
        <v>2006</v>
      </c>
    </row>
    <row r="3" spans="1:30" s="1" customFormat="1" ht="12" customHeight="1">
      <c r="A3" s="169"/>
      <c r="B3" s="169"/>
      <c r="C3" s="169"/>
      <c r="D3" s="169"/>
      <c r="H3" s="175"/>
      <c r="I3" s="175"/>
      <c r="S3" s="774"/>
      <c r="W3" s="771"/>
      <c r="X3" s="771"/>
      <c r="Y3" s="771"/>
      <c r="Z3" s="771"/>
      <c r="AA3" s="771"/>
      <c r="AB3" s="771"/>
      <c r="AC3" s="771"/>
      <c r="AD3" s="771"/>
    </row>
    <row r="4" spans="1:30" ht="18" customHeight="1">
      <c r="A4" s="60" t="s">
        <v>1922</v>
      </c>
      <c r="B4" s="60" t="s">
        <v>526</v>
      </c>
      <c r="C4" s="61" t="s">
        <v>527</v>
      </c>
      <c r="D4" s="62" t="s">
        <v>1008</v>
      </c>
      <c r="E4" s="62" t="s">
        <v>1020</v>
      </c>
      <c r="F4" s="62" t="s">
        <v>528</v>
      </c>
      <c r="G4" s="62" t="s">
        <v>529</v>
      </c>
      <c r="H4" s="64" t="s">
        <v>530</v>
      </c>
      <c r="I4" s="64" t="s">
        <v>531</v>
      </c>
      <c r="J4" s="62" t="s">
        <v>532</v>
      </c>
      <c r="K4" s="62" t="s">
        <v>533</v>
      </c>
      <c r="L4" s="62" t="s">
        <v>533</v>
      </c>
      <c r="M4" s="61" t="s">
        <v>534</v>
      </c>
      <c r="N4" s="63" t="s">
        <v>530</v>
      </c>
      <c r="O4" s="63" t="s">
        <v>531</v>
      </c>
      <c r="P4" s="63" t="s">
        <v>427</v>
      </c>
      <c r="Q4" s="62"/>
      <c r="R4" s="64" t="s">
        <v>535</v>
      </c>
      <c r="S4" s="68" t="s">
        <v>536</v>
      </c>
      <c r="T4" s="64" t="s">
        <v>1008</v>
      </c>
      <c r="U4" s="62" t="s">
        <v>1020</v>
      </c>
      <c r="V4" s="64" t="s">
        <v>528</v>
      </c>
      <c r="W4" s="16" t="s">
        <v>529</v>
      </c>
      <c r="X4" s="16" t="s">
        <v>537</v>
      </c>
      <c r="Y4" s="16" t="s">
        <v>533</v>
      </c>
      <c r="Z4" s="16" t="s">
        <v>533</v>
      </c>
      <c r="AA4" s="16" t="s">
        <v>824</v>
      </c>
      <c r="AB4" s="16" t="s">
        <v>538</v>
      </c>
      <c r="AC4" s="16" t="s">
        <v>539</v>
      </c>
      <c r="AD4" s="16" t="s">
        <v>540</v>
      </c>
    </row>
    <row r="5" spans="1:30" ht="15" customHeight="1">
      <c r="A5" s="66" t="s">
        <v>1930</v>
      </c>
      <c r="B5" s="66"/>
      <c r="C5" s="67" t="s">
        <v>541</v>
      </c>
      <c r="D5" s="68" t="s">
        <v>542</v>
      </c>
      <c r="E5" s="68" t="s">
        <v>543</v>
      </c>
      <c r="F5" s="68" t="s">
        <v>544</v>
      </c>
      <c r="G5" s="68" t="s">
        <v>545</v>
      </c>
      <c r="H5" s="70" t="s">
        <v>546</v>
      </c>
      <c r="I5" s="70" t="s">
        <v>547</v>
      </c>
      <c r="J5" s="68" t="s">
        <v>548</v>
      </c>
      <c r="K5" s="68" t="s">
        <v>549</v>
      </c>
      <c r="L5" s="68" t="s">
        <v>427</v>
      </c>
      <c r="M5" s="67" t="s">
        <v>2291</v>
      </c>
      <c r="N5" s="69" t="s">
        <v>550</v>
      </c>
      <c r="O5" s="69" t="s">
        <v>547</v>
      </c>
      <c r="P5" s="69" t="s">
        <v>214</v>
      </c>
      <c r="Q5" s="68"/>
      <c r="R5" s="70" t="s">
        <v>1951</v>
      </c>
      <c r="S5" s="68" t="s">
        <v>1951</v>
      </c>
      <c r="T5" s="70" t="s">
        <v>1435</v>
      </c>
      <c r="U5" s="68" t="s">
        <v>543</v>
      </c>
      <c r="V5" s="70" t="s">
        <v>544</v>
      </c>
      <c r="W5" s="16" t="s">
        <v>545</v>
      </c>
      <c r="X5" s="16" t="s">
        <v>551</v>
      </c>
      <c r="Y5" s="16" t="s">
        <v>549</v>
      </c>
      <c r="Z5" s="16" t="s">
        <v>427</v>
      </c>
      <c r="AA5" s="16" t="s">
        <v>820</v>
      </c>
      <c r="AB5" s="16" t="s">
        <v>552</v>
      </c>
      <c r="AC5" s="16" t="s">
        <v>553</v>
      </c>
      <c r="AD5" s="16" t="s">
        <v>553</v>
      </c>
    </row>
    <row r="6" spans="1:30" ht="15" customHeight="1">
      <c r="A6" s="66"/>
      <c r="B6" s="66"/>
      <c r="C6" s="67" t="s">
        <v>1441</v>
      </c>
      <c r="D6" s="68" t="s">
        <v>554</v>
      </c>
      <c r="E6" s="68" t="s">
        <v>555</v>
      </c>
      <c r="F6" s="68" t="s">
        <v>556</v>
      </c>
      <c r="G6" s="68" t="s">
        <v>556</v>
      </c>
      <c r="H6" s="70" t="s">
        <v>556</v>
      </c>
      <c r="I6" s="70" t="s">
        <v>557</v>
      </c>
      <c r="J6" s="68" t="s">
        <v>445</v>
      </c>
      <c r="K6" s="68" t="s">
        <v>558</v>
      </c>
      <c r="L6" s="68" t="s">
        <v>542</v>
      </c>
      <c r="M6" s="67" t="s">
        <v>559</v>
      </c>
      <c r="N6" s="69" t="s">
        <v>560</v>
      </c>
      <c r="O6" s="69" t="s">
        <v>557</v>
      </c>
      <c r="P6" s="69" t="s">
        <v>1008</v>
      </c>
      <c r="Q6" s="68"/>
      <c r="R6" s="70" t="s">
        <v>1435</v>
      </c>
      <c r="S6" s="68" t="s">
        <v>1435</v>
      </c>
      <c r="T6" s="70"/>
      <c r="U6" s="68" t="s">
        <v>555</v>
      </c>
      <c r="V6" s="70" t="s">
        <v>1435</v>
      </c>
      <c r="W6" s="16" t="s">
        <v>1435</v>
      </c>
      <c r="X6" s="16" t="s">
        <v>1435</v>
      </c>
      <c r="Y6" s="16" t="s">
        <v>561</v>
      </c>
      <c r="Z6" s="16" t="s">
        <v>562</v>
      </c>
      <c r="AA6" s="16" t="s">
        <v>563</v>
      </c>
      <c r="AB6" s="16" t="s">
        <v>564</v>
      </c>
      <c r="AC6" s="16" t="s">
        <v>552</v>
      </c>
      <c r="AD6" s="16" t="s">
        <v>552</v>
      </c>
    </row>
    <row r="7" spans="1:30" ht="15" customHeight="1">
      <c r="A7" s="66"/>
      <c r="B7" s="66"/>
      <c r="C7" s="557" t="s">
        <v>565</v>
      </c>
      <c r="D7" s="68" t="s">
        <v>1007</v>
      </c>
      <c r="E7" s="68" t="s">
        <v>542</v>
      </c>
      <c r="F7" s="68" t="s">
        <v>554</v>
      </c>
      <c r="G7" s="68" t="s">
        <v>554</v>
      </c>
      <c r="H7" s="70" t="s">
        <v>554</v>
      </c>
      <c r="I7" s="70" t="s">
        <v>566</v>
      </c>
      <c r="J7" s="68" t="s">
        <v>567</v>
      </c>
      <c r="K7" s="68" t="s">
        <v>445</v>
      </c>
      <c r="L7" s="68" t="s">
        <v>554</v>
      </c>
      <c r="M7" s="67" t="s">
        <v>1008</v>
      </c>
      <c r="N7" s="69" t="s">
        <v>568</v>
      </c>
      <c r="O7" s="69" t="s">
        <v>569</v>
      </c>
      <c r="P7" s="69"/>
      <c r="Q7" s="68"/>
      <c r="R7" s="70"/>
      <c r="S7" s="68"/>
      <c r="T7" s="70"/>
      <c r="U7" s="68" t="s">
        <v>562</v>
      </c>
      <c r="V7" s="70"/>
      <c r="W7" s="16"/>
      <c r="X7" s="16"/>
      <c r="Y7" s="16" t="s">
        <v>562</v>
      </c>
      <c r="Z7" s="16"/>
      <c r="AA7" s="16" t="s">
        <v>1008</v>
      </c>
      <c r="AB7" s="16" t="s">
        <v>1435</v>
      </c>
      <c r="AC7" s="16" t="s">
        <v>564</v>
      </c>
      <c r="AD7" s="16" t="s">
        <v>564</v>
      </c>
    </row>
    <row r="8" spans="1:30" ht="15" customHeight="1">
      <c r="A8" s="66"/>
      <c r="B8" s="66"/>
      <c r="C8" s="557"/>
      <c r="D8" s="68"/>
      <c r="E8" s="68" t="s">
        <v>554</v>
      </c>
      <c r="F8" s="68" t="s">
        <v>1007</v>
      </c>
      <c r="G8" s="68" t="s">
        <v>1007</v>
      </c>
      <c r="H8" s="70" t="s">
        <v>1007</v>
      </c>
      <c r="I8" s="70" t="s">
        <v>445</v>
      </c>
      <c r="J8" s="68" t="s">
        <v>1007</v>
      </c>
      <c r="K8" s="68" t="s">
        <v>570</v>
      </c>
      <c r="L8" s="68" t="s">
        <v>1007</v>
      </c>
      <c r="M8" s="67" t="s">
        <v>94</v>
      </c>
      <c r="N8" s="69"/>
      <c r="O8" s="69" t="s">
        <v>571</v>
      </c>
      <c r="P8" s="69"/>
      <c r="Q8" s="68"/>
      <c r="R8" s="70"/>
      <c r="S8" s="68"/>
      <c r="T8" s="70"/>
      <c r="U8" s="68"/>
      <c r="V8" s="70"/>
      <c r="W8" s="16"/>
      <c r="X8" s="16"/>
      <c r="Y8" s="16"/>
      <c r="Z8" s="16"/>
      <c r="AA8" s="16" t="s">
        <v>1435</v>
      </c>
      <c r="AB8" s="16"/>
      <c r="AC8" s="16" t="s">
        <v>572</v>
      </c>
      <c r="AD8" s="16" t="s">
        <v>573</v>
      </c>
    </row>
    <row r="9" spans="1:30" ht="15" customHeight="1">
      <c r="A9" s="66"/>
      <c r="B9" s="66"/>
      <c r="C9" s="67"/>
      <c r="D9" s="68"/>
      <c r="E9" s="68" t="s">
        <v>1007</v>
      </c>
      <c r="F9" s="68"/>
      <c r="G9" s="68"/>
      <c r="H9" s="70"/>
      <c r="I9" s="70" t="s">
        <v>574</v>
      </c>
      <c r="J9" s="68"/>
      <c r="K9" s="68" t="s">
        <v>1007</v>
      </c>
      <c r="L9" s="68"/>
      <c r="M9" s="791"/>
      <c r="N9" s="69"/>
      <c r="O9" s="69" t="s">
        <v>536</v>
      </c>
      <c r="P9" s="69"/>
      <c r="Q9" s="68"/>
      <c r="R9" s="70"/>
      <c r="S9" s="68"/>
      <c r="T9" s="70"/>
      <c r="U9" s="68"/>
      <c r="V9" s="70"/>
      <c r="W9" s="16"/>
      <c r="X9" s="16"/>
      <c r="Y9" s="16"/>
      <c r="Z9" s="16"/>
      <c r="AA9" s="16"/>
      <c r="AB9" s="16"/>
      <c r="AC9" s="16"/>
      <c r="AD9" s="16"/>
    </row>
    <row r="10" spans="1:30" ht="21" customHeight="1">
      <c r="A10" s="792">
        <v>0</v>
      </c>
      <c r="B10" s="792"/>
      <c r="C10" s="793">
        <v>1</v>
      </c>
      <c r="D10" s="794" t="s">
        <v>297</v>
      </c>
      <c r="E10" s="794" t="s">
        <v>1904</v>
      </c>
      <c r="F10" s="794" t="s">
        <v>1917</v>
      </c>
      <c r="G10" s="794" t="s">
        <v>1910</v>
      </c>
      <c r="H10" s="795" t="s">
        <v>1892</v>
      </c>
      <c r="I10" s="795" t="s">
        <v>1912</v>
      </c>
      <c r="J10" s="794">
        <v>7</v>
      </c>
      <c r="K10" s="794" t="s">
        <v>288</v>
      </c>
      <c r="L10" s="794" t="s">
        <v>295</v>
      </c>
      <c r="M10" s="793">
        <v>15</v>
      </c>
      <c r="N10" s="796" t="s">
        <v>1896</v>
      </c>
      <c r="O10" s="796" t="s">
        <v>1908</v>
      </c>
      <c r="P10" s="796" t="s">
        <v>299</v>
      </c>
      <c r="Q10" s="792"/>
      <c r="R10" s="795">
        <v>2</v>
      </c>
      <c r="S10" s="794">
        <v>14</v>
      </c>
      <c r="T10" s="795" t="s">
        <v>293</v>
      </c>
      <c r="U10" s="794" t="s">
        <v>1900</v>
      </c>
      <c r="V10" s="795" t="s">
        <v>1914</v>
      </c>
      <c r="W10" s="794" t="s">
        <v>1906</v>
      </c>
      <c r="X10" s="794" t="s">
        <v>301</v>
      </c>
      <c r="Y10" s="794" t="s">
        <v>422</v>
      </c>
      <c r="Z10" s="794" t="s">
        <v>291</v>
      </c>
      <c r="AA10" s="794">
        <v>10</v>
      </c>
      <c r="AB10" s="794" t="s">
        <v>1894</v>
      </c>
      <c r="AC10" s="794" t="s">
        <v>1898</v>
      </c>
      <c r="AD10" s="794" t="s">
        <v>1902</v>
      </c>
    </row>
    <row r="11" spans="1:30" ht="14" thickBot="1">
      <c r="A11" s="80">
        <v>8</v>
      </c>
      <c r="B11" s="81" t="s">
        <v>593</v>
      </c>
      <c r="C11" s="797">
        <v>951578.05</v>
      </c>
      <c r="D11" s="798">
        <v>2400.4283301301452</v>
      </c>
      <c r="E11" s="798">
        <v>2386.4929742547124</v>
      </c>
      <c r="F11" s="798">
        <v>396.0308331092757</v>
      </c>
      <c r="G11" s="1600">
        <v>2782.523807363988</v>
      </c>
      <c r="H11" s="798">
        <v>-138.34444950679557</v>
      </c>
      <c r="I11" s="799">
        <v>130.70290032436117</v>
      </c>
      <c r="J11" s="798">
        <v>28.495625051460625</v>
      </c>
      <c r="K11" s="799">
        <v>668.78381652456142</v>
      </c>
      <c r="L11" s="798">
        <v>417.34109982885792</v>
      </c>
      <c r="M11" s="800">
        <v>0.99419463780671291</v>
      </c>
      <c r="N11" s="800">
        <v>-5.6716701668329914E-2</v>
      </c>
      <c r="O11" s="800">
        <v>5.4217297680483653E-2</v>
      </c>
      <c r="P11" s="800">
        <v>0.17386109578461384</v>
      </c>
      <c r="Q11" s="798"/>
      <c r="R11" s="801">
        <v>2321.10714512</v>
      </c>
      <c r="S11" s="801">
        <v>2293.9913337799999</v>
      </c>
      <c r="T11" s="801">
        <v>2284.1949095500004</v>
      </c>
      <c r="U11" s="801">
        <v>2270.9343307799995</v>
      </c>
      <c r="V11" s="801">
        <v>376.85424791000003</v>
      </c>
      <c r="W11" s="801">
        <v>2647.7885786899997</v>
      </c>
      <c r="X11" s="801">
        <v>-131.64554149</v>
      </c>
      <c r="Y11" s="801">
        <v>636.4</v>
      </c>
      <c r="Z11" s="801">
        <v>397.13262995999997</v>
      </c>
      <c r="AA11" s="801" t="s">
        <v>1412</v>
      </c>
      <c r="AB11" s="801">
        <v>342.62923643250002</v>
      </c>
      <c r="AC11" s="801">
        <v>54.503393527499952</v>
      </c>
      <c r="AD11" s="801"/>
    </row>
    <row r="12" spans="1:30" ht="14" thickBot="1">
      <c r="A12" s="80">
        <v>32</v>
      </c>
      <c r="B12" s="81" t="s">
        <v>1937</v>
      </c>
      <c r="C12" s="797">
        <v>32500</v>
      </c>
      <c r="D12" s="798">
        <v>2400.332246153846</v>
      </c>
      <c r="E12" s="798">
        <v>2374.4288833846149</v>
      </c>
      <c r="F12" s="798">
        <v>384.97951046153844</v>
      </c>
      <c r="G12" s="1600">
        <v>2759.4083938461536</v>
      </c>
      <c r="H12" s="798">
        <v>-74.22901138461539</v>
      </c>
      <c r="I12" s="799">
        <v>113.37727015384617</v>
      </c>
      <c r="J12" s="798">
        <v>-26.236071076923036</v>
      </c>
      <c r="K12" s="799">
        <v>680</v>
      </c>
      <c r="L12" s="798">
        <v>746.2340015384616</v>
      </c>
      <c r="M12" s="800">
        <v>0.98920842612070181</v>
      </c>
      <c r="N12" s="800">
        <v>-3.1182066482230219E-2</v>
      </c>
      <c r="O12" s="800">
        <v>4.7108246406089516E-2</v>
      </c>
      <c r="P12" s="800">
        <v>0.31088779594332572</v>
      </c>
      <c r="Q12" s="798"/>
      <c r="R12" s="801">
        <v>77.366356440000004</v>
      </c>
      <c r="S12" s="801">
        <v>78.219028750000007</v>
      </c>
      <c r="T12" s="802">
        <v>78.010797999999994</v>
      </c>
      <c r="U12" s="802">
        <v>77.168938709999992</v>
      </c>
      <c r="V12" s="802">
        <v>12.511834090000001</v>
      </c>
      <c r="W12" s="801">
        <v>89.6807728</v>
      </c>
      <c r="X12" s="801">
        <v>-2.41244287</v>
      </c>
      <c r="Y12" s="802">
        <v>22.1</v>
      </c>
      <c r="Z12" s="801">
        <v>24.25260505</v>
      </c>
      <c r="AA12" s="801">
        <v>34.921832899999998</v>
      </c>
      <c r="AB12" s="802">
        <v>15.602159600000002</v>
      </c>
      <c r="AC12" s="802">
        <v>8.6504454499999976</v>
      </c>
      <c r="AD12" s="802"/>
    </row>
    <row r="13" spans="1:30" ht="14" thickBot="1">
      <c r="A13" s="80">
        <v>57</v>
      </c>
      <c r="B13" s="81" t="s">
        <v>594</v>
      </c>
      <c r="C13" s="797">
        <v>13443.42</v>
      </c>
      <c r="D13" s="798">
        <v>3517.078079833851</v>
      </c>
      <c r="E13" s="798">
        <v>3622.0540234553409</v>
      </c>
      <c r="F13" s="798">
        <v>499.83942330151109</v>
      </c>
      <c r="G13" s="1600">
        <v>4121.8934467568515</v>
      </c>
      <c r="H13" s="798">
        <v>110.03380836126522</v>
      </c>
      <c r="I13" s="799">
        <v>190.4821392175503</v>
      </c>
      <c r="J13" s="798">
        <v>41.761887971959489</v>
      </c>
      <c r="K13" s="799">
        <v>941.04506145013693</v>
      </c>
      <c r="L13" s="798">
        <v>221.58363199245429</v>
      </c>
      <c r="M13" s="800">
        <v>1.0298474873854517</v>
      </c>
      <c r="N13" s="800">
        <v>3.2128546705658352E-2</v>
      </c>
      <c r="O13" s="800">
        <v>5.6305072600138423E-2</v>
      </c>
      <c r="P13" s="800">
        <v>6.3002193003040191E-2</v>
      </c>
      <c r="Q13" s="798"/>
      <c r="R13" s="801">
        <v>46.041008750000003</v>
      </c>
      <c r="S13" s="801">
        <v>45.479586149999996</v>
      </c>
      <c r="T13" s="802">
        <v>47.281557799999995</v>
      </c>
      <c r="U13" s="802">
        <v>48.692793500000001</v>
      </c>
      <c r="V13" s="802">
        <v>6.7195513</v>
      </c>
      <c r="W13" s="801">
        <v>55.4123448</v>
      </c>
      <c r="X13" s="801">
        <v>1.4792307</v>
      </c>
      <c r="Y13" s="802">
        <v>12.650864</v>
      </c>
      <c r="Z13" s="801">
        <v>2.9788418299999999</v>
      </c>
      <c r="AA13" s="801" t="s">
        <v>1412</v>
      </c>
      <c r="AB13" s="802">
        <v>9.4563115600000014</v>
      </c>
      <c r="AC13" s="802"/>
      <c r="AD13" s="802">
        <v>-6.477469730000001</v>
      </c>
    </row>
    <row r="14" spans="1:30" ht="14" thickBot="1">
      <c r="A14" s="80">
        <v>62</v>
      </c>
      <c r="B14" s="81" t="s">
        <v>595</v>
      </c>
      <c r="C14" s="797">
        <v>47969.17</v>
      </c>
      <c r="D14" s="798">
        <v>3896.7852247599867</v>
      </c>
      <c r="E14" s="798">
        <v>4020.6328254168247</v>
      </c>
      <c r="F14" s="798">
        <v>563.65355623205494</v>
      </c>
      <c r="G14" s="1600">
        <v>4584.2863816488798</v>
      </c>
      <c r="H14" s="798">
        <v>-966.5496818060434</v>
      </c>
      <c r="I14" s="799">
        <v>259.4680939861999</v>
      </c>
      <c r="J14" s="798">
        <v>467.56125403045326</v>
      </c>
      <c r="K14" s="799">
        <v>1441.9223847316935</v>
      </c>
      <c r="L14" s="798">
        <v>1410.1769622030151</v>
      </c>
      <c r="M14" s="800">
        <v>1.0317819929797301</v>
      </c>
      <c r="N14" s="800">
        <v>-0.27402417688289543</v>
      </c>
      <c r="O14" s="800">
        <v>8.4802332593432131E-2</v>
      </c>
      <c r="P14" s="800">
        <v>0.3618821363935632</v>
      </c>
      <c r="Q14" s="798"/>
      <c r="R14" s="801">
        <v>169.19888795</v>
      </c>
      <c r="S14" s="801">
        <v>146.77036267000003</v>
      </c>
      <c r="T14" s="802">
        <v>186.92555289999999</v>
      </c>
      <c r="U14" s="802">
        <v>192.86641950999999</v>
      </c>
      <c r="V14" s="802">
        <v>27.03799326</v>
      </c>
      <c r="W14" s="801">
        <v>219.90441276999999</v>
      </c>
      <c r="X14" s="801">
        <v>-46.364586000000003</v>
      </c>
      <c r="Y14" s="802">
        <v>69.167820000000006</v>
      </c>
      <c r="Z14" s="801">
        <v>67.645018430000007</v>
      </c>
      <c r="AA14" s="801" t="s">
        <v>1412</v>
      </c>
      <c r="AB14" s="802">
        <v>37.385110579999996</v>
      </c>
      <c r="AC14" s="802">
        <v>30.259907850000012</v>
      </c>
      <c r="AD14" s="802"/>
    </row>
    <row r="15" spans="1:30" ht="14" thickBot="1">
      <c r="A15" s="80">
        <v>97</v>
      </c>
      <c r="B15" s="81" t="s">
        <v>596</v>
      </c>
      <c r="C15" s="797">
        <v>943.66</v>
      </c>
      <c r="D15" s="798">
        <v>1990.6009579721513</v>
      </c>
      <c r="E15" s="798">
        <v>1802.5036559777886</v>
      </c>
      <c r="F15" s="798">
        <v>383.32693978763535</v>
      </c>
      <c r="G15" s="1600">
        <v>2185.8305957654238</v>
      </c>
      <c r="H15" s="798">
        <v>192.29796748829025</v>
      </c>
      <c r="I15" s="799">
        <v>66.045821588283914</v>
      </c>
      <c r="J15" s="798">
        <v>9.0213636267300039</v>
      </c>
      <c r="K15" s="799">
        <v>317.91111205306998</v>
      </c>
      <c r="L15" s="798">
        <v>580.28023864527472</v>
      </c>
      <c r="M15" s="800">
        <v>0.90550727847233659</v>
      </c>
      <c r="N15" s="800">
        <v>0.10458649712790996</v>
      </c>
      <c r="O15" s="800">
        <v>3.6097937421237326E-2</v>
      </c>
      <c r="P15" s="800">
        <v>0.29151007705553061</v>
      </c>
      <c r="Q15" s="798"/>
      <c r="R15" s="801">
        <v>1.7350604999999999</v>
      </c>
      <c r="S15" s="801">
        <v>1.7265473999999998</v>
      </c>
      <c r="T15" s="802">
        <v>1.8784505</v>
      </c>
      <c r="U15" s="802">
        <v>1.7009505999999999</v>
      </c>
      <c r="V15" s="802">
        <v>0.3617303</v>
      </c>
      <c r="W15" s="801">
        <v>2.0626808999999997</v>
      </c>
      <c r="X15" s="801">
        <v>0.18146389999999998</v>
      </c>
      <c r="Y15" s="802">
        <v>0.3</v>
      </c>
      <c r="Z15" s="801">
        <v>0.54758724999999997</v>
      </c>
      <c r="AA15" s="801">
        <v>0.16984295000000002</v>
      </c>
      <c r="AB15" s="802">
        <v>0.37569010000000003</v>
      </c>
      <c r="AC15" s="802">
        <v>0.17189714999999994</v>
      </c>
      <c r="AD15" s="802"/>
    </row>
    <row r="16" spans="1:30" ht="14" thickBot="1">
      <c r="A16" s="80">
        <v>134</v>
      </c>
      <c r="B16" s="81" t="s">
        <v>597</v>
      </c>
      <c r="C16" s="797">
        <v>3381</v>
      </c>
      <c r="D16" s="798">
        <v>1845.4170955338657</v>
      </c>
      <c r="E16" s="798">
        <v>1691.0219165927238</v>
      </c>
      <c r="F16" s="798">
        <v>331.05400769003256</v>
      </c>
      <c r="G16" s="1600">
        <v>2022.0759242827562</v>
      </c>
      <c r="H16" s="798">
        <v>-55.829503105590064</v>
      </c>
      <c r="I16" s="799">
        <v>84.307122153209107</v>
      </c>
      <c r="J16" s="798">
        <v>80.957388346643015</v>
      </c>
      <c r="K16" s="799">
        <v>769.00325347530327</v>
      </c>
      <c r="L16" s="798">
        <v>808.92855368234245</v>
      </c>
      <c r="M16" s="800">
        <v>0.9163358899650399</v>
      </c>
      <c r="N16" s="800">
        <v>-2.8871314916826839E-2</v>
      </c>
      <c r="O16" s="800">
        <v>4.5503072163657309E-2</v>
      </c>
      <c r="P16" s="800">
        <v>0.4383445648358022</v>
      </c>
      <c r="Q16" s="798"/>
      <c r="R16" s="801">
        <v>6.5379616600000006</v>
      </c>
      <c r="S16" s="801">
        <v>6.2642447300000006</v>
      </c>
      <c r="T16" s="802">
        <v>6.2393552000000003</v>
      </c>
      <c r="U16" s="802">
        <v>5.7173450999999993</v>
      </c>
      <c r="V16" s="802">
        <v>1.1192936</v>
      </c>
      <c r="W16" s="801">
        <v>6.8366386999999991</v>
      </c>
      <c r="X16" s="801">
        <v>-0.18875955</v>
      </c>
      <c r="Y16" s="802">
        <v>2.6</v>
      </c>
      <c r="Z16" s="801">
        <v>2.7349874399999998</v>
      </c>
      <c r="AA16" s="801" t="s">
        <v>1412</v>
      </c>
      <c r="AB16" s="802">
        <v>1.2478710399999999</v>
      </c>
      <c r="AC16" s="802">
        <v>1.4871163999999999</v>
      </c>
      <c r="AD16" s="802"/>
    </row>
    <row r="17" spans="1:30" ht="14" thickBot="1">
      <c r="A17" s="80">
        <v>160</v>
      </c>
      <c r="B17" s="81" t="s">
        <v>598</v>
      </c>
      <c r="C17" s="797">
        <v>30628.75</v>
      </c>
      <c r="D17" s="798">
        <v>2670.2596416765296</v>
      </c>
      <c r="E17" s="798">
        <v>2058.8472791086806</v>
      </c>
      <c r="F17" s="798">
        <v>405.83048900134679</v>
      </c>
      <c r="G17" s="1600">
        <v>2464.6777681100275</v>
      </c>
      <c r="H17" s="798">
        <v>317.53770721952412</v>
      </c>
      <c r="I17" s="799">
        <v>135.62784214177856</v>
      </c>
      <c r="J17" s="798">
        <v>206.12266546953433</v>
      </c>
      <c r="K17" s="799">
        <v>591.50308125535651</v>
      </c>
      <c r="L17" s="798">
        <v>483.96050410153856</v>
      </c>
      <c r="M17" s="800">
        <v>0.77102887186506996</v>
      </c>
      <c r="N17" s="800">
        <v>0.11801276339078685</v>
      </c>
      <c r="O17" s="800">
        <v>5.4587750805395713E-2</v>
      </c>
      <c r="P17" s="800">
        <v>0.181240991156082</v>
      </c>
      <c r="Q17" s="798"/>
      <c r="R17" s="801">
        <v>82.412976110000002</v>
      </c>
      <c r="S17" s="801">
        <v>76.099696520000009</v>
      </c>
      <c r="T17" s="802">
        <v>81.786715000000001</v>
      </c>
      <c r="U17" s="802">
        <v>63.059918600000003</v>
      </c>
      <c r="V17" s="802">
        <v>12.430080589999999</v>
      </c>
      <c r="W17" s="801">
        <v>75.489999190000006</v>
      </c>
      <c r="X17" s="801">
        <v>9.7257830499999987</v>
      </c>
      <c r="Y17" s="802">
        <v>18.117000000000001</v>
      </c>
      <c r="Z17" s="801">
        <v>14.823105289999999</v>
      </c>
      <c r="AA17" s="801">
        <v>9.4746940999999989</v>
      </c>
      <c r="AB17" s="802">
        <v>16.357343</v>
      </c>
      <c r="AC17" s="802"/>
      <c r="AD17" s="802">
        <v>-1.5342377100000011</v>
      </c>
    </row>
    <row r="18" spans="1:30" ht="14" thickBot="1">
      <c r="A18" s="80">
        <v>178</v>
      </c>
      <c r="B18" s="81" t="s">
        <v>599</v>
      </c>
      <c r="C18" s="797">
        <v>979.92</v>
      </c>
      <c r="D18" s="798">
        <v>1945.9437505102458</v>
      </c>
      <c r="E18" s="798">
        <v>1578.243019838354</v>
      </c>
      <c r="F18" s="798">
        <v>314.69273001877701</v>
      </c>
      <c r="G18" s="1600">
        <v>1892.9357498571312</v>
      </c>
      <c r="H18" s="798">
        <v>336.76218466813611</v>
      </c>
      <c r="I18" s="799">
        <v>103.72479386072332</v>
      </c>
      <c r="J18" s="798">
        <v>-23.43732141399299</v>
      </c>
      <c r="K18" s="799">
        <v>510.24573434566088</v>
      </c>
      <c r="L18" s="798">
        <v>659.42651440933946</v>
      </c>
      <c r="M18" s="800">
        <v>0.81104246688760817</v>
      </c>
      <c r="N18" s="800">
        <v>0.18042317271032812</v>
      </c>
      <c r="O18" s="800">
        <v>5.4882287935143416E-2</v>
      </c>
      <c r="P18" s="800">
        <v>0.33887234111285652</v>
      </c>
      <c r="Q18" s="798"/>
      <c r="R18" s="801">
        <v>1.82903335</v>
      </c>
      <c r="S18" s="801">
        <v>1.85200005</v>
      </c>
      <c r="T18" s="802">
        <v>1.9068692000000003</v>
      </c>
      <c r="U18" s="802">
        <v>1.5465519000000001</v>
      </c>
      <c r="V18" s="802">
        <v>0.30837370000000003</v>
      </c>
      <c r="W18" s="801">
        <v>1.8549256000000001</v>
      </c>
      <c r="X18" s="801">
        <v>0.33</v>
      </c>
      <c r="Y18" s="802">
        <v>0.5</v>
      </c>
      <c r="Z18" s="801">
        <v>0.64618522999999994</v>
      </c>
      <c r="AA18" s="801">
        <v>0.33359899999999998</v>
      </c>
      <c r="AB18" s="802">
        <v>0.38137384000000008</v>
      </c>
      <c r="AC18" s="802">
        <v>0.26481138999999987</v>
      </c>
      <c r="AD18" s="802"/>
    </row>
    <row r="19" spans="1:30" ht="14" thickBot="1">
      <c r="A19" s="80">
        <v>182</v>
      </c>
      <c r="B19" s="81" t="s">
        <v>600</v>
      </c>
      <c r="C19" s="797">
        <v>50512</v>
      </c>
      <c r="D19" s="798">
        <v>2254.1000692904654</v>
      </c>
      <c r="E19" s="798">
        <v>1817.1417079109915</v>
      </c>
      <c r="F19" s="798">
        <v>375.75184411624963</v>
      </c>
      <c r="G19" s="1600">
        <v>2192.8935520272412</v>
      </c>
      <c r="H19" s="798">
        <v>183.1365220145708</v>
      </c>
      <c r="I19" s="799">
        <v>125.16182154735507</v>
      </c>
      <c r="J19" s="798">
        <v>51.55011601203676</v>
      </c>
      <c r="K19" s="799">
        <v>504.8305353183402</v>
      </c>
      <c r="L19" s="798">
        <v>477.10360547988597</v>
      </c>
      <c r="M19" s="800">
        <v>0.80614952843818621</v>
      </c>
      <c r="N19" s="800">
        <v>8.1122096385837547E-2</v>
      </c>
      <c r="O19" s="800">
        <v>5.6737214147729344E-2</v>
      </c>
      <c r="P19" s="800">
        <v>0.21166034817170573</v>
      </c>
      <c r="Q19" s="798"/>
      <c r="R19" s="801">
        <v>114.03295047999998</v>
      </c>
      <c r="S19" s="801">
        <v>111.42905102000002</v>
      </c>
      <c r="T19" s="802">
        <v>113.85910269999999</v>
      </c>
      <c r="U19" s="802">
        <v>91.787461950000008</v>
      </c>
      <c r="V19" s="802">
        <v>18.97997715</v>
      </c>
      <c r="W19" s="801">
        <v>110.7674391</v>
      </c>
      <c r="X19" s="801">
        <v>9.2505919999999993</v>
      </c>
      <c r="Y19" s="802">
        <v>25.5</v>
      </c>
      <c r="Z19" s="801">
        <v>24.099457319999999</v>
      </c>
      <c r="AA19" s="801" t="s">
        <v>1412</v>
      </c>
      <c r="AB19" s="802">
        <v>22.77182054</v>
      </c>
      <c r="AC19" s="802">
        <v>1.3276367799999989</v>
      </c>
      <c r="AD19" s="802"/>
    </row>
    <row r="20" spans="1:30" ht="14" thickBot="1">
      <c r="A20" s="80">
        <v>194</v>
      </c>
      <c r="B20" s="81" t="s">
        <v>601</v>
      </c>
      <c r="C20" s="797">
        <v>20937</v>
      </c>
      <c r="D20" s="798">
        <v>2239.8677078855612</v>
      </c>
      <c r="E20" s="798">
        <v>1638.9374385059941</v>
      </c>
      <c r="F20" s="798">
        <v>339.71619859578743</v>
      </c>
      <c r="G20" s="1600">
        <v>1978.6536371017814</v>
      </c>
      <c r="H20" s="798">
        <v>475.25788317332956</v>
      </c>
      <c r="I20" s="799">
        <v>65.17533696327078</v>
      </c>
      <c r="J20" s="798">
        <v>24.114864593781384</v>
      </c>
      <c r="K20" s="799">
        <v>456.13029564885136</v>
      </c>
      <c r="L20" s="798">
        <v>509.23963461814014</v>
      </c>
      <c r="M20" s="800">
        <v>0.73171171348023667</v>
      </c>
      <c r="N20" s="800">
        <v>0.20938600637423452</v>
      </c>
      <c r="O20" s="800">
        <v>2.902287293361917E-2</v>
      </c>
      <c r="P20" s="800">
        <v>0.2273525498069987</v>
      </c>
      <c r="Q20" s="798"/>
      <c r="R20" s="801">
        <v>47.522155239999996</v>
      </c>
      <c r="S20" s="801">
        <v>47.01726232</v>
      </c>
      <c r="T20" s="802">
        <v>46.896110200000003</v>
      </c>
      <c r="U20" s="802">
        <v>34.314433149999999</v>
      </c>
      <c r="V20" s="802">
        <v>7.112638050000001</v>
      </c>
      <c r="W20" s="801">
        <v>41.4270712</v>
      </c>
      <c r="X20" s="801">
        <v>9.9504743000000015</v>
      </c>
      <c r="Y20" s="802">
        <v>9.5500000000000007</v>
      </c>
      <c r="Z20" s="801">
        <v>10.66195023</v>
      </c>
      <c r="AA20" s="801">
        <v>6.559381300000001</v>
      </c>
      <c r="AB20" s="802">
        <v>9.3792220400000001</v>
      </c>
      <c r="AC20" s="802">
        <v>1.2827281900000003</v>
      </c>
      <c r="AD20" s="802"/>
    </row>
    <row r="21" spans="1:30" ht="14" thickBot="1">
      <c r="A21" s="80">
        <v>216</v>
      </c>
      <c r="B21" s="81" t="s">
        <v>602</v>
      </c>
      <c r="C21" s="797">
        <v>2144.67</v>
      </c>
      <c r="D21" s="798">
        <v>2567.164645376678</v>
      </c>
      <c r="E21" s="798">
        <v>1992.9583991942814</v>
      </c>
      <c r="F21" s="798">
        <v>393.60011097278368</v>
      </c>
      <c r="G21" s="1600">
        <v>2386.5585101670654</v>
      </c>
      <c r="H21" s="798">
        <v>218.85464896697391</v>
      </c>
      <c r="I21" s="799">
        <v>145.07347983605868</v>
      </c>
      <c r="J21" s="798">
        <v>170.16988161348831</v>
      </c>
      <c r="K21" s="799">
        <v>652.78108053919709</v>
      </c>
      <c r="L21" s="798">
        <v>948.06716184774336</v>
      </c>
      <c r="M21" s="800">
        <v>0.77632667728713445</v>
      </c>
      <c r="N21" s="800">
        <v>8.1575011235679465E-2</v>
      </c>
      <c r="O21" s="800">
        <v>5.7736231104021839E-2</v>
      </c>
      <c r="P21" s="800">
        <v>0.36930516457335921</v>
      </c>
      <c r="Q21" s="798"/>
      <c r="R21" s="801">
        <v>5.7538576199999998</v>
      </c>
      <c r="S21" s="801">
        <v>5.3888993799999998</v>
      </c>
      <c r="T21" s="802">
        <v>5.5057210000000003</v>
      </c>
      <c r="U21" s="802">
        <v>4.2742380899999999</v>
      </c>
      <c r="V21" s="802">
        <v>0.84414234999999993</v>
      </c>
      <c r="W21" s="801">
        <v>5.1183804400000001</v>
      </c>
      <c r="X21" s="801">
        <v>0.46937099999999993</v>
      </c>
      <c r="Y21" s="802">
        <v>1.4</v>
      </c>
      <c r="Z21" s="801">
        <v>2.0332911999999999</v>
      </c>
      <c r="AA21" s="801">
        <v>0.50629305000000002</v>
      </c>
      <c r="AB21" s="802">
        <v>1.1011442</v>
      </c>
      <c r="AC21" s="802">
        <v>0.93214699999999984</v>
      </c>
      <c r="AD21" s="802"/>
    </row>
    <row r="22" spans="1:30" ht="14" thickBot="1">
      <c r="A22" s="80">
        <v>246</v>
      </c>
      <c r="B22" s="81" t="s">
        <v>603</v>
      </c>
      <c r="C22" s="797">
        <v>5814.16</v>
      </c>
      <c r="D22" s="798">
        <v>2328.1047477193615</v>
      </c>
      <c r="E22" s="798">
        <v>1542.1694535410099</v>
      </c>
      <c r="F22" s="798">
        <v>327.65216299517044</v>
      </c>
      <c r="G22" s="1600">
        <v>1869.8216165361805</v>
      </c>
      <c r="H22" s="798">
        <v>466.41077128940378</v>
      </c>
      <c r="I22" s="799">
        <v>120.24639844792713</v>
      </c>
      <c r="J22" s="798">
        <v>54.606237186455161</v>
      </c>
      <c r="K22" s="799">
        <v>589.07907591122364</v>
      </c>
      <c r="L22" s="798">
        <v>546.62876838614693</v>
      </c>
      <c r="M22" s="800">
        <v>0.66241411820139839</v>
      </c>
      <c r="N22" s="800">
        <v>0.20072631479343792</v>
      </c>
      <c r="O22" s="800">
        <v>5.2995111895157834E-2</v>
      </c>
      <c r="P22" s="800">
        <v>0.23479560742343356</v>
      </c>
      <c r="Q22" s="798"/>
      <c r="R22" s="801">
        <v>13.50987215</v>
      </c>
      <c r="S22" s="801">
        <v>13.19238275</v>
      </c>
      <c r="T22" s="802">
        <v>13.535973500000001</v>
      </c>
      <c r="U22" s="802">
        <v>8.9664199499999988</v>
      </c>
      <c r="V22" s="802">
        <v>1.9050221000000001</v>
      </c>
      <c r="W22" s="801">
        <v>10.871442049999999</v>
      </c>
      <c r="X22" s="801">
        <v>2.7117868499999997</v>
      </c>
      <c r="Y22" s="802">
        <v>3.4249999999999998</v>
      </c>
      <c r="Z22" s="801">
        <v>3.17818712</v>
      </c>
      <c r="AA22" s="801">
        <v>1.3148639499999999</v>
      </c>
      <c r="AB22" s="802">
        <v>2.7071947000000001</v>
      </c>
      <c r="AC22" s="802">
        <v>0.47099241999999997</v>
      </c>
      <c r="AD22" s="802"/>
    </row>
    <row r="23" spans="1:30" ht="14" thickBot="1">
      <c r="A23" s="80">
        <v>261</v>
      </c>
      <c r="B23" s="81" t="s">
        <v>604</v>
      </c>
      <c r="C23" s="797">
        <v>21816.91</v>
      </c>
      <c r="D23" s="798">
        <v>2089.5385735193481</v>
      </c>
      <c r="E23" s="798">
        <v>1492.7577516706076</v>
      </c>
      <c r="F23" s="798">
        <v>336.10080804293557</v>
      </c>
      <c r="G23" s="1600">
        <v>1828.8585597135434</v>
      </c>
      <c r="H23" s="798">
        <v>359.7534682959228</v>
      </c>
      <c r="I23" s="799">
        <v>147.59362439502203</v>
      </c>
      <c r="J23" s="798">
        <v>54.562928022345979</v>
      </c>
      <c r="K23" s="799">
        <v>352.93723996661305</v>
      </c>
      <c r="L23" s="798">
        <v>379.11450200784623</v>
      </c>
      <c r="M23" s="800">
        <v>0.71439588174550894</v>
      </c>
      <c r="N23" s="800">
        <v>0.17233724079517024</v>
      </c>
      <c r="O23" s="800">
        <v>7.2601285242654509E-2</v>
      </c>
      <c r="P23" s="800">
        <v>0.18143455536660177</v>
      </c>
      <c r="Q23" s="798"/>
      <c r="R23" s="801">
        <v>45.542733560000002</v>
      </c>
      <c r="S23" s="801">
        <v>44.352339069999999</v>
      </c>
      <c r="T23" s="802">
        <v>45.587274999999998</v>
      </c>
      <c r="U23" s="802">
        <v>32.567361519999999</v>
      </c>
      <c r="V23" s="802">
        <v>7.3326810800000013</v>
      </c>
      <c r="W23" s="801">
        <v>39.900042599999999</v>
      </c>
      <c r="X23" s="801">
        <v>7.848709040000001</v>
      </c>
      <c r="Y23" s="802">
        <v>7.7</v>
      </c>
      <c r="Z23" s="801">
        <v>8.2711069699999999</v>
      </c>
      <c r="AA23" s="801">
        <v>11.105022949999999</v>
      </c>
      <c r="AB23" s="802">
        <v>9.1174549999999996</v>
      </c>
      <c r="AC23" s="802"/>
      <c r="AD23" s="802">
        <v>-0.8463480299999997</v>
      </c>
    </row>
    <row r="24" spans="1:30" ht="14" thickBot="1">
      <c r="A24" s="80">
        <v>263</v>
      </c>
      <c r="B24" s="81" t="s">
        <v>605</v>
      </c>
      <c r="C24" s="797">
        <v>66776.58</v>
      </c>
      <c r="D24" s="798">
        <v>2893.5424141218373</v>
      </c>
      <c r="E24" s="798">
        <v>2344.356157053865</v>
      </c>
      <c r="F24" s="798">
        <v>440.5247362173983</v>
      </c>
      <c r="G24" s="1600">
        <v>2784.8808932712632</v>
      </c>
      <c r="H24" s="798">
        <v>230.33410066822836</v>
      </c>
      <c r="I24" s="799">
        <v>170.30559112191727</v>
      </c>
      <c r="J24" s="798">
        <v>94.646614726300726</v>
      </c>
      <c r="K24" s="799">
        <v>655.76883392351021</v>
      </c>
      <c r="L24" s="798">
        <v>519.92719528313683</v>
      </c>
      <c r="M24" s="800">
        <v>0.81020279696344277</v>
      </c>
      <c r="N24" s="800">
        <v>7.8531017573334402E-2</v>
      </c>
      <c r="O24" s="800">
        <v>6.000083905706096E-2</v>
      </c>
      <c r="P24" s="800">
        <v>0.1796853547906018</v>
      </c>
      <c r="Q24" s="798"/>
      <c r="R24" s="801">
        <v>195.85794218999999</v>
      </c>
      <c r="S24" s="801">
        <v>189.53776495</v>
      </c>
      <c r="T24" s="802">
        <v>193.2208665</v>
      </c>
      <c r="U24" s="802">
        <v>156.54808646999999</v>
      </c>
      <c r="V24" s="802">
        <v>29.416735289999998</v>
      </c>
      <c r="W24" s="801">
        <v>185.96482175999998</v>
      </c>
      <c r="X24" s="801">
        <v>15.380923500000003</v>
      </c>
      <c r="Y24" s="802">
        <v>43.79</v>
      </c>
      <c r="Z24" s="801">
        <v>34.718959950000006</v>
      </c>
      <c r="AA24" s="801">
        <v>25.605155399999997</v>
      </c>
      <c r="AB24" s="802">
        <v>38.644173300000006</v>
      </c>
      <c r="AC24" s="802"/>
      <c r="AD24" s="802">
        <v>-3.9252133499999999</v>
      </c>
    </row>
    <row r="25" spans="1:30" ht="14" thickBot="1">
      <c r="A25" s="80">
        <v>290</v>
      </c>
      <c r="B25" s="81" t="s">
        <v>606</v>
      </c>
      <c r="C25" s="797">
        <v>528351.5</v>
      </c>
      <c r="D25" s="798">
        <v>2411.3215577129999</v>
      </c>
      <c r="E25" s="798">
        <v>2316.9719459677885</v>
      </c>
      <c r="F25" s="798">
        <v>384.96769739463218</v>
      </c>
      <c r="G25" s="1600">
        <v>2701.9396433624206</v>
      </c>
      <c r="H25" s="798">
        <v>-155.78050432335291</v>
      </c>
      <c r="I25" s="799">
        <v>133.66821176811271</v>
      </c>
      <c r="J25" s="798">
        <v>101.61841489992933</v>
      </c>
      <c r="K25" s="799">
        <v>628.30470860781134</v>
      </c>
      <c r="L25" s="798">
        <v>601.33688037225227</v>
      </c>
      <c r="M25" s="800">
        <v>0.96087223977100067</v>
      </c>
      <c r="N25" s="800">
        <v>-6.4929694018765249E-2</v>
      </c>
      <c r="O25" s="800">
        <v>5.8177325744896688E-2</v>
      </c>
      <c r="P25" s="800">
        <v>0.24938062634109479</v>
      </c>
      <c r="Q25" s="798"/>
      <c r="R25" s="801">
        <v>1267.6305406000001</v>
      </c>
      <c r="S25" s="801">
        <v>1213.9402986600001</v>
      </c>
      <c r="T25" s="802">
        <v>1274.0253620000001</v>
      </c>
      <c r="U25" s="802">
        <v>1224.1756031100001</v>
      </c>
      <c r="V25" s="802">
        <v>203.39826037</v>
      </c>
      <c r="W25" s="801">
        <v>1427.57386348</v>
      </c>
      <c r="X25" s="801">
        <v>-82.306863129999996</v>
      </c>
      <c r="Y25" s="802">
        <v>331.96573525000002</v>
      </c>
      <c r="Z25" s="801">
        <v>317.71724275000003</v>
      </c>
      <c r="AA25" s="801">
        <v>428.89404069</v>
      </c>
      <c r="AB25" s="802">
        <v>191.10380429999998</v>
      </c>
      <c r="AC25" s="802">
        <v>126.61343845000005</v>
      </c>
      <c r="AD25" s="802"/>
    </row>
    <row r="26" spans="1:30" ht="14" thickBot="1">
      <c r="A26" s="80">
        <v>294</v>
      </c>
      <c r="B26" s="81" t="s">
        <v>607</v>
      </c>
      <c r="C26" s="797">
        <v>8925.92</v>
      </c>
      <c r="D26" s="798">
        <v>1752.9301461361965</v>
      </c>
      <c r="E26" s="798">
        <v>1367.0451460465699</v>
      </c>
      <c r="F26" s="798">
        <v>284.68787979278329</v>
      </c>
      <c r="G26" s="1600">
        <v>1651.7330258393531</v>
      </c>
      <c r="H26" s="798">
        <v>361.62558145266814</v>
      </c>
      <c r="I26" s="799">
        <v>89.121342113754096</v>
      </c>
      <c r="J26" s="798">
        <v>-95.440108134511647</v>
      </c>
      <c r="K26" s="799">
        <v>371.95045440694065</v>
      </c>
      <c r="L26" s="798">
        <v>60.215317860791941</v>
      </c>
      <c r="M26" s="800">
        <v>0.77986287648701047</v>
      </c>
      <c r="N26" s="800">
        <v>0.21767080855837267</v>
      </c>
      <c r="O26" s="800">
        <v>5.0729888001254372E-2</v>
      </c>
      <c r="P26" s="800">
        <v>3.4351236410371723E-2</v>
      </c>
      <c r="Q26" s="798"/>
      <c r="R26" s="801">
        <v>14.829002710000001</v>
      </c>
      <c r="S26" s="801">
        <v>15.68089348</v>
      </c>
      <c r="T26" s="802">
        <v>15.646514249999999</v>
      </c>
      <c r="U26" s="802">
        <v>12.202135609999999</v>
      </c>
      <c r="V26" s="802">
        <v>2.5411012400000001</v>
      </c>
      <c r="W26" s="801">
        <v>14.743236849999999</v>
      </c>
      <c r="X26" s="801">
        <v>3.2278410099999997</v>
      </c>
      <c r="Y26" s="802">
        <v>3.32</v>
      </c>
      <c r="Z26" s="801">
        <v>0.53747710999999998</v>
      </c>
      <c r="AA26" s="801">
        <v>1.6978139000000001</v>
      </c>
      <c r="AB26" s="802">
        <v>3.1293028500000002</v>
      </c>
      <c r="AC26" s="802"/>
      <c r="AD26" s="802">
        <v>-2.59182574</v>
      </c>
    </row>
    <row r="27" spans="1:30" ht="14" thickBot="1">
      <c r="A27" s="80">
        <v>312</v>
      </c>
      <c r="B27" s="81" t="s">
        <v>608</v>
      </c>
      <c r="C27" s="797">
        <v>170406</v>
      </c>
      <c r="D27" s="798">
        <v>2261.5060570050346</v>
      </c>
      <c r="E27" s="798">
        <v>1952.5181235402508</v>
      </c>
      <c r="F27" s="798">
        <v>348.02322981585155</v>
      </c>
      <c r="G27" s="1600">
        <v>2300.5413533561023</v>
      </c>
      <c r="H27" s="798">
        <v>0.79502893090620619</v>
      </c>
      <c r="I27" s="799">
        <v>82.875251693015514</v>
      </c>
      <c r="J27" s="798">
        <v>103.08047903242843</v>
      </c>
      <c r="K27" s="799">
        <v>718.13785899557524</v>
      </c>
      <c r="L27" s="798">
        <v>573.52053853737539</v>
      </c>
      <c r="M27" s="800">
        <v>0.86337072478418042</v>
      </c>
      <c r="N27" s="800">
        <v>3.4611033920962329E-4</v>
      </c>
      <c r="O27" s="800">
        <v>3.7774302799481692E-2</v>
      </c>
      <c r="P27" s="800">
        <v>0.25360115077334883</v>
      </c>
      <c r="Q27" s="798"/>
      <c r="R27" s="801">
        <v>391.42921968000007</v>
      </c>
      <c r="S27" s="801">
        <v>373.86368756999997</v>
      </c>
      <c r="T27" s="802">
        <v>385.37420114999998</v>
      </c>
      <c r="U27" s="802">
        <v>332.72080335999999</v>
      </c>
      <c r="V27" s="802">
        <v>59.305246500000003</v>
      </c>
      <c r="W27" s="801">
        <v>392.02604986</v>
      </c>
      <c r="X27" s="801">
        <v>0.13547770000000298</v>
      </c>
      <c r="Y27" s="802">
        <v>122.375</v>
      </c>
      <c r="Z27" s="801">
        <v>97.731340889999998</v>
      </c>
      <c r="AA27" s="801">
        <v>98.541924829999999</v>
      </c>
      <c r="AB27" s="802">
        <v>77.074840230000007</v>
      </c>
      <c r="AC27" s="802">
        <v>20.656500659999992</v>
      </c>
      <c r="AD27" s="802"/>
    </row>
    <row r="28" spans="1:30" ht="14" thickBot="1">
      <c r="A28" s="80">
        <v>343</v>
      </c>
      <c r="B28" s="81" t="s">
        <v>609</v>
      </c>
      <c r="C28" s="797">
        <v>89874</v>
      </c>
      <c r="D28" s="798">
        <v>2663.6850685404006</v>
      </c>
      <c r="E28" s="798">
        <v>2269.215923515143</v>
      </c>
      <c r="F28" s="798">
        <v>422.59503571666994</v>
      </c>
      <c r="G28" s="1600">
        <v>2691.8109592318133</v>
      </c>
      <c r="H28" s="798">
        <v>90.130166677793369</v>
      </c>
      <c r="I28" s="799">
        <v>136.17705832610099</v>
      </c>
      <c r="J28" s="798">
        <v>168.3651562187062</v>
      </c>
      <c r="K28" s="799">
        <v>633.90079444555715</v>
      </c>
      <c r="L28" s="798">
        <v>751.24644902864009</v>
      </c>
      <c r="M28" s="800">
        <v>0.85190848960180876</v>
      </c>
      <c r="N28" s="800">
        <v>3.3204356842155357E-2</v>
      </c>
      <c r="O28" s="800">
        <v>5.3485771846151622E-2</v>
      </c>
      <c r="P28" s="800">
        <v>0.28203275901542479</v>
      </c>
      <c r="Q28" s="798"/>
      <c r="R28" s="801">
        <v>243.95469059999996</v>
      </c>
      <c r="S28" s="801">
        <v>228.82304055</v>
      </c>
      <c r="T28" s="802">
        <v>239.39603184999996</v>
      </c>
      <c r="U28" s="802">
        <v>203.94351190999998</v>
      </c>
      <c r="V28" s="802">
        <v>37.980306239999997</v>
      </c>
      <c r="W28" s="801">
        <v>241.92381814999999</v>
      </c>
      <c r="X28" s="801">
        <v>8.1003586000000016</v>
      </c>
      <c r="Y28" s="802">
        <v>56.971200000000003</v>
      </c>
      <c r="Z28" s="801">
        <v>67.517523359999998</v>
      </c>
      <c r="AA28" s="801">
        <v>28.660157100000003</v>
      </c>
      <c r="AB28" s="802">
        <v>47.879206369999999</v>
      </c>
      <c r="AC28" s="802">
        <v>19.63831699</v>
      </c>
      <c r="AD28" s="802"/>
    </row>
    <row r="29" spans="1:30" ht="14" thickBot="1">
      <c r="A29" s="80">
        <v>360</v>
      </c>
      <c r="B29" s="81" t="s">
        <v>610</v>
      </c>
      <c r="C29" s="797">
        <v>14759</v>
      </c>
      <c r="D29" s="798">
        <v>1881.7713903380991</v>
      </c>
      <c r="E29" s="798">
        <v>1404.0806829731011</v>
      </c>
      <c r="F29" s="798">
        <v>297.18281726404223</v>
      </c>
      <c r="G29" s="1600">
        <v>1701.2635002371433</v>
      </c>
      <c r="H29" s="798">
        <v>294.36009892269124</v>
      </c>
      <c r="I29" s="799">
        <v>75.428203130293383</v>
      </c>
      <c r="J29" s="798">
        <v>107.22474354631068</v>
      </c>
      <c r="K29" s="799">
        <v>491.29988820380788</v>
      </c>
      <c r="L29" s="798">
        <v>850.20208889491175</v>
      </c>
      <c r="M29" s="800">
        <v>0.74614838453932975</v>
      </c>
      <c r="N29" s="800">
        <v>0.15371276386636926</v>
      </c>
      <c r="O29" s="800">
        <v>4.1724302002513404E-2</v>
      </c>
      <c r="P29" s="800">
        <v>0.45180944574896281</v>
      </c>
      <c r="Q29" s="798"/>
      <c r="R29" s="801">
        <v>28.263499990000003</v>
      </c>
      <c r="S29" s="801">
        <v>26.680969999999999</v>
      </c>
      <c r="T29" s="802">
        <v>27.773063950000004</v>
      </c>
      <c r="U29" s="802">
        <v>20.7228268</v>
      </c>
      <c r="V29" s="802">
        <v>4.3861211999999998</v>
      </c>
      <c r="W29" s="801">
        <v>25.108947999999998</v>
      </c>
      <c r="X29" s="801">
        <v>4.3444607</v>
      </c>
      <c r="Y29" s="802">
        <v>7.25109505</v>
      </c>
      <c r="Z29" s="801">
        <v>12.548132630000001</v>
      </c>
      <c r="AA29" s="801">
        <v>5.2099320499999999</v>
      </c>
      <c r="AB29" s="802">
        <v>5.5546127900000011</v>
      </c>
      <c r="AC29" s="802">
        <v>6.9935198400000003</v>
      </c>
      <c r="AD29" s="802"/>
    </row>
    <row r="30" spans="1:30" ht="14" thickBot="1">
      <c r="A30" s="80">
        <v>376</v>
      </c>
      <c r="B30" s="81" t="s">
        <v>611</v>
      </c>
      <c r="C30" s="797">
        <v>298730</v>
      </c>
      <c r="D30" s="798">
        <v>2742.7351752418576</v>
      </c>
      <c r="E30" s="798">
        <v>2444.6973540655445</v>
      </c>
      <c r="F30" s="798">
        <v>417.5294018679075</v>
      </c>
      <c r="G30" s="1600">
        <v>2862.2267559334514</v>
      </c>
      <c r="H30" s="798">
        <v>34.100766578515689</v>
      </c>
      <c r="I30" s="799">
        <v>159.40827556656515</v>
      </c>
      <c r="J30" s="798">
        <v>27.125319920998898</v>
      </c>
      <c r="K30" s="799">
        <v>745.63318046396409</v>
      </c>
      <c r="L30" s="798">
        <v>431.06361691159242</v>
      </c>
      <c r="M30" s="800">
        <v>0.89133554567475448</v>
      </c>
      <c r="N30" s="800">
        <v>1.2426003785879911E-2</v>
      </c>
      <c r="O30" s="800">
        <v>5.8666775570455833E-2</v>
      </c>
      <c r="P30" s="800">
        <v>0.15716559907158398</v>
      </c>
      <c r="Q30" s="798"/>
      <c r="R30" s="801">
        <v>819.80676776999996</v>
      </c>
      <c r="S30" s="801">
        <v>811.70362095000007</v>
      </c>
      <c r="T30" s="802">
        <v>819.33727890000011</v>
      </c>
      <c r="U30" s="802">
        <v>730.30444058</v>
      </c>
      <c r="V30" s="802">
        <v>124.72855822</v>
      </c>
      <c r="W30" s="801">
        <v>855.03299879999997</v>
      </c>
      <c r="X30" s="801">
        <v>10.186921999999992</v>
      </c>
      <c r="Y30" s="802">
        <v>222.74299999999999</v>
      </c>
      <c r="Z30" s="801">
        <v>128.77163428</v>
      </c>
      <c r="AA30" s="801" t="s">
        <v>1412</v>
      </c>
      <c r="AB30" s="802">
        <v>122.90059183500001</v>
      </c>
      <c r="AC30" s="802">
        <v>5.8710424449999863</v>
      </c>
      <c r="AD30" s="802"/>
    </row>
    <row r="31" spans="1:30" ht="14" thickBot="1">
      <c r="A31" s="80">
        <v>411</v>
      </c>
      <c r="B31" s="81" t="s">
        <v>612</v>
      </c>
      <c r="C31" s="797">
        <v>40783</v>
      </c>
      <c r="D31" s="798">
        <v>2159.7669519162396</v>
      </c>
      <c r="E31" s="798">
        <v>1773.6783870730451</v>
      </c>
      <c r="F31" s="798">
        <v>293.24446411494989</v>
      </c>
      <c r="G31" s="1600">
        <v>2066.9228511879951</v>
      </c>
      <c r="H31" s="798">
        <v>292.69164848098472</v>
      </c>
      <c r="I31" s="799">
        <v>140.6168862025844</v>
      </c>
      <c r="J31" s="798">
        <v>43.528772527768893</v>
      </c>
      <c r="K31" s="799">
        <v>483.73096633401178</v>
      </c>
      <c r="L31" s="798">
        <v>98.204676213128025</v>
      </c>
      <c r="M31" s="800">
        <v>0.82123600673644914</v>
      </c>
      <c r="N31" s="800">
        <v>0.13545193407037892</v>
      </c>
      <c r="O31" s="800">
        <v>6.641255906498239E-2</v>
      </c>
      <c r="P31" s="800">
        <v>4.5470033758038826E-2</v>
      </c>
      <c r="Q31" s="798"/>
      <c r="R31" s="801">
        <v>88.126046939999995</v>
      </c>
      <c r="S31" s="801">
        <v>86.35081301999999</v>
      </c>
      <c r="T31" s="802">
        <v>88.0817756</v>
      </c>
      <c r="U31" s="802">
        <v>72.335925660000001</v>
      </c>
      <c r="V31" s="802">
        <v>11.95938898</v>
      </c>
      <c r="W31" s="801">
        <v>84.295314640000001</v>
      </c>
      <c r="X31" s="801">
        <v>11.936843499999998</v>
      </c>
      <c r="Y31" s="802">
        <v>19.728000000000002</v>
      </c>
      <c r="Z31" s="801">
        <v>4.0050813100000004</v>
      </c>
      <c r="AA31" s="801">
        <v>28.440591699999999</v>
      </c>
      <c r="AB31" s="802">
        <v>17.616355120000001</v>
      </c>
      <c r="AC31" s="802"/>
      <c r="AD31" s="802">
        <v>-13.61127381</v>
      </c>
    </row>
    <row r="32" spans="1:30" ht="14" thickBot="1">
      <c r="A32" s="80">
        <v>445</v>
      </c>
      <c r="B32" s="81" t="s">
        <v>613</v>
      </c>
      <c r="C32" s="797">
        <v>57541.42</v>
      </c>
      <c r="D32" s="798">
        <v>2720.2829231534429</v>
      </c>
      <c r="E32" s="798">
        <v>2011.2564283258912</v>
      </c>
      <c r="F32" s="798">
        <v>409.70232451684376</v>
      </c>
      <c r="G32" s="1600">
        <v>2420.9587528427351</v>
      </c>
      <c r="H32" s="798">
        <v>424.30713736296389</v>
      </c>
      <c r="I32" s="799">
        <v>136.20632007343582</v>
      </c>
      <c r="J32" s="798">
        <v>162.82135008138488</v>
      </c>
      <c r="K32" s="799">
        <v>556.8110762647151</v>
      </c>
      <c r="L32" s="798">
        <v>666.35918230728396</v>
      </c>
      <c r="M32" s="800">
        <v>0.73935560570088621</v>
      </c>
      <c r="N32" s="800">
        <v>0.15365725903315339</v>
      </c>
      <c r="O32" s="800">
        <v>5.2415965309124228E-2</v>
      </c>
      <c r="P32" s="800">
        <v>0.24495951381954717</v>
      </c>
      <c r="Q32" s="798"/>
      <c r="R32" s="801">
        <v>158.89412159</v>
      </c>
      <c r="S32" s="801">
        <v>149.5251499</v>
      </c>
      <c r="T32" s="802">
        <v>156.52894219999999</v>
      </c>
      <c r="U32" s="802">
        <v>115.73055087</v>
      </c>
      <c r="V32" s="802">
        <v>23.574853530000002</v>
      </c>
      <c r="W32" s="801">
        <v>139.30540440000001</v>
      </c>
      <c r="X32" s="801">
        <v>24.415235199999998</v>
      </c>
      <c r="Y32" s="802">
        <v>32.039700000000003</v>
      </c>
      <c r="Z32" s="801">
        <v>38.343253579999995</v>
      </c>
      <c r="AA32" s="801">
        <v>25.087710449999999</v>
      </c>
      <c r="AB32" s="802">
        <v>31.305788439999997</v>
      </c>
      <c r="AC32" s="802">
        <v>7.0374651399999983</v>
      </c>
      <c r="AD32" s="802"/>
    </row>
    <row r="33" spans="1:30" ht="14" thickBot="1">
      <c r="A33" s="80">
        <v>455</v>
      </c>
      <c r="B33" s="81" t="s">
        <v>614</v>
      </c>
      <c r="C33" s="797">
        <v>138103</v>
      </c>
      <c r="D33" s="798">
        <v>2150.8579487773623</v>
      </c>
      <c r="E33" s="798">
        <v>1806.5805285185693</v>
      </c>
      <c r="F33" s="798">
        <v>339.08461126840115</v>
      </c>
      <c r="G33" s="1600">
        <v>2145.6651397869709</v>
      </c>
      <c r="H33" s="798">
        <v>141.40528301340305</v>
      </c>
      <c r="I33" s="799">
        <v>140.54410027298468</v>
      </c>
      <c r="J33" s="798">
        <v>50.470636264237569</v>
      </c>
      <c r="K33" s="799">
        <v>578.85185079252449</v>
      </c>
      <c r="L33" s="798">
        <v>518.58885368167239</v>
      </c>
      <c r="M33" s="800">
        <v>0.83993484067392987</v>
      </c>
      <c r="N33" s="800">
        <v>6.4497125803433544E-2</v>
      </c>
      <c r="O33" s="800">
        <v>6.5614808465800825E-2</v>
      </c>
      <c r="P33" s="800">
        <v>0.24110790486022571</v>
      </c>
      <c r="Q33" s="798"/>
      <c r="R33" s="801">
        <v>302.78083800999997</v>
      </c>
      <c r="S33" s="801">
        <v>295.81069173000003</v>
      </c>
      <c r="T33" s="802">
        <v>297.03993530000002</v>
      </c>
      <c r="U33" s="802">
        <v>249.49419072999999</v>
      </c>
      <c r="V33" s="802">
        <v>46.828602070000002</v>
      </c>
      <c r="W33" s="801">
        <v>296.3227928</v>
      </c>
      <c r="X33" s="801">
        <v>19.5284938</v>
      </c>
      <c r="Y33" s="802">
        <v>79.941177150000001</v>
      </c>
      <c r="Z33" s="801">
        <v>71.618676460000003</v>
      </c>
      <c r="AA33" s="801" t="s">
        <v>1412</v>
      </c>
      <c r="AB33" s="802">
        <v>59.407987060000004</v>
      </c>
      <c r="AC33" s="802">
        <v>12.2106894</v>
      </c>
      <c r="AD33" s="802"/>
    </row>
    <row r="34" spans="1:30" ht="14" thickBot="1">
      <c r="A34" s="80">
        <v>484</v>
      </c>
      <c r="B34" s="81" t="s">
        <v>615</v>
      </c>
      <c r="C34" s="797">
        <v>23469.84</v>
      </c>
      <c r="D34" s="798">
        <v>2721.2263057609252</v>
      </c>
      <c r="E34" s="798">
        <v>2787.4625983815827</v>
      </c>
      <c r="F34" s="798">
        <v>435.73086352527332</v>
      </c>
      <c r="G34" s="1600">
        <v>3223.1934619068556</v>
      </c>
      <c r="H34" s="798">
        <v>-278.1429272632451</v>
      </c>
      <c r="I34" s="799">
        <v>179.17578091712599</v>
      </c>
      <c r="J34" s="798">
        <v>89.247491674421283</v>
      </c>
      <c r="K34" s="799">
        <v>741.37701833502058</v>
      </c>
      <c r="L34" s="798">
        <v>378.10044721225199</v>
      </c>
      <c r="M34" s="800">
        <v>1.0243406042637591</v>
      </c>
      <c r="N34" s="800">
        <v>-9.8987969071594642E-2</v>
      </c>
      <c r="O34" s="800">
        <v>6.5858473478338592E-2</v>
      </c>
      <c r="P34" s="800">
        <v>0.1389448743795402</v>
      </c>
      <c r="Q34" s="798"/>
      <c r="R34" s="801">
        <v>65.947105099999987</v>
      </c>
      <c r="S34" s="801">
        <v>63.852480749999998</v>
      </c>
      <c r="T34" s="802">
        <v>63.866745999999999</v>
      </c>
      <c r="U34" s="802">
        <v>65.421301190000008</v>
      </c>
      <c r="V34" s="802">
        <v>10.22653365</v>
      </c>
      <c r="W34" s="801">
        <v>75.647834840000002</v>
      </c>
      <c r="X34" s="801">
        <v>-6.5279699999999998</v>
      </c>
      <c r="Y34" s="802">
        <v>17.399999999999999</v>
      </c>
      <c r="Z34" s="801">
        <v>8.8739570000000008</v>
      </c>
      <c r="AA34" s="801" t="s">
        <v>1412</v>
      </c>
      <c r="AB34" s="802">
        <v>12.773349200000002</v>
      </c>
      <c r="AC34" s="802"/>
      <c r="AD34" s="802">
        <v>-3.8993922000000012</v>
      </c>
    </row>
    <row r="35" spans="1:30" ht="14" thickBot="1">
      <c r="A35" s="80">
        <v>509</v>
      </c>
      <c r="B35" s="81" t="s">
        <v>616</v>
      </c>
      <c r="C35" s="797">
        <v>135267.32999999999</v>
      </c>
      <c r="D35" s="798">
        <v>3074.2592257125202</v>
      </c>
      <c r="E35" s="798">
        <v>3111.0349788082599</v>
      </c>
      <c r="F35" s="798">
        <v>393.0520881132199</v>
      </c>
      <c r="G35" s="1600">
        <v>3504.0870669214801</v>
      </c>
      <c r="H35" s="798">
        <v>-61.705348290677421</v>
      </c>
      <c r="I35" s="799">
        <v>177.28101634001351</v>
      </c>
      <c r="J35" s="798">
        <v>3.7391607419174981</v>
      </c>
      <c r="K35" s="799">
        <v>994.65575937663573</v>
      </c>
      <c r="L35" s="798">
        <v>668.86293135230801</v>
      </c>
      <c r="M35" s="800">
        <v>1.0119624762896227</v>
      </c>
      <c r="N35" s="800">
        <v>-1.8865825341640573E-2</v>
      </c>
      <c r="O35" s="800">
        <v>5.4264025653229957E-2</v>
      </c>
      <c r="P35" s="800">
        <v>0.21756881324712812</v>
      </c>
      <c r="Q35" s="798"/>
      <c r="R35" s="801">
        <v>442.42526149000003</v>
      </c>
      <c r="S35" s="801">
        <v>441.91947522000004</v>
      </c>
      <c r="T35" s="802">
        <v>415.84683718999997</v>
      </c>
      <c r="U35" s="802">
        <v>420.82139511999998</v>
      </c>
      <c r="V35" s="802">
        <v>53.167106510000004</v>
      </c>
      <c r="W35" s="801">
        <v>473.98850162999997</v>
      </c>
      <c r="X35" s="801">
        <v>-8.3467177100000001</v>
      </c>
      <c r="Y35" s="802">
        <v>134.54442883999999</v>
      </c>
      <c r="Z35" s="801">
        <v>90.475302859999999</v>
      </c>
      <c r="AA35" s="801">
        <v>22.869541300000002</v>
      </c>
      <c r="AB35" s="802">
        <v>83.169367438000009</v>
      </c>
      <c r="AC35" s="802">
        <v>7.3059354219999904</v>
      </c>
      <c r="AD35" s="802"/>
    </row>
    <row r="36" spans="1:30" ht="14" thickBot="1">
      <c r="A36" s="80">
        <v>556</v>
      </c>
      <c r="B36" s="81" t="s">
        <v>617</v>
      </c>
      <c r="C36" s="797">
        <v>2812.75</v>
      </c>
      <c r="D36" s="798">
        <v>2523.2461825615505</v>
      </c>
      <c r="E36" s="798">
        <v>2085.501381210559</v>
      </c>
      <c r="F36" s="798">
        <v>306.45814594258292</v>
      </c>
      <c r="G36" s="1600">
        <v>2391.9595271531416</v>
      </c>
      <c r="H36" s="798">
        <v>145.57461558972537</v>
      </c>
      <c r="I36" s="799">
        <v>228.26708381477201</v>
      </c>
      <c r="J36" s="798">
        <v>-48.439079192960634</v>
      </c>
      <c r="K36" s="799">
        <v>590.16976268776102</v>
      </c>
      <c r="L36" s="798">
        <v>926.76942494000536</v>
      </c>
      <c r="M36" s="800">
        <v>0.82651522297891622</v>
      </c>
      <c r="N36" s="800">
        <v>5.733347675348785E-2</v>
      </c>
      <c r="O36" s="800">
        <v>8.8218315248833695E-2</v>
      </c>
      <c r="P36" s="800">
        <v>0.3672925104752035</v>
      </c>
      <c r="Q36" s="798"/>
      <c r="R36" s="801">
        <v>7.1418135300000003</v>
      </c>
      <c r="S36" s="801">
        <v>7.2780605500000002</v>
      </c>
      <c r="T36" s="802">
        <v>7.0972607000000005</v>
      </c>
      <c r="U36" s="802">
        <v>5.8659940099999996</v>
      </c>
      <c r="V36" s="802">
        <v>0.86199015000000001</v>
      </c>
      <c r="W36" s="801">
        <v>6.7279841600000001</v>
      </c>
      <c r="X36" s="801">
        <v>0.40946500000000002</v>
      </c>
      <c r="Y36" s="802">
        <v>1.66</v>
      </c>
      <c r="Z36" s="801">
        <v>2.6067707000000002</v>
      </c>
      <c r="AA36" s="801">
        <v>1.7205719500000003</v>
      </c>
      <c r="AB36" s="802">
        <v>1.4194521400000002</v>
      </c>
      <c r="AC36" s="802">
        <v>1.18731856</v>
      </c>
      <c r="AD36" s="802"/>
    </row>
    <row r="37" spans="1:30" ht="14" thickBot="1">
      <c r="A37" s="80">
        <v>558</v>
      </c>
      <c r="B37" s="81" t="s">
        <v>618</v>
      </c>
      <c r="C37" s="797">
        <v>2798.5</v>
      </c>
      <c r="D37" s="798">
        <v>1666.2407718420582</v>
      </c>
      <c r="E37" s="798">
        <v>839.55912095765598</v>
      </c>
      <c r="F37" s="798">
        <v>248.48427729140613</v>
      </c>
      <c r="G37" s="1600">
        <v>1088.043398249062</v>
      </c>
      <c r="H37" s="798">
        <v>468.57709487225299</v>
      </c>
      <c r="I37" s="799">
        <v>97.542036805431479</v>
      </c>
      <c r="J37" s="798">
        <v>195.93233160621759</v>
      </c>
      <c r="K37" s="799">
        <v>393.06771484723959</v>
      </c>
      <c r="L37" s="798">
        <v>1021.8682901554405</v>
      </c>
      <c r="M37" s="800">
        <v>0.50386422847492129</v>
      </c>
      <c r="N37" s="800">
        <v>0.27112627537771988</v>
      </c>
      <c r="O37" s="800">
        <v>6.3656060860397073E-2</v>
      </c>
      <c r="P37" s="800">
        <v>0.61327768916958336</v>
      </c>
      <c r="Q37" s="798"/>
      <c r="R37" s="801">
        <v>4.8365397199999993</v>
      </c>
      <c r="S37" s="801">
        <v>4.2882230899999998</v>
      </c>
      <c r="T37" s="802">
        <v>4.6629747999999998</v>
      </c>
      <c r="U37" s="802">
        <v>2.3495062</v>
      </c>
      <c r="V37" s="802">
        <v>0.69538325000000001</v>
      </c>
      <c r="W37" s="801">
        <v>3.0448894499999999</v>
      </c>
      <c r="X37" s="801">
        <v>1.311313</v>
      </c>
      <c r="Y37" s="802">
        <v>1.1000000000000001</v>
      </c>
      <c r="Z37" s="801">
        <v>2.85969841</v>
      </c>
      <c r="AA37" s="801" t="s">
        <v>1412</v>
      </c>
      <c r="AB37" s="802">
        <v>0.93259495999999997</v>
      </c>
      <c r="AC37" s="802">
        <v>1.9271034500000002</v>
      </c>
      <c r="AD37" s="802"/>
    </row>
    <row r="38" spans="1:30" ht="14" thickBot="1">
      <c r="A38" s="80">
        <v>591</v>
      </c>
      <c r="B38" s="81" t="s">
        <v>619</v>
      </c>
      <c r="C38" s="797">
        <v>8586</v>
      </c>
      <c r="D38" s="798">
        <v>1939.9228348474264</v>
      </c>
      <c r="E38" s="798">
        <v>1669.2795131609598</v>
      </c>
      <c r="F38" s="798">
        <v>299.77357325879342</v>
      </c>
      <c r="G38" s="1600">
        <v>1969.0530864197531</v>
      </c>
      <c r="H38" s="798">
        <v>163.53167947822035</v>
      </c>
      <c r="I38" s="799">
        <v>53.883895877009088</v>
      </c>
      <c r="J38" s="798">
        <v>35.983519683205202</v>
      </c>
      <c r="K38" s="799">
        <v>476.35686000465876</v>
      </c>
      <c r="L38" s="798">
        <v>422.36535406475662</v>
      </c>
      <c r="M38" s="800">
        <v>0.86048758392611402</v>
      </c>
      <c r="N38" s="800">
        <v>8.4045237517009458E-2</v>
      </c>
      <c r="O38" s="800">
        <v>2.8214797641947672E-2</v>
      </c>
      <c r="P38" s="800">
        <v>0.21772276014162975</v>
      </c>
      <c r="Q38" s="798"/>
      <c r="R38" s="801">
        <v>16.70627678</v>
      </c>
      <c r="S38" s="801">
        <v>16.397322280000001</v>
      </c>
      <c r="T38" s="802">
        <v>16.656177460000002</v>
      </c>
      <c r="U38" s="802">
        <v>14.3324339</v>
      </c>
      <c r="V38" s="802">
        <v>2.5738559000000003</v>
      </c>
      <c r="W38" s="801">
        <v>16.9062898</v>
      </c>
      <c r="X38" s="801">
        <v>1.404083</v>
      </c>
      <c r="Y38" s="802">
        <v>4.09</v>
      </c>
      <c r="Z38" s="801">
        <v>3.6264289300000003</v>
      </c>
      <c r="AA38" s="801">
        <v>2.4236056000000001</v>
      </c>
      <c r="AB38" s="802">
        <v>3.3312354920000007</v>
      </c>
      <c r="AC38" s="802">
        <v>0.29519343799999964</v>
      </c>
      <c r="AD38" s="802"/>
    </row>
    <row r="39" spans="1:30" ht="14" thickBot="1">
      <c r="A39" s="80">
        <v>623</v>
      </c>
      <c r="B39" s="81" t="s">
        <v>1272</v>
      </c>
      <c r="C39" s="797">
        <v>1390</v>
      </c>
      <c r="D39" s="798">
        <v>1707.9730575539566</v>
      </c>
      <c r="E39" s="798">
        <v>1376.7563669064748</v>
      </c>
      <c r="F39" s="798">
        <v>127.00956834532374</v>
      </c>
      <c r="G39" s="1600">
        <v>1503.7659352517987</v>
      </c>
      <c r="H39" s="798">
        <v>335.49208633093525</v>
      </c>
      <c r="I39" s="799">
        <v>98.293741007194257</v>
      </c>
      <c r="J39" s="798">
        <v>-102.96935251798563</v>
      </c>
      <c r="K39" s="799">
        <v>190.64748201438852</v>
      </c>
      <c r="L39" s="798">
        <v>298.65978417266194</v>
      </c>
      <c r="M39" s="800">
        <v>0.80607616192621456</v>
      </c>
      <c r="N39" s="800">
        <v>0.19497768174223165</v>
      </c>
      <c r="O39" s="800">
        <v>5.3899794092965907E-2</v>
      </c>
      <c r="P39" s="800">
        <v>0.17486211673642102</v>
      </c>
      <c r="Q39" s="798"/>
      <c r="R39" s="801">
        <v>2.3917301500000003</v>
      </c>
      <c r="S39" s="801">
        <v>2.5348575499999999</v>
      </c>
      <c r="T39" s="802">
        <v>2.3740825499999998</v>
      </c>
      <c r="U39" s="802">
        <v>1.9136913500000001</v>
      </c>
      <c r="V39" s="802">
        <v>0.17654329999999999</v>
      </c>
      <c r="W39" s="801">
        <v>2.0902346500000002</v>
      </c>
      <c r="X39" s="801">
        <v>0.46633400000000003</v>
      </c>
      <c r="Y39" s="802">
        <v>0.26500000000000001</v>
      </c>
      <c r="Z39" s="801">
        <v>0.41513710000000004</v>
      </c>
      <c r="AA39" s="801">
        <v>3.8556800000000002E-2</v>
      </c>
      <c r="AB39" s="802">
        <v>0.47481651000000002</v>
      </c>
      <c r="AC39" s="802"/>
      <c r="AD39" s="802">
        <v>-5.9679409999999988E-2</v>
      </c>
    </row>
    <row r="40" spans="1:30" ht="14" thickBot="1">
      <c r="A40" s="80">
        <v>627</v>
      </c>
      <c r="B40" s="81" t="s">
        <v>1273</v>
      </c>
      <c r="C40" s="797">
        <v>2708.34</v>
      </c>
      <c r="D40" s="798">
        <v>1912.3096435454927</v>
      </c>
      <c r="E40" s="798">
        <v>1468.890205808724</v>
      </c>
      <c r="F40" s="798">
        <v>281.10300036184526</v>
      </c>
      <c r="G40" s="1600">
        <v>1749.9932061705695</v>
      </c>
      <c r="H40" s="798">
        <v>250.30461463479475</v>
      </c>
      <c r="I40" s="799">
        <v>95.157531919921425</v>
      </c>
      <c r="J40" s="798">
        <v>173.2250972920682</v>
      </c>
      <c r="K40" s="799">
        <v>535.3832975180369</v>
      </c>
      <c r="L40" s="798">
        <v>1235.562783845455</v>
      </c>
      <c r="M40" s="800">
        <v>0.76812361992033218</v>
      </c>
      <c r="N40" s="800">
        <v>0.12991790168301665</v>
      </c>
      <c r="O40" s="800">
        <v>5.4269929867474823E-2</v>
      </c>
      <c r="P40" s="800">
        <v>0.64611020919952888</v>
      </c>
      <c r="Q40" s="798"/>
      <c r="R40" s="801">
        <v>5.2179875999999998</v>
      </c>
      <c r="S40" s="801">
        <v>4.7488351400000006</v>
      </c>
      <c r="T40" s="802">
        <v>5.1791847000000004</v>
      </c>
      <c r="U40" s="802">
        <v>3.9782541</v>
      </c>
      <c r="V40" s="802">
        <v>0.76132250000000001</v>
      </c>
      <c r="W40" s="801">
        <v>4.7395766000000004</v>
      </c>
      <c r="X40" s="801">
        <v>0.67791000000000001</v>
      </c>
      <c r="Y40" s="802">
        <v>1.45</v>
      </c>
      <c r="Z40" s="801">
        <v>3.3463241099999999</v>
      </c>
      <c r="AA40" s="801" t="s">
        <v>1412</v>
      </c>
      <c r="AB40" s="802">
        <v>1.03583694</v>
      </c>
      <c r="AC40" s="802">
        <v>2.31048717</v>
      </c>
      <c r="AD40" s="802"/>
    </row>
    <row r="41" spans="1:30" ht="14" thickBot="1">
      <c r="A41" s="80">
        <v>749</v>
      </c>
      <c r="B41" s="81" t="s">
        <v>1274</v>
      </c>
      <c r="C41" s="797">
        <v>66711.25</v>
      </c>
      <c r="D41" s="798">
        <v>2907.3340208735403</v>
      </c>
      <c r="E41" s="798">
        <v>2271.4527456763285</v>
      </c>
      <c r="F41" s="798">
        <v>427.81924607918444</v>
      </c>
      <c r="G41" s="1600">
        <v>2699.2719917555132</v>
      </c>
      <c r="H41" s="798">
        <v>376.67558620172764</v>
      </c>
      <c r="I41" s="799">
        <v>139.67749952219452</v>
      </c>
      <c r="J41" s="798">
        <v>151.43194288819356</v>
      </c>
      <c r="K41" s="799">
        <v>685.72841911971364</v>
      </c>
      <c r="L41" s="798">
        <v>755.94225696565411</v>
      </c>
      <c r="M41" s="800">
        <v>0.78128372225832021</v>
      </c>
      <c r="N41" s="800">
        <v>0.12698616729056225</v>
      </c>
      <c r="O41" s="800">
        <v>4.9621814333092068E-2</v>
      </c>
      <c r="P41" s="800">
        <v>0.26001218007228594</v>
      </c>
      <c r="Q41" s="798"/>
      <c r="R41" s="801">
        <v>197.88375171999999</v>
      </c>
      <c r="S41" s="801">
        <v>187.78153751999997</v>
      </c>
      <c r="T41" s="802">
        <v>193.95188669999999</v>
      </c>
      <c r="U41" s="802">
        <v>151.53145197999999</v>
      </c>
      <c r="V41" s="802">
        <v>28.540356679999995</v>
      </c>
      <c r="W41" s="801">
        <v>180.07180865999999</v>
      </c>
      <c r="X41" s="801">
        <v>25.128499200000004</v>
      </c>
      <c r="Y41" s="802">
        <v>45.745800000000003</v>
      </c>
      <c r="Z41" s="801">
        <v>50.429852889999999</v>
      </c>
      <c r="AA41" s="801">
        <v>48.469352149999999</v>
      </c>
      <c r="AB41" s="802">
        <v>38.790377339999999</v>
      </c>
      <c r="AC41" s="802">
        <v>11.63947555</v>
      </c>
      <c r="AD41" s="802"/>
    </row>
    <row r="42" spans="1:30" ht="14" thickBot="1">
      <c r="A42" s="80">
        <v>758</v>
      </c>
      <c r="B42" s="81" t="s">
        <v>1275</v>
      </c>
      <c r="C42" s="797">
        <v>1506</v>
      </c>
      <c r="D42" s="798">
        <v>1926.2664342629482</v>
      </c>
      <c r="E42" s="798">
        <v>1703.2923306772907</v>
      </c>
      <c r="F42" s="798">
        <v>286.6841633466135</v>
      </c>
      <c r="G42" s="1600">
        <v>1989.9764940239043</v>
      </c>
      <c r="H42" s="798">
        <v>51.610524568393096</v>
      </c>
      <c r="I42" s="799">
        <v>125.78153386454184</v>
      </c>
      <c r="J42" s="798">
        <v>5.0218127490039786</v>
      </c>
      <c r="K42" s="799">
        <v>521.24833997343956</v>
      </c>
      <c r="L42" s="798">
        <v>1111.3876626826029</v>
      </c>
      <c r="M42" s="800">
        <v>0.88424545035953206</v>
      </c>
      <c r="N42" s="800">
        <v>2.6499995564323628E-2</v>
      </c>
      <c r="O42" s="800">
        <v>6.4750882428949996E-2</v>
      </c>
      <c r="P42" s="800">
        <v>0.57696466226794629</v>
      </c>
      <c r="Q42" s="798"/>
      <c r="R42" s="801">
        <v>2.9330363400000001</v>
      </c>
      <c r="S42" s="801">
        <v>2.9254734899999999</v>
      </c>
      <c r="T42" s="802">
        <v>2.9009572499999998</v>
      </c>
      <c r="U42" s="802">
        <v>2.5651582500000001</v>
      </c>
      <c r="V42" s="802">
        <v>0.43174635</v>
      </c>
      <c r="W42" s="801">
        <v>2.9969046000000001</v>
      </c>
      <c r="X42" s="801">
        <v>7.7725450000000001E-2</v>
      </c>
      <c r="Y42" s="802">
        <v>0.78500000000000003</v>
      </c>
      <c r="Z42" s="801">
        <v>1.6737498200000001</v>
      </c>
      <c r="AA42" s="801" t="s">
        <v>1412</v>
      </c>
      <c r="AB42" s="802">
        <v>0.58019145000000005</v>
      </c>
      <c r="AC42" s="802">
        <v>1.09355837</v>
      </c>
      <c r="AD42" s="802"/>
    </row>
    <row r="43" spans="1:30" ht="14" thickBot="1">
      <c r="A43" s="80">
        <v>762</v>
      </c>
      <c r="B43" s="81" t="s">
        <v>1276</v>
      </c>
      <c r="C43" s="797">
        <v>30522.5</v>
      </c>
      <c r="D43" s="798">
        <v>2271.8715046277334</v>
      </c>
      <c r="E43" s="798">
        <v>1901.3273372102544</v>
      </c>
      <c r="F43" s="798">
        <v>372.16894094520433</v>
      </c>
      <c r="G43" s="1600">
        <v>2273.4962781554591</v>
      </c>
      <c r="H43" s="798">
        <v>106.28900810877221</v>
      </c>
      <c r="I43" s="799">
        <v>143.58137734458185</v>
      </c>
      <c r="J43" s="798">
        <v>71.441170611843745</v>
      </c>
      <c r="K43" s="799">
        <v>556.96617249569988</v>
      </c>
      <c r="L43" s="798">
        <v>597.18063297567369</v>
      </c>
      <c r="M43" s="800">
        <v>0.83689915267536397</v>
      </c>
      <c r="N43" s="800">
        <v>4.6357358056831999E-2</v>
      </c>
      <c r="O43" s="800">
        <v>6.4636194635557115E-2</v>
      </c>
      <c r="P43" s="800">
        <v>0.26285845469659475</v>
      </c>
      <c r="Q43" s="798"/>
      <c r="R43" s="801">
        <v>69.982552630000001</v>
      </c>
      <c r="S43" s="801">
        <v>67.801989500000005</v>
      </c>
      <c r="T43" s="802">
        <v>69.343198000000001</v>
      </c>
      <c r="U43" s="802">
        <v>58.033263649999995</v>
      </c>
      <c r="V43" s="802">
        <v>11.359526499999999</v>
      </c>
      <c r="W43" s="801">
        <v>69.392790149999996</v>
      </c>
      <c r="X43" s="801">
        <v>3.24420625</v>
      </c>
      <c r="Y43" s="802">
        <v>17</v>
      </c>
      <c r="Z43" s="801">
        <v>18.22744587</v>
      </c>
      <c r="AA43" s="801">
        <v>15.027817499999999</v>
      </c>
      <c r="AB43" s="802">
        <v>13.868639600000002</v>
      </c>
      <c r="AC43" s="802">
        <v>4.3588062699999988</v>
      </c>
      <c r="AD43" s="802"/>
    </row>
    <row r="44" spans="1:30" ht="14" thickBot="1">
      <c r="A44" s="80">
        <v>774</v>
      </c>
      <c r="B44" s="81" t="s">
        <v>1277</v>
      </c>
      <c r="C44" s="797">
        <v>12436.58</v>
      </c>
      <c r="D44" s="798">
        <v>2146.0591255795403</v>
      </c>
      <c r="E44" s="798">
        <v>1499.2856685680467</v>
      </c>
      <c r="F44" s="798">
        <v>341.60611518600768</v>
      </c>
      <c r="G44" s="1600">
        <v>1840.8917837540544</v>
      </c>
      <c r="H44" s="798">
        <v>368.29039816412546</v>
      </c>
      <c r="I44" s="799">
        <v>146.25051662112895</v>
      </c>
      <c r="J44" s="798">
        <v>51.648766783150997</v>
      </c>
      <c r="K44" s="799">
        <v>522.65172579599857</v>
      </c>
      <c r="L44" s="798">
        <v>657.85354896603405</v>
      </c>
      <c r="M44" s="800">
        <v>0.69862272231813127</v>
      </c>
      <c r="N44" s="800">
        <v>0.1712400700156968</v>
      </c>
      <c r="O44" s="800">
        <v>6.9673732757752529E-2</v>
      </c>
      <c r="P44" s="800">
        <v>0.30654027241135851</v>
      </c>
      <c r="Q44" s="798"/>
      <c r="R44" s="801">
        <v>26.747670679999999</v>
      </c>
      <c r="S44" s="801">
        <v>26.105336659999999</v>
      </c>
      <c r="T44" s="802">
        <v>26.689636</v>
      </c>
      <c r="U44" s="802">
        <v>18.64598616</v>
      </c>
      <c r="V44" s="802">
        <v>4.2484117799999996</v>
      </c>
      <c r="W44" s="801">
        <v>22.894397939999998</v>
      </c>
      <c r="X44" s="801">
        <v>4.580273</v>
      </c>
      <c r="Y44" s="802">
        <v>6.5</v>
      </c>
      <c r="Z44" s="801">
        <v>8.1814482900000005</v>
      </c>
      <c r="AA44" s="801">
        <v>1.4170096000000001</v>
      </c>
      <c r="AB44" s="802">
        <v>5.3379272000000002</v>
      </c>
      <c r="AC44" s="802">
        <v>2.8435210900000003</v>
      </c>
      <c r="AD44" s="802"/>
    </row>
    <row r="45" spans="1:30" ht="14" thickBot="1">
      <c r="A45" s="80">
        <v>780</v>
      </c>
      <c r="B45" s="81" t="s">
        <v>1278</v>
      </c>
      <c r="C45" s="797">
        <v>3854</v>
      </c>
      <c r="D45" s="798">
        <v>1701.3086922677735</v>
      </c>
      <c r="E45" s="798">
        <v>1140.8708873897251</v>
      </c>
      <c r="F45" s="798">
        <v>313.85268552153605</v>
      </c>
      <c r="G45" s="1600">
        <v>1454.723572911261</v>
      </c>
      <c r="H45" s="798">
        <v>392.20524130773225</v>
      </c>
      <c r="I45" s="799">
        <v>51.98671510119356</v>
      </c>
      <c r="J45" s="798">
        <v>68.363658536585376</v>
      </c>
      <c r="K45" s="799">
        <v>324.33834976647637</v>
      </c>
      <c r="L45" s="798">
        <v>505.48280747275555</v>
      </c>
      <c r="M45" s="800">
        <v>0.67058429347644832</v>
      </c>
      <c r="N45" s="800">
        <v>0.23303522597808782</v>
      </c>
      <c r="O45" s="800">
        <v>3.2196571273935791E-2</v>
      </c>
      <c r="P45" s="800">
        <v>0.29711410384847214</v>
      </c>
      <c r="Q45" s="798"/>
      <c r="R45" s="801">
        <v>6.4863970400000008</v>
      </c>
      <c r="S45" s="801">
        <v>6.2229235000000003</v>
      </c>
      <c r="T45" s="802">
        <v>6.5568436999999991</v>
      </c>
      <c r="U45" s="802">
        <v>4.3969164000000003</v>
      </c>
      <c r="V45" s="802">
        <v>1.2095882499999999</v>
      </c>
      <c r="W45" s="801">
        <v>5.6065046499999998</v>
      </c>
      <c r="X45" s="801">
        <v>1.5115590000000001</v>
      </c>
      <c r="Y45" s="802">
        <v>1.25</v>
      </c>
      <c r="Z45" s="801">
        <v>1.9481307400000001</v>
      </c>
      <c r="AA45" s="801">
        <v>0.58710859999999998</v>
      </c>
      <c r="AB45" s="802">
        <v>1.31136874</v>
      </c>
      <c r="AC45" s="802">
        <v>0.63676200000000005</v>
      </c>
      <c r="AD45" s="802"/>
    </row>
    <row r="46" spans="1:30" ht="14" thickBot="1">
      <c r="A46" s="80">
        <v>790</v>
      </c>
      <c r="B46" s="81" t="s">
        <v>1279</v>
      </c>
      <c r="C46" s="797">
        <v>1546.83</v>
      </c>
      <c r="D46" s="798">
        <v>2167.6861064241061</v>
      </c>
      <c r="E46" s="798">
        <v>2011.1412372400332</v>
      </c>
      <c r="F46" s="798">
        <v>324.47053005178333</v>
      </c>
      <c r="G46" s="1600">
        <v>2335.6117672918167</v>
      </c>
      <c r="H46" s="798">
        <v>-2.2893272046701969</v>
      </c>
      <c r="I46" s="799">
        <v>121.6969673461208</v>
      </c>
      <c r="J46" s="798">
        <v>35.76868175559045</v>
      </c>
      <c r="K46" s="799">
        <v>452.53841727920974</v>
      </c>
      <c r="L46" s="798">
        <v>237.53558568168447</v>
      </c>
      <c r="M46" s="800">
        <v>0.92778250101795645</v>
      </c>
      <c r="N46" s="800">
        <v>-1.0405748771273454E-3</v>
      </c>
      <c r="O46" s="800">
        <v>5.6229475270677017E-2</v>
      </c>
      <c r="P46" s="800">
        <v>0.10958025010066232</v>
      </c>
      <c r="Q46" s="798"/>
      <c r="R46" s="801">
        <v>3.4031188700000001</v>
      </c>
      <c r="S46" s="801">
        <v>3.3477907999999998</v>
      </c>
      <c r="T46" s="802">
        <v>3.3530419</v>
      </c>
      <c r="U46" s="802">
        <v>3.1108936000000003</v>
      </c>
      <c r="V46" s="802">
        <v>0.50190075000000001</v>
      </c>
      <c r="W46" s="801">
        <v>3.6127943500000002</v>
      </c>
      <c r="X46" s="801">
        <v>-3.5412000000000004E-3</v>
      </c>
      <c r="Y46" s="802">
        <v>0.7</v>
      </c>
      <c r="Z46" s="801">
        <v>0.36742716999999997</v>
      </c>
      <c r="AA46" s="801">
        <v>0.24007789999999998</v>
      </c>
      <c r="AB46" s="802">
        <v>0.67060838</v>
      </c>
      <c r="AC46" s="802"/>
      <c r="AD46" s="802">
        <v>-0.30318121000000003</v>
      </c>
    </row>
    <row r="47" spans="1:30" ht="14" thickBot="1">
      <c r="A47" s="80">
        <v>820</v>
      </c>
      <c r="B47" s="81" t="s">
        <v>1280</v>
      </c>
      <c r="C47" s="797">
        <v>2807</v>
      </c>
      <c r="D47" s="798">
        <v>1976.2687210545062</v>
      </c>
      <c r="E47" s="798">
        <v>1702.1162807267549</v>
      </c>
      <c r="F47" s="798">
        <v>313.09554684716772</v>
      </c>
      <c r="G47" s="1600">
        <v>2015.2118275739224</v>
      </c>
      <c r="H47" s="798">
        <v>23.805949412183825</v>
      </c>
      <c r="I47" s="799">
        <v>96.990488065550409</v>
      </c>
      <c r="J47" s="798">
        <v>40.613950837192725</v>
      </c>
      <c r="K47" s="799">
        <v>837.19273245457782</v>
      </c>
      <c r="L47" s="798">
        <v>452.08715710723192</v>
      </c>
      <c r="M47" s="800">
        <v>0.86127775165035869</v>
      </c>
      <c r="N47" s="800">
        <v>1.1759542204096182E-2</v>
      </c>
      <c r="O47" s="800">
        <v>4.8891749239075265E-2</v>
      </c>
      <c r="P47" s="800">
        <v>0.2287579377697205</v>
      </c>
      <c r="Q47" s="798"/>
      <c r="R47" s="801">
        <v>5.6824746100000008</v>
      </c>
      <c r="S47" s="801">
        <v>5.56847125</v>
      </c>
      <c r="T47" s="802">
        <v>5.5473862999999994</v>
      </c>
      <c r="U47" s="802">
        <v>4.7778404000000005</v>
      </c>
      <c r="V47" s="802">
        <v>0.87885919999999995</v>
      </c>
      <c r="W47" s="801">
        <v>5.6566996000000005</v>
      </c>
      <c r="X47" s="801">
        <v>6.6823300000000002E-2</v>
      </c>
      <c r="Y47" s="802">
        <v>2.35</v>
      </c>
      <c r="Z47" s="801">
        <v>1.26900865</v>
      </c>
      <c r="AA47" s="801">
        <v>0.73850789999999999</v>
      </c>
      <c r="AB47" s="802">
        <v>1.10947726</v>
      </c>
      <c r="AC47" s="802">
        <v>0.15953138999999994</v>
      </c>
      <c r="AD47" s="802"/>
    </row>
    <row r="48" spans="1:30" ht="14" thickBot="1">
      <c r="A48" s="80">
        <v>829</v>
      </c>
      <c r="B48" s="81" t="s">
        <v>1281</v>
      </c>
      <c r="C48" s="797">
        <v>18983</v>
      </c>
      <c r="D48" s="798">
        <v>1671.7673971448137</v>
      </c>
      <c r="E48" s="798">
        <v>1367.84089975241</v>
      </c>
      <c r="F48" s="798">
        <v>275.10931623031138</v>
      </c>
      <c r="G48" s="1600">
        <v>1642.9502159827214</v>
      </c>
      <c r="H48" s="798">
        <v>146.13432018121475</v>
      </c>
      <c r="I48" s="799">
        <v>101.7550134330717</v>
      </c>
      <c r="J48" s="798">
        <v>103.57662908918513</v>
      </c>
      <c r="K48" s="799">
        <v>437.23331401780547</v>
      </c>
      <c r="L48" s="798">
        <v>484.64439235105095</v>
      </c>
      <c r="M48" s="800">
        <v>0.81820048775237797</v>
      </c>
      <c r="N48" s="800">
        <v>8.4140677729242094E-2</v>
      </c>
      <c r="O48" s="800">
        <v>6.2303730402110596E-2</v>
      </c>
      <c r="P48" s="800">
        <v>0.28989941613813486</v>
      </c>
      <c r="Q48" s="798"/>
      <c r="R48" s="801">
        <v>32.969401660000003</v>
      </c>
      <c r="S48" s="801">
        <v>31.003206509999998</v>
      </c>
      <c r="T48" s="802">
        <v>31.735160499999999</v>
      </c>
      <c r="U48" s="802">
        <v>25.965723799999999</v>
      </c>
      <c r="V48" s="802">
        <v>5.2224001500000004</v>
      </c>
      <c r="W48" s="801">
        <v>31.188123949999998</v>
      </c>
      <c r="X48" s="801">
        <v>2.7740677999999996</v>
      </c>
      <c r="Y48" s="802">
        <v>8.3000000000000007</v>
      </c>
      <c r="Z48" s="801">
        <v>9.2000045000000004</v>
      </c>
      <c r="AA48" s="801" t="s">
        <v>1412</v>
      </c>
      <c r="AB48" s="802">
        <v>6.3470321000000007</v>
      </c>
      <c r="AC48" s="802">
        <v>2.8529723999999996</v>
      </c>
      <c r="AD48" s="802"/>
    </row>
    <row r="49" spans="1:30" ht="14" thickBot="1">
      <c r="A49" s="80">
        <v>881</v>
      </c>
      <c r="B49" s="81" t="s">
        <v>1282</v>
      </c>
      <c r="C49" s="797">
        <v>153190.25</v>
      </c>
      <c r="D49" s="798">
        <v>2218.9543195470997</v>
      </c>
      <c r="E49" s="798">
        <v>1817.5468791257929</v>
      </c>
      <c r="F49" s="798">
        <v>357.97598247930273</v>
      </c>
      <c r="G49" s="1600">
        <v>2175.5228616050954</v>
      </c>
      <c r="H49" s="798">
        <v>314.65537134380287</v>
      </c>
      <c r="I49" s="799">
        <v>168.7335396998177</v>
      </c>
      <c r="J49" s="798">
        <v>-220.91159143613905</v>
      </c>
      <c r="K49" s="799">
        <v>605.67185183130141</v>
      </c>
      <c r="L49" s="798">
        <v>339.37947212697941</v>
      </c>
      <c r="M49" s="800">
        <v>0.8191006291182974</v>
      </c>
      <c r="N49" s="800">
        <v>0.14046865927925115</v>
      </c>
      <c r="O49" s="800">
        <v>6.8564356103429619E-2</v>
      </c>
      <c r="P49" s="800">
        <v>0.15294567767228689</v>
      </c>
      <c r="Q49" s="798"/>
      <c r="R49" s="801">
        <v>343.15223942</v>
      </c>
      <c r="S49" s="801">
        <v>376.99374134000004</v>
      </c>
      <c r="T49" s="802">
        <v>339.92216695000008</v>
      </c>
      <c r="U49" s="802">
        <v>278.43046079999999</v>
      </c>
      <c r="V49" s="802">
        <v>54.838430250000002</v>
      </c>
      <c r="W49" s="801">
        <v>333.26889104999998</v>
      </c>
      <c r="X49" s="801">
        <v>48.202134999999998</v>
      </c>
      <c r="Y49" s="802">
        <v>92.783022400000007</v>
      </c>
      <c r="Z49" s="801">
        <v>51.989626180000002</v>
      </c>
      <c r="AA49" s="801">
        <v>87.081889149999995</v>
      </c>
      <c r="AB49" s="802">
        <v>67.984433390000021</v>
      </c>
      <c r="AC49" s="802"/>
      <c r="AD49" s="802">
        <v>-15.994807210000019</v>
      </c>
    </row>
    <row r="50" spans="1:30" ht="14" thickBot="1">
      <c r="A50" s="80">
        <v>895</v>
      </c>
      <c r="B50" s="81" t="s">
        <v>1283</v>
      </c>
      <c r="C50" s="797">
        <v>817</v>
      </c>
      <c r="D50" s="798">
        <v>1704.1458384332927</v>
      </c>
      <c r="E50" s="798">
        <v>1469.9683598531212</v>
      </c>
      <c r="F50" s="798">
        <v>296.86964504283969</v>
      </c>
      <c r="G50" s="1600">
        <v>1766.8380048959607</v>
      </c>
      <c r="H50" s="798">
        <v>258.75887392900859</v>
      </c>
      <c r="I50" s="799">
        <v>83.89798041615667</v>
      </c>
      <c r="J50" s="798">
        <v>-68.406364749082002</v>
      </c>
      <c r="K50" s="799">
        <v>734.39412484700119</v>
      </c>
      <c r="L50" s="798">
        <v>1611.8029498164015</v>
      </c>
      <c r="M50" s="800">
        <v>0.86258366314736146</v>
      </c>
      <c r="N50" s="800">
        <v>0.14525570806437627</v>
      </c>
      <c r="O50" s="800">
        <v>4.5354946867379453E-2</v>
      </c>
      <c r="P50" s="800">
        <v>0.94581280161926362</v>
      </c>
      <c r="Q50" s="798"/>
      <c r="R50" s="801">
        <v>1.4554058000000001</v>
      </c>
      <c r="S50" s="801">
        <v>1.5112938</v>
      </c>
      <c r="T50" s="802">
        <v>1.39228715</v>
      </c>
      <c r="U50" s="802">
        <v>1.2009641499999999</v>
      </c>
      <c r="V50" s="802">
        <v>0.24254250000000002</v>
      </c>
      <c r="W50" s="801">
        <v>1.44350665</v>
      </c>
      <c r="X50" s="801">
        <v>0.21140600000000001</v>
      </c>
      <c r="Y50" s="802">
        <v>0.6</v>
      </c>
      <c r="Z50" s="801">
        <v>1.3168430099999999</v>
      </c>
      <c r="AA50" s="801" t="s">
        <v>1412</v>
      </c>
      <c r="AB50" s="802">
        <v>0.27845743000000006</v>
      </c>
      <c r="AC50" s="802">
        <v>1.0383855799999999</v>
      </c>
      <c r="AD50" s="802"/>
    </row>
    <row r="51" spans="1:30" ht="14" thickBot="1">
      <c r="A51" s="80">
        <v>901</v>
      </c>
      <c r="B51" s="81" t="s">
        <v>1284</v>
      </c>
      <c r="C51" s="797">
        <v>2481.6799999999998</v>
      </c>
      <c r="D51" s="798">
        <v>1859.0183464427328</v>
      </c>
      <c r="E51" s="798">
        <v>1381.4435382482834</v>
      </c>
      <c r="F51" s="798">
        <v>305.49893620450661</v>
      </c>
      <c r="G51" s="1600">
        <v>1686.9424744527898</v>
      </c>
      <c r="H51" s="798">
        <v>83.457617420457112</v>
      </c>
      <c r="I51" s="799">
        <v>101.12506044292577</v>
      </c>
      <c r="J51" s="798">
        <v>178.8452580509977</v>
      </c>
      <c r="K51" s="799">
        <v>725.31510911962869</v>
      </c>
      <c r="L51" s="798">
        <v>1246.1720407143548</v>
      </c>
      <c r="M51" s="800">
        <v>0.7431037681213325</v>
      </c>
      <c r="N51" s="800">
        <v>4.7230343119343654E-2</v>
      </c>
      <c r="O51" s="800">
        <v>6.3673204646481851E-2</v>
      </c>
      <c r="P51" s="800">
        <v>0.67033875329898107</v>
      </c>
      <c r="Q51" s="798"/>
      <c r="R51" s="801">
        <v>4.3852126900000004</v>
      </c>
      <c r="S51" s="801">
        <v>3.9413759899999996</v>
      </c>
      <c r="T51" s="802">
        <v>4.6134886500000007</v>
      </c>
      <c r="U51" s="802">
        <v>3.4283007999999997</v>
      </c>
      <c r="V51" s="802">
        <v>0.75815060000000001</v>
      </c>
      <c r="W51" s="801">
        <v>4.1864513999999993</v>
      </c>
      <c r="X51" s="801">
        <v>0.2071151</v>
      </c>
      <c r="Y51" s="802">
        <v>1.8</v>
      </c>
      <c r="Z51" s="801">
        <v>3.09260023</v>
      </c>
      <c r="AA51" s="801">
        <v>0.77960410000000013</v>
      </c>
      <c r="AB51" s="802">
        <v>0.9226977300000001</v>
      </c>
      <c r="AC51" s="802">
        <v>2.1699025000000001</v>
      </c>
      <c r="AD51" s="802"/>
    </row>
    <row r="52" spans="1:30" ht="14" thickBot="1">
      <c r="A52" s="80">
        <v>923</v>
      </c>
      <c r="B52" s="81" t="s">
        <v>1285</v>
      </c>
      <c r="C52" s="797">
        <v>12748.04</v>
      </c>
      <c r="D52" s="798">
        <v>2414.4698361473602</v>
      </c>
      <c r="E52" s="798">
        <v>2436.9049642141063</v>
      </c>
      <c r="F52" s="798">
        <v>441.24739097147477</v>
      </c>
      <c r="G52" s="1600">
        <v>2878.1523551855807</v>
      </c>
      <c r="H52" s="798">
        <v>-353.03889852871498</v>
      </c>
      <c r="I52" s="799">
        <v>198.5437612370215</v>
      </c>
      <c r="J52" s="798">
        <v>66.050796043940977</v>
      </c>
      <c r="K52" s="799">
        <v>944.45891289955148</v>
      </c>
      <c r="L52" s="798">
        <v>1543.129774459446</v>
      </c>
      <c r="M52" s="800">
        <v>1.0092919479592857</v>
      </c>
      <c r="N52" s="800">
        <v>-0.14326376568877222</v>
      </c>
      <c r="O52" s="800">
        <v>8.2788405693958456E-2</v>
      </c>
      <c r="P52" s="800">
        <v>0.63911743744197491</v>
      </c>
      <c r="Q52" s="798"/>
      <c r="R52" s="801">
        <v>31.41446114</v>
      </c>
      <c r="S52" s="801">
        <v>30.572442949999999</v>
      </c>
      <c r="T52" s="802">
        <v>30.779758049999998</v>
      </c>
      <c r="U52" s="802">
        <v>31.065761959999996</v>
      </c>
      <c r="V52" s="802">
        <v>5.6250393899999995</v>
      </c>
      <c r="W52" s="801">
        <v>36.690801349999994</v>
      </c>
      <c r="X52" s="801">
        <v>-4.5005540000000002</v>
      </c>
      <c r="Y52" s="802">
        <v>12.04</v>
      </c>
      <c r="Z52" s="801">
        <v>19.671880089999998</v>
      </c>
      <c r="AA52" s="801" t="s">
        <v>1412</v>
      </c>
      <c r="AB52" s="802">
        <v>6.1559516099999998</v>
      </c>
      <c r="AC52" s="802">
        <v>13.515928479999999</v>
      </c>
      <c r="AD52" s="802"/>
    </row>
    <row r="53" spans="1:30" ht="14" thickBot="1">
      <c r="A53" s="80">
        <v>941</v>
      </c>
      <c r="B53" s="81" t="s">
        <v>1286</v>
      </c>
      <c r="C53" s="797">
        <v>14940</v>
      </c>
      <c r="D53" s="798">
        <v>1891.2598694779119</v>
      </c>
      <c r="E53" s="798">
        <v>1629.0638319946454</v>
      </c>
      <c r="F53" s="798">
        <v>313.99597724230256</v>
      </c>
      <c r="G53" s="1600">
        <v>1943.0598092369478</v>
      </c>
      <c r="H53" s="798">
        <v>245.0555488621151</v>
      </c>
      <c r="I53" s="799">
        <v>32.256924364123158</v>
      </c>
      <c r="J53" s="798">
        <v>12.405368139223565</v>
      </c>
      <c r="K53" s="799">
        <v>455.71298527443105</v>
      </c>
      <c r="L53" s="798">
        <v>831.06368875502005</v>
      </c>
      <c r="M53" s="800">
        <v>0.86136435203077277</v>
      </c>
      <c r="N53" s="800">
        <v>0.12992933049855407</v>
      </c>
      <c r="O53" s="800">
        <v>1.7215972768838992E-2</v>
      </c>
      <c r="P53" s="800">
        <v>0.43942331890351888</v>
      </c>
      <c r="Q53" s="798"/>
      <c r="R53" s="801">
        <v>28.1778555</v>
      </c>
      <c r="S53" s="801">
        <v>27.992519300000005</v>
      </c>
      <c r="T53" s="802">
        <v>28.255422450000005</v>
      </c>
      <c r="U53" s="802">
        <v>24.33821365</v>
      </c>
      <c r="V53" s="802">
        <v>4.6910999000000002</v>
      </c>
      <c r="W53" s="801">
        <v>29.029313550000001</v>
      </c>
      <c r="X53" s="801">
        <v>3.6611298999999997</v>
      </c>
      <c r="Y53" s="802">
        <v>6.8083520000000002</v>
      </c>
      <c r="Z53" s="801">
        <v>12.416091509999999</v>
      </c>
      <c r="AA53" s="801">
        <v>6.2643788499999999</v>
      </c>
      <c r="AB53" s="802">
        <v>5.6510844900000015</v>
      </c>
      <c r="AC53" s="802">
        <v>6.7650070199999979</v>
      </c>
      <c r="AD53" s="802"/>
    </row>
    <row r="54" spans="1:30" ht="14" thickBot="1">
      <c r="A54" s="80">
        <v>966</v>
      </c>
      <c r="B54" s="81" t="s">
        <v>1287</v>
      </c>
      <c r="C54" s="797">
        <v>6287</v>
      </c>
      <c r="D54" s="798">
        <v>1820.267059010657</v>
      </c>
      <c r="E54" s="798">
        <v>1587.8670033402261</v>
      </c>
      <c r="F54" s="798">
        <v>306.8183791951646</v>
      </c>
      <c r="G54" s="1600">
        <v>1894.6853825353908</v>
      </c>
      <c r="H54" s="798">
        <v>150.65072371560365</v>
      </c>
      <c r="I54" s="799">
        <v>113.69804676316208</v>
      </c>
      <c r="J54" s="798">
        <v>3.3974025767456659</v>
      </c>
      <c r="K54" s="799">
        <v>622.71353586766338</v>
      </c>
      <c r="L54" s="798">
        <v>386.09560044536346</v>
      </c>
      <c r="M54" s="800">
        <v>0.87232639599776973</v>
      </c>
      <c r="N54" s="800">
        <v>7.9019033228038049E-2</v>
      </c>
      <c r="O54" s="800">
        <v>5.9743147106064258E-2</v>
      </c>
      <c r="P54" s="800">
        <v>0.21210931579194336</v>
      </c>
      <c r="Q54" s="798"/>
      <c r="R54" s="801">
        <v>11.986240039999998</v>
      </c>
      <c r="S54" s="801">
        <v>11.96488057</v>
      </c>
      <c r="T54" s="802">
        <v>11.444019000000001</v>
      </c>
      <c r="U54" s="802">
        <v>9.9829198500000018</v>
      </c>
      <c r="V54" s="802">
        <v>1.9289671499999999</v>
      </c>
      <c r="W54" s="801">
        <v>11.911887000000002</v>
      </c>
      <c r="X54" s="801">
        <v>0.94714110000000007</v>
      </c>
      <c r="Y54" s="802">
        <v>3.915</v>
      </c>
      <c r="Z54" s="801">
        <v>2.42738304</v>
      </c>
      <c r="AA54" s="801">
        <v>2.1915692500000001</v>
      </c>
      <c r="AB54" s="802">
        <v>2.2888038000000002</v>
      </c>
      <c r="AC54" s="802">
        <v>0.13857923999999988</v>
      </c>
      <c r="AD54" s="802"/>
    </row>
    <row r="55" spans="1:30" ht="14" thickBot="1">
      <c r="A55" s="80">
        <v>979</v>
      </c>
      <c r="B55" s="81" t="s">
        <v>1288</v>
      </c>
      <c r="C55" s="797">
        <v>2112.58</v>
      </c>
      <c r="D55" s="798">
        <v>1678.3572693105114</v>
      </c>
      <c r="E55" s="798">
        <v>1490.8989955409972</v>
      </c>
      <c r="F55" s="798">
        <v>297.56241183765826</v>
      </c>
      <c r="G55" s="1600">
        <v>1788.4614073786556</v>
      </c>
      <c r="H55" s="798">
        <v>-0.53481998314856716</v>
      </c>
      <c r="I55" s="799">
        <v>245.92159823533311</v>
      </c>
      <c r="J55" s="798">
        <v>-41.8547463291331</v>
      </c>
      <c r="K55" s="799">
        <v>421.28582112866729</v>
      </c>
      <c r="L55" s="798">
        <v>2285.7281097047212</v>
      </c>
      <c r="M55" s="800">
        <v>0.88830848044259125</v>
      </c>
      <c r="N55" s="800">
        <v>-3.1454126188520059E-4</v>
      </c>
      <c r="O55" s="800">
        <v>0.14115803516339404</v>
      </c>
      <c r="P55" s="800">
        <v>1.3618841181792749</v>
      </c>
      <c r="Q55" s="798"/>
      <c r="R55" s="801">
        <v>3.5920565499999997</v>
      </c>
      <c r="S55" s="801">
        <v>3.6804780500000005</v>
      </c>
      <c r="T55" s="803">
        <v>3.5456639999999999</v>
      </c>
      <c r="U55" s="803">
        <v>3.1496434</v>
      </c>
      <c r="V55" s="803">
        <v>0.62862439999999997</v>
      </c>
      <c r="W55" s="801">
        <v>3.7782678000000001</v>
      </c>
      <c r="X55" s="801">
        <v>-1.12985E-3</v>
      </c>
      <c r="Y55" s="803">
        <v>0.89</v>
      </c>
      <c r="Z55" s="801">
        <v>4.8287834900000002</v>
      </c>
      <c r="AA55" s="801" t="s">
        <v>1412</v>
      </c>
      <c r="AB55" s="803">
        <v>0.70913280000000001</v>
      </c>
      <c r="AC55" s="803">
        <v>4.1196506900000003</v>
      </c>
      <c r="AD55" s="803"/>
    </row>
    <row r="56" spans="1:30" ht="14" thickBot="1">
      <c r="A56" s="80">
        <v>994</v>
      </c>
      <c r="B56" s="81" t="s">
        <v>1289</v>
      </c>
      <c r="C56" s="797">
        <v>313262.08000000002</v>
      </c>
      <c r="D56" s="798">
        <v>2206.8611617467391</v>
      </c>
      <c r="E56" s="798">
        <v>1340.670158705452</v>
      </c>
      <c r="F56" s="798">
        <v>337.05329256576471</v>
      </c>
      <c r="G56" s="1600">
        <v>1677.7234512712166</v>
      </c>
      <c r="H56" s="798">
        <v>742.65724188513343</v>
      </c>
      <c r="I56" s="799">
        <v>104.27670923336778</v>
      </c>
      <c r="J56" s="798">
        <v>49.681151481851877</v>
      </c>
      <c r="K56" s="799">
        <v>330.08463711918148</v>
      </c>
      <c r="L56" s="798">
        <v>227.00469855783376</v>
      </c>
      <c r="M56" s="800">
        <v>0.60750090759869391</v>
      </c>
      <c r="N56" s="800">
        <v>0.33736322037959199</v>
      </c>
      <c r="O56" s="800">
        <v>4.8462996080772182E-2</v>
      </c>
      <c r="P56" s="800">
        <v>0.10286315355613883</v>
      </c>
      <c r="Q56" s="798"/>
      <c r="R56" s="801">
        <v>689.60200243000008</v>
      </c>
      <c r="S56" s="801">
        <v>674.03878158000009</v>
      </c>
      <c r="T56" s="802">
        <v>691.32591779999996</v>
      </c>
      <c r="U56" s="802">
        <v>419.98112250999998</v>
      </c>
      <c r="V56" s="802">
        <v>105.5860155</v>
      </c>
      <c r="W56" s="801">
        <v>525.56713801000001</v>
      </c>
      <c r="X56" s="801">
        <v>232.64635232000003</v>
      </c>
      <c r="Y56" s="802">
        <v>103.40300000000001</v>
      </c>
      <c r="Z56" s="801">
        <v>71.111964040000004</v>
      </c>
      <c r="AA56" s="801">
        <v>7.4843999999999994E-2</v>
      </c>
      <c r="AB56" s="802">
        <v>103.69888766999999</v>
      </c>
      <c r="AC56" s="802"/>
      <c r="AD56" s="802">
        <v>-32.586923629999987</v>
      </c>
    </row>
    <row r="57" spans="1:30" ht="14" thickBot="1">
      <c r="A57" s="80">
        <v>1003</v>
      </c>
      <c r="B57" s="81" t="s">
        <v>1290</v>
      </c>
      <c r="C57" s="797">
        <v>214.33</v>
      </c>
      <c r="D57" s="798">
        <v>1737.4096020155837</v>
      </c>
      <c r="E57" s="798">
        <v>1284.4984369896886</v>
      </c>
      <c r="F57" s="798">
        <v>299.95077683945323</v>
      </c>
      <c r="G57" s="1600">
        <v>1584.4492138291419</v>
      </c>
      <c r="H57" s="798">
        <v>-195.13833807679745</v>
      </c>
      <c r="I57" s="799">
        <v>123.24522931927402</v>
      </c>
      <c r="J57" s="798">
        <v>551.02934726823116</v>
      </c>
      <c r="K57" s="799">
        <v>1236.4111416973826</v>
      </c>
      <c r="L57" s="798">
        <v>5013.5790136705073</v>
      </c>
      <c r="M57" s="800">
        <v>0.73931814092631409</v>
      </c>
      <c r="N57" s="800">
        <v>-0.10494951487699017</v>
      </c>
      <c r="O57" s="800">
        <v>9.4200774356993755E-2</v>
      </c>
      <c r="P57" s="800">
        <v>2.8856632355745075</v>
      </c>
      <c r="Q57" s="798"/>
      <c r="R57" s="801">
        <v>0.39851542000000006</v>
      </c>
      <c r="S57" s="801">
        <v>0.28041329999999998</v>
      </c>
      <c r="T57" s="802">
        <v>0.37237900000000007</v>
      </c>
      <c r="U57" s="802">
        <v>0.27530654999999998</v>
      </c>
      <c r="V57" s="802">
        <v>6.4288450000000011E-2</v>
      </c>
      <c r="W57" s="801">
        <v>0.33959499999999998</v>
      </c>
      <c r="X57" s="801">
        <v>-4.1824E-2</v>
      </c>
      <c r="Y57" s="802">
        <v>0.26500000000000001</v>
      </c>
      <c r="Z57" s="801">
        <v>1.0745603899999998</v>
      </c>
      <c r="AA57" s="801" t="s">
        <v>1412</v>
      </c>
      <c r="AB57" s="802">
        <v>7.4475800000000023E-2</v>
      </c>
      <c r="AC57" s="802">
        <v>1.0000845899999997</v>
      </c>
      <c r="AD57" s="802"/>
    </row>
    <row r="58" spans="1:30" ht="14" thickBot="1">
      <c r="A58" s="80">
        <v>1040</v>
      </c>
      <c r="B58" s="81" t="s">
        <v>1291</v>
      </c>
      <c r="C58" s="797">
        <v>2942.25</v>
      </c>
      <c r="D58" s="798">
        <v>1668.0648483303594</v>
      </c>
      <c r="E58" s="798">
        <v>1138.4427054125242</v>
      </c>
      <c r="F58" s="798">
        <v>257.6753335032713</v>
      </c>
      <c r="G58" s="1600">
        <v>1396.1180389157958</v>
      </c>
      <c r="H58" s="798">
        <v>297.50600730733288</v>
      </c>
      <c r="I58" s="799">
        <v>104.36172996856149</v>
      </c>
      <c r="J58" s="798">
        <v>54.885975019118007</v>
      </c>
      <c r="K58" s="799">
        <v>399.30838643894981</v>
      </c>
      <c r="L58" s="798">
        <v>1009.7737615770244</v>
      </c>
      <c r="M58" s="800">
        <v>0.68249307366679557</v>
      </c>
      <c r="N58" s="800">
        <v>0.18317760544167935</v>
      </c>
      <c r="O58" s="800">
        <v>6.6504054336448001E-2</v>
      </c>
      <c r="P58" s="800">
        <v>0.60535641800002682</v>
      </c>
      <c r="Q58" s="798"/>
      <c r="R58" s="801">
        <v>4.7786248100000002</v>
      </c>
      <c r="S58" s="801">
        <v>4.6171365499999997</v>
      </c>
      <c r="T58" s="802">
        <v>4.9078638000000003</v>
      </c>
      <c r="U58" s="802">
        <v>3.3495830499999997</v>
      </c>
      <c r="V58" s="802">
        <v>0.75814524999999999</v>
      </c>
      <c r="W58" s="801">
        <v>4.1077282999999998</v>
      </c>
      <c r="X58" s="801">
        <v>0.87533705000000006</v>
      </c>
      <c r="Y58" s="802">
        <v>1.1748651000000001</v>
      </c>
      <c r="Z58" s="801">
        <v>2.9710068500000002</v>
      </c>
      <c r="AA58" s="801">
        <v>0.42632399999999998</v>
      </c>
      <c r="AB58" s="802">
        <v>0.98157276000000027</v>
      </c>
      <c r="AC58" s="802">
        <v>1.98943409</v>
      </c>
      <c r="AD58" s="802"/>
    </row>
    <row r="59" spans="1:30" ht="14" thickBot="1">
      <c r="A59" s="80">
        <v>1058</v>
      </c>
      <c r="B59" s="81" t="s">
        <v>1292</v>
      </c>
      <c r="C59" s="797">
        <v>102</v>
      </c>
      <c r="D59" s="798">
        <v>1171.8156862745097</v>
      </c>
      <c r="E59" s="798">
        <v>2325.3588235294119</v>
      </c>
      <c r="F59" s="798">
        <v>223.64313725490192</v>
      </c>
      <c r="G59" s="1600">
        <v>2549.0019607843142</v>
      </c>
      <c r="H59" s="798">
        <v>450.3607843137255</v>
      </c>
      <c r="I59" s="799">
        <v>111.1186274509804</v>
      </c>
      <c r="J59" s="798">
        <v>-974.91450980392153</v>
      </c>
      <c r="K59" s="799">
        <v>588.23529411764696</v>
      </c>
      <c r="L59" s="798">
        <v>4990.3407843137256</v>
      </c>
      <c r="M59" s="800">
        <v>1.984406635588144</v>
      </c>
      <c r="N59" s="800">
        <v>0.22977220955124672</v>
      </c>
      <c r="O59" s="800">
        <v>3.7860534565721721E-2</v>
      </c>
      <c r="P59" s="800">
        <v>4.258639684351083</v>
      </c>
      <c r="Q59" s="798"/>
      <c r="R59" s="801">
        <v>0.19992322000000001</v>
      </c>
      <c r="S59" s="801">
        <v>0.29936449999999998</v>
      </c>
      <c r="T59" s="802">
        <v>0.1195252</v>
      </c>
      <c r="U59" s="802">
        <v>0.2371866</v>
      </c>
      <c r="V59" s="802">
        <v>2.2811599999999998E-2</v>
      </c>
      <c r="W59" s="801">
        <v>0.25999820000000001</v>
      </c>
      <c r="X59" s="801">
        <v>4.59368E-2</v>
      </c>
      <c r="Y59" s="802">
        <v>0.06</v>
      </c>
      <c r="Z59" s="801">
        <v>0.50901476000000001</v>
      </c>
      <c r="AA59" s="801" t="s">
        <v>1412</v>
      </c>
      <c r="AB59" s="802">
        <v>2.3905040000000002E-2</v>
      </c>
      <c r="AC59" s="802">
        <v>0.48510972000000002</v>
      </c>
      <c r="AD59" s="802"/>
    </row>
    <row r="60" spans="1:30" ht="14" thickBot="1">
      <c r="A60" s="80">
        <v>1060</v>
      </c>
      <c r="B60" s="81" t="s">
        <v>1293</v>
      </c>
      <c r="C60" s="797">
        <v>273771.33</v>
      </c>
      <c r="D60" s="798">
        <v>2661.3777401746197</v>
      </c>
      <c r="E60" s="798">
        <v>2818.6109121798836</v>
      </c>
      <c r="F60" s="798">
        <v>431.23365814090175</v>
      </c>
      <c r="G60" s="1600">
        <v>3249.8445703207858</v>
      </c>
      <c r="H60" s="798">
        <v>-374.99771652495525</v>
      </c>
      <c r="I60" s="799">
        <v>173.74870297777343</v>
      </c>
      <c r="J60" s="798">
        <v>1.7353187786317916</v>
      </c>
      <c r="K60" s="799">
        <v>620.9561826652922</v>
      </c>
      <c r="L60" s="798">
        <v>555.30046027829144</v>
      </c>
      <c r="M60" s="800">
        <v>1.0590796149046273</v>
      </c>
      <c r="N60" s="800">
        <v>-0.1430505680117512</v>
      </c>
      <c r="O60" s="800">
        <v>6.632390996993949E-2</v>
      </c>
      <c r="P60" s="800">
        <v>0.2086515010236227</v>
      </c>
      <c r="Q60" s="798"/>
      <c r="R60" s="801">
        <v>717.67365224000002</v>
      </c>
      <c r="S60" s="801">
        <v>717.1985717</v>
      </c>
      <c r="T60" s="802">
        <v>728.60892356000011</v>
      </c>
      <c r="U60" s="802">
        <v>771.65485818000002</v>
      </c>
      <c r="V60" s="802">
        <v>118.05941213</v>
      </c>
      <c r="W60" s="801">
        <v>889.71427031000007</v>
      </c>
      <c r="X60" s="801">
        <v>-102.66362359999999</v>
      </c>
      <c r="Y60" s="802">
        <v>170</v>
      </c>
      <c r="Z60" s="801">
        <v>152.02534556000001</v>
      </c>
      <c r="AA60" s="801" t="s">
        <v>1412</v>
      </c>
      <c r="AB60" s="802">
        <v>109.291338534</v>
      </c>
      <c r="AC60" s="802">
        <v>42.734007026</v>
      </c>
      <c r="AD60" s="802"/>
    </row>
    <row r="61" spans="1:30" ht="14" thickBot="1">
      <c r="A61" s="80">
        <v>1097</v>
      </c>
      <c r="B61" s="81" t="s">
        <v>1294</v>
      </c>
      <c r="C61" s="797">
        <v>7866.83</v>
      </c>
      <c r="D61" s="798">
        <v>2031.3215869670501</v>
      </c>
      <c r="E61" s="798">
        <v>1272.8179215770519</v>
      </c>
      <c r="F61" s="798">
        <v>319.98151097710263</v>
      </c>
      <c r="G61" s="1600">
        <v>1592.7994325541549</v>
      </c>
      <c r="H61" s="798">
        <v>436.91347086437611</v>
      </c>
      <c r="I61" s="799">
        <v>148.10937442400561</v>
      </c>
      <c r="J61" s="798">
        <v>87.09995894153046</v>
      </c>
      <c r="K61" s="799">
        <v>392.78845481598046</v>
      </c>
      <c r="L61" s="798">
        <v>366.29186597396915</v>
      </c>
      <c r="M61" s="800">
        <v>0.62659597069388018</v>
      </c>
      <c r="N61" s="800">
        <v>0.21548373316845229</v>
      </c>
      <c r="O61" s="800">
        <v>7.6325611044200839E-2</v>
      </c>
      <c r="P61" s="800">
        <v>0.18032194819574415</v>
      </c>
      <c r="Q61" s="798"/>
      <c r="R61" s="801">
        <v>15.950735350000002</v>
      </c>
      <c r="S61" s="801">
        <v>15.265534779999999</v>
      </c>
      <c r="T61" s="802">
        <v>15.980061599999999</v>
      </c>
      <c r="U61" s="802">
        <v>10.01304221</v>
      </c>
      <c r="V61" s="802">
        <v>2.5172401500000006</v>
      </c>
      <c r="W61" s="801">
        <v>12.530282360000001</v>
      </c>
      <c r="X61" s="801">
        <v>3.4371239999999998</v>
      </c>
      <c r="Y61" s="802">
        <v>3.09</v>
      </c>
      <c r="Z61" s="801">
        <v>2.8815558399999999</v>
      </c>
      <c r="AA61" s="801">
        <v>0.43690040000000002</v>
      </c>
      <c r="AB61" s="802">
        <v>3.1960123200000004</v>
      </c>
      <c r="AC61" s="802"/>
      <c r="AD61" s="802">
        <v>-0.31445648000000048</v>
      </c>
    </row>
    <row r="62" spans="1:30" ht="14" thickBot="1">
      <c r="A62" s="80">
        <v>1113</v>
      </c>
      <c r="B62" s="81" t="s">
        <v>1295</v>
      </c>
      <c r="C62" s="797">
        <v>4614</v>
      </c>
      <c r="D62" s="798">
        <v>1922.7985478977025</v>
      </c>
      <c r="E62" s="798">
        <v>1462.3087017771998</v>
      </c>
      <c r="F62" s="798">
        <v>309.06498699609887</v>
      </c>
      <c r="G62" s="1600">
        <v>1771.3736887732985</v>
      </c>
      <c r="H62" s="798">
        <v>93.696142175986125</v>
      </c>
      <c r="I62" s="799">
        <v>53.568539228435192</v>
      </c>
      <c r="J62" s="798">
        <v>89.181417425227551</v>
      </c>
      <c r="K62" s="799">
        <v>229.73558734286954</v>
      </c>
      <c r="L62" s="798">
        <v>619.82928045080189</v>
      </c>
      <c r="M62" s="800">
        <v>0.76051061270876208</v>
      </c>
      <c r="N62" s="800">
        <v>9.5231254938667215E-2</v>
      </c>
      <c r="O62" s="800">
        <v>5.9873269946933164E-2</v>
      </c>
      <c r="P62" s="800">
        <v>0.32235788878064947</v>
      </c>
      <c r="Q62" s="798"/>
      <c r="R62" s="801">
        <v>4.5396230499999994</v>
      </c>
      <c r="S62" s="801">
        <v>4.1281399900000002</v>
      </c>
      <c r="T62" s="802">
        <v>8.8717924999999997</v>
      </c>
      <c r="U62" s="802">
        <v>6.74709235</v>
      </c>
      <c r="V62" s="802">
        <v>1.42602585</v>
      </c>
      <c r="W62" s="801">
        <v>8.1731181999999993</v>
      </c>
      <c r="X62" s="801">
        <v>0.43231399999999998</v>
      </c>
      <c r="Y62" s="802">
        <v>1.06</v>
      </c>
      <c r="Z62" s="801">
        <v>2.8598922999999998</v>
      </c>
      <c r="AA62" s="801" t="s">
        <v>1412</v>
      </c>
      <c r="AB62" s="802">
        <v>1.7743584999999999</v>
      </c>
      <c r="AC62" s="802">
        <v>1.0855337999999999</v>
      </c>
      <c r="AD62" s="802"/>
    </row>
    <row r="63" spans="1:30" ht="14" thickBot="1">
      <c r="A63" s="80">
        <v>1142</v>
      </c>
      <c r="B63" s="81" t="s">
        <v>1296</v>
      </c>
      <c r="C63" s="797">
        <v>1050.6600000000001</v>
      </c>
      <c r="D63" s="798">
        <v>3369.5322939866364</v>
      </c>
      <c r="E63" s="798">
        <v>5452.8762872860862</v>
      </c>
      <c r="F63" s="798">
        <v>580.44167475681945</v>
      </c>
      <c r="G63" s="1600">
        <v>6033.3179620429064</v>
      </c>
      <c r="H63" s="798">
        <v>-4120.6127576951631</v>
      </c>
      <c r="I63" s="799">
        <v>204.28906592046903</v>
      </c>
      <c r="J63" s="798">
        <v>1803.8333238155062</v>
      </c>
      <c r="K63" s="799">
        <v>2455.5993375592484</v>
      </c>
      <c r="L63" s="798">
        <v>12609.724753964176</v>
      </c>
      <c r="M63" s="800">
        <v>1.6182887746817103</v>
      </c>
      <c r="N63" s="800">
        <v>-1.1158665791873814</v>
      </c>
      <c r="O63" s="800">
        <v>0.10815162617806452</v>
      </c>
      <c r="P63" s="800">
        <v>3.7422774598325854</v>
      </c>
      <c r="Q63" s="798"/>
      <c r="R63" s="801">
        <v>3.8798213700000002</v>
      </c>
      <c r="S63" s="801">
        <v>1.9846058500000001</v>
      </c>
      <c r="T63" s="802">
        <v>3.5402327999999996</v>
      </c>
      <c r="U63" s="802">
        <v>5.7291189999999999</v>
      </c>
      <c r="V63" s="802">
        <v>0.60984684999999994</v>
      </c>
      <c r="W63" s="801">
        <v>6.3389658500000001</v>
      </c>
      <c r="X63" s="801">
        <v>-4.3293629999999999</v>
      </c>
      <c r="Y63" s="802">
        <v>2.58</v>
      </c>
      <c r="Z63" s="801">
        <v>13.24853341</v>
      </c>
      <c r="AA63" s="801" t="s">
        <v>1412</v>
      </c>
      <c r="AB63" s="802">
        <v>0.7080465600000001</v>
      </c>
      <c r="AC63" s="802">
        <v>12.540486850000001</v>
      </c>
      <c r="AD63" s="802"/>
    </row>
    <row r="64" spans="1:30" ht="14" thickBot="1">
      <c r="A64" s="80">
        <v>1147</v>
      </c>
      <c r="B64" s="81" t="s">
        <v>1297</v>
      </c>
      <c r="C64" s="797">
        <v>464</v>
      </c>
      <c r="D64" s="798">
        <v>2159.6771551724141</v>
      </c>
      <c r="E64" s="798">
        <v>2324.2292025862071</v>
      </c>
      <c r="F64" s="798">
        <v>316.66756465517244</v>
      </c>
      <c r="G64" s="1600">
        <v>2640.8967672413796</v>
      </c>
      <c r="H64" s="798">
        <v>-150.58189655172413</v>
      </c>
      <c r="I64" s="799">
        <v>191.45538793103449</v>
      </c>
      <c r="J64" s="798">
        <v>-24.886961206896554</v>
      </c>
      <c r="K64" s="799">
        <v>1260.7758620689656</v>
      </c>
      <c r="L64" s="798">
        <v>2004.1858836206895</v>
      </c>
      <c r="M64" s="800">
        <v>1.0761928916179402</v>
      </c>
      <c r="N64" s="800">
        <v>-6.5576244561944219E-2</v>
      </c>
      <c r="O64" s="800">
        <v>8.248212657303125E-2</v>
      </c>
      <c r="P64" s="800">
        <v>0.92800253909278818</v>
      </c>
      <c r="Q64" s="798"/>
      <c r="R64" s="801">
        <v>1.0654773</v>
      </c>
      <c r="S64" s="801">
        <v>1.0770248500000001</v>
      </c>
      <c r="T64" s="802">
        <v>1.0020902</v>
      </c>
      <c r="U64" s="802">
        <v>1.07844235</v>
      </c>
      <c r="V64" s="802">
        <v>0.14693375</v>
      </c>
      <c r="W64" s="801">
        <v>1.2253761000000001</v>
      </c>
      <c r="X64" s="801">
        <v>-6.9870000000000002E-2</v>
      </c>
      <c r="Y64" s="802">
        <v>0.58499999999999996</v>
      </c>
      <c r="Z64" s="801">
        <v>0.92994224999999997</v>
      </c>
      <c r="AA64" s="801" t="s">
        <v>1412</v>
      </c>
      <c r="AB64" s="802">
        <v>0.20041804000000002</v>
      </c>
      <c r="AC64" s="802">
        <v>0.7295242099999999</v>
      </c>
      <c r="AD64" s="802"/>
    </row>
    <row r="65" spans="1:30" ht="14" thickBot="1">
      <c r="A65" s="80">
        <v>1159</v>
      </c>
      <c r="B65" s="81" t="s">
        <v>1298</v>
      </c>
      <c r="C65" s="797">
        <v>15673.09</v>
      </c>
      <c r="D65" s="798">
        <v>2712.6426473656443</v>
      </c>
      <c r="E65" s="798">
        <v>2217.7928206881988</v>
      </c>
      <c r="F65" s="798">
        <v>392.74728340103962</v>
      </c>
      <c r="G65" s="1600">
        <v>2610.5401040892389</v>
      </c>
      <c r="H65" s="798">
        <v>239.53923572186469</v>
      </c>
      <c r="I65" s="799">
        <v>144.90630373461775</v>
      </c>
      <c r="J65" s="798">
        <v>-44.408701793966607</v>
      </c>
      <c r="K65" s="799">
        <v>618.89518914266421</v>
      </c>
      <c r="L65" s="798">
        <v>47.467503217297931</v>
      </c>
      <c r="M65" s="800">
        <v>0.8175764776248674</v>
      </c>
      <c r="N65" s="800">
        <v>8.9800440593445774E-2</v>
      </c>
      <c r="O65" s="800">
        <v>5.3434081422294423E-2</v>
      </c>
      <c r="P65" s="800">
        <v>1.7498620123588902E-2</v>
      </c>
      <c r="Q65" s="798"/>
      <c r="R65" s="801">
        <v>41.807367259999999</v>
      </c>
      <c r="S65" s="801">
        <v>42.50338884</v>
      </c>
      <c r="T65" s="802">
        <v>42.515492350000002</v>
      </c>
      <c r="U65" s="802">
        <v>34.759666480000007</v>
      </c>
      <c r="V65" s="802">
        <v>6.1555635199999994</v>
      </c>
      <c r="W65" s="801">
        <v>40.915230000000008</v>
      </c>
      <c r="X65" s="801">
        <v>3.7543199999999999</v>
      </c>
      <c r="Y65" s="802">
        <v>9.6999999999999993</v>
      </c>
      <c r="Z65" s="801">
        <v>0.74396245000000005</v>
      </c>
      <c r="AA65" s="801">
        <v>-4.481885E-2</v>
      </c>
      <c r="AB65" s="802">
        <v>8.5030984700000012</v>
      </c>
      <c r="AC65" s="802"/>
      <c r="AD65" s="802">
        <v>-7.7591360200000015</v>
      </c>
    </row>
    <row r="66" spans="1:30" ht="14" thickBot="1">
      <c r="A66" s="80">
        <v>1215</v>
      </c>
      <c r="B66" s="81" t="s">
        <v>1299</v>
      </c>
      <c r="C66" s="797">
        <v>7232.33</v>
      </c>
      <c r="D66" s="798">
        <v>2538.570847845715</v>
      </c>
      <c r="E66" s="798">
        <v>1624.4972643670851</v>
      </c>
      <c r="F66" s="798">
        <v>366.40848108424257</v>
      </c>
      <c r="G66" s="1600">
        <v>1990.9057454513277</v>
      </c>
      <c r="H66" s="798">
        <v>346.5273293668846</v>
      </c>
      <c r="I66" s="799">
        <v>157.59454698554961</v>
      </c>
      <c r="J66" s="798">
        <v>377.01385583898968</v>
      </c>
      <c r="K66" s="799">
        <v>636.03292438259871</v>
      </c>
      <c r="L66" s="798">
        <v>1302.5940436899311</v>
      </c>
      <c r="M66" s="800">
        <v>0.63992591175687219</v>
      </c>
      <c r="N66" s="800">
        <v>0.13404259533946999</v>
      </c>
      <c r="O66" s="800">
        <v>7.1368225951913083E-2</v>
      </c>
      <c r="P66" s="800">
        <v>0.51312101247650432</v>
      </c>
      <c r="Q66" s="798"/>
      <c r="R66" s="801">
        <v>18.697041740000003</v>
      </c>
      <c r="S66" s="801">
        <v>15.970353119999999</v>
      </c>
      <c r="T66" s="802">
        <v>18.3597821</v>
      </c>
      <c r="U66" s="802">
        <v>11.748900300000001</v>
      </c>
      <c r="V66" s="802">
        <v>2.64998705</v>
      </c>
      <c r="W66" s="801">
        <v>14.398887350000001</v>
      </c>
      <c r="X66" s="801">
        <v>2.5062000000000002</v>
      </c>
      <c r="Y66" s="802">
        <v>4.5999999999999996</v>
      </c>
      <c r="Z66" s="801">
        <v>9.4207899800000003</v>
      </c>
      <c r="AA66" s="801">
        <v>1.060702</v>
      </c>
      <c r="AB66" s="802">
        <v>3.6719564200000003</v>
      </c>
      <c r="AC66" s="802">
        <v>5.7488335599999996</v>
      </c>
      <c r="AD66" s="802"/>
    </row>
    <row r="67" spans="1:30" ht="14" thickBot="1">
      <c r="A67" s="80">
        <v>1318</v>
      </c>
      <c r="B67" s="81" t="s">
        <v>1300</v>
      </c>
      <c r="C67" s="797">
        <v>5104.42</v>
      </c>
      <c r="D67" s="798">
        <v>2356.8057095615172</v>
      </c>
      <c r="E67" s="798">
        <v>1925.0991591601005</v>
      </c>
      <c r="F67" s="798">
        <v>415.5113607422586</v>
      </c>
      <c r="G67" s="1600">
        <v>2340.6105199023596</v>
      </c>
      <c r="H67" s="798">
        <v>-175.42208517324201</v>
      </c>
      <c r="I67" s="799">
        <v>165.48372586895277</v>
      </c>
      <c r="J67" s="798">
        <v>329.16063921072322</v>
      </c>
      <c r="K67" s="799">
        <v>822.81630430097835</v>
      </c>
      <c r="L67" s="798">
        <v>1542.6986689966734</v>
      </c>
      <c r="M67" s="800">
        <v>0.81682556663453787</v>
      </c>
      <c r="N67" s="800">
        <v>-7.8982458379585771E-2</v>
      </c>
      <c r="O67" s="800">
        <v>8.747120098327793E-2</v>
      </c>
      <c r="P67" s="800">
        <v>0.65457184813239944</v>
      </c>
      <c r="Q67" s="798"/>
      <c r="R67" s="801">
        <v>11.33704899</v>
      </c>
      <c r="S67" s="801">
        <v>9.6568748400000004</v>
      </c>
      <c r="T67" s="802">
        <v>12.0301262</v>
      </c>
      <c r="U67" s="802">
        <v>9.82651465</v>
      </c>
      <c r="V67" s="802">
        <v>2.1209444999999998</v>
      </c>
      <c r="W67" s="801">
        <v>11.94745915</v>
      </c>
      <c r="X67" s="801">
        <v>-0.89542799999999989</v>
      </c>
      <c r="Y67" s="802">
        <v>4.2</v>
      </c>
      <c r="Z67" s="801">
        <v>7.8745819400000006</v>
      </c>
      <c r="AA67" s="801">
        <v>0.80932230000000005</v>
      </c>
      <c r="AB67" s="802">
        <v>2.40602524</v>
      </c>
      <c r="AC67" s="802">
        <v>5.4685567000000006</v>
      </c>
      <c r="AD67" s="802"/>
    </row>
    <row r="68" spans="1:30" ht="14" thickBot="1">
      <c r="A68" s="80">
        <v>1322</v>
      </c>
      <c r="B68" s="81" t="s">
        <v>1301</v>
      </c>
      <c r="C68" s="797">
        <v>5789.42</v>
      </c>
      <c r="D68" s="798">
        <v>2151.9361697717563</v>
      </c>
      <c r="E68" s="798">
        <v>1787.1577895540483</v>
      </c>
      <c r="F68" s="798">
        <v>389.7206715007722</v>
      </c>
      <c r="G68" s="1600">
        <v>2176.8784610548209</v>
      </c>
      <c r="H68" s="798">
        <v>40.123518418079875</v>
      </c>
      <c r="I68" s="799">
        <v>133.82214453261292</v>
      </c>
      <c r="J68" s="798">
        <v>177.46804515823692</v>
      </c>
      <c r="K68" s="799">
        <v>537.9599303557178</v>
      </c>
      <c r="L68" s="798">
        <v>495.70207378286597</v>
      </c>
      <c r="M68" s="800">
        <v>0.83048828987506729</v>
      </c>
      <c r="N68" s="800">
        <v>1.8794227365774005E-2</v>
      </c>
      <c r="O68" s="800">
        <v>6.836669543338128E-2</v>
      </c>
      <c r="P68" s="800">
        <v>0.23035166225931428</v>
      </c>
      <c r="Q68" s="798"/>
      <c r="R68" s="801">
        <v>12.35974725</v>
      </c>
      <c r="S68" s="801">
        <v>11.332310199999998</v>
      </c>
      <c r="T68" s="802">
        <v>12.458462300000001</v>
      </c>
      <c r="U68" s="802">
        <v>10.346607049999999</v>
      </c>
      <c r="V68" s="802">
        <v>2.2562566500000005</v>
      </c>
      <c r="W68" s="801">
        <v>12.6028637</v>
      </c>
      <c r="X68" s="801">
        <v>0.2322919</v>
      </c>
      <c r="Y68" s="802">
        <v>3.1144759799999999</v>
      </c>
      <c r="Z68" s="801">
        <v>2.8698275</v>
      </c>
      <c r="AA68" s="801">
        <v>0.96098139999999999</v>
      </c>
      <c r="AB68" s="802">
        <v>2.4916924600000003</v>
      </c>
      <c r="AC68" s="802">
        <v>0.37813503999999964</v>
      </c>
      <c r="AD68" s="802"/>
    </row>
    <row r="69" spans="1:30" ht="14" thickBot="1">
      <c r="A69" s="80">
        <v>1328</v>
      </c>
      <c r="B69" s="81" t="s">
        <v>1302</v>
      </c>
      <c r="C69" s="797">
        <v>7327</v>
      </c>
      <c r="D69" s="798">
        <v>2304.5003002593148</v>
      </c>
      <c r="E69" s="798">
        <v>2217.1138528729357</v>
      </c>
      <c r="F69" s="798">
        <v>391.93794868295345</v>
      </c>
      <c r="G69" s="1600">
        <v>2609.0518015558891</v>
      </c>
      <c r="H69" s="798">
        <v>-185.35280469496382</v>
      </c>
      <c r="I69" s="799">
        <v>189.21319912651836</v>
      </c>
      <c r="J69" s="798">
        <v>109.92239388562848</v>
      </c>
      <c r="K69" s="799">
        <v>665.13416132114094</v>
      </c>
      <c r="L69" s="798">
        <v>1335.8665210863928</v>
      </c>
      <c r="M69" s="800">
        <v>0.96208008852220761</v>
      </c>
      <c r="N69" s="800">
        <v>-8.0040302008288183E-2</v>
      </c>
      <c r="O69" s="800">
        <v>8.5779034091938294E-2</v>
      </c>
      <c r="P69" s="800">
        <v>0.57967730398476136</v>
      </c>
      <c r="Q69" s="798"/>
      <c r="R69" s="801">
        <v>16.967452220000002</v>
      </c>
      <c r="S69" s="801">
        <v>16.162050839999999</v>
      </c>
      <c r="T69" s="802">
        <v>16.8850737</v>
      </c>
      <c r="U69" s="802">
        <v>16.2447932</v>
      </c>
      <c r="V69" s="802">
        <v>2.8717293499999998</v>
      </c>
      <c r="W69" s="801">
        <v>19.116522549999999</v>
      </c>
      <c r="X69" s="801">
        <v>-1.35808</v>
      </c>
      <c r="Y69" s="802">
        <v>4.8734380000000002</v>
      </c>
      <c r="Z69" s="801">
        <v>9.7878939999999997</v>
      </c>
      <c r="AA69" s="801">
        <v>6.2922307499999999</v>
      </c>
      <c r="AB69" s="802">
        <v>3.3770147400000003</v>
      </c>
      <c r="AC69" s="802">
        <v>6.4108792599999997</v>
      </c>
      <c r="AD69" s="802"/>
    </row>
    <row r="70" spans="1:30" ht="14" thickBot="1">
      <c r="A70" s="80">
        <v>1331</v>
      </c>
      <c r="B70" s="81" t="s">
        <v>1303</v>
      </c>
      <c r="C70" s="797">
        <v>1144</v>
      </c>
      <c r="D70" s="798">
        <v>1806.2963286713289</v>
      </c>
      <c r="E70" s="798">
        <v>1382.3388548951052</v>
      </c>
      <c r="F70" s="798">
        <v>316.86149475524473</v>
      </c>
      <c r="G70" s="1600">
        <v>1699.2003496503498</v>
      </c>
      <c r="H70" s="798">
        <v>150.93627622377622</v>
      </c>
      <c r="I70" s="799">
        <v>206.37071678321678</v>
      </c>
      <c r="J70" s="798">
        <v>-17.154152097902077</v>
      </c>
      <c r="K70" s="799">
        <v>480.76923076923077</v>
      </c>
      <c r="L70" s="798">
        <v>1135.6450174825175</v>
      </c>
      <c r="M70" s="800">
        <v>0.76528907962290038</v>
      </c>
      <c r="N70" s="800">
        <v>8.3347293244266318E-2</v>
      </c>
      <c r="O70" s="800">
        <v>0.11288894796876918</v>
      </c>
      <c r="P70" s="800">
        <v>0.62871467956637683</v>
      </c>
      <c r="Q70" s="798"/>
      <c r="R70" s="801">
        <v>2.0717061499999998</v>
      </c>
      <c r="S70" s="801">
        <v>2.0913305000000002</v>
      </c>
      <c r="T70" s="802">
        <v>2.0664030000000002</v>
      </c>
      <c r="U70" s="802">
        <v>1.5813956500000002</v>
      </c>
      <c r="V70" s="802">
        <v>0.36248954999999999</v>
      </c>
      <c r="W70" s="801">
        <v>1.9438852000000002</v>
      </c>
      <c r="X70" s="801">
        <v>0.17267109999999999</v>
      </c>
      <c r="Y70" s="802">
        <v>0.55000000000000004</v>
      </c>
      <c r="Z70" s="801">
        <v>1.2991778999999999</v>
      </c>
      <c r="AA70" s="801" t="s">
        <v>1412</v>
      </c>
      <c r="AB70" s="802">
        <v>0.41328060000000005</v>
      </c>
      <c r="AC70" s="802">
        <v>0.88589729999999989</v>
      </c>
      <c r="AD70" s="802"/>
    </row>
    <row r="71" spans="1:30" ht="14" thickBot="1">
      <c r="A71" s="80">
        <v>1362</v>
      </c>
      <c r="B71" s="81" t="s">
        <v>1304</v>
      </c>
      <c r="C71" s="797">
        <v>567</v>
      </c>
      <c r="D71" s="798">
        <v>1649.7363315696648</v>
      </c>
      <c r="E71" s="798">
        <v>1357.3619929453264</v>
      </c>
      <c r="F71" s="798">
        <v>252.47001763668436</v>
      </c>
      <c r="G71" s="1600">
        <v>1609.8320105820108</v>
      </c>
      <c r="H71" s="798">
        <v>220.31393298059965</v>
      </c>
      <c r="I71" s="799">
        <v>71.778835978835971</v>
      </c>
      <c r="J71" s="798">
        <v>39.403880070546734</v>
      </c>
      <c r="K71" s="799">
        <v>398.58906525573195</v>
      </c>
      <c r="L71" s="798">
        <v>2172.9658906525569</v>
      </c>
      <c r="M71" s="800">
        <v>0.82277511076806154</v>
      </c>
      <c r="N71" s="800">
        <v>0.13045137556504902</v>
      </c>
      <c r="O71" s="800">
        <v>4.3516704814594014E-2</v>
      </c>
      <c r="P71" s="800">
        <v>1.3171595054738585</v>
      </c>
      <c r="Q71" s="798"/>
      <c r="R71" s="801">
        <v>0.95758284999999999</v>
      </c>
      <c r="S71" s="801">
        <v>0.93524085000000001</v>
      </c>
      <c r="T71" s="802">
        <v>0.93540049999999997</v>
      </c>
      <c r="U71" s="802">
        <v>0.76962425000000001</v>
      </c>
      <c r="V71" s="802">
        <v>0.14315050000000001</v>
      </c>
      <c r="W71" s="801">
        <v>0.91277475000000008</v>
      </c>
      <c r="X71" s="801">
        <v>0.124918</v>
      </c>
      <c r="Y71" s="802">
        <v>0.22600000000000001</v>
      </c>
      <c r="Z71" s="801">
        <v>1.2320716599999999</v>
      </c>
      <c r="AA71" s="801" t="s">
        <v>1412</v>
      </c>
      <c r="AB71" s="802">
        <v>0.1870801</v>
      </c>
      <c r="AC71" s="802">
        <v>1.0449915599999999</v>
      </c>
      <c r="AD71" s="802"/>
    </row>
    <row r="72" spans="1:30" ht="14" thickBot="1">
      <c r="A72" s="80">
        <v>1384</v>
      </c>
      <c r="B72" s="81" t="s">
        <v>1305</v>
      </c>
      <c r="C72" s="797">
        <v>578093.92000000004</v>
      </c>
      <c r="D72" s="798">
        <v>2352.029832194049</v>
      </c>
      <c r="E72" s="798">
        <v>2049.7952749961464</v>
      </c>
      <c r="F72" s="798">
        <v>386.96461448686404</v>
      </c>
      <c r="G72" s="1600">
        <v>2436.7598894830103</v>
      </c>
      <c r="H72" s="798">
        <v>47.879946549169738</v>
      </c>
      <c r="I72" s="799">
        <v>143.97270389904804</v>
      </c>
      <c r="J72" s="798">
        <v>49.194773178033067</v>
      </c>
      <c r="K72" s="799">
        <v>485.50602794784623</v>
      </c>
      <c r="L72" s="798">
        <v>431.8670113153932</v>
      </c>
      <c r="M72" s="800">
        <v>0.87150054261175403</v>
      </c>
      <c r="N72" s="800">
        <v>2.0310782024650548E-2</v>
      </c>
      <c r="O72" s="800">
        <v>6.2375227428522931E-2</v>
      </c>
      <c r="P72" s="800">
        <v>0.18361459765692417</v>
      </c>
      <c r="Q72" s="798"/>
      <c r="R72" s="801">
        <v>1362.7789395999998</v>
      </c>
      <c r="S72" s="801">
        <v>1334.3397403299998</v>
      </c>
      <c r="T72" s="802">
        <v>1359.6941456500001</v>
      </c>
      <c r="U72" s="802">
        <v>1184.9741857200004</v>
      </c>
      <c r="V72" s="802">
        <v>223.70189089000002</v>
      </c>
      <c r="W72" s="801">
        <v>1408.6760766100003</v>
      </c>
      <c r="X72" s="801">
        <v>27.679105990000011</v>
      </c>
      <c r="Y72" s="802">
        <v>280.66808287999999</v>
      </c>
      <c r="Z72" s="801">
        <v>249.65969349000002</v>
      </c>
      <c r="AA72" s="801">
        <v>838.00490247000005</v>
      </c>
      <c r="AB72" s="802">
        <v>203.95412184750001</v>
      </c>
      <c r="AC72" s="802">
        <v>45.705571642500018</v>
      </c>
      <c r="AD72" s="802"/>
    </row>
    <row r="73" spans="1:30" ht="14" thickBot="1">
      <c r="A73" s="80">
        <v>1386</v>
      </c>
      <c r="B73" s="81" t="s">
        <v>1306</v>
      </c>
      <c r="C73" s="797">
        <v>11747.33</v>
      </c>
      <c r="D73" s="798">
        <v>3003.3994873728757</v>
      </c>
      <c r="E73" s="798">
        <v>3525.8783195841092</v>
      </c>
      <c r="F73" s="798">
        <v>497.99007008401054</v>
      </c>
      <c r="G73" s="1600">
        <v>4023.8683896681205</v>
      </c>
      <c r="H73" s="798">
        <v>-862.82125470213225</v>
      </c>
      <c r="I73" s="799">
        <v>203.73342368010432</v>
      </c>
      <c r="J73" s="798">
        <v>237.55970420512574</v>
      </c>
      <c r="K73" s="799">
        <v>1064.0715805208504</v>
      </c>
      <c r="L73" s="798">
        <v>668.76619963855626</v>
      </c>
      <c r="M73" s="800">
        <v>1.173962482982327</v>
      </c>
      <c r="N73" s="800">
        <v>-0.28183962465254225</v>
      </c>
      <c r="O73" s="800">
        <v>7.2147876932363894E-2</v>
      </c>
      <c r="P73" s="800">
        <v>0.22266974555007912</v>
      </c>
      <c r="Q73" s="798"/>
      <c r="R73" s="801">
        <v>35.963168850000002</v>
      </c>
      <c r="S73" s="801">
        <v>33.172476609999997</v>
      </c>
      <c r="T73" s="802">
        <v>35.2819249</v>
      </c>
      <c r="U73" s="802">
        <v>41.419656159999995</v>
      </c>
      <c r="V73" s="802">
        <v>5.8500536899999993</v>
      </c>
      <c r="W73" s="801">
        <v>47.269709849999998</v>
      </c>
      <c r="X73" s="801">
        <v>-10.13584601</v>
      </c>
      <c r="Y73" s="802">
        <v>12.5</v>
      </c>
      <c r="Z73" s="801">
        <v>7.8562172400000003</v>
      </c>
      <c r="AA73" s="801">
        <v>14.223642199999999</v>
      </c>
      <c r="AB73" s="802">
        <v>7.0563849800000007</v>
      </c>
      <c r="AC73" s="802">
        <v>0.79983225999999963</v>
      </c>
      <c r="AD73" s="802"/>
    </row>
    <row r="74" spans="1:30" ht="14" thickBot="1">
      <c r="A74" s="80">
        <v>1395</v>
      </c>
      <c r="B74" s="81" t="s">
        <v>1307</v>
      </c>
      <c r="C74" s="797">
        <v>21936.67</v>
      </c>
      <c r="D74" s="798">
        <v>2457.5053114260272</v>
      </c>
      <c r="E74" s="798">
        <v>1491.7318941297833</v>
      </c>
      <c r="F74" s="798">
        <v>288.35339730232522</v>
      </c>
      <c r="G74" s="1600">
        <v>1780.0852914321085</v>
      </c>
      <c r="H74" s="798">
        <v>625.5346786909771</v>
      </c>
      <c r="I74" s="799">
        <v>208.96552120262552</v>
      </c>
      <c r="J74" s="798">
        <v>103.24237179116064</v>
      </c>
      <c r="K74" s="799">
        <v>411.61354480876082</v>
      </c>
      <c r="L74" s="798">
        <v>501.04142059847732</v>
      </c>
      <c r="M74" s="800">
        <v>0.60701064904888025</v>
      </c>
      <c r="N74" s="800">
        <v>0.25252846025450743</v>
      </c>
      <c r="O74" s="800">
        <v>8.8028348191572819E-2</v>
      </c>
      <c r="P74" s="800">
        <v>0.20388213130971253</v>
      </c>
      <c r="Q74" s="798"/>
      <c r="R74" s="801">
        <v>54.339015120000006</v>
      </c>
      <c r="S74" s="801">
        <v>52.074221250000001</v>
      </c>
      <c r="T74" s="802">
        <v>53.909483039999998</v>
      </c>
      <c r="U74" s="802">
        <v>32.723630289999996</v>
      </c>
      <c r="V74" s="802">
        <v>6.3255133199999998</v>
      </c>
      <c r="W74" s="801">
        <v>39.049143609999994</v>
      </c>
      <c r="X74" s="801">
        <v>13.722147819999998</v>
      </c>
      <c r="Y74" s="802">
        <v>9.0294305000000001</v>
      </c>
      <c r="Z74" s="801">
        <v>10.9911803</v>
      </c>
      <c r="AA74" s="801" t="s">
        <v>1412</v>
      </c>
      <c r="AB74" s="802">
        <v>10.781896608</v>
      </c>
      <c r="AC74" s="802">
        <v>0.20928369199999963</v>
      </c>
      <c r="AD74" s="802"/>
    </row>
    <row r="75" spans="1:30" ht="14" thickBot="1">
      <c r="A75" s="80">
        <v>1401</v>
      </c>
      <c r="B75" s="81" t="s">
        <v>1308</v>
      </c>
      <c r="C75" s="797">
        <v>9705</v>
      </c>
      <c r="D75" s="798">
        <v>2286.7593869139619</v>
      </c>
      <c r="E75" s="798">
        <v>1848.0738536836682</v>
      </c>
      <c r="F75" s="798">
        <v>369.8939979392066</v>
      </c>
      <c r="G75" s="1600">
        <v>2217.9678516228746</v>
      </c>
      <c r="H75" s="798">
        <v>219.11901081916537</v>
      </c>
      <c r="I75" s="799">
        <v>106.88860896445131</v>
      </c>
      <c r="J75" s="798">
        <v>41.64830396702726</v>
      </c>
      <c r="K75" s="799">
        <v>556.41421947449771</v>
      </c>
      <c r="L75" s="798">
        <v>481.34574549201437</v>
      </c>
      <c r="M75" s="800">
        <v>0.80816279327825979</v>
      </c>
      <c r="N75" s="800">
        <v>9.7800702522652064E-2</v>
      </c>
      <c r="O75" s="800">
        <v>4.861188707452193E-2</v>
      </c>
      <c r="P75" s="800">
        <v>0.21049251978434086</v>
      </c>
      <c r="Q75" s="798"/>
      <c r="R75" s="801">
        <v>21.74370884</v>
      </c>
      <c r="S75" s="801">
        <v>21.33951205</v>
      </c>
      <c r="T75" s="802">
        <v>22.192999850000003</v>
      </c>
      <c r="U75" s="802">
        <v>17.93555675</v>
      </c>
      <c r="V75" s="802">
        <v>3.58982125</v>
      </c>
      <c r="W75" s="801">
        <v>21.525378</v>
      </c>
      <c r="X75" s="801">
        <v>2.1265499999999999</v>
      </c>
      <c r="Y75" s="802">
        <v>5.4</v>
      </c>
      <c r="Z75" s="801">
        <v>4.6714604599999996</v>
      </c>
      <c r="AA75" s="801">
        <v>12.002107000000001</v>
      </c>
      <c r="AB75" s="802">
        <v>4.4385999700000003</v>
      </c>
      <c r="AC75" s="802">
        <v>0.23286048999999931</v>
      </c>
      <c r="AD75" s="802"/>
    </row>
    <row r="76" spans="1:30" ht="14" thickBot="1">
      <c r="A76" s="80">
        <v>1423</v>
      </c>
      <c r="B76" s="81" t="s">
        <v>1309</v>
      </c>
      <c r="C76" s="797">
        <v>4712</v>
      </c>
      <c r="D76" s="798">
        <v>2159.2403544142617</v>
      </c>
      <c r="E76" s="798">
        <v>1597.3973153650254</v>
      </c>
      <c r="F76" s="798">
        <v>334.16970500848896</v>
      </c>
      <c r="G76" s="1600">
        <v>1931.5670203735144</v>
      </c>
      <c r="H76" s="798">
        <v>393.05872241086587</v>
      </c>
      <c r="I76" s="799">
        <v>85.586196943972837</v>
      </c>
      <c r="J76" s="798">
        <v>86.577030984719883</v>
      </c>
      <c r="K76" s="799">
        <v>424.44821731748726</v>
      </c>
      <c r="L76" s="798">
        <v>519.74406621392188</v>
      </c>
      <c r="M76" s="800">
        <v>0.739795971346762</v>
      </c>
      <c r="N76" s="800">
        <v>0.18048214518307992</v>
      </c>
      <c r="O76" s="800">
        <v>4.092587492728092E-2</v>
      </c>
      <c r="P76" s="800">
        <v>0.24070690655228755</v>
      </c>
      <c r="Q76" s="798"/>
      <c r="R76" s="801">
        <v>10.261916479999998</v>
      </c>
      <c r="S76" s="801">
        <v>9.8539655100000019</v>
      </c>
      <c r="T76" s="802">
        <v>10.17434055</v>
      </c>
      <c r="U76" s="802">
        <v>7.52693615</v>
      </c>
      <c r="V76" s="802">
        <v>1.5746076499999999</v>
      </c>
      <c r="W76" s="801">
        <v>9.1015438</v>
      </c>
      <c r="X76" s="801">
        <v>1.8520927</v>
      </c>
      <c r="Y76" s="802">
        <v>2</v>
      </c>
      <c r="Z76" s="801">
        <v>2.4490340399999999</v>
      </c>
      <c r="AA76" s="801">
        <v>3.1475894500000003</v>
      </c>
      <c r="AB76" s="802">
        <v>2.0348681100000001</v>
      </c>
      <c r="AC76" s="802">
        <v>0.41416592999999979</v>
      </c>
      <c r="AD76" s="802"/>
    </row>
    <row r="77" spans="1:30" ht="14" thickBot="1">
      <c r="A77" s="80">
        <v>1442</v>
      </c>
      <c r="B77" s="81" t="s">
        <v>1310</v>
      </c>
      <c r="C77" s="797">
        <v>1129.5</v>
      </c>
      <c r="D77" s="798">
        <v>2295.8967684816289</v>
      </c>
      <c r="E77" s="798">
        <v>1403.296104471005</v>
      </c>
      <c r="F77" s="798">
        <v>325.38711819389107</v>
      </c>
      <c r="G77" s="1600">
        <v>1728.6832226648962</v>
      </c>
      <c r="H77" s="798">
        <v>791.98494909251883</v>
      </c>
      <c r="I77" s="799">
        <v>193.95805223550244</v>
      </c>
      <c r="J77" s="798">
        <v>75.399344842850866</v>
      </c>
      <c r="K77" s="799">
        <v>371.84594953519252</v>
      </c>
      <c r="L77" s="798">
        <v>701.17667109340414</v>
      </c>
      <c r="M77" s="800">
        <v>0.61121916443963753</v>
      </c>
      <c r="N77" s="800">
        <v>0.35607326759763436</v>
      </c>
      <c r="O77" s="800">
        <v>9.026259891843319E-2</v>
      </c>
      <c r="P77" s="800">
        <v>0.3054042676130953</v>
      </c>
      <c r="Q77" s="798"/>
      <c r="R77" s="801">
        <v>2.5122554299999997</v>
      </c>
      <c r="S77" s="801">
        <v>2.4270918699999999</v>
      </c>
      <c r="T77" s="802">
        <v>2.5932154000000001</v>
      </c>
      <c r="U77" s="802">
        <v>1.5850229500000002</v>
      </c>
      <c r="V77" s="802">
        <v>0.36752475000000001</v>
      </c>
      <c r="W77" s="801">
        <v>1.9525477000000002</v>
      </c>
      <c r="X77" s="801">
        <v>0.89454699999999998</v>
      </c>
      <c r="Y77" s="802">
        <v>0.42</v>
      </c>
      <c r="Z77" s="801">
        <v>0.79197905000000002</v>
      </c>
      <c r="AA77" s="801">
        <v>2.4290200000000001E-2</v>
      </c>
      <c r="AB77" s="802">
        <v>0.51864308000000003</v>
      </c>
      <c r="AC77" s="802">
        <v>0.27333596999999998</v>
      </c>
      <c r="AD77" s="802"/>
    </row>
    <row r="78" spans="1:30" ht="14" thickBot="1">
      <c r="A78" s="80">
        <v>1454</v>
      </c>
      <c r="B78" s="81" t="s">
        <v>1311</v>
      </c>
      <c r="C78" s="797">
        <v>6938</v>
      </c>
      <c r="D78" s="798">
        <v>1997.1834433554336</v>
      </c>
      <c r="E78" s="798">
        <v>1496.972275872009</v>
      </c>
      <c r="F78" s="798">
        <v>271.30451859325461</v>
      </c>
      <c r="G78" s="1600">
        <v>1768.2767944652637</v>
      </c>
      <c r="H78" s="798">
        <v>467.62179302392622</v>
      </c>
      <c r="I78" s="799">
        <v>50.350533294897666</v>
      </c>
      <c r="J78" s="798">
        <v>22.961174690112426</v>
      </c>
      <c r="K78" s="799">
        <v>521.76419717497834</v>
      </c>
      <c r="L78" s="798">
        <v>666.51137503603331</v>
      </c>
      <c r="M78" s="800">
        <v>0.74954170126554409</v>
      </c>
      <c r="N78" s="800">
        <v>0.22626139893024605</v>
      </c>
      <c r="O78" s="800">
        <v>2.4636089164642376E-2</v>
      </c>
      <c r="P78" s="800">
        <v>0.3337256661392301</v>
      </c>
      <c r="Q78" s="798"/>
      <c r="R78" s="801">
        <v>14.338990279999999</v>
      </c>
      <c r="S78" s="801">
        <v>14.17968565</v>
      </c>
      <c r="T78" s="802">
        <v>13.856458729999998</v>
      </c>
      <c r="U78" s="802">
        <v>10.38599365</v>
      </c>
      <c r="V78" s="802">
        <v>1.8823107500000003</v>
      </c>
      <c r="W78" s="801">
        <v>12.2683044</v>
      </c>
      <c r="X78" s="801">
        <v>3.2443599999999999</v>
      </c>
      <c r="Y78" s="802">
        <v>3.62</v>
      </c>
      <c r="Z78" s="801">
        <v>4.6242559199999995</v>
      </c>
      <c r="AA78" s="801">
        <v>2.2032618999999998</v>
      </c>
      <c r="AB78" s="802">
        <v>2.7712917459999997</v>
      </c>
      <c r="AC78" s="802">
        <v>1.8529641739999998</v>
      </c>
      <c r="AD78" s="802"/>
    </row>
    <row r="79" spans="1:30" ht="14" thickBot="1">
      <c r="A79" s="80">
        <v>1479</v>
      </c>
      <c r="B79" s="81" t="s">
        <v>1312</v>
      </c>
      <c r="C79" s="797">
        <v>284768.26</v>
      </c>
      <c r="D79" s="798">
        <v>2995.2740219362931</v>
      </c>
      <c r="E79" s="798">
        <v>2437.7302801934457</v>
      </c>
      <c r="F79" s="798">
        <v>454.09725831102111</v>
      </c>
      <c r="G79" s="1600">
        <v>2891.8275385044667</v>
      </c>
      <c r="H79" s="798">
        <v>249.57112267357326</v>
      </c>
      <c r="I79" s="799">
        <v>174.95688167634975</v>
      </c>
      <c r="J79" s="798">
        <v>122.67272153153586</v>
      </c>
      <c r="K79" s="799">
        <v>653.25784551972185</v>
      </c>
      <c r="L79" s="798">
        <v>542.18327951998583</v>
      </c>
      <c r="M79" s="800">
        <v>0.8138588530933728</v>
      </c>
      <c r="N79" s="800">
        <v>8.236628882359788E-2</v>
      </c>
      <c r="O79" s="800">
        <v>6.0177592284405466E-2</v>
      </c>
      <c r="P79" s="800">
        <v>0.18101291419390464</v>
      </c>
      <c r="Q79" s="798"/>
      <c r="R79" s="801">
        <v>862.85221010999987</v>
      </c>
      <c r="S79" s="801">
        <v>827.91891264999992</v>
      </c>
      <c r="T79" s="802">
        <v>852.95897145000004</v>
      </c>
      <c r="U79" s="802">
        <v>694.18821023999999</v>
      </c>
      <c r="V79" s="802">
        <v>129.31248612000002</v>
      </c>
      <c r="W79" s="801">
        <v>823.50069636000001</v>
      </c>
      <c r="X79" s="801">
        <v>71.069934350000011</v>
      </c>
      <c r="Y79" s="802">
        <v>186.02709999999999</v>
      </c>
      <c r="Z79" s="801">
        <v>154.39658911000001</v>
      </c>
      <c r="AA79" s="801">
        <v>101.47975425</v>
      </c>
      <c r="AB79" s="802">
        <v>127.9438457175</v>
      </c>
      <c r="AC79" s="802">
        <v>26.452743392500011</v>
      </c>
      <c r="AD79" s="802"/>
    </row>
    <row r="80" spans="1:30" ht="14" thickBot="1">
      <c r="A80" s="80">
        <v>1507</v>
      </c>
      <c r="B80" s="81" t="s">
        <v>1313</v>
      </c>
      <c r="C80" s="797">
        <v>6929.66</v>
      </c>
      <c r="D80" s="798">
        <v>2061.2421821561229</v>
      </c>
      <c r="E80" s="798">
        <v>1556.2901700804948</v>
      </c>
      <c r="F80" s="798">
        <v>319.89389089796612</v>
      </c>
      <c r="G80" s="1600">
        <v>1876.1840609784606</v>
      </c>
      <c r="H80" s="798">
        <v>207.94425700539423</v>
      </c>
      <c r="I80" s="799">
        <v>164.7528262569881</v>
      </c>
      <c r="J80" s="798">
        <v>149.19245244355423</v>
      </c>
      <c r="K80" s="799">
        <v>574.34275274688798</v>
      </c>
      <c r="L80" s="798">
        <v>793.83713198050123</v>
      </c>
      <c r="M80" s="800">
        <v>0.75502538399081631</v>
      </c>
      <c r="N80" s="800">
        <v>9.8436496913388863E-2</v>
      </c>
      <c r="O80" s="800">
        <v>8.3917188566069445E-2</v>
      </c>
      <c r="P80" s="800">
        <v>0.38512559991864853</v>
      </c>
      <c r="Q80" s="798"/>
      <c r="R80" s="801">
        <v>14.63870663</v>
      </c>
      <c r="S80" s="801">
        <v>13.60485366</v>
      </c>
      <c r="T80" s="802">
        <v>14.2837075</v>
      </c>
      <c r="U80" s="802">
        <v>10.784561740000001</v>
      </c>
      <c r="V80" s="802">
        <v>2.2167558999999999</v>
      </c>
      <c r="W80" s="801">
        <v>13.00131764</v>
      </c>
      <c r="X80" s="801">
        <v>1.4409830000000001</v>
      </c>
      <c r="Y80" s="802">
        <v>3.98</v>
      </c>
      <c r="Z80" s="801">
        <v>5.5010214199999998</v>
      </c>
      <c r="AA80" s="801" t="s">
        <v>1412</v>
      </c>
      <c r="AB80" s="802">
        <v>2.8567415</v>
      </c>
      <c r="AC80" s="802">
        <v>2.6442799199999998</v>
      </c>
      <c r="AD80" s="802"/>
    </row>
    <row r="81" spans="1:30" ht="14" thickBot="1">
      <c r="A81" s="80">
        <v>1509</v>
      </c>
      <c r="B81" s="81" t="s">
        <v>1314</v>
      </c>
      <c r="C81" s="797">
        <v>370180.03</v>
      </c>
      <c r="D81" s="798">
        <v>2415.3209190944199</v>
      </c>
      <c r="E81" s="798">
        <v>1752.7335214706202</v>
      </c>
      <c r="F81" s="798">
        <v>376.93468767075308</v>
      </c>
      <c r="G81" s="1600">
        <v>2129.6682091413732</v>
      </c>
      <c r="H81" s="798">
        <v>460.12931059517172</v>
      </c>
      <c r="I81" s="799">
        <v>159.38936670894967</v>
      </c>
      <c r="J81" s="798">
        <v>32.580287785918642</v>
      </c>
      <c r="K81" s="799">
        <v>513.26377600650153</v>
      </c>
      <c r="L81" s="798">
        <v>374.64904873447659</v>
      </c>
      <c r="M81" s="800">
        <v>0.72567314248566828</v>
      </c>
      <c r="N81" s="800">
        <v>0.18992872410465503</v>
      </c>
      <c r="O81" s="800">
        <v>6.6688388665757103E-2</v>
      </c>
      <c r="P81" s="800">
        <v>0.15511356928707606</v>
      </c>
      <c r="Q81" s="798"/>
      <c r="R81" s="801">
        <v>896.81370104999996</v>
      </c>
      <c r="S81" s="801">
        <v>884.75312915000006</v>
      </c>
      <c r="T81" s="802">
        <v>894.10357028999999</v>
      </c>
      <c r="U81" s="802">
        <v>648.82694755999989</v>
      </c>
      <c r="V81" s="802">
        <v>139.53369399000002</v>
      </c>
      <c r="W81" s="801">
        <v>788.36064154999985</v>
      </c>
      <c r="X81" s="801">
        <v>170.330682</v>
      </c>
      <c r="Y81" s="802">
        <v>190</v>
      </c>
      <c r="Z81" s="801">
        <v>138.68759610000001</v>
      </c>
      <c r="AA81" s="801" t="s">
        <v>1412</v>
      </c>
      <c r="AB81" s="802">
        <v>134.11553554349999</v>
      </c>
      <c r="AC81" s="802">
        <v>4.5720605565000199</v>
      </c>
      <c r="AD81" s="802"/>
    </row>
    <row r="82" spans="1:30" ht="14" thickBot="1">
      <c r="A82" s="80">
        <v>1520</v>
      </c>
      <c r="B82" s="81" t="s">
        <v>1315</v>
      </c>
      <c r="C82" s="797">
        <v>9858.75</v>
      </c>
      <c r="D82" s="798">
        <v>3371.1012805883101</v>
      </c>
      <c r="E82" s="798">
        <v>2763.4199721059967</v>
      </c>
      <c r="F82" s="798">
        <v>365.76841891720557</v>
      </c>
      <c r="G82" s="1600">
        <v>3129.1883910232027</v>
      </c>
      <c r="H82" s="798">
        <v>304.29821224800304</v>
      </c>
      <c r="I82" s="799">
        <v>203.77663294028147</v>
      </c>
      <c r="J82" s="798">
        <v>214.90752580195257</v>
      </c>
      <c r="K82" s="799">
        <v>953.46773171040957</v>
      </c>
      <c r="L82" s="798">
        <v>447.11848662355777</v>
      </c>
      <c r="M82" s="800">
        <v>0.81973804466169486</v>
      </c>
      <c r="N82" s="800">
        <v>9.1160846642445961E-2</v>
      </c>
      <c r="O82" s="800">
        <v>6.5247592977595761E-2</v>
      </c>
      <c r="P82" s="800">
        <v>0.1326327657962055</v>
      </c>
      <c r="Q82" s="798"/>
      <c r="R82" s="801">
        <v>32.908865050000003</v>
      </c>
      <c r="S82" s="801">
        <v>30.79014548</v>
      </c>
      <c r="T82" s="802">
        <v>33.234844750000001</v>
      </c>
      <c r="U82" s="802">
        <v>27.243866649999998</v>
      </c>
      <c r="V82" s="802">
        <v>3.6060194000000001</v>
      </c>
      <c r="W82" s="801">
        <v>30.849886049999999</v>
      </c>
      <c r="X82" s="801">
        <v>3</v>
      </c>
      <c r="Y82" s="802">
        <v>9.4</v>
      </c>
      <c r="Z82" s="801">
        <v>4.4080293800000003</v>
      </c>
      <c r="AA82" s="801">
        <v>7.075010000000001E-2</v>
      </c>
      <c r="AB82" s="802">
        <v>6.6469689499999998</v>
      </c>
      <c r="AC82" s="802"/>
      <c r="AD82" s="802">
        <v>-2.2389395699999994</v>
      </c>
    </row>
    <row r="83" spans="1:30" ht="14" thickBot="1">
      <c r="A83" s="80">
        <v>1529</v>
      </c>
      <c r="B83" s="81" t="s">
        <v>1316</v>
      </c>
      <c r="C83" s="797">
        <v>337679</v>
      </c>
      <c r="D83" s="798">
        <v>2885.6742724599399</v>
      </c>
      <c r="E83" s="798">
        <v>2451.7103771629268</v>
      </c>
      <c r="F83" s="798">
        <v>435.91882098087228</v>
      </c>
      <c r="G83" s="1600">
        <v>2887.6291981437994</v>
      </c>
      <c r="H83" s="798">
        <v>253.10557408070977</v>
      </c>
      <c r="I83" s="799">
        <v>115.79032989910537</v>
      </c>
      <c r="J83" s="798">
        <v>55.922357297907176</v>
      </c>
      <c r="K83" s="799">
        <v>571.33696063421178</v>
      </c>
      <c r="L83" s="798">
        <v>321.79805051543036</v>
      </c>
      <c r="M83" s="800">
        <v>0.84961438668298706</v>
      </c>
      <c r="N83" s="800">
        <v>8.7801330738445871E-2</v>
      </c>
      <c r="O83" s="800">
        <v>4.0961840033575309E-2</v>
      </c>
      <c r="P83" s="800">
        <v>0.11151572219587638</v>
      </c>
      <c r="Q83" s="798"/>
      <c r="R83" s="801">
        <v>973.42986070000006</v>
      </c>
      <c r="S83" s="801">
        <v>954.54605501000003</v>
      </c>
      <c r="T83" s="802">
        <v>974.43160265000006</v>
      </c>
      <c r="U83" s="802">
        <v>827.89110845000005</v>
      </c>
      <c r="V83" s="802">
        <v>147.20063154999997</v>
      </c>
      <c r="W83" s="801">
        <v>975.09174000000007</v>
      </c>
      <c r="X83" s="801">
        <v>85.46843715</v>
      </c>
      <c r="Y83" s="802">
        <v>192.92849353</v>
      </c>
      <c r="Z83" s="801">
        <v>108.66444390000001</v>
      </c>
      <c r="AA83" s="801" t="s">
        <v>1412</v>
      </c>
      <c r="AB83" s="802">
        <v>146.1647403975</v>
      </c>
      <c r="AC83" s="802"/>
      <c r="AD83" s="802">
        <v>-37.500296497499988</v>
      </c>
    </row>
    <row r="84" spans="1:30" ht="14" thickBot="1">
      <c r="A84" s="80">
        <v>1535</v>
      </c>
      <c r="B84" s="81" t="s">
        <v>1317</v>
      </c>
      <c r="C84" s="797">
        <v>107298.54</v>
      </c>
      <c r="D84" s="798">
        <v>3218.3481569273913</v>
      </c>
      <c r="E84" s="798">
        <v>3020.1233746516964</v>
      </c>
      <c r="F84" s="798">
        <v>481.46772080962143</v>
      </c>
      <c r="G84" s="1600">
        <v>3501.5910954613173</v>
      </c>
      <c r="H84" s="798">
        <v>-73.696411898987648</v>
      </c>
      <c r="I84" s="799">
        <v>153.88580170801953</v>
      </c>
      <c r="J84" s="798">
        <v>137.61490119064064</v>
      </c>
      <c r="K84" s="799">
        <v>772.79709490921311</v>
      </c>
      <c r="L84" s="798">
        <v>605.00405215206092</v>
      </c>
      <c r="M84" s="800">
        <v>0.93840791219277431</v>
      </c>
      <c r="N84" s="800">
        <v>-2.3061306832646906E-2</v>
      </c>
      <c r="O84" s="800">
        <v>5.0321400427332047E-2</v>
      </c>
      <c r="P84" s="800">
        <v>0.18798589296493889</v>
      </c>
      <c r="Q84" s="798"/>
      <c r="R84" s="801">
        <v>342.89112310000002</v>
      </c>
      <c r="S84" s="801">
        <v>328.12524511999999</v>
      </c>
      <c r="T84" s="802">
        <v>345.32405845</v>
      </c>
      <c r="U84" s="802">
        <v>324.05482872000005</v>
      </c>
      <c r="V84" s="802">
        <v>51.660783500000001</v>
      </c>
      <c r="W84" s="801">
        <v>375.71561222000003</v>
      </c>
      <c r="X84" s="801">
        <v>-7.9075174000000024</v>
      </c>
      <c r="Y84" s="802">
        <v>82.92</v>
      </c>
      <c r="Z84" s="801">
        <v>64.916051490000001</v>
      </c>
      <c r="AA84" s="801">
        <v>30.5545422</v>
      </c>
      <c r="AB84" s="802">
        <v>69.064811689999999</v>
      </c>
      <c r="AC84" s="802"/>
      <c r="AD84" s="802">
        <v>-4.1487601999999981</v>
      </c>
    </row>
    <row r="85" spans="1:30" ht="14" thickBot="1">
      <c r="A85" s="80">
        <v>1542</v>
      </c>
      <c r="B85" s="81" t="s">
        <v>1318</v>
      </c>
      <c r="C85" s="797">
        <v>367730.26</v>
      </c>
      <c r="D85" s="798">
        <v>2526.5139643389693</v>
      </c>
      <c r="E85" s="798">
        <v>1362.3265532458493</v>
      </c>
      <c r="F85" s="798">
        <v>316.78009141809537</v>
      </c>
      <c r="G85" s="1600">
        <v>1679.1066446639445</v>
      </c>
      <c r="H85" s="798">
        <v>638.20765691134591</v>
      </c>
      <c r="I85" s="799">
        <v>140.22727234903107</v>
      </c>
      <c r="J85" s="798">
        <v>269.65862371511122</v>
      </c>
      <c r="K85" s="799">
        <v>635.36664472485882</v>
      </c>
      <c r="L85" s="798">
        <v>753.87451149655192</v>
      </c>
      <c r="M85" s="800">
        <v>0.5392119625993379</v>
      </c>
      <c r="N85" s="800">
        <v>0.25600047600858888</v>
      </c>
      <c r="O85" s="800">
        <v>6.307067854501916E-2</v>
      </c>
      <c r="P85" s="800">
        <v>0.29838525420293632</v>
      </c>
      <c r="Q85" s="798"/>
      <c r="R85" s="801">
        <v>916.74934073999998</v>
      </c>
      <c r="S85" s="801">
        <v>817.58770493000009</v>
      </c>
      <c r="T85" s="802">
        <v>929.07563700000003</v>
      </c>
      <c r="U85" s="802">
        <v>500.96869763000001</v>
      </c>
      <c r="V85" s="802">
        <v>116.48962537999999</v>
      </c>
      <c r="W85" s="801">
        <v>617.45832300999996</v>
      </c>
      <c r="X85" s="801">
        <v>234.68826761000003</v>
      </c>
      <c r="Y85" s="802">
        <v>233.64354145999999</v>
      </c>
      <c r="Z85" s="801">
        <v>277.22247012000003</v>
      </c>
      <c r="AA85" s="801" t="s">
        <v>1412</v>
      </c>
      <c r="AB85" s="802">
        <v>139.36134554999998</v>
      </c>
      <c r="AC85" s="802">
        <v>137.86112457000004</v>
      </c>
      <c r="AD85" s="802"/>
    </row>
    <row r="86" spans="1:30" ht="14" thickBot="1">
      <c r="A86" s="80">
        <v>1551</v>
      </c>
      <c r="B86" s="81" t="s">
        <v>1319</v>
      </c>
      <c r="C86" s="797">
        <v>67530.67</v>
      </c>
      <c r="D86" s="798">
        <v>2643.3730577528704</v>
      </c>
      <c r="E86" s="798">
        <v>2080.5405149985922</v>
      </c>
      <c r="F86" s="798">
        <v>417.90744279599181</v>
      </c>
      <c r="G86" s="1600">
        <v>2498.447957794584</v>
      </c>
      <c r="H86" s="798">
        <v>261.07160420591111</v>
      </c>
      <c r="I86" s="799">
        <v>121.28602011500848</v>
      </c>
      <c r="J86" s="798">
        <v>213.01460491951289</v>
      </c>
      <c r="K86" s="799">
        <v>605.42979952664473</v>
      </c>
      <c r="L86" s="798">
        <v>738.02072288043348</v>
      </c>
      <c r="M86" s="800">
        <v>0.78707789991899901</v>
      </c>
      <c r="N86" s="800">
        <v>9.7436516902063813E-2</v>
      </c>
      <c r="O86" s="800">
        <v>4.9175574508805706E-2</v>
      </c>
      <c r="P86" s="800">
        <v>0.27919658207753106</v>
      </c>
      <c r="Q86" s="798"/>
      <c r="R86" s="801">
        <v>180.94181638000001</v>
      </c>
      <c r="S86" s="801">
        <v>166.55679738999999</v>
      </c>
      <c r="T86" s="802">
        <v>178.50875365000002</v>
      </c>
      <c r="U86" s="802">
        <v>140.50029494</v>
      </c>
      <c r="V86" s="802">
        <v>28.22156961</v>
      </c>
      <c r="W86" s="801">
        <v>168.72186454999999</v>
      </c>
      <c r="X86" s="801">
        <v>17.630340349999997</v>
      </c>
      <c r="Y86" s="802">
        <v>40.885080000000002</v>
      </c>
      <c r="Z86" s="801">
        <v>49.839033890000003</v>
      </c>
      <c r="AA86" s="801">
        <v>32.737723100000004</v>
      </c>
      <c r="AB86" s="802">
        <v>35.701750730000008</v>
      </c>
      <c r="AC86" s="802">
        <v>14.137283159999996</v>
      </c>
      <c r="AD86" s="802"/>
    </row>
    <row r="87" spans="1:30" ht="14" thickBot="1">
      <c r="A87" s="80">
        <v>1552</v>
      </c>
      <c r="B87" s="81" t="s">
        <v>1320</v>
      </c>
      <c r="C87" s="797">
        <v>6244.33</v>
      </c>
      <c r="D87" s="798">
        <v>1509.34433317906</v>
      </c>
      <c r="E87" s="798">
        <v>1181.5570925944016</v>
      </c>
      <c r="F87" s="798">
        <v>247.53324215728509</v>
      </c>
      <c r="G87" s="1600">
        <v>1429.0903347516869</v>
      </c>
      <c r="H87" s="798">
        <v>59.409736512964571</v>
      </c>
      <c r="I87" s="799">
        <v>104.28279895521216</v>
      </c>
      <c r="J87" s="798">
        <v>52.908247962551677</v>
      </c>
      <c r="K87" s="799">
        <v>443.60243613005719</v>
      </c>
      <c r="L87" s="798">
        <v>770.48766641096813</v>
      </c>
      <c r="M87" s="800">
        <v>0.78282805760150453</v>
      </c>
      <c r="N87" s="800">
        <v>4.0431295885046653E-2</v>
      </c>
      <c r="O87" s="800">
        <v>7.3620489774017944E-2</v>
      </c>
      <c r="P87" s="800">
        <v>0.51047839083088919</v>
      </c>
      <c r="Q87" s="798"/>
      <c r="R87" s="801">
        <v>9.1754170100000003</v>
      </c>
      <c r="S87" s="801">
        <v>8.8450404499999991</v>
      </c>
      <c r="T87" s="802">
        <v>9.4248440999999996</v>
      </c>
      <c r="U87" s="802">
        <v>7.3780324000000004</v>
      </c>
      <c r="V87" s="802">
        <v>1.5456792500000001</v>
      </c>
      <c r="W87" s="801">
        <v>8.9237116500000013</v>
      </c>
      <c r="X87" s="801">
        <v>0.37097400000000003</v>
      </c>
      <c r="Y87" s="802">
        <v>2.77</v>
      </c>
      <c r="Z87" s="801">
        <v>4.8111792500000004</v>
      </c>
      <c r="AA87" s="801">
        <v>1.993368</v>
      </c>
      <c r="AB87" s="802">
        <v>1.8849688200000001</v>
      </c>
      <c r="AC87" s="802">
        <v>2.9262104300000003</v>
      </c>
      <c r="AD87" s="802"/>
    </row>
    <row r="88" spans="1:30" ht="14" thickBot="1">
      <c r="A88" s="80">
        <v>1555</v>
      </c>
      <c r="B88" s="81" t="s">
        <v>1321</v>
      </c>
      <c r="C88" s="797">
        <v>425961.92</v>
      </c>
      <c r="D88" s="798">
        <v>3060.3501739310409</v>
      </c>
      <c r="E88" s="798">
        <v>3702.0953911795682</v>
      </c>
      <c r="F88" s="798">
        <v>535.05437349892691</v>
      </c>
      <c r="G88" s="1600">
        <v>4237.1497646784946</v>
      </c>
      <c r="H88" s="798">
        <v>-847.48987137160066</v>
      </c>
      <c r="I88" s="799">
        <v>203.78018410659809</v>
      </c>
      <c r="J88" s="798">
        <v>-2.8629530545829174</v>
      </c>
      <c r="K88" s="799">
        <v>1239.0138857248085</v>
      </c>
      <c r="L88" s="798">
        <v>586.96583511502627</v>
      </c>
      <c r="M88" s="800">
        <v>1.2096966623999768</v>
      </c>
      <c r="N88" s="800">
        <v>-0.2661975076008557</v>
      </c>
      <c r="O88" s="800">
        <v>6.3950074077792421E-2</v>
      </c>
      <c r="P88" s="800">
        <v>0.19179695190275059</v>
      </c>
      <c r="Q88" s="798"/>
      <c r="R88" s="801">
        <v>1356.1299504400001</v>
      </c>
      <c r="S88" s="801">
        <v>1357.34945943</v>
      </c>
      <c r="T88" s="802">
        <v>1303.5926359600001</v>
      </c>
      <c r="U88" s="802">
        <v>1576.9516608499998</v>
      </c>
      <c r="V88" s="802">
        <v>227.91278824</v>
      </c>
      <c r="W88" s="801">
        <v>1804.8644490899999</v>
      </c>
      <c r="X88" s="801">
        <v>-360.99841279000003</v>
      </c>
      <c r="Y88" s="802">
        <v>527.77273366999998</v>
      </c>
      <c r="Z88" s="801">
        <v>250.02509409999999</v>
      </c>
      <c r="AA88" s="801" t="s">
        <v>1412</v>
      </c>
      <c r="AB88" s="802">
        <v>195.53889539400001</v>
      </c>
      <c r="AC88" s="802">
        <v>54.486198705999982</v>
      </c>
      <c r="AD88" s="802"/>
    </row>
    <row r="89" spans="1:30" ht="14" thickBot="1">
      <c r="A89" s="80">
        <v>1560</v>
      </c>
      <c r="B89" s="81" t="s">
        <v>1322</v>
      </c>
      <c r="C89" s="797">
        <v>83965</v>
      </c>
      <c r="D89" s="798">
        <v>1860.6891875186088</v>
      </c>
      <c r="E89" s="798">
        <v>1132.6168900136961</v>
      </c>
      <c r="F89" s="798">
        <v>282.14679128208184</v>
      </c>
      <c r="G89" s="1600">
        <v>1414.7636812957778</v>
      </c>
      <c r="H89" s="798">
        <v>371.07831834693025</v>
      </c>
      <c r="I89" s="799">
        <v>126.65686893348419</v>
      </c>
      <c r="J89" s="798">
        <v>209.43861144524507</v>
      </c>
      <c r="K89" s="799">
        <v>356.4312511165366</v>
      </c>
      <c r="L89" s="798">
        <v>961.21206967188721</v>
      </c>
      <c r="M89" s="800">
        <v>0.60870826659886135</v>
      </c>
      <c r="N89" s="800">
        <v>0.19883730941002109</v>
      </c>
      <c r="O89" s="800">
        <v>7.6446580356719002E-2</v>
      </c>
      <c r="P89" s="800">
        <v>0.51658927031964286</v>
      </c>
      <c r="Q89" s="798"/>
      <c r="R89" s="801">
        <v>156.69891677999996</v>
      </c>
      <c r="S89" s="801">
        <v>139.11340376999999</v>
      </c>
      <c r="T89" s="802">
        <v>156.23276762999998</v>
      </c>
      <c r="U89" s="802">
        <v>95.100177169999995</v>
      </c>
      <c r="V89" s="802">
        <v>23.690455330000002</v>
      </c>
      <c r="W89" s="801">
        <v>118.7906325</v>
      </c>
      <c r="X89" s="801">
        <v>31.157591</v>
      </c>
      <c r="Y89" s="802">
        <v>29.92775</v>
      </c>
      <c r="Z89" s="801">
        <v>80.708171430000007</v>
      </c>
      <c r="AA89" s="801">
        <v>10.27344465</v>
      </c>
      <c r="AB89" s="802">
        <v>31.246553526</v>
      </c>
      <c r="AC89" s="802">
        <v>49.461617904000008</v>
      </c>
      <c r="AD89" s="802"/>
    </row>
    <row r="90" spans="1:30" ht="14" thickBot="1">
      <c r="A90" s="80">
        <v>1562</v>
      </c>
      <c r="B90" s="81" t="s">
        <v>1323</v>
      </c>
      <c r="C90" s="797">
        <v>834114.2</v>
      </c>
      <c r="D90" s="798">
        <v>2954.4006212938225</v>
      </c>
      <c r="E90" s="798">
        <v>3299.9099070007437</v>
      </c>
      <c r="F90" s="798">
        <v>490.05445659599121</v>
      </c>
      <c r="G90" s="1600">
        <v>3789.964363596735</v>
      </c>
      <c r="H90" s="798">
        <v>-591.57563584219031</v>
      </c>
      <c r="I90" s="799">
        <v>142.18812775277053</v>
      </c>
      <c r="J90" s="798">
        <v>51.233310175033623</v>
      </c>
      <c r="K90" s="799">
        <v>841.40756745299382</v>
      </c>
      <c r="L90" s="798">
        <v>386.26675841269696</v>
      </c>
      <c r="M90" s="800">
        <v>1.1169473372083207</v>
      </c>
      <c r="N90" s="800">
        <v>-0.20183021901261211</v>
      </c>
      <c r="O90" s="800">
        <v>4.9373920724860527E-2</v>
      </c>
      <c r="P90" s="800">
        <v>0.130742850386871</v>
      </c>
      <c r="Q90" s="798"/>
      <c r="R90" s="801">
        <v>2444.8352711699999</v>
      </c>
      <c r="S90" s="801">
        <v>2402.1008396500001</v>
      </c>
      <c r="T90" s="802">
        <v>2464.3075107099999</v>
      </c>
      <c r="U90" s="802">
        <v>2752.50171215</v>
      </c>
      <c r="V90" s="802">
        <v>408.76138101999999</v>
      </c>
      <c r="W90" s="801">
        <v>3161.26309317</v>
      </c>
      <c r="X90" s="801">
        <v>-493.44163822999997</v>
      </c>
      <c r="Y90" s="802">
        <v>701.83</v>
      </c>
      <c r="Z90" s="801">
        <v>322.19058818000002</v>
      </c>
      <c r="AA90" s="801" t="s">
        <v>1412</v>
      </c>
      <c r="AB90" s="802">
        <v>369.64612660649999</v>
      </c>
      <c r="AC90" s="802"/>
      <c r="AD90" s="802">
        <v>-47.45553842649997</v>
      </c>
    </row>
    <row r="91" spans="1:30" ht="14" thickBot="1">
      <c r="A91" s="80">
        <v>1563</v>
      </c>
      <c r="B91" s="81" t="s">
        <v>302</v>
      </c>
      <c r="C91" s="797">
        <v>41697</v>
      </c>
      <c r="D91" s="798">
        <v>2459.6894165047843</v>
      </c>
      <c r="E91" s="798">
        <v>2193.8727054704173</v>
      </c>
      <c r="F91" s="798">
        <v>376.82413842722491</v>
      </c>
      <c r="G91" s="1600">
        <v>2570.6968438976423</v>
      </c>
      <c r="H91" s="798">
        <v>20.003021800129506</v>
      </c>
      <c r="I91" s="799">
        <v>189.81078446890663</v>
      </c>
      <c r="J91" s="798">
        <v>52.31139674317096</v>
      </c>
      <c r="K91" s="799">
        <v>570.42473079598051</v>
      </c>
      <c r="L91" s="798">
        <v>792.35993117010821</v>
      </c>
      <c r="M91" s="800">
        <v>0.89193078229685918</v>
      </c>
      <c r="N91" s="800">
        <v>8.0964283366552359E-3</v>
      </c>
      <c r="O91" s="800">
        <v>7.8489771817876489E-2</v>
      </c>
      <c r="P91" s="800">
        <v>0.32213820405669374</v>
      </c>
      <c r="Q91" s="798"/>
      <c r="R91" s="801">
        <v>103.01653585</v>
      </c>
      <c r="S91" s="801">
        <v>100.83530753999999</v>
      </c>
      <c r="T91" s="802">
        <v>102.5616696</v>
      </c>
      <c r="U91" s="802">
        <v>91.477910199999982</v>
      </c>
      <c r="V91" s="802">
        <v>15.712436099999998</v>
      </c>
      <c r="W91" s="801">
        <v>107.19034629999999</v>
      </c>
      <c r="X91" s="801">
        <v>0.83406599999999997</v>
      </c>
      <c r="Y91" s="802">
        <v>23.785</v>
      </c>
      <c r="Z91" s="801">
        <v>33.039032050000003</v>
      </c>
      <c r="AA91" s="801" t="s">
        <v>1412</v>
      </c>
      <c r="AB91" s="802">
        <v>20.512333920000003</v>
      </c>
      <c r="AC91" s="802">
        <v>12.52669813</v>
      </c>
      <c r="AD91" s="802"/>
    </row>
    <row r="92" spans="1:30" ht="14" thickBot="1">
      <c r="A92" s="80">
        <v>1565</v>
      </c>
      <c r="B92" s="81" t="s">
        <v>303</v>
      </c>
      <c r="C92" s="797">
        <v>17018.84</v>
      </c>
      <c r="D92" s="798">
        <v>2413.3797509113429</v>
      </c>
      <c r="E92" s="798">
        <v>1314.1461139537125</v>
      </c>
      <c r="F92" s="798">
        <v>328.29965262027258</v>
      </c>
      <c r="G92" s="1600">
        <v>1642.4457665739851</v>
      </c>
      <c r="H92" s="798">
        <v>915.49412239612104</v>
      </c>
      <c r="I92" s="799">
        <v>107.85157801589297</v>
      </c>
      <c r="J92" s="798">
        <v>-145.04667533157368</v>
      </c>
      <c r="K92" s="799">
        <v>391.68356950297436</v>
      </c>
      <c r="L92" s="798">
        <v>664.62688702637786</v>
      </c>
      <c r="M92" s="800">
        <v>0.54452520928687798</v>
      </c>
      <c r="N92" s="800">
        <v>0.3807056333992323</v>
      </c>
      <c r="O92" s="800">
        <v>4.2298446802768647E-2</v>
      </c>
      <c r="P92" s="800">
        <v>0.27539258451779119</v>
      </c>
      <c r="Q92" s="798"/>
      <c r="R92" s="801">
        <v>40.925709059999996</v>
      </c>
      <c r="S92" s="801">
        <v>43.394235219999999</v>
      </c>
      <c r="T92" s="802">
        <v>41.072923840000001</v>
      </c>
      <c r="U92" s="802">
        <v>22.36524245</v>
      </c>
      <c r="V92" s="802">
        <v>5.5872792599999999</v>
      </c>
      <c r="W92" s="801">
        <v>27.952521709999999</v>
      </c>
      <c r="X92" s="801">
        <v>15.580647990000001</v>
      </c>
      <c r="Y92" s="802">
        <v>6.6660000000000004</v>
      </c>
      <c r="Z92" s="801">
        <v>11.31117865</v>
      </c>
      <c r="AA92" s="801" t="s">
        <v>1412</v>
      </c>
      <c r="AB92" s="802">
        <v>8.2145847680000017</v>
      </c>
      <c r="AC92" s="802">
        <v>3.0965938819999987</v>
      </c>
      <c r="AD92" s="802"/>
    </row>
    <row r="93" spans="1:30" ht="14" thickBot="1">
      <c r="A93" s="80">
        <v>1566</v>
      </c>
      <c r="B93" s="81" t="s">
        <v>304</v>
      </c>
      <c r="C93" s="797">
        <v>107433.84</v>
      </c>
      <c r="D93" s="798">
        <v>1951.1439848934006</v>
      </c>
      <c r="E93" s="798">
        <v>1089.1322227707772</v>
      </c>
      <c r="F93" s="798">
        <v>297.33523887817842</v>
      </c>
      <c r="G93" s="1600">
        <v>1386.4674616489556</v>
      </c>
      <c r="H93" s="798">
        <v>658.39891797593748</v>
      </c>
      <c r="I93" s="799">
        <v>91.489789623083382</v>
      </c>
      <c r="J93" s="798">
        <v>88.654095394896061</v>
      </c>
      <c r="K93" s="799">
        <v>279.24162442671695</v>
      </c>
      <c r="L93" s="798">
        <v>232.28626846066382</v>
      </c>
      <c r="M93" s="800">
        <v>0.55820187090410001</v>
      </c>
      <c r="N93" s="800">
        <v>0.33231910543157001</v>
      </c>
      <c r="O93" s="800">
        <v>4.8341538831779669E-2</v>
      </c>
      <c r="P93" s="800">
        <v>0.11905132079391599</v>
      </c>
      <c r="Q93" s="798"/>
      <c r="R93" s="801">
        <v>212.85060911000002</v>
      </c>
      <c r="S93" s="801">
        <v>203.32615919</v>
      </c>
      <c r="T93" s="802">
        <v>209.61889069</v>
      </c>
      <c r="U93" s="802">
        <v>117.00965696000002</v>
      </c>
      <c r="V93" s="802">
        <v>31.943866480000001</v>
      </c>
      <c r="W93" s="801">
        <v>148.95352344000003</v>
      </c>
      <c r="X93" s="801">
        <v>70.734324009999995</v>
      </c>
      <c r="Y93" s="802">
        <v>30</v>
      </c>
      <c r="Z93" s="801">
        <v>24.955405800000001</v>
      </c>
      <c r="AA93" s="801" t="s">
        <v>1412</v>
      </c>
      <c r="AB93" s="802">
        <v>41.923778138000003</v>
      </c>
      <c r="AC93" s="802"/>
      <c r="AD93" s="802">
        <v>-16.968372338000002</v>
      </c>
    </row>
    <row r="94" spans="1:30" ht="14" thickBot="1">
      <c r="A94" s="80">
        <v>1568</v>
      </c>
      <c r="B94" s="81" t="s">
        <v>305</v>
      </c>
      <c r="C94" s="797">
        <v>2935.5</v>
      </c>
      <c r="D94" s="798">
        <v>2041.9585726452055</v>
      </c>
      <c r="E94" s="798">
        <v>923.02718446601955</v>
      </c>
      <c r="F94" s="798">
        <v>291.63570090274231</v>
      </c>
      <c r="G94" s="1600">
        <v>1214.6628853687619</v>
      </c>
      <c r="H94" s="798">
        <v>1064.5624288877534</v>
      </c>
      <c r="I94" s="799">
        <v>96.579206268097437</v>
      </c>
      <c r="J94" s="798">
        <v>-75.039747913473022</v>
      </c>
      <c r="K94" s="799">
        <v>316.8114460909556</v>
      </c>
      <c r="L94" s="798">
        <v>1036.0221359223299</v>
      </c>
      <c r="M94" s="800">
        <v>0.45203031874946731</v>
      </c>
      <c r="N94" s="800">
        <v>0.52220704971719412</v>
      </c>
      <c r="O94" s="800">
        <v>4.5693681722220922E-2</v>
      </c>
      <c r="P94" s="800">
        <v>0.50736687306062256</v>
      </c>
      <c r="Q94" s="798"/>
      <c r="R94" s="801">
        <v>5.9842604800000005</v>
      </c>
      <c r="S94" s="801">
        <v>6.2045396500000001</v>
      </c>
      <c r="T94" s="802">
        <v>5.9941693900000006</v>
      </c>
      <c r="U94" s="802">
        <v>2.7095463000000004</v>
      </c>
      <c r="V94" s="802">
        <v>0.85609659999999999</v>
      </c>
      <c r="W94" s="801">
        <v>3.5656429000000003</v>
      </c>
      <c r="X94" s="801">
        <v>3.12502301</v>
      </c>
      <c r="Y94" s="802">
        <v>0.93</v>
      </c>
      <c r="Z94" s="801">
        <v>3.0412429799999998</v>
      </c>
      <c r="AA94" s="801" t="s">
        <v>1412</v>
      </c>
      <c r="AB94" s="802">
        <v>1.1988338780000003</v>
      </c>
      <c r="AC94" s="802">
        <v>1.8424091019999995</v>
      </c>
      <c r="AD94" s="802"/>
    </row>
    <row r="95" spans="1:30" ht="14" thickBot="1">
      <c r="A95" s="80">
        <v>1569</v>
      </c>
      <c r="B95" s="81" t="s">
        <v>306</v>
      </c>
      <c r="C95" s="797">
        <v>19242.169999999998</v>
      </c>
      <c r="D95" s="798">
        <v>2728.2950857413684</v>
      </c>
      <c r="E95" s="798">
        <v>1812.0405884575387</v>
      </c>
      <c r="F95" s="798">
        <v>408.23285315533531</v>
      </c>
      <c r="G95" s="1600">
        <v>2220.2734416128733</v>
      </c>
      <c r="H95" s="798">
        <v>798.01669977970255</v>
      </c>
      <c r="I95" s="799">
        <v>148.13079969670781</v>
      </c>
      <c r="J95" s="798">
        <v>-60.699476722219963</v>
      </c>
      <c r="K95" s="799">
        <v>582.05493455259978</v>
      </c>
      <c r="L95" s="798">
        <v>409.54279325044939</v>
      </c>
      <c r="M95" s="800">
        <v>0.66416591003210601</v>
      </c>
      <c r="N95" s="800">
        <v>0.29933016451847599</v>
      </c>
      <c r="O95" s="800">
        <v>5.4325880289035428E-2</v>
      </c>
      <c r="P95" s="800">
        <v>0.15010942012497266</v>
      </c>
      <c r="Q95" s="798"/>
      <c r="R95" s="801">
        <v>51.299784719999998</v>
      </c>
      <c r="S95" s="801">
        <v>52.467774380000002</v>
      </c>
      <c r="T95" s="802">
        <v>52.498317849999992</v>
      </c>
      <c r="U95" s="802">
        <v>34.867593049999996</v>
      </c>
      <c r="V95" s="802">
        <v>7.8552859599999989</v>
      </c>
      <c r="W95" s="801">
        <v>42.722879009999993</v>
      </c>
      <c r="X95" s="801">
        <v>15.355573</v>
      </c>
      <c r="Y95" s="802">
        <v>11.2</v>
      </c>
      <c r="Z95" s="801">
        <v>7.88049205</v>
      </c>
      <c r="AA95" s="801" t="s">
        <v>1412</v>
      </c>
      <c r="AB95" s="802">
        <v>10.499663570000001</v>
      </c>
      <c r="AC95" s="802"/>
      <c r="AD95" s="802">
        <v>-2.619171520000001</v>
      </c>
    </row>
    <row r="96" spans="1:30" ht="14" thickBot="1">
      <c r="A96" s="80">
        <v>1570</v>
      </c>
      <c r="B96" s="81" t="s">
        <v>1947</v>
      </c>
      <c r="C96" s="797">
        <v>9.09</v>
      </c>
      <c r="D96" s="798">
        <v>1508.2288228822883</v>
      </c>
      <c r="E96" s="798">
        <v>253.11881188118812</v>
      </c>
      <c r="F96" s="798">
        <v>260.55005500550055</v>
      </c>
      <c r="G96" s="1600">
        <v>513.66886688668865</v>
      </c>
      <c r="H96" s="798">
        <v>1112.5423542354233</v>
      </c>
      <c r="I96" s="799">
        <v>59.282728272827299</v>
      </c>
      <c r="J96" s="798">
        <v>5500.7139713971392</v>
      </c>
      <c r="K96" s="799">
        <v>5331.1221122112211</v>
      </c>
      <c r="L96" s="798">
        <v>701767.98569856992</v>
      </c>
      <c r="M96" s="800">
        <v>0.16782520532757589</v>
      </c>
      <c r="N96" s="800">
        <v>9.0725817484739762E-2</v>
      </c>
      <c r="O96" s="800">
        <v>8.7670776451233799E-3</v>
      </c>
      <c r="P96" s="800">
        <v>465.29278253512092</v>
      </c>
      <c r="Q96" s="798"/>
      <c r="R96" s="801">
        <v>0.11146783</v>
      </c>
      <c r="S96" s="801">
        <v>6.1466319999999998E-2</v>
      </c>
      <c r="T96" s="802">
        <v>1.3709799999999999E-2</v>
      </c>
      <c r="U96" s="802">
        <v>2.3008500000000001E-3</v>
      </c>
      <c r="V96" s="802">
        <v>2.3684000000000001E-3</v>
      </c>
      <c r="W96" s="801">
        <v>4.6692499999999998E-3</v>
      </c>
      <c r="X96" s="801">
        <v>1.0113009999999999E-2</v>
      </c>
      <c r="Y96" s="802">
        <v>4.84599E-2</v>
      </c>
      <c r="Z96" s="801">
        <v>6.3790709900000007</v>
      </c>
      <c r="AA96" s="801" t="s">
        <v>1412</v>
      </c>
      <c r="AB96" s="802">
        <v>2.7419599999999999E-3</v>
      </c>
      <c r="AC96" s="802">
        <v>6.3763290300000008</v>
      </c>
      <c r="AD96" s="802"/>
    </row>
    <row r="97" spans="1:30" ht="14" thickBot="1">
      <c r="A97" s="80">
        <v>1571</v>
      </c>
      <c r="B97" s="81" t="s">
        <v>658</v>
      </c>
      <c r="C97" s="797">
        <v>1567</v>
      </c>
      <c r="D97" s="798">
        <v>2566.0181238034465</v>
      </c>
      <c r="E97" s="798">
        <v>713.27712188895975</v>
      </c>
      <c r="F97" s="798">
        <v>226.18726866624124</v>
      </c>
      <c r="G97" s="1600">
        <v>939.46439055520102</v>
      </c>
      <c r="H97" s="798">
        <v>889.64907466496481</v>
      </c>
      <c r="I97" s="799">
        <v>557.86366943203575</v>
      </c>
      <c r="J97" s="798">
        <v>20.48356094447993</v>
      </c>
      <c r="K97" s="799">
        <v>400.02616464582002</v>
      </c>
      <c r="L97" s="798">
        <v>4715.8736056158259</v>
      </c>
      <c r="M97" s="800">
        <v>0.27797041465619665</v>
      </c>
      <c r="N97" s="800">
        <v>0.34462741015446779</v>
      </c>
      <c r="O97" s="800">
        <v>0.21783063276027781</v>
      </c>
      <c r="P97" s="800">
        <v>1.8378177308528847</v>
      </c>
      <c r="Q97" s="798"/>
      <c r="R97" s="801">
        <v>4.0451805600000004</v>
      </c>
      <c r="S97" s="801">
        <v>4.0130828200000002</v>
      </c>
      <c r="T97" s="802">
        <v>4.0209504000000003</v>
      </c>
      <c r="U97" s="802">
        <v>1.11770525</v>
      </c>
      <c r="V97" s="802">
        <v>0.35443544999999999</v>
      </c>
      <c r="W97" s="801">
        <v>1.4721407</v>
      </c>
      <c r="X97" s="801">
        <v>1.3940800999999998</v>
      </c>
      <c r="Y97" s="802">
        <v>0.62684099999999998</v>
      </c>
      <c r="Z97" s="801">
        <v>7.3897739400000004</v>
      </c>
      <c r="AA97" s="801" t="s">
        <v>1412</v>
      </c>
      <c r="AB97" s="802">
        <v>0.80419008000000003</v>
      </c>
      <c r="AC97" s="802">
        <v>6.5855838600000007</v>
      </c>
      <c r="AD97" s="802"/>
    </row>
    <row r="98" spans="1:30" ht="14" thickBot="1">
      <c r="A98" s="80"/>
      <c r="B98" s="81"/>
      <c r="C98" s="797"/>
      <c r="D98" s="798"/>
      <c r="E98" s="798"/>
      <c r="F98" s="798"/>
      <c r="G98" s="798"/>
      <c r="H98" s="798"/>
      <c r="I98" s="799"/>
      <c r="J98" s="798"/>
      <c r="K98" s="799"/>
      <c r="L98" s="798"/>
      <c r="M98" s="800"/>
      <c r="N98" s="800"/>
      <c r="O98" s="800"/>
      <c r="P98" s="800"/>
      <c r="Q98" s="798"/>
      <c r="R98" s="801"/>
      <c r="S98" s="801"/>
      <c r="T98" s="802"/>
      <c r="U98" s="802"/>
      <c r="V98" s="802"/>
      <c r="W98" s="801"/>
      <c r="X98" s="801"/>
      <c r="Y98" s="802"/>
      <c r="Z98" s="801"/>
      <c r="AA98" s="801"/>
      <c r="AB98" s="802"/>
      <c r="AC98" s="802"/>
      <c r="AD98" s="802"/>
    </row>
    <row r="99" spans="1:30" ht="14" thickBot="1">
      <c r="A99" s="80"/>
      <c r="B99" s="81"/>
      <c r="C99" s="797"/>
      <c r="D99" s="798"/>
      <c r="E99" s="798"/>
      <c r="F99" s="798"/>
      <c r="G99" s="798"/>
      <c r="H99" s="798"/>
      <c r="I99" s="799"/>
      <c r="J99" s="798"/>
      <c r="K99" s="799"/>
      <c r="L99" s="798"/>
      <c r="M99" s="800"/>
      <c r="N99" s="800"/>
      <c r="O99" s="800"/>
      <c r="P99" s="800"/>
      <c r="Q99" s="798"/>
      <c r="R99" s="801"/>
      <c r="S99" s="801"/>
      <c r="T99" s="802"/>
      <c r="U99" s="802"/>
      <c r="V99" s="802"/>
      <c r="W99" s="801"/>
      <c r="X99" s="801"/>
      <c r="Y99" s="802"/>
      <c r="Z99" s="801"/>
      <c r="AA99" s="801"/>
      <c r="AB99" s="802"/>
      <c r="AC99" s="802"/>
      <c r="AD99" s="802"/>
    </row>
    <row r="100" spans="1:30" ht="14" thickBot="1">
      <c r="A100" s="80"/>
      <c r="B100" s="81"/>
      <c r="C100" s="797"/>
      <c r="D100" s="798"/>
      <c r="E100" s="798"/>
      <c r="F100" s="798"/>
      <c r="G100" s="798"/>
      <c r="H100" s="798"/>
      <c r="I100" s="799"/>
      <c r="J100" s="798"/>
      <c r="K100" s="799"/>
      <c r="L100" s="798"/>
      <c r="M100" s="800"/>
      <c r="N100" s="800"/>
      <c r="O100" s="800"/>
      <c r="P100" s="800"/>
      <c r="Q100" s="798"/>
      <c r="R100" s="801"/>
      <c r="S100" s="801"/>
      <c r="T100" s="802"/>
      <c r="U100" s="802"/>
      <c r="V100" s="802"/>
      <c r="W100" s="801"/>
      <c r="X100" s="801"/>
      <c r="Y100" s="802"/>
      <c r="Z100" s="801"/>
      <c r="AA100" s="801"/>
      <c r="AB100" s="802"/>
      <c r="AC100" s="802"/>
      <c r="AD100" s="802"/>
    </row>
    <row r="101" spans="1:30" ht="14" thickBot="1">
      <c r="A101" s="80"/>
      <c r="B101" s="81"/>
      <c r="C101" s="797"/>
      <c r="D101" s="798"/>
      <c r="E101" s="798"/>
      <c r="F101" s="798"/>
      <c r="G101" s="798"/>
      <c r="H101" s="798"/>
      <c r="I101" s="799"/>
      <c r="J101" s="798"/>
      <c r="K101" s="799"/>
      <c r="L101" s="798"/>
      <c r="M101" s="800"/>
      <c r="N101" s="800"/>
      <c r="O101" s="800"/>
      <c r="P101" s="800"/>
      <c r="Q101" s="798"/>
      <c r="R101" s="801"/>
      <c r="S101" s="801"/>
      <c r="T101" s="802"/>
      <c r="U101" s="802"/>
      <c r="V101" s="802"/>
      <c r="W101" s="801"/>
      <c r="X101" s="801"/>
      <c r="Y101" s="802"/>
      <c r="Z101" s="801"/>
      <c r="AA101" s="801"/>
      <c r="AB101" s="802"/>
      <c r="AC101" s="802"/>
      <c r="AD101" s="802"/>
    </row>
    <row r="102" spans="1:30" ht="14" thickBot="1">
      <c r="A102" s="80"/>
      <c r="B102" s="81"/>
      <c r="C102" s="797"/>
      <c r="D102" s="798"/>
      <c r="E102" s="798"/>
      <c r="F102" s="798"/>
      <c r="G102" s="798"/>
      <c r="H102" s="798"/>
      <c r="I102" s="799"/>
      <c r="J102" s="798"/>
      <c r="K102" s="799"/>
      <c r="L102" s="798"/>
      <c r="M102" s="800"/>
      <c r="N102" s="800"/>
      <c r="O102" s="800"/>
      <c r="P102" s="800"/>
      <c r="Q102" s="798"/>
      <c r="R102" s="801"/>
      <c r="S102" s="801"/>
      <c r="T102" s="802"/>
      <c r="U102" s="802"/>
      <c r="V102" s="802"/>
      <c r="W102" s="801"/>
      <c r="X102" s="801"/>
      <c r="Y102" s="802"/>
      <c r="Z102" s="801"/>
      <c r="AA102" s="801"/>
      <c r="AB102" s="802"/>
      <c r="AC102" s="802"/>
      <c r="AD102" s="802"/>
    </row>
    <row r="103" spans="1:30" s="151" customFormat="1" ht="14" thickBot="1">
      <c r="A103" s="804" t="s">
        <v>307</v>
      </c>
      <c r="B103" s="805">
        <v>87</v>
      </c>
      <c r="C103" s="806">
        <v>7478426.8200000003</v>
      </c>
      <c r="D103" s="807">
        <v>2582.720756327466</v>
      </c>
      <c r="E103" s="807">
        <v>2348.6110147949526</v>
      </c>
      <c r="F103" s="807">
        <v>406.33028735313604</v>
      </c>
      <c r="G103" s="807">
        <v>2754.9413021480905</v>
      </c>
      <c r="H103" s="808">
        <v>-1.8877299945284254</v>
      </c>
      <c r="I103" s="809">
        <v>144.14164993460483</v>
      </c>
      <c r="J103" s="807">
        <v>65.648827525733608</v>
      </c>
      <c r="K103" s="809">
        <v>667.24895580511941</v>
      </c>
      <c r="L103" s="807">
        <v>501.30978969584953</v>
      </c>
      <c r="M103" s="810">
        <v>0.90935537999647853</v>
      </c>
      <c r="N103" s="810" t="s">
        <v>1412</v>
      </c>
      <c r="O103" s="810">
        <v>5.6978300934543424E-2</v>
      </c>
      <c r="P103" s="810">
        <v>0.19410142907152445</v>
      </c>
      <c r="Q103" s="807"/>
      <c r="R103" s="811">
        <v>19409.604301089996</v>
      </c>
      <c r="S103" s="811">
        <v>18918.654348579999</v>
      </c>
      <c r="T103" s="811">
        <v>19314.688172690006</v>
      </c>
      <c r="U103" s="811">
        <v>17563.915602789992</v>
      </c>
      <c r="V103" s="811">
        <v>3038.7113187199998</v>
      </c>
      <c r="W103" s="811">
        <v>20602.626921510004</v>
      </c>
      <c r="X103" s="811">
        <v>-14.117250619999831</v>
      </c>
      <c r="Y103" s="811">
        <v>4989.9724867100003</v>
      </c>
      <c r="Z103" s="811">
        <v>3749.0085763900006</v>
      </c>
      <c r="AA103" s="811">
        <v>1953.1043084900002</v>
      </c>
      <c r="AB103" s="811">
        <v>3134.1548112619994</v>
      </c>
      <c r="AC103" s="811">
        <v>815.6887882100001</v>
      </c>
      <c r="AD103" s="811">
        <v>-200.83502308199996</v>
      </c>
    </row>
    <row r="104" spans="1:30" ht="15.75" customHeight="1" thickBot="1">
      <c r="A104" s="842" t="s">
        <v>423</v>
      </c>
      <c r="C104" s="812"/>
      <c r="D104" s="813"/>
      <c r="E104" s="813"/>
      <c r="F104" s="813"/>
      <c r="G104" s="813"/>
      <c r="H104" s="814"/>
      <c r="I104" s="813"/>
      <c r="J104" s="815"/>
      <c r="K104" s="816"/>
      <c r="L104" s="817"/>
      <c r="M104" s="817"/>
      <c r="N104" s="813"/>
      <c r="O104" s="817"/>
      <c r="P104" s="813"/>
      <c r="Q104" s="817"/>
      <c r="R104" s="814"/>
    </row>
    <row r="106" spans="1:30">
      <c r="A106" s="103" t="s">
        <v>575</v>
      </c>
    </row>
    <row r="108" spans="1:30" ht="7.5" customHeight="1"/>
    <row r="109" spans="1:30" ht="24.75" customHeight="1">
      <c r="A109" s="1706" t="s">
        <v>1955</v>
      </c>
      <c r="B109" s="1698"/>
    </row>
  </sheetData>
  <mergeCells count="2">
    <mergeCell ref="A109:B109"/>
    <mergeCell ref="A2:B2"/>
  </mergeCells>
  <phoneticPr fontId="0" type="noConversion"/>
  <pageMargins left="0.36" right="0.43" top="0.43307086614173229" bottom="0.43307086614173229" header="0.31496062992125984" footer="0.27559055118110237"/>
  <pageSetup paperSize="9" scale="46" fitToHeight="2" pageOrder="overThenDown" orientation="portrait"/>
  <headerFooter alignWithMargins="0">
    <oddFooter>&amp;R&amp;P/&amp;N</oddFooter>
  </headerFooter>
  <colBreaks count="1" manualBreakCount="1">
    <brk id="17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5DE1-ABDE-C648-BC66-9312A325E399}">
  <sheetPr>
    <pageSetUpPr fitToPage="1"/>
  </sheetPr>
  <dimension ref="A1:K91"/>
  <sheetViews>
    <sheetView zoomScale="75" workbookViewId="0">
      <selection activeCell="A4" sqref="A4"/>
    </sheetView>
  </sheetViews>
  <sheetFormatPr baseColWidth="10" defaultColWidth="11.3984375" defaultRowHeight="13"/>
  <cols>
    <col min="1" max="1" width="14" style="228" customWidth="1"/>
    <col min="2" max="2" width="11.796875" style="2" customWidth="1"/>
    <col min="3" max="3" width="12.796875" style="97" customWidth="1"/>
    <col min="4" max="4" width="12.19921875" style="2" customWidth="1"/>
    <col min="5" max="5" width="12.3984375" style="97" customWidth="1"/>
    <col min="6" max="6" width="9.796875" style="2" customWidth="1"/>
    <col min="7" max="7" width="11.19921875" style="97" customWidth="1"/>
    <col min="8" max="8" width="11.3984375" style="2"/>
    <col min="9" max="9" width="11.796875" style="2" customWidth="1"/>
    <col min="10" max="10" width="24.59765625" style="2" customWidth="1"/>
    <col min="11" max="11" width="2.3984375" style="2" customWidth="1"/>
    <col min="12" max="16384" width="11.3984375" style="2"/>
  </cols>
  <sheetData>
    <row r="1" spans="1:11" s="1" customFormat="1" ht="21" customHeight="1">
      <c r="A1" s="1709" t="s">
        <v>1249</v>
      </c>
      <c r="B1" s="1710"/>
      <c r="C1" s="1710"/>
      <c r="D1" s="1710"/>
      <c r="E1" s="1710"/>
      <c r="F1" s="1710"/>
      <c r="G1" s="1710"/>
      <c r="H1" s="1710"/>
      <c r="I1" s="211"/>
      <c r="J1" s="212">
        <v>2006</v>
      </c>
    </row>
    <row r="2" spans="1:11" s="1" customFormat="1" ht="15.75" customHeight="1">
      <c r="A2" s="213"/>
      <c r="B2" s="25"/>
      <c r="C2"/>
      <c r="D2"/>
      <c r="E2"/>
      <c r="F2"/>
      <c r="G2"/>
      <c r="H2"/>
      <c r="I2"/>
      <c r="J2"/>
    </row>
    <row r="3" spans="1:11" s="1" customFormat="1" ht="13.5" customHeight="1">
      <c r="A3" s="214" t="s">
        <v>1250</v>
      </c>
      <c r="B3" s="25"/>
      <c r="C3"/>
      <c r="D3"/>
      <c r="E3"/>
      <c r="F3"/>
      <c r="G3"/>
      <c r="H3"/>
      <c r="I3"/>
      <c r="J3"/>
    </row>
    <row r="4" spans="1:11" s="1" customFormat="1" ht="13.5" customHeight="1">
      <c r="A4" s="767" t="s">
        <v>190</v>
      </c>
      <c r="B4" s="25"/>
      <c r="C4"/>
      <c r="D4"/>
      <c r="E4"/>
      <c r="F4"/>
      <c r="G4"/>
      <c r="H4"/>
      <c r="I4"/>
      <c r="J4"/>
    </row>
    <row r="5" spans="1:11" s="1" customFormat="1" ht="13.5" customHeight="1">
      <c r="A5" s="213"/>
      <c r="B5" s="25"/>
      <c r="C5"/>
      <c r="D5"/>
      <c r="E5"/>
      <c r="F5"/>
      <c r="G5"/>
      <c r="H5"/>
      <c r="I5"/>
      <c r="J5"/>
    </row>
    <row r="6" spans="1:11" ht="14.25" customHeight="1">
      <c r="A6" s="214" t="s">
        <v>1251</v>
      </c>
      <c r="B6"/>
      <c r="C6"/>
      <c r="D6"/>
      <c r="E6"/>
      <c r="F6"/>
      <c r="G6"/>
      <c r="H6"/>
      <c r="I6"/>
      <c r="J6"/>
    </row>
    <row r="7" spans="1:11" ht="15" customHeight="1">
      <c r="A7" s="215" t="s">
        <v>1252</v>
      </c>
      <c r="B7"/>
      <c r="C7"/>
      <c r="D7"/>
      <c r="E7"/>
      <c r="F7"/>
      <c r="G7"/>
      <c r="H7"/>
      <c r="I7"/>
      <c r="J7"/>
    </row>
    <row r="8" spans="1:11" ht="15" customHeight="1">
      <c r="A8" s="215"/>
      <c r="B8"/>
      <c r="C8"/>
      <c r="D8"/>
      <c r="E8"/>
      <c r="F8"/>
      <c r="G8"/>
      <c r="H8"/>
      <c r="I8"/>
      <c r="J8"/>
    </row>
    <row r="9" spans="1:11" ht="16.5" customHeight="1">
      <c r="A9" s="214" t="s">
        <v>1253</v>
      </c>
      <c r="B9"/>
      <c r="C9"/>
      <c r="D9"/>
      <c r="E9"/>
      <c r="F9"/>
      <c r="G9"/>
      <c r="H9"/>
      <c r="I9"/>
      <c r="J9"/>
    </row>
    <row r="10" spans="1:11" ht="20.25" customHeight="1">
      <c r="A10" s="215" t="s">
        <v>1254</v>
      </c>
      <c r="B10" s="216"/>
      <c r="C10" s="216"/>
      <c r="D10" s="216"/>
      <c r="E10" s="216"/>
      <c r="F10" s="216"/>
      <c r="G10" s="216"/>
      <c r="H10" s="216"/>
      <c r="I10" s="216"/>
      <c r="J10" s="216"/>
    </row>
    <row r="11" spans="1:11" ht="13.5" customHeight="1">
      <c r="A11" s="215"/>
      <c r="B11"/>
      <c r="C11"/>
      <c r="D11"/>
      <c r="E11"/>
      <c r="F11"/>
      <c r="G11"/>
      <c r="H11"/>
      <c r="I11"/>
      <c r="J11"/>
    </row>
    <row r="12" spans="1:11" ht="15.75" customHeight="1">
      <c r="A12" s="214" t="s">
        <v>191</v>
      </c>
      <c r="B12"/>
      <c r="C12"/>
      <c r="D12"/>
      <c r="E12"/>
      <c r="F12"/>
      <c r="G12"/>
      <c r="H12"/>
      <c r="I12"/>
      <c r="J12"/>
      <c r="K12" s="9"/>
    </row>
    <row r="13" spans="1:11" ht="14.25" customHeight="1">
      <c r="A13" s="215" t="s">
        <v>1255</v>
      </c>
      <c r="B13"/>
      <c r="C13"/>
      <c r="D13"/>
      <c r="E13"/>
      <c r="F13"/>
      <c r="G13"/>
      <c r="H13"/>
      <c r="I13"/>
      <c r="J13"/>
    </row>
    <row r="14" spans="1:11" ht="13.5" customHeight="1">
      <c r="A14" s="215"/>
      <c r="B14"/>
      <c r="C14"/>
      <c r="D14"/>
      <c r="E14"/>
      <c r="F14"/>
      <c r="G14"/>
      <c r="H14"/>
      <c r="I14"/>
      <c r="J14"/>
    </row>
    <row r="15" spans="1:11" ht="20" customHeight="1">
      <c r="A15" s="214" t="s">
        <v>192</v>
      </c>
      <c r="B15"/>
      <c r="C15"/>
      <c r="D15"/>
      <c r="E15"/>
      <c r="F15"/>
      <c r="G15"/>
      <c r="H15"/>
      <c r="I15"/>
      <c r="J15"/>
    </row>
    <row r="16" spans="1:11" ht="19.5" customHeight="1">
      <c r="A16" s="215" t="s">
        <v>1256</v>
      </c>
      <c r="B16" s="216"/>
      <c r="C16" s="216"/>
      <c r="D16" s="216"/>
      <c r="E16" s="216"/>
      <c r="F16" s="216"/>
      <c r="G16" s="216"/>
      <c r="H16" s="216"/>
      <c r="I16" s="216"/>
      <c r="J16" s="216"/>
    </row>
    <row r="17" spans="1:10" ht="12.75" customHeight="1">
      <c r="A17" s="215" t="s">
        <v>1257</v>
      </c>
      <c r="B17" s="216"/>
      <c r="C17" s="216"/>
      <c r="D17" s="216"/>
      <c r="E17" s="216"/>
      <c r="F17" s="216"/>
      <c r="G17" s="216"/>
      <c r="H17" s="216"/>
      <c r="I17" s="216"/>
      <c r="J17" s="216"/>
    </row>
    <row r="18" spans="1:10" ht="15.75" customHeight="1">
      <c r="A18" s="215" t="s">
        <v>1258</v>
      </c>
      <c r="B18" s="216"/>
      <c r="C18" s="216"/>
      <c r="D18" s="216"/>
      <c r="E18" s="216"/>
      <c r="F18" s="216"/>
      <c r="G18" s="216"/>
      <c r="H18" s="216"/>
      <c r="I18" s="216"/>
      <c r="J18" s="216"/>
    </row>
    <row r="19" spans="1:10" ht="15.75" customHeight="1">
      <c r="A19" s="215" t="s">
        <v>1259</v>
      </c>
      <c r="B19" s="216"/>
      <c r="C19" s="216"/>
      <c r="D19" s="216"/>
      <c r="E19" s="216"/>
      <c r="F19" s="216"/>
      <c r="G19" s="216"/>
      <c r="H19" s="216"/>
      <c r="I19" s="216"/>
      <c r="J19" s="216"/>
    </row>
    <row r="20" spans="1:10" ht="14.25" customHeight="1">
      <c r="A20" s="215"/>
      <c r="B20"/>
      <c r="C20"/>
      <c r="D20"/>
      <c r="E20"/>
      <c r="F20"/>
      <c r="G20"/>
      <c r="H20"/>
      <c r="I20"/>
      <c r="J20"/>
    </row>
    <row r="21" spans="1:10" ht="17.25" customHeight="1">
      <c r="A21" s="214" t="s">
        <v>193</v>
      </c>
      <c r="B21"/>
      <c r="C21"/>
      <c r="D21"/>
      <c r="E21"/>
      <c r="F21"/>
      <c r="G21"/>
      <c r="H21"/>
      <c r="I21"/>
      <c r="J21"/>
    </row>
    <row r="22" spans="1:10" ht="17.25" customHeight="1">
      <c r="A22" s="215" t="s">
        <v>194</v>
      </c>
      <c r="B22" s="216"/>
      <c r="C22" s="216"/>
      <c r="D22" s="216"/>
      <c r="E22" s="216"/>
      <c r="F22" s="216"/>
      <c r="G22" s="216"/>
      <c r="H22" s="216"/>
      <c r="I22" s="216"/>
      <c r="J22" s="216"/>
    </row>
    <row r="23" spans="1:10" ht="13.5" customHeight="1">
      <c r="A23" s="215" t="s">
        <v>1260</v>
      </c>
      <c r="B23" s="216"/>
      <c r="C23" s="216"/>
      <c r="D23" s="216"/>
      <c r="E23" s="216"/>
      <c r="F23" s="216"/>
      <c r="G23" s="216"/>
      <c r="H23" s="216"/>
      <c r="I23" s="216"/>
      <c r="J23" s="216"/>
    </row>
    <row r="24" spans="1:10" ht="15.75" customHeight="1">
      <c r="A24" s="215"/>
      <c r="B24"/>
      <c r="C24"/>
      <c r="D24"/>
      <c r="E24"/>
      <c r="F24"/>
      <c r="G24"/>
      <c r="H24"/>
      <c r="I24"/>
      <c r="J24"/>
    </row>
    <row r="25" spans="1:10" ht="15.75" customHeight="1">
      <c r="A25" s="214" t="s">
        <v>195</v>
      </c>
      <c r="B25"/>
      <c r="C25"/>
      <c r="D25"/>
      <c r="E25"/>
      <c r="F25"/>
      <c r="G25"/>
      <c r="H25"/>
      <c r="I25"/>
      <c r="J25"/>
    </row>
    <row r="26" spans="1:10" ht="18" customHeight="1">
      <c r="A26" s="215" t="s">
        <v>1261</v>
      </c>
      <c r="B26" s="216"/>
      <c r="C26" s="216"/>
      <c r="D26" s="216"/>
      <c r="E26" s="216"/>
      <c r="F26" s="216"/>
      <c r="G26" s="216"/>
      <c r="H26" s="216"/>
      <c r="I26" s="216"/>
      <c r="J26" s="216"/>
    </row>
    <row r="27" spans="1:10" ht="16.5" customHeight="1">
      <c r="A27" s="215" t="s">
        <v>2413</v>
      </c>
      <c r="B27" s="216"/>
      <c r="C27" s="216"/>
      <c r="D27" s="216"/>
      <c r="E27" s="216"/>
      <c r="F27" s="216"/>
      <c r="G27" s="216"/>
      <c r="H27" s="216"/>
      <c r="I27" s="216"/>
      <c r="J27" s="216"/>
    </row>
    <row r="28" spans="1:10" ht="12.75" customHeight="1">
      <c r="A28" s="215"/>
      <c r="B28"/>
      <c r="C28"/>
      <c r="D28"/>
      <c r="E28"/>
      <c r="F28"/>
      <c r="G28"/>
      <c r="H28"/>
      <c r="I28"/>
      <c r="J28"/>
    </row>
    <row r="29" spans="1:10">
      <c r="A29" s="214" t="s">
        <v>196</v>
      </c>
      <c r="B29"/>
      <c r="C29"/>
      <c r="D29"/>
      <c r="E29"/>
      <c r="F29"/>
      <c r="G29"/>
      <c r="H29"/>
      <c r="I29"/>
      <c r="J29"/>
    </row>
    <row r="30" spans="1:10" ht="18" customHeight="1">
      <c r="A30" s="215" t="s">
        <v>2414</v>
      </c>
      <c r="B30" s="216"/>
      <c r="C30" s="216"/>
      <c r="D30" s="216"/>
      <c r="E30" s="216"/>
      <c r="F30" s="216"/>
      <c r="G30" s="216"/>
      <c r="H30" s="216"/>
      <c r="I30" s="216"/>
      <c r="J30" s="216"/>
    </row>
    <row r="31" spans="1:10" ht="12.75" customHeight="1">
      <c r="A31" s="215"/>
      <c r="B31"/>
      <c r="C31"/>
      <c r="D31"/>
      <c r="E31"/>
      <c r="F31"/>
      <c r="G31"/>
      <c r="H31"/>
      <c r="I31"/>
      <c r="J31"/>
    </row>
    <row r="32" spans="1:10">
      <c r="A32" s="214" t="s">
        <v>197</v>
      </c>
      <c r="B32"/>
      <c r="C32"/>
      <c r="D32"/>
      <c r="E32"/>
      <c r="F32"/>
      <c r="G32"/>
      <c r="H32"/>
      <c r="I32"/>
      <c r="J32"/>
    </row>
    <row r="33" spans="1:11" ht="17.25" customHeight="1">
      <c r="A33" s="215" t="s">
        <v>2415</v>
      </c>
      <c r="B33" s="216"/>
      <c r="C33" s="216"/>
      <c r="D33" s="216"/>
      <c r="E33" s="216"/>
      <c r="F33" s="216"/>
      <c r="G33" s="216"/>
      <c r="H33" s="216"/>
      <c r="I33" s="216"/>
      <c r="J33" s="216"/>
    </row>
    <row r="34" spans="1:11" ht="14.25" customHeight="1">
      <c r="A34" s="215" t="s">
        <v>1329</v>
      </c>
      <c r="B34" s="216"/>
      <c r="C34" s="216"/>
      <c r="D34" s="216"/>
      <c r="E34" s="216"/>
      <c r="F34" s="216"/>
      <c r="G34" s="216"/>
      <c r="H34" s="216"/>
      <c r="I34" s="216"/>
      <c r="J34" s="216"/>
    </row>
    <row r="35" spans="1:11" ht="14.25" customHeight="1">
      <c r="A35" s="215" t="s">
        <v>1330</v>
      </c>
      <c r="B35" s="216"/>
      <c r="C35" s="216"/>
      <c r="D35" s="216"/>
      <c r="E35" s="216"/>
      <c r="F35" s="216"/>
      <c r="G35" s="216"/>
      <c r="H35" s="216"/>
      <c r="I35" s="216"/>
      <c r="J35" s="216"/>
      <c r="K35" s="4"/>
    </row>
    <row r="36" spans="1:11" ht="12.75" customHeight="1">
      <c r="A36" s="215"/>
      <c r="B36"/>
      <c r="C36"/>
      <c r="D36"/>
      <c r="E36"/>
      <c r="F36"/>
      <c r="G36"/>
      <c r="H36"/>
      <c r="I36"/>
      <c r="J36"/>
    </row>
    <row r="37" spans="1:11">
      <c r="A37" s="214" t="s">
        <v>198</v>
      </c>
      <c r="B37"/>
      <c r="C37"/>
      <c r="D37"/>
      <c r="E37"/>
      <c r="F37"/>
      <c r="G37"/>
      <c r="H37"/>
      <c r="I37"/>
      <c r="J37"/>
    </row>
    <row r="38" spans="1:11" ht="16.5" customHeight="1">
      <c r="A38" s="215" t="s">
        <v>266</v>
      </c>
      <c r="B38" s="216"/>
      <c r="C38" s="216"/>
      <c r="D38" s="216"/>
      <c r="E38" s="216"/>
      <c r="F38" s="216"/>
      <c r="G38" s="216"/>
      <c r="H38" s="216"/>
      <c r="I38" s="216"/>
      <c r="J38" s="216"/>
    </row>
    <row r="39" spans="1:11" ht="13.5" customHeight="1">
      <c r="A39" s="215" t="s">
        <v>267</v>
      </c>
      <c r="B39" s="216"/>
      <c r="C39" s="216"/>
      <c r="D39" s="216"/>
      <c r="E39" s="216"/>
      <c r="F39" s="216"/>
      <c r="G39" s="216"/>
      <c r="H39" s="216"/>
      <c r="I39" s="216"/>
      <c r="J39" s="216"/>
    </row>
    <row r="40" spans="1:11" ht="12.75" customHeight="1">
      <c r="A40" s="215"/>
      <c r="B40"/>
      <c r="C40"/>
      <c r="D40"/>
      <c r="E40"/>
      <c r="F40"/>
      <c r="G40"/>
      <c r="H40"/>
      <c r="I40"/>
      <c r="J40"/>
    </row>
    <row r="41" spans="1:11" ht="19.5" customHeight="1">
      <c r="A41" s="217" t="s">
        <v>268</v>
      </c>
      <c r="B41" s="218" t="s">
        <v>269</v>
      </c>
      <c r="C41" s="218" t="s">
        <v>270</v>
      </c>
      <c r="D41" s="218" t="s">
        <v>271</v>
      </c>
      <c r="E41" s="218" t="s">
        <v>272</v>
      </c>
      <c r="G41" s="2"/>
    </row>
    <row r="42" spans="1:11" ht="15.75" customHeight="1">
      <c r="A42" s="219" t="s">
        <v>273</v>
      </c>
      <c r="B42" s="220" t="s">
        <v>274</v>
      </c>
      <c r="C42" s="221">
        <v>0.2</v>
      </c>
      <c r="D42" s="221">
        <v>0.2</v>
      </c>
      <c r="E42" s="221">
        <v>0.15</v>
      </c>
      <c r="G42" s="2"/>
    </row>
    <row r="43" spans="1:11" ht="14.25" customHeight="1">
      <c r="A43" s="222">
        <v>2007</v>
      </c>
      <c r="B43" s="223" t="s">
        <v>274</v>
      </c>
      <c r="C43" s="224">
        <v>0.18</v>
      </c>
      <c r="D43" s="224">
        <v>0.16</v>
      </c>
      <c r="E43" s="224">
        <v>0.13</v>
      </c>
      <c r="F43"/>
      <c r="G43"/>
      <c r="H43"/>
      <c r="I43"/>
      <c r="J43"/>
    </row>
    <row r="44" spans="1:11" ht="14.25" customHeight="1">
      <c r="A44" s="222">
        <v>2008</v>
      </c>
      <c r="B44" s="223" t="s">
        <v>274</v>
      </c>
      <c r="C44" s="224">
        <v>0.16</v>
      </c>
      <c r="D44" s="224">
        <v>0.12</v>
      </c>
      <c r="E44" s="224">
        <v>0.11</v>
      </c>
      <c r="G44" s="2"/>
    </row>
    <row r="45" spans="1:11" ht="14.25" customHeight="1">
      <c r="A45" s="222">
        <v>2009</v>
      </c>
      <c r="B45" s="223" t="s">
        <v>274</v>
      </c>
      <c r="C45" s="224">
        <v>0.15</v>
      </c>
      <c r="D45" s="224">
        <v>0.1</v>
      </c>
      <c r="E45" s="224">
        <v>0.1</v>
      </c>
      <c r="G45" s="2"/>
    </row>
    <row r="46" spans="1:11" ht="9" customHeight="1">
      <c r="A46" s="225"/>
      <c r="C46" s="2"/>
      <c r="E46" s="2"/>
      <c r="G46" s="2"/>
    </row>
    <row r="47" spans="1:11" ht="15" customHeight="1">
      <c r="A47" s="225" t="s">
        <v>275</v>
      </c>
      <c r="C47" s="2"/>
      <c r="E47" s="2"/>
      <c r="G47" s="2"/>
    </row>
    <row r="48" spans="1:11" ht="15" customHeight="1">
      <c r="A48" s="225"/>
      <c r="C48" s="2"/>
      <c r="E48" s="2"/>
      <c r="G48" s="2"/>
    </row>
    <row r="49" spans="1:7" ht="17.25" customHeight="1">
      <c r="A49" s="226" t="s">
        <v>276</v>
      </c>
      <c r="C49" s="2"/>
      <c r="E49" s="2"/>
      <c r="G49" s="2"/>
    </row>
    <row r="50" spans="1:7" ht="16.5" customHeight="1">
      <c r="A50" s="225" t="s">
        <v>277</v>
      </c>
      <c r="C50" s="2"/>
      <c r="E50" s="2"/>
      <c r="G50" s="2"/>
    </row>
    <row r="51" spans="1:7" ht="11.25" customHeight="1">
      <c r="A51" s="225"/>
      <c r="C51" s="2"/>
      <c r="E51" s="2"/>
      <c r="G51" s="2"/>
    </row>
    <row r="52" spans="1:7" ht="16.5" customHeight="1">
      <c r="A52" s="226" t="s">
        <v>278</v>
      </c>
      <c r="C52" s="2"/>
      <c r="E52" s="2"/>
      <c r="G52" s="2"/>
    </row>
    <row r="53" spans="1:7" ht="16.5" customHeight="1">
      <c r="A53" s="225" t="s">
        <v>279</v>
      </c>
      <c r="C53" s="2"/>
      <c r="E53" s="2"/>
      <c r="G53" s="2"/>
    </row>
    <row r="54" spans="1:7" ht="16.5" customHeight="1">
      <c r="A54" s="225" t="s">
        <v>280</v>
      </c>
      <c r="C54" s="2"/>
      <c r="E54" s="2"/>
      <c r="G54" s="2"/>
    </row>
    <row r="55" spans="1:7" ht="11.25" customHeight="1">
      <c r="A55" s="225"/>
      <c r="C55" s="2"/>
      <c r="E55" s="2"/>
      <c r="G55" s="2"/>
    </row>
    <row r="56" spans="1:7" ht="20.25" customHeight="1">
      <c r="A56" s="214" t="s">
        <v>199</v>
      </c>
      <c r="C56" s="2"/>
      <c r="E56" s="2"/>
      <c r="G56" s="2"/>
    </row>
    <row r="57" spans="1:7" ht="16.5" customHeight="1">
      <c r="A57" s="215" t="s">
        <v>200</v>
      </c>
      <c r="C57" s="2"/>
      <c r="E57" s="2"/>
      <c r="G57" s="2"/>
    </row>
    <row r="58" spans="1:7" ht="16.5" customHeight="1">
      <c r="A58" s="214" t="s">
        <v>2283</v>
      </c>
      <c r="C58" s="2"/>
      <c r="E58" s="2"/>
      <c r="G58" s="2"/>
    </row>
    <row r="59" spans="1:7" ht="13.5" customHeight="1">
      <c r="A59" s="227"/>
      <c r="C59" s="2"/>
      <c r="E59" s="2"/>
      <c r="G59" s="2"/>
    </row>
    <row r="60" spans="1:7" ht="17.25" customHeight="1">
      <c r="A60" s="214" t="s">
        <v>201</v>
      </c>
      <c r="C60" s="2"/>
      <c r="E60" s="2"/>
      <c r="G60" s="2"/>
    </row>
    <row r="61" spans="1:7" ht="17.25" customHeight="1">
      <c r="A61" s="215" t="s">
        <v>281</v>
      </c>
      <c r="C61" s="2"/>
      <c r="E61" s="2"/>
      <c r="G61" s="2"/>
    </row>
    <row r="62" spans="1:7" ht="16.5" customHeight="1">
      <c r="A62" s="207" t="s">
        <v>282</v>
      </c>
      <c r="C62" s="2"/>
      <c r="E62" s="2"/>
      <c r="G62" s="2"/>
    </row>
    <row r="63" spans="1:7" ht="13.5" customHeight="1">
      <c r="A63" s="207"/>
      <c r="C63" s="2"/>
      <c r="E63" s="2"/>
      <c r="G63" s="2"/>
    </row>
    <row r="64" spans="1:7" ht="16.5" customHeight="1">
      <c r="A64" s="214" t="s">
        <v>283</v>
      </c>
      <c r="C64" s="2"/>
      <c r="E64" s="2"/>
      <c r="G64" s="2"/>
    </row>
    <row r="65" spans="1:10" ht="17.25" customHeight="1">
      <c r="A65" s="228" t="s">
        <v>284</v>
      </c>
      <c r="C65" s="2"/>
      <c r="E65" s="2"/>
      <c r="G65" s="2"/>
    </row>
    <row r="66" spans="1:10" ht="15" customHeight="1">
      <c r="C66" s="2"/>
      <c r="E66" s="2"/>
      <c r="G66" s="2"/>
    </row>
    <row r="67" spans="1:10" ht="18" customHeight="1">
      <c r="A67" s="214" t="s">
        <v>202</v>
      </c>
      <c r="C67" s="2"/>
      <c r="E67" s="2"/>
      <c r="G67" s="2"/>
    </row>
    <row r="68" spans="1:10" ht="20.25" customHeight="1">
      <c r="A68" s="225"/>
      <c r="C68" s="2"/>
      <c r="E68" s="2"/>
      <c r="G68" s="2"/>
    </row>
    <row r="69" spans="1:10" ht="17.25" customHeight="1">
      <c r="B69" s="229" t="s">
        <v>285</v>
      </c>
      <c r="C69" s="2"/>
      <c r="E69" s="2"/>
      <c r="G69" s="2"/>
    </row>
    <row r="70" spans="1:10">
      <c r="A70" s="230">
        <v>0</v>
      </c>
      <c r="B70" s="231" t="s">
        <v>286</v>
      </c>
      <c r="C70" s="3"/>
      <c r="D70" s="3"/>
      <c r="E70" s="3"/>
      <c r="G70" s="2"/>
    </row>
    <row r="71" spans="1:10">
      <c r="A71" s="230">
        <v>1</v>
      </c>
      <c r="B71" s="231" t="s">
        <v>287</v>
      </c>
      <c r="C71" s="3"/>
      <c r="D71" s="3"/>
      <c r="E71" s="3"/>
      <c r="G71" s="232" t="s">
        <v>288</v>
      </c>
      <c r="H71" s="233" t="s">
        <v>289</v>
      </c>
      <c r="I71" s="3"/>
      <c r="J71" s="3"/>
    </row>
    <row r="72" spans="1:10">
      <c r="A72" s="230">
        <v>2</v>
      </c>
      <c r="B72" s="231" t="s">
        <v>290</v>
      </c>
      <c r="C72" s="3"/>
      <c r="D72" s="3"/>
      <c r="E72" s="3"/>
      <c r="G72" s="230" t="s">
        <v>291</v>
      </c>
      <c r="H72" s="231" t="s">
        <v>292</v>
      </c>
      <c r="I72" s="3"/>
      <c r="J72" s="3"/>
    </row>
    <row r="73" spans="1:10">
      <c r="A73" s="230" t="s">
        <v>293</v>
      </c>
      <c r="B73" s="231" t="s">
        <v>294</v>
      </c>
      <c r="C73" s="3"/>
      <c r="D73" s="3"/>
      <c r="E73" s="3"/>
      <c r="G73" s="234" t="s">
        <v>295</v>
      </c>
      <c r="H73" s="233" t="s">
        <v>296</v>
      </c>
      <c r="I73" s="3"/>
      <c r="J73" s="3"/>
    </row>
    <row r="74" spans="1:10">
      <c r="A74" s="230" t="s">
        <v>297</v>
      </c>
      <c r="B74" s="233" t="s">
        <v>298</v>
      </c>
      <c r="C74" s="3"/>
      <c r="D74" s="3"/>
      <c r="E74" s="3"/>
      <c r="G74" s="232" t="s">
        <v>299</v>
      </c>
      <c r="H74" s="233" t="s">
        <v>300</v>
      </c>
      <c r="I74" s="3"/>
      <c r="J74" s="3"/>
    </row>
    <row r="75" spans="1:10">
      <c r="A75" s="230" t="s">
        <v>301</v>
      </c>
      <c r="B75" s="231" t="s">
        <v>1890</v>
      </c>
      <c r="C75" s="3"/>
      <c r="D75" s="3"/>
      <c r="E75" s="3"/>
      <c r="G75" s="235">
        <v>10</v>
      </c>
      <c r="H75" s="236" t="s">
        <v>1891</v>
      </c>
      <c r="I75" s="3"/>
      <c r="J75" s="3"/>
    </row>
    <row r="76" spans="1:10">
      <c r="A76" s="230" t="s">
        <v>1892</v>
      </c>
      <c r="B76" s="231" t="s">
        <v>1893</v>
      </c>
      <c r="C76" s="3"/>
      <c r="D76" s="3"/>
      <c r="E76" s="3"/>
      <c r="G76" s="235" t="s">
        <v>1894</v>
      </c>
      <c r="H76" s="236" t="s">
        <v>1895</v>
      </c>
      <c r="I76" s="3"/>
      <c r="J76" s="3"/>
    </row>
    <row r="77" spans="1:10">
      <c r="A77" s="230" t="s">
        <v>1896</v>
      </c>
      <c r="B77" s="231" t="s">
        <v>1897</v>
      </c>
      <c r="C77" s="3"/>
      <c r="D77" s="3"/>
      <c r="E77" s="3"/>
      <c r="G77" s="235" t="s">
        <v>1898</v>
      </c>
      <c r="H77" s="236" t="s">
        <v>1899</v>
      </c>
      <c r="I77" s="3"/>
      <c r="J77" s="3"/>
    </row>
    <row r="78" spans="1:10">
      <c r="A78" s="230" t="s">
        <v>1900</v>
      </c>
      <c r="B78" s="231" t="s">
        <v>1901</v>
      </c>
      <c r="C78" s="3"/>
      <c r="D78" s="3"/>
      <c r="E78" s="3"/>
      <c r="G78" s="235" t="s">
        <v>1902</v>
      </c>
      <c r="H78" s="236" t="s">
        <v>1903</v>
      </c>
      <c r="I78" s="3"/>
      <c r="J78" s="3"/>
    </row>
    <row r="79" spans="1:10">
      <c r="A79" s="234" t="s">
        <v>1904</v>
      </c>
      <c r="B79" s="233" t="s">
        <v>1905</v>
      </c>
      <c r="C79" s="3"/>
      <c r="D79" s="3"/>
      <c r="E79" s="3"/>
      <c r="G79" s="235" t="s">
        <v>1906</v>
      </c>
      <c r="H79" s="233" t="s">
        <v>1907</v>
      </c>
      <c r="I79" s="3"/>
      <c r="J79" s="3"/>
    </row>
    <row r="80" spans="1:10">
      <c r="A80" s="237" t="s">
        <v>1908</v>
      </c>
      <c r="B80" s="231" t="s">
        <v>1909</v>
      </c>
      <c r="C80" s="3"/>
      <c r="D80" s="3"/>
      <c r="E80" s="3"/>
      <c r="G80" s="235" t="s">
        <v>1910</v>
      </c>
      <c r="H80" s="233" t="s">
        <v>1911</v>
      </c>
      <c r="I80" s="3"/>
      <c r="J80" s="3"/>
    </row>
    <row r="81" spans="1:10">
      <c r="A81" s="232" t="s">
        <v>1912</v>
      </c>
      <c r="B81" s="231" t="s">
        <v>1913</v>
      </c>
      <c r="C81" s="3"/>
      <c r="D81" s="3"/>
      <c r="E81" s="3"/>
      <c r="G81" s="235" t="s">
        <v>1914</v>
      </c>
      <c r="H81" s="233" t="s">
        <v>1915</v>
      </c>
      <c r="I81" s="3"/>
      <c r="J81" s="3"/>
    </row>
    <row r="82" spans="1:10">
      <c r="A82" s="230">
        <v>7</v>
      </c>
      <c r="B82" s="231" t="s">
        <v>1916</v>
      </c>
      <c r="C82" s="3"/>
      <c r="D82" s="3"/>
      <c r="E82" s="3"/>
      <c r="G82" s="235" t="s">
        <v>1917</v>
      </c>
      <c r="H82" s="233" t="s">
        <v>1918</v>
      </c>
      <c r="I82" s="3"/>
      <c r="J82" s="3"/>
    </row>
    <row r="83" spans="1:10">
      <c r="A83" s="230"/>
      <c r="B83" s="231" t="s">
        <v>420</v>
      </c>
      <c r="C83" s="3"/>
      <c r="D83" s="3"/>
      <c r="E83" s="3"/>
      <c r="G83" s="235">
        <v>14</v>
      </c>
      <c r="H83" s="236" t="s">
        <v>421</v>
      </c>
      <c r="I83" s="3"/>
      <c r="J83" s="3"/>
    </row>
    <row r="84" spans="1:10">
      <c r="A84" s="230" t="s">
        <v>422</v>
      </c>
      <c r="B84" s="231" t="s">
        <v>2281</v>
      </c>
      <c r="C84" s="3"/>
      <c r="D84" s="3"/>
      <c r="E84" s="3"/>
      <c r="G84" s="235">
        <v>15</v>
      </c>
      <c r="H84" s="233" t="s">
        <v>2282</v>
      </c>
      <c r="I84" s="3"/>
      <c r="J84" s="3"/>
    </row>
    <row r="85" spans="1:10">
      <c r="E85" s="3"/>
      <c r="G85" s="2"/>
    </row>
    <row r="86" spans="1:10">
      <c r="E86" s="3"/>
      <c r="G86" s="2"/>
    </row>
    <row r="87" spans="1:10">
      <c r="A87" s="238" t="s">
        <v>453</v>
      </c>
      <c r="B87" s="236"/>
      <c r="C87" s="3"/>
      <c r="D87" s="3"/>
      <c r="E87" s="3"/>
      <c r="G87" s="2"/>
    </row>
    <row r="88" spans="1:10">
      <c r="A88" s="235"/>
      <c r="B88" s="236"/>
      <c r="C88" s="3"/>
      <c r="D88" s="3"/>
      <c r="E88" s="3"/>
      <c r="G88" s="2"/>
    </row>
    <row r="89" spans="1:10">
      <c r="A89" s="235"/>
      <c r="B89" s="236"/>
      <c r="C89" s="3"/>
      <c r="D89" s="3"/>
      <c r="E89" s="3"/>
      <c r="G89" s="2"/>
    </row>
    <row r="90" spans="1:10">
      <c r="A90" s="239" t="s">
        <v>1955</v>
      </c>
      <c r="B90" s="236"/>
      <c r="C90" s="3"/>
      <c r="D90" s="3"/>
      <c r="E90" s="3"/>
      <c r="G90" s="2"/>
    </row>
    <row r="91" spans="1:10">
      <c r="C91" s="2"/>
      <c r="E91" s="2"/>
      <c r="G91" s="2"/>
    </row>
  </sheetData>
  <mergeCells count="1">
    <mergeCell ref="A1:H1"/>
  </mergeCells>
  <phoneticPr fontId="0" type="noConversion"/>
  <pageMargins left="0.53" right="0.53" top="0.52" bottom="0.42" header="0.35433070866141736" footer="0.26"/>
  <pageSetup paperSize="9" scale="59" orientation="portrait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9CBB-C846-C34B-95C5-DD1AF96388BA}">
  <sheetPr>
    <pageSetUpPr fitToPage="1"/>
  </sheetPr>
  <dimension ref="A1:I120"/>
  <sheetViews>
    <sheetView zoomScale="75" workbookViewId="0">
      <selection activeCell="A3" sqref="A3"/>
    </sheetView>
  </sheetViews>
  <sheetFormatPr baseColWidth="10" defaultColWidth="11.3984375" defaultRowHeight="13"/>
  <cols>
    <col min="1" max="1" width="5.796875" style="2" customWidth="1"/>
    <col min="2" max="2" width="52.59765625" style="97" customWidth="1"/>
    <col min="3" max="3" width="12.796875" style="97" customWidth="1"/>
    <col min="4" max="4" width="10.796875" style="97" customWidth="1"/>
    <col min="5" max="5" width="10.796875" style="2" customWidth="1"/>
    <col min="6" max="7" width="10.796875" style="8" customWidth="1"/>
    <col min="8" max="9" width="10.796875" style="2" customWidth="1"/>
    <col min="10" max="10" width="6.19921875" style="2" customWidth="1"/>
    <col min="11" max="16384" width="11.3984375" style="2"/>
  </cols>
  <sheetData>
    <row r="1" spans="1:9" s="1" customFormat="1" ht="14" customHeight="1">
      <c r="B1" s="169"/>
      <c r="C1" s="169"/>
      <c r="D1" s="169"/>
      <c r="F1" s="175"/>
      <c r="G1" s="175"/>
    </row>
    <row r="2" spans="1:9" s="1" customFormat="1" ht="19.5" customHeight="1">
      <c r="A2" s="58" t="s">
        <v>576</v>
      </c>
      <c r="C2" s="169"/>
      <c r="D2" s="169"/>
      <c r="F2" s="175"/>
      <c r="G2" s="175"/>
      <c r="H2" s="17"/>
      <c r="I2" s="819">
        <v>2006</v>
      </c>
    </row>
    <row r="3" spans="1:9" s="1" customFormat="1" ht="14.25" customHeight="1" thickBot="1">
      <c r="A3" s="820"/>
      <c r="B3" s="821"/>
      <c r="C3" s="821"/>
      <c r="D3" s="821"/>
      <c r="E3" s="820"/>
      <c r="F3" s="822"/>
      <c r="G3" s="822"/>
      <c r="H3" s="820"/>
      <c r="I3" s="820"/>
    </row>
    <row r="4" spans="1:9" ht="18" customHeight="1">
      <c r="A4" s="66" t="s">
        <v>1922</v>
      </c>
      <c r="B4" s="66" t="s">
        <v>592</v>
      </c>
      <c r="C4" s="67" t="s">
        <v>577</v>
      </c>
      <c r="D4" s="68" t="s">
        <v>1008</v>
      </c>
      <c r="E4" s="69" t="s">
        <v>1020</v>
      </c>
      <c r="F4" s="70" t="s">
        <v>531</v>
      </c>
      <c r="G4" s="69" t="s">
        <v>894</v>
      </c>
      <c r="H4" s="70" t="s">
        <v>533</v>
      </c>
      <c r="I4" s="67" t="s">
        <v>533</v>
      </c>
    </row>
    <row r="5" spans="1:9" ht="15" customHeight="1">
      <c r="A5" s="66" t="s">
        <v>1930</v>
      </c>
      <c r="B5" s="66"/>
      <c r="C5" s="67" t="s">
        <v>578</v>
      </c>
      <c r="D5" s="68"/>
      <c r="E5" s="67"/>
      <c r="F5" s="70" t="s">
        <v>547</v>
      </c>
      <c r="G5" s="69" t="s">
        <v>1427</v>
      </c>
      <c r="H5" s="70" t="s">
        <v>549</v>
      </c>
      <c r="I5" s="67" t="s">
        <v>427</v>
      </c>
    </row>
    <row r="6" spans="1:9" ht="15" customHeight="1">
      <c r="A6" s="66"/>
      <c r="B6" s="66"/>
      <c r="C6" s="67" t="s">
        <v>579</v>
      </c>
      <c r="D6" s="68"/>
      <c r="E6" s="67"/>
      <c r="F6" s="70" t="s">
        <v>557</v>
      </c>
      <c r="G6" s="69"/>
      <c r="H6" s="70" t="s">
        <v>561</v>
      </c>
      <c r="I6" s="67"/>
    </row>
    <row r="7" spans="1:9" ht="15" customHeight="1">
      <c r="A7" s="66"/>
      <c r="B7" s="66"/>
      <c r="C7" s="67" t="s">
        <v>989</v>
      </c>
      <c r="D7" s="68" t="s">
        <v>580</v>
      </c>
      <c r="E7" s="67" t="s">
        <v>580</v>
      </c>
      <c r="F7" s="68" t="s">
        <v>569</v>
      </c>
      <c r="G7" s="67" t="s">
        <v>580</v>
      </c>
      <c r="H7" s="68" t="s">
        <v>580</v>
      </c>
      <c r="I7" s="67" t="s">
        <v>580</v>
      </c>
    </row>
    <row r="8" spans="1:9" ht="15" customHeight="1">
      <c r="A8" s="66"/>
      <c r="B8" s="66"/>
      <c r="C8" s="67" t="s">
        <v>991</v>
      </c>
      <c r="D8" s="68" t="s">
        <v>946</v>
      </c>
      <c r="E8" s="67" t="s">
        <v>946</v>
      </c>
      <c r="F8" s="68" t="s">
        <v>580</v>
      </c>
      <c r="G8" s="67" t="s">
        <v>946</v>
      </c>
      <c r="H8" s="68" t="s">
        <v>946</v>
      </c>
      <c r="I8" s="67" t="s">
        <v>946</v>
      </c>
    </row>
    <row r="9" spans="1:9" ht="15" customHeight="1">
      <c r="A9" s="66"/>
      <c r="B9" s="66"/>
      <c r="C9" s="67"/>
      <c r="D9" s="68"/>
      <c r="E9" s="67"/>
      <c r="F9" s="68" t="s">
        <v>946</v>
      </c>
      <c r="G9" s="69"/>
      <c r="H9" s="68"/>
      <c r="I9" s="67"/>
    </row>
    <row r="10" spans="1:9" ht="18" customHeight="1" thickBot="1">
      <c r="A10" s="823">
        <v>0</v>
      </c>
      <c r="B10" s="823"/>
      <c r="C10" s="824">
        <v>1</v>
      </c>
      <c r="D10" s="825">
        <v>2</v>
      </c>
      <c r="E10" s="824">
        <v>3</v>
      </c>
      <c r="F10" s="826">
        <v>4</v>
      </c>
      <c r="G10" s="827">
        <v>5</v>
      </c>
      <c r="H10" s="825">
        <v>6</v>
      </c>
      <c r="I10" s="824">
        <v>7</v>
      </c>
    </row>
    <row r="11" spans="1:9" ht="15.75" customHeight="1" thickBot="1">
      <c r="A11" s="80">
        <v>8</v>
      </c>
      <c r="B11" s="828" t="s">
        <v>593</v>
      </c>
      <c r="C11" s="829" t="s">
        <v>967</v>
      </c>
      <c r="D11" s="801">
        <v>1613.4</v>
      </c>
      <c r="E11" s="830">
        <v>939.8207000000001</v>
      </c>
      <c r="F11" s="801">
        <v>87.852869999999996</v>
      </c>
      <c r="G11" s="830">
        <v>607.46632000000011</v>
      </c>
      <c r="H11" s="801">
        <v>2000</v>
      </c>
      <c r="I11" s="831">
        <v>9019.8431400000009</v>
      </c>
    </row>
    <row r="12" spans="1:9" ht="14" thickBot="1">
      <c r="A12" s="832">
        <v>32</v>
      </c>
      <c r="B12" s="833" t="s">
        <v>1937</v>
      </c>
      <c r="C12" s="829" t="s">
        <v>967</v>
      </c>
      <c r="D12" s="802">
        <v>1714.2</v>
      </c>
      <c r="E12" s="834">
        <v>960.52200000000005</v>
      </c>
      <c r="F12" s="802">
        <v>133.12008000000003</v>
      </c>
      <c r="G12" s="834">
        <v>612.93056999999999</v>
      </c>
      <c r="H12" s="802">
        <v>230</v>
      </c>
      <c r="I12" s="835">
        <v>571.01453000000004</v>
      </c>
    </row>
    <row r="13" spans="1:9" ht="14" thickBot="1">
      <c r="A13" s="832">
        <v>57</v>
      </c>
      <c r="B13" s="833" t="s">
        <v>594</v>
      </c>
      <c r="C13" s="829" t="s">
        <v>967</v>
      </c>
      <c r="D13" s="802">
        <v>32346</v>
      </c>
      <c r="E13" s="834">
        <v>26610.352699999999</v>
      </c>
      <c r="F13" s="802">
        <v>3215.6042599999996</v>
      </c>
      <c r="G13" s="834">
        <v>2716.7296000000001</v>
      </c>
      <c r="H13" s="802">
        <v>3480</v>
      </c>
      <c r="I13" s="835">
        <v>27438.028969999999</v>
      </c>
    </row>
    <row r="14" spans="1:9" ht="14" thickBot="1">
      <c r="A14" s="832">
        <v>97</v>
      </c>
      <c r="B14" s="833" t="s">
        <v>596</v>
      </c>
      <c r="C14" s="829" t="s">
        <v>967</v>
      </c>
      <c r="D14" s="802">
        <v>52.3</v>
      </c>
      <c r="E14" s="834">
        <v>9.2850000000000001</v>
      </c>
      <c r="F14" s="802">
        <v>18</v>
      </c>
      <c r="G14" s="834">
        <v>0.90415000000000012</v>
      </c>
      <c r="H14" s="802">
        <v>20</v>
      </c>
      <c r="I14" s="835">
        <v>31.336549999999999</v>
      </c>
    </row>
    <row r="15" spans="1:9" ht="14" thickBot="1">
      <c r="A15" s="832">
        <v>134</v>
      </c>
      <c r="B15" s="833" t="s">
        <v>597</v>
      </c>
      <c r="C15" s="829" t="s">
        <v>967</v>
      </c>
      <c r="D15" s="802">
        <v>104.3</v>
      </c>
      <c r="E15" s="834">
        <v>116.85090000000001</v>
      </c>
      <c r="F15" s="802">
        <v>15.192900000000002</v>
      </c>
      <c r="G15" s="834">
        <v>-19.291900000000002</v>
      </c>
      <c r="H15" s="802">
        <v>100</v>
      </c>
      <c r="I15" s="835">
        <v>405.92869999999999</v>
      </c>
    </row>
    <row r="16" spans="1:9" ht="14" thickBot="1">
      <c r="A16" s="832">
        <v>160</v>
      </c>
      <c r="B16" s="833" t="s">
        <v>598</v>
      </c>
      <c r="C16" s="829" t="s">
        <v>967</v>
      </c>
      <c r="D16" s="802">
        <v>1307.4000000000001</v>
      </c>
      <c r="E16" s="834">
        <v>876.84549000000004</v>
      </c>
      <c r="F16" s="802">
        <v>215.71601000000001</v>
      </c>
      <c r="G16" s="834">
        <v>167.04285000000002</v>
      </c>
      <c r="H16" s="802">
        <v>130</v>
      </c>
      <c r="I16" s="835">
        <v>1547.7365</v>
      </c>
    </row>
    <row r="17" spans="1:9" ht="14" thickBot="1">
      <c r="A17" s="832">
        <v>178</v>
      </c>
      <c r="B17" s="833" t="s">
        <v>599</v>
      </c>
      <c r="C17" s="829" t="s">
        <v>967</v>
      </c>
      <c r="D17" s="802">
        <v>38.1</v>
      </c>
      <c r="E17" s="834">
        <v>23.17</v>
      </c>
      <c r="F17" s="802">
        <v>3.1274500000000001</v>
      </c>
      <c r="G17" s="834">
        <v>15.4178</v>
      </c>
      <c r="H17" s="802">
        <v>0</v>
      </c>
      <c r="I17" s="835">
        <v>173.13410000000002</v>
      </c>
    </row>
    <row r="18" spans="1:9" ht="14" thickBot="1">
      <c r="A18" s="832">
        <v>182</v>
      </c>
      <c r="B18" s="833" t="s">
        <v>600</v>
      </c>
      <c r="C18" s="829" t="s">
        <v>967</v>
      </c>
      <c r="D18" s="802">
        <v>6.6</v>
      </c>
      <c r="E18" s="834">
        <v>0.745</v>
      </c>
      <c r="F18" s="802">
        <v>6.3285</v>
      </c>
      <c r="G18" s="834">
        <v>9.4072600000000008</v>
      </c>
      <c r="H18" s="802">
        <v>0</v>
      </c>
      <c r="I18" s="835">
        <v>369.01245</v>
      </c>
    </row>
    <row r="19" spans="1:9" ht="14" thickBot="1">
      <c r="A19" s="832">
        <v>194</v>
      </c>
      <c r="B19" s="833" t="s">
        <v>601</v>
      </c>
      <c r="C19" s="829" t="s">
        <v>967</v>
      </c>
      <c r="D19" s="802">
        <v>1153.4000000000001</v>
      </c>
      <c r="E19" s="834">
        <v>1045.8345999999999</v>
      </c>
      <c r="F19" s="802">
        <v>152.38839000000002</v>
      </c>
      <c r="G19" s="834">
        <v>-15.756919999999983</v>
      </c>
      <c r="H19" s="802">
        <v>550</v>
      </c>
      <c r="I19" s="835">
        <v>1191.2407599999999</v>
      </c>
    </row>
    <row r="20" spans="1:9" ht="14" thickBot="1">
      <c r="A20" s="832">
        <v>216</v>
      </c>
      <c r="B20" s="833" t="s">
        <v>602</v>
      </c>
      <c r="C20" s="829" t="s">
        <v>967</v>
      </c>
      <c r="D20" s="802">
        <v>102.6</v>
      </c>
      <c r="E20" s="834">
        <v>30.09075</v>
      </c>
      <c r="F20" s="802">
        <v>16.925380000000001</v>
      </c>
      <c r="G20" s="834">
        <v>97.812039999999996</v>
      </c>
      <c r="H20" s="802">
        <v>28</v>
      </c>
      <c r="I20" s="835">
        <v>275.94981999999999</v>
      </c>
    </row>
    <row r="21" spans="1:9" ht="14" thickBot="1">
      <c r="A21" s="832">
        <v>246</v>
      </c>
      <c r="B21" s="833" t="s">
        <v>603</v>
      </c>
      <c r="C21" s="829" t="s">
        <v>967</v>
      </c>
      <c r="D21" s="802">
        <v>33.299999999999997</v>
      </c>
      <c r="E21" s="834">
        <v>32.053400000000003</v>
      </c>
      <c r="F21" s="802">
        <v>25.792999999999999</v>
      </c>
      <c r="G21" s="834">
        <v>-23.150600000000001</v>
      </c>
      <c r="H21" s="802">
        <v>28.349450000000001</v>
      </c>
      <c r="I21" s="835">
        <v>234.22895</v>
      </c>
    </row>
    <row r="22" spans="1:9" ht="14" thickBot="1">
      <c r="A22" s="832">
        <v>261</v>
      </c>
      <c r="B22" s="833" t="s">
        <v>604</v>
      </c>
      <c r="C22" s="829" t="s">
        <v>967</v>
      </c>
      <c r="D22" s="802">
        <v>290.7</v>
      </c>
      <c r="E22" s="834">
        <v>359.75175000000002</v>
      </c>
      <c r="F22" s="802">
        <v>29.516479999999998</v>
      </c>
      <c r="G22" s="834">
        <v>-100.16755999999999</v>
      </c>
      <c r="H22" s="802">
        <v>300</v>
      </c>
      <c r="I22" s="835">
        <v>954.86108999999999</v>
      </c>
    </row>
    <row r="23" spans="1:9" ht="14" thickBot="1">
      <c r="A23" s="832">
        <v>263</v>
      </c>
      <c r="B23" s="833" t="s">
        <v>308</v>
      </c>
      <c r="C23" s="829" t="s">
        <v>967</v>
      </c>
      <c r="D23" s="802">
        <v>10065.700000000001</v>
      </c>
      <c r="E23" s="834">
        <v>6270.0672999999997</v>
      </c>
      <c r="F23" s="802">
        <v>1806.3349800000001</v>
      </c>
      <c r="G23" s="834">
        <v>2760.0779699999998</v>
      </c>
      <c r="H23" s="802">
        <v>1580</v>
      </c>
      <c r="I23" s="835">
        <v>14840.448460000001</v>
      </c>
    </row>
    <row r="24" spans="1:9" ht="14" thickBot="1">
      <c r="A24" s="832">
        <v>290</v>
      </c>
      <c r="B24" s="833" t="s">
        <v>309</v>
      </c>
      <c r="C24" s="829" t="s">
        <v>967</v>
      </c>
      <c r="D24" s="802">
        <v>11510.7</v>
      </c>
      <c r="E24" s="834">
        <v>9632.63645</v>
      </c>
      <c r="F24" s="802">
        <v>1984.5325700000001</v>
      </c>
      <c r="G24" s="834">
        <v>-124.76863</v>
      </c>
      <c r="H24" s="802">
        <v>1314.87175</v>
      </c>
      <c r="I24" s="835">
        <v>4001.1108199999999</v>
      </c>
    </row>
    <row r="25" spans="1:9" ht="14" thickBot="1">
      <c r="A25" s="832">
        <v>294</v>
      </c>
      <c r="B25" s="833" t="s">
        <v>607</v>
      </c>
      <c r="C25" s="829" t="s">
        <v>967</v>
      </c>
      <c r="D25" s="802">
        <v>86.3</v>
      </c>
      <c r="E25" s="834">
        <v>75.1173</v>
      </c>
      <c r="F25" s="802">
        <v>16.485479999999999</v>
      </c>
      <c r="G25" s="834">
        <v>-6.0696300000000001</v>
      </c>
      <c r="H25" s="802">
        <v>51</v>
      </c>
      <c r="I25" s="835">
        <v>122.37531</v>
      </c>
    </row>
    <row r="26" spans="1:9" ht="14" thickBot="1">
      <c r="A26" s="832">
        <v>312</v>
      </c>
      <c r="B26" s="833" t="s">
        <v>608</v>
      </c>
      <c r="C26" s="829" t="s">
        <v>967</v>
      </c>
      <c r="D26" s="802">
        <v>732.6</v>
      </c>
      <c r="E26" s="834">
        <v>526.93979999999999</v>
      </c>
      <c r="F26" s="802">
        <v>26.848749999999999</v>
      </c>
      <c r="G26" s="834">
        <v>190.31512000000004</v>
      </c>
      <c r="H26" s="802">
        <v>174</v>
      </c>
      <c r="I26" s="835">
        <v>2768.3934699999995</v>
      </c>
    </row>
    <row r="27" spans="1:9" ht="14" thickBot="1">
      <c r="A27" s="832">
        <v>343</v>
      </c>
      <c r="B27" s="833" t="s">
        <v>310</v>
      </c>
      <c r="C27" s="829" t="s">
        <v>967</v>
      </c>
      <c r="D27" s="802">
        <v>1597.1</v>
      </c>
      <c r="E27" s="834">
        <v>930.21722</v>
      </c>
      <c r="F27" s="802">
        <v>268.35217</v>
      </c>
      <c r="G27" s="834">
        <v>655.09660000000008</v>
      </c>
      <c r="H27" s="802">
        <v>225</v>
      </c>
      <c r="I27" s="835">
        <v>7223.7650300000005</v>
      </c>
    </row>
    <row r="28" spans="1:9" ht="14" thickBot="1">
      <c r="A28" s="832">
        <v>360</v>
      </c>
      <c r="B28" s="833" t="s">
        <v>610</v>
      </c>
      <c r="C28" s="829" t="s">
        <v>967</v>
      </c>
      <c r="D28" s="802">
        <v>989.5</v>
      </c>
      <c r="E28" s="834">
        <v>651.03184999999996</v>
      </c>
      <c r="F28" s="802">
        <v>34.121900000000004</v>
      </c>
      <c r="G28" s="834">
        <v>180.21010000000001</v>
      </c>
      <c r="H28" s="802">
        <v>433.55430000000001</v>
      </c>
      <c r="I28" s="835">
        <v>1521.5543500000001</v>
      </c>
    </row>
    <row r="29" spans="1:9" ht="14" thickBot="1">
      <c r="A29" s="832">
        <v>376</v>
      </c>
      <c r="B29" s="833" t="s">
        <v>611</v>
      </c>
      <c r="C29" s="829" t="s">
        <v>967</v>
      </c>
      <c r="D29" s="802">
        <v>1175.3</v>
      </c>
      <c r="E29" s="834">
        <v>850.72699999999998</v>
      </c>
      <c r="F29" s="802">
        <v>57.855699999999999</v>
      </c>
      <c r="G29" s="834">
        <v>220.32384999999999</v>
      </c>
      <c r="H29" s="802">
        <v>259.5</v>
      </c>
      <c r="I29" s="835">
        <v>3671.09701</v>
      </c>
    </row>
    <row r="30" spans="1:9" ht="14" thickBot="1">
      <c r="A30" s="832">
        <v>411</v>
      </c>
      <c r="B30" s="833" t="s">
        <v>311</v>
      </c>
      <c r="C30" s="829" t="s">
        <v>967</v>
      </c>
      <c r="D30" s="802">
        <v>5875.5</v>
      </c>
      <c r="E30" s="834">
        <v>4024.2892000000002</v>
      </c>
      <c r="F30" s="802">
        <v>1940.5162600000003</v>
      </c>
      <c r="G30" s="834">
        <v>19.971640000000015</v>
      </c>
      <c r="H30" s="802">
        <v>645</v>
      </c>
      <c r="I30" s="835">
        <v>1210.8264299999998</v>
      </c>
    </row>
    <row r="31" spans="1:9" ht="14" thickBot="1">
      <c r="A31" s="832">
        <v>445</v>
      </c>
      <c r="B31" s="833" t="s">
        <v>613</v>
      </c>
      <c r="C31" s="829" t="s">
        <v>967</v>
      </c>
      <c r="D31" s="802">
        <v>2174.8000000000002</v>
      </c>
      <c r="E31" s="834">
        <v>1436.53846</v>
      </c>
      <c r="F31" s="802">
        <v>519.83187999999996</v>
      </c>
      <c r="G31" s="834">
        <v>353.42743999999999</v>
      </c>
      <c r="H31" s="802">
        <v>200</v>
      </c>
      <c r="I31" s="835">
        <v>563.98060999999996</v>
      </c>
    </row>
    <row r="32" spans="1:9" ht="14" thickBot="1">
      <c r="A32" s="832">
        <v>455</v>
      </c>
      <c r="B32" s="833" t="s">
        <v>614</v>
      </c>
      <c r="C32" s="829" t="s">
        <v>967</v>
      </c>
      <c r="D32" s="802">
        <v>4214.1000000000004</v>
      </c>
      <c r="E32" s="834">
        <v>2972.7262000000001</v>
      </c>
      <c r="F32" s="802">
        <v>270.44779999999997</v>
      </c>
      <c r="G32" s="834">
        <v>975.47239999999988</v>
      </c>
      <c r="H32" s="802">
        <v>1130.846</v>
      </c>
      <c r="I32" s="835">
        <v>10305.51792</v>
      </c>
    </row>
    <row r="33" spans="1:9" ht="14" thickBot="1">
      <c r="A33" s="832">
        <v>484</v>
      </c>
      <c r="B33" s="833" t="s">
        <v>615</v>
      </c>
      <c r="C33" s="829" t="s">
        <v>967</v>
      </c>
      <c r="D33" s="802">
        <v>10.3</v>
      </c>
      <c r="E33" s="834">
        <v>2E-3</v>
      </c>
      <c r="F33" s="802">
        <v>1.6415400000000002</v>
      </c>
      <c r="G33" s="834">
        <v>27.891439999999999</v>
      </c>
      <c r="H33" s="802">
        <v>20</v>
      </c>
      <c r="I33" s="835">
        <v>325.89772000000005</v>
      </c>
    </row>
    <row r="34" spans="1:9" ht="14" thickBot="1">
      <c r="A34" s="832">
        <v>509</v>
      </c>
      <c r="B34" s="833" t="s">
        <v>616</v>
      </c>
      <c r="C34" s="829" t="s">
        <v>967</v>
      </c>
      <c r="D34" s="802">
        <v>10.7</v>
      </c>
      <c r="E34" s="834">
        <v>11.529249999999999</v>
      </c>
      <c r="F34" s="802">
        <v>200</v>
      </c>
      <c r="G34" s="834">
        <v>9.9999999997635312E-6</v>
      </c>
      <c r="H34" s="802">
        <v>1627.06477</v>
      </c>
      <c r="I34" s="835">
        <v>3204.5308</v>
      </c>
    </row>
    <row r="35" spans="1:9" ht="14" thickBot="1">
      <c r="A35" s="832">
        <v>556</v>
      </c>
      <c r="B35" s="833" t="s">
        <v>312</v>
      </c>
      <c r="C35" s="829" t="s">
        <v>967</v>
      </c>
      <c r="D35" s="802">
        <v>397.8</v>
      </c>
      <c r="E35" s="834">
        <v>242.08742999999998</v>
      </c>
      <c r="F35" s="802">
        <v>71.339799999999983</v>
      </c>
      <c r="G35" s="834">
        <v>76.979760000000013</v>
      </c>
      <c r="H35" s="802">
        <v>62</v>
      </c>
      <c r="I35" s="835">
        <v>1068.26965</v>
      </c>
    </row>
    <row r="36" spans="1:9" ht="14" thickBot="1">
      <c r="A36" s="832">
        <v>558</v>
      </c>
      <c r="B36" s="833" t="s">
        <v>618</v>
      </c>
      <c r="C36" s="829" t="s">
        <v>967</v>
      </c>
      <c r="D36" s="802">
        <v>12.4</v>
      </c>
      <c r="E36" s="834">
        <v>7.4749999999999996</v>
      </c>
      <c r="F36" s="802">
        <v>0.70421</v>
      </c>
      <c r="G36" s="834">
        <v>16.395569999999999</v>
      </c>
      <c r="H36" s="802">
        <v>24.6</v>
      </c>
      <c r="I36" s="835">
        <v>130.16795999999999</v>
      </c>
    </row>
    <row r="37" spans="1:9" ht="14" thickBot="1">
      <c r="A37" s="832">
        <v>591</v>
      </c>
      <c r="B37" s="833" t="s">
        <v>619</v>
      </c>
      <c r="C37" s="829" t="s">
        <v>967</v>
      </c>
      <c r="D37" s="802">
        <v>1219.3</v>
      </c>
      <c r="E37" s="834">
        <v>1136.96235</v>
      </c>
      <c r="F37" s="802">
        <v>36.701000000000001</v>
      </c>
      <c r="G37" s="834">
        <v>61.54195</v>
      </c>
      <c r="H37" s="802">
        <v>90</v>
      </c>
      <c r="I37" s="835">
        <v>749.87625000000003</v>
      </c>
    </row>
    <row r="38" spans="1:9" ht="14" thickBot="1">
      <c r="A38" s="832">
        <v>623</v>
      </c>
      <c r="B38" s="833" t="s">
        <v>1272</v>
      </c>
      <c r="C38" s="829" t="s">
        <v>967</v>
      </c>
      <c r="D38" s="802">
        <v>48.4</v>
      </c>
      <c r="E38" s="834">
        <v>5.5975000000000001</v>
      </c>
      <c r="F38" s="802">
        <v>1.35</v>
      </c>
      <c r="G38" s="834">
        <v>6.3634499999999994</v>
      </c>
      <c r="H38" s="802">
        <v>54</v>
      </c>
      <c r="I38" s="835">
        <v>57.158799999999999</v>
      </c>
    </row>
    <row r="39" spans="1:9" ht="14" thickBot="1">
      <c r="A39" s="832">
        <v>627</v>
      </c>
      <c r="B39" s="833" t="s">
        <v>1273</v>
      </c>
      <c r="C39" s="829" t="s">
        <v>967</v>
      </c>
      <c r="D39" s="802">
        <v>93.8</v>
      </c>
      <c r="E39" s="834">
        <v>42.222999999999999</v>
      </c>
      <c r="F39" s="802">
        <v>4.6695000000000002</v>
      </c>
      <c r="G39" s="834">
        <v>27.708449999999999</v>
      </c>
      <c r="H39" s="802">
        <v>10</v>
      </c>
      <c r="I39" s="835">
        <v>16.162300000000002</v>
      </c>
    </row>
    <row r="40" spans="1:9" ht="14" thickBot="1">
      <c r="A40" s="832">
        <v>749</v>
      </c>
      <c r="B40" s="833" t="s">
        <v>1274</v>
      </c>
      <c r="C40" s="829" t="s">
        <v>967</v>
      </c>
      <c r="D40" s="802">
        <v>5438.3</v>
      </c>
      <c r="E40" s="834">
        <v>3420.88661</v>
      </c>
      <c r="F40" s="802">
        <v>765.65049999999985</v>
      </c>
      <c r="G40" s="834">
        <v>1527.5838899999999</v>
      </c>
      <c r="H40" s="802">
        <v>800</v>
      </c>
      <c r="I40" s="835">
        <v>1543.7210400000001</v>
      </c>
    </row>
    <row r="41" spans="1:9" ht="14" thickBot="1">
      <c r="A41" s="832">
        <v>758</v>
      </c>
      <c r="B41" s="833" t="s">
        <v>1275</v>
      </c>
      <c r="C41" s="829" t="s">
        <v>967</v>
      </c>
      <c r="D41" s="802">
        <v>26.1</v>
      </c>
      <c r="E41" s="834">
        <v>29.586500000000001</v>
      </c>
      <c r="F41" s="802">
        <v>3.8077999999999999</v>
      </c>
      <c r="G41" s="834">
        <v>1.4140999999999999</v>
      </c>
      <c r="H41" s="802">
        <v>20</v>
      </c>
      <c r="I41" s="835">
        <v>85.903270000000006</v>
      </c>
    </row>
    <row r="42" spans="1:9" ht="14" thickBot="1">
      <c r="A42" s="832">
        <v>762</v>
      </c>
      <c r="B42" s="833" t="s">
        <v>1276</v>
      </c>
      <c r="C42" s="829" t="s">
        <v>967</v>
      </c>
      <c r="D42" s="802">
        <v>391.1</v>
      </c>
      <c r="E42" s="834">
        <v>121.76745</v>
      </c>
      <c r="F42" s="802">
        <v>74.315740000000005</v>
      </c>
      <c r="G42" s="834">
        <v>210.76403999999997</v>
      </c>
      <c r="H42" s="802">
        <v>250</v>
      </c>
      <c r="I42" s="835">
        <v>1251.2014999999999</v>
      </c>
    </row>
    <row r="43" spans="1:9" ht="14" thickBot="1">
      <c r="A43" s="832">
        <v>774</v>
      </c>
      <c r="B43" s="833" t="s">
        <v>1277</v>
      </c>
      <c r="C43" s="829" t="s">
        <v>967</v>
      </c>
      <c r="D43" s="802">
        <v>710.3</v>
      </c>
      <c r="E43" s="834">
        <v>492.02015</v>
      </c>
      <c r="F43" s="802">
        <v>150.00910000000002</v>
      </c>
      <c r="G43" s="834">
        <v>88.323640000000012</v>
      </c>
      <c r="H43" s="802">
        <v>105</v>
      </c>
      <c r="I43" s="835">
        <v>690.30850999999996</v>
      </c>
    </row>
    <row r="44" spans="1:9" ht="14" thickBot="1">
      <c r="A44" s="832">
        <v>780</v>
      </c>
      <c r="B44" s="833" t="s">
        <v>1278</v>
      </c>
      <c r="C44" s="829" t="s">
        <v>967</v>
      </c>
      <c r="D44" s="802">
        <v>157.30000000000001</v>
      </c>
      <c r="E44" s="834">
        <v>160.46965</v>
      </c>
      <c r="F44" s="802">
        <v>39.308299999999996</v>
      </c>
      <c r="G44" s="834">
        <v>-35.346449999999997</v>
      </c>
      <c r="H44" s="802">
        <v>18</v>
      </c>
      <c r="I44" s="835">
        <v>145.46305000000001</v>
      </c>
    </row>
    <row r="45" spans="1:9" ht="14" thickBot="1">
      <c r="A45" s="832">
        <v>790</v>
      </c>
      <c r="B45" s="833" t="s">
        <v>1279</v>
      </c>
      <c r="C45" s="829" t="s">
        <v>967</v>
      </c>
      <c r="D45" s="802">
        <v>73.099999999999994</v>
      </c>
      <c r="E45" s="834">
        <v>57.989350000000002</v>
      </c>
      <c r="F45" s="802">
        <v>5.1188000000000002</v>
      </c>
      <c r="G45" s="834">
        <v>-3.6050999999999997</v>
      </c>
      <c r="H45" s="802">
        <v>19.90765</v>
      </c>
      <c r="I45" s="835">
        <v>38.634010000000004</v>
      </c>
    </row>
    <row r="46" spans="1:9" ht="14" thickBot="1">
      <c r="A46" s="832">
        <v>820</v>
      </c>
      <c r="B46" s="833" t="s">
        <v>1280</v>
      </c>
      <c r="C46" s="829" t="s">
        <v>967</v>
      </c>
      <c r="D46" s="802">
        <v>321.89999999999998</v>
      </c>
      <c r="E46" s="834">
        <v>147.11725000000001</v>
      </c>
      <c r="F46" s="802">
        <v>13</v>
      </c>
      <c r="G46" s="834">
        <v>73.945800000000006</v>
      </c>
      <c r="H46" s="802">
        <v>240</v>
      </c>
      <c r="I46" s="835">
        <v>109.22015</v>
      </c>
    </row>
    <row r="47" spans="1:9" ht="14" thickBot="1">
      <c r="A47" s="832">
        <v>829</v>
      </c>
      <c r="B47" s="833" t="s">
        <v>1281</v>
      </c>
      <c r="C47" s="829" t="s">
        <v>967</v>
      </c>
      <c r="D47" s="802">
        <v>1301.2</v>
      </c>
      <c r="E47" s="834">
        <v>730.99900000000002</v>
      </c>
      <c r="F47" s="802">
        <v>283.04455000000002</v>
      </c>
      <c r="G47" s="834">
        <v>371.13554999999997</v>
      </c>
      <c r="H47" s="802">
        <v>390</v>
      </c>
      <c r="I47" s="835">
        <v>1404.1179500000001</v>
      </c>
    </row>
    <row r="48" spans="1:9" ht="14" thickBot="1">
      <c r="A48" s="832">
        <v>881</v>
      </c>
      <c r="B48" s="833" t="s">
        <v>1282</v>
      </c>
      <c r="C48" s="829" t="s">
        <v>967</v>
      </c>
      <c r="D48" s="802">
        <v>910.9</v>
      </c>
      <c r="E48" s="834">
        <v>425.65199999999999</v>
      </c>
      <c r="F48" s="802">
        <v>136.13959</v>
      </c>
      <c r="G48" s="834">
        <v>476.64600000000002</v>
      </c>
      <c r="H48" s="802">
        <v>91.170690000000008</v>
      </c>
      <c r="I48" s="835">
        <v>4002.3125099999997</v>
      </c>
    </row>
    <row r="49" spans="1:9" ht="14" thickBot="1">
      <c r="A49" s="832">
        <v>895</v>
      </c>
      <c r="B49" s="833" t="s">
        <v>1283</v>
      </c>
      <c r="C49" s="829" t="s">
        <v>967</v>
      </c>
      <c r="D49" s="802">
        <v>8.3000000000000007</v>
      </c>
      <c r="E49" s="834">
        <v>0.67500000000000004</v>
      </c>
      <c r="F49" s="802">
        <v>0</v>
      </c>
      <c r="G49" s="834">
        <v>2.1319500000000002</v>
      </c>
      <c r="H49" s="802">
        <v>0</v>
      </c>
      <c r="I49" s="835">
        <v>31</v>
      </c>
    </row>
    <row r="50" spans="1:9" ht="14" thickBot="1">
      <c r="A50" s="832">
        <v>901</v>
      </c>
      <c r="B50" s="833" t="s">
        <v>1284</v>
      </c>
      <c r="C50" s="829" t="s">
        <v>967</v>
      </c>
      <c r="D50" s="802">
        <v>265.39999999999998</v>
      </c>
      <c r="E50" s="834">
        <v>99.07419999999999</v>
      </c>
      <c r="F50" s="802">
        <v>13.2698</v>
      </c>
      <c r="G50" s="834">
        <v>51.667650000000002</v>
      </c>
      <c r="H50" s="802">
        <v>50</v>
      </c>
      <c r="I50" s="835">
        <v>394.42135000000002</v>
      </c>
    </row>
    <row r="51" spans="1:9" ht="14" thickBot="1">
      <c r="A51" s="832">
        <v>923</v>
      </c>
      <c r="B51" s="833" t="s">
        <v>1285</v>
      </c>
      <c r="C51" s="829" t="s">
        <v>967</v>
      </c>
      <c r="D51" s="802">
        <v>226.3</v>
      </c>
      <c r="E51" s="834">
        <v>23.914999999999999</v>
      </c>
      <c r="F51" s="802">
        <v>1.6497200000000001</v>
      </c>
      <c r="G51" s="834">
        <v>192.89962000000003</v>
      </c>
      <c r="H51" s="802">
        <v>45</v>
      </c>
      <c r="I51" s="835">
        <v>3694.4916699999999</v>
      </c>
    </row>
    <row r="52" spans="1:9" ht="14" thickBot="1">
      <c r="A52" s="832">
        <v>941</v>
      </c>
      <c r="B52" s="833" t="s">
        <v>1286</v>
      </c>
      <c r="C52" s="829" t="s">
        <v>967</v>
      </c>
      <c r="D52" s="802">
        <v>575</v>
      </c>
      <c r="E52" s="834">
        <v>284.17500000000001</v>
      </c>
      <c r="F52" s="802">
        <v>168.20329999999998</v>
      </c>
      <c r="G52" s="834">
        <v>0</v>
      </c>
      <c r="H52" s="802">
        <v>83.230800000000002</v>
      </c>
      <c r="I52" s="835">
        <v>1584.8554999999999</v>
      </c>
    </row>
    <row r="53" spans="1:9" ht="14" thickBot="1">
      <c r="A53" s="832">
        <v>966</v>
      </c>
      <c r="B53" s="833" t="s">
        <v>313</v>
      </c>
      <c r="C53" s="829" t="s">
        <v>967</v>
      </c>
      <c r="D53" s="802">
        <v>874.8</v>
      </c>
      <c r="E53" s="834">
        <v>719.32580000000007</v>
      </c>
      <c r="F53" s="802">
        <v>75</v>
      </c>
      <c r="G53" s="834">
        <v>81.443349999999995</v>
      </c>
      <c r="H53" s="802">
        <v>340</v>
      </c>
      <c r="I53" s="835">
        <v>872.17907000000002</v>
      </c>
    </row>
    <row r="54" spans="1:9" ht="14" thickBot="1">
      <c r="A54" s="832">
        <v>979</v>
      </c>
      <c r="B54" s="833" t="s">
        <v>1288</v>
      </c>
      <c r="C54" s="829" t="s">
        <v>967</v>
      </c>
      <c r="D54" s="802">
        <v>11</v>
      </c>
      <c r="E54" s="834">
        <v>0.84</v>
      </c>
      <c r="F54" s="802">
        <v>1.0111000000000001</v>
      </c>
      <c r="G54" s="834">
        <v>0</v>
      </c>
      <c r="H54" s="802">
        <v>8.0176800000000004</v>
      </c>
      <c r="I54" s="835">
        <v>43.762149999999998</v>
      </c>
    </row>
    <row r="55" spans="1:9" ht="14" thickBot="1">
      <c r="A55" s="832">
        <v>994</v>
      </c>
      <c r="B55" s="833" t="s">
        <v>1289</v>
      </c>
      <c r="C55" s="829" t="s">
        <v>967</v>
      </c>
      <c r="D55" s="802">
        <v>802.3</v>
      </c>
      <c r="E55" s="834">
        <v>500.24149999999997</v>
      </c>
      <c r="F55" s="802">
        <v>90.837450000000004</v>
      </c>
      <c r="G55" s="834">
        <v>219.95080999999999</v>
      </c>
      <c r="H55" s="802">
        <v>415</v>
      </c>
      <c r="I55" s="835">
        <v>1282.1869899999999</v>
      </c>
    </row>
    <row r="56" spans="1:9" ht="14" thickBot="1">
      <c r="A56" s="832">
        <v>1003</v>
      </c>
      <c r="B56" s="833" t="s">
        <v>1290</v>
      </c>
      <c r="C56" s="829" t="s">
        <v>967</v>
      </c>
      <c r="D56" s="802">
        <v>0.5</v>
      </c>
      <c r="E56" s="834">
        <v>1E-3</v>
      </c>
      <c r="F56" s="802">
        <v>0.02</v>
      </c>
      <c r="G56" s="834">
        <v>4.0500000000000001E-2</v>
      </c>
      <c r="H56" s="802">
        <v>0</v>
      </c>
      <c r="I56" s="835">
        <v>5.6181200000000002</v>
      </c>
    </row>
    <row r="57" spans="1:9" ht="14" thickBot="1">
      <c r="A57" s="832">
        <v>1040</v>
      </c>
      <c r="B57" s="833" t="s">
        <v>1291</v>
      </c>
      <c r="C57" s="829" t="s">
        <v>967</v>
      </c>
      <c r="D57" s="802">
        <v>146.9</v>
      </c>
      <c r="E57" s="834">
        <v>102.47345</v>
      </c>
      <c r="F57" s="802">
        <v>11.749000000000001</v>
      </c>
      <c r="G57" s="834">
        <v>24.575650000000003</v>
      </c>
      <c r="H57" s="802">
        <v>0</v>
      </c>
      <c r="I57" s="835">
        <v>573.28938000000005</v>
      </c>
    </row>
    <row r="58" spans="1:9" ht="14" thickBot="1">
      <c r="A58" s="832">
        <v>1060</v>
      </c>
      <c r="B58" s="833" t="s">
        <v>1293</v>
      </c>
      <c r="C58" s="829" t="s">
        <v>967</v>
      </c>
      <c r="D58" s="802">
        <v>7236.7</v>
      </c>
      <c r="E58" s="834">
        <v>4581.7549500000005</v>
      </c>
      <c r="F58" s="802">
        <v>2014.2518500000001</v>
      </c>
      <c r="G58" s="834">
        <v>431.37745000000001</v>
      </c>
      <c r="H58" s="802">
        <v>1000</v>
      </c>
      <c r="I58" s="835">
        <v>8309.5234099999998</v>
      </c>
    </row>
    <row r="59" spans="1:9" ht="14" thickBot="1">
      <c r="A59" s="832">
        <v>1097</v>
      </c>
      <c r="B59" s="833" t="s">
        <v>1294</v>
      </c>
      <c r="C59" s="829" t="s">
        <v>967</v>
      </c>
      <c r="D59" s="802">
        <v>81.599999999999994</v>
      </c>
      <c r="E59" s="834">
        <v>25.716000000000001</v>
      </c>
      <c r="F59" s="802">
        <v>11.76957</v>
      </c>
      <c r="G59" s="834">
        <v>49.416969999999999</v>
      </c>
      <c r="H59" s="802">
        <v>15</v>
      </c>
      <c r="I59" s="835">
        <v>271.52850999999998</v>
      </c>
    </row>
    <row r="60" spans="1:9" ht="14" thickBot="1">
      <c r="A60" s="832">
        <v>1147</v>
      </c>
      <c r="B60" s="833" t="s">
        <v>1297</v>
      </c>
      <c r="C60" s="829" t="s">
        <v>967</v>
      </c>
      <c r="D60" s="802">
        <v>15.8</v>
      </c>
      <c r="E60" s="834">
        <v>26.055</v>
      </c>
      <c r="F60" s="802">
        <v>1</v>
      </c>
      <c r="G60" s="834">
        <v>4.0734000000000004</v>
      </c>
      <c r="H60" s="802">
        <v>31</v>
      </c>
      <c r="I60" s="835">
        <v>125.3535</v>
      </c>
    </row>
    <row r="61" spans="1:9" ht="14" thickBot="1">
      <c r="A61" s="832">
        <v>1179</v>
      </c>
      <c r="B61" s="833" t="s">
        <v>314</v>
      </c>
      <c r="C61" s="829" t="s">
        <v>315</v>
      </c>
      <c r="D61" s="802">
        <v>976.9</v>
      </c>
      <c r="E61" s="834">
        <v>929.46145000000001</v>
      </c>
      <c r="F61" s="802">
        <v>78.04025</v>
      </c>
      <c r="G61" s="834">
        <v>90.146419999999992</v>
      </c>
      <c r="H61" s="802">
        <v>60</v>
      </c>
      <c r="I61" s="835">
        <v>1805.8887400000001</v>
      </c>
    </row>
    <row r="62" spans="1:9" ht="14" thickBot="1">
      <c r="A62" s="832">
        <v>1215</v>
      </c>
      <c r="B62" s="833" t="s">
        <v>1299</v>
      </c>
      <c r="C62" s="829" t="s">
        <v>967</v>
      </c>
      <c r="D62" s="802">
        <v>79.400000000000006</v>
      </c>
      <c r="E62" s="834">
        <v>22.876000000000001</v>
      </c>
      <c r="F62" s="802">
        <v>11.908119999999998</v>
      </c>
      <c r="G62" s="834">
        <v>45.495690000000003</v>
      </c>
      <c r="H62" s="802">
        <v>10</v>
      </c>
      <c r="I62" s="835">
        <v>262.25109000000003</v>
      </c>
    </row>
    <row r="63" spans="1:9" ht="14" thickBot="1">
      <c r="A63" s="832">
        <v>1318</v>
      </c>
      <c r="B63" s="833" t="s">
        <v>1300</v>
      </c>
      <c r="C63" s="829" t="s">
        <v>967</v>
      </c>
      <c r="D63" s="802">
        <v>36.4</v>
      </c>
      <c r="E63" s="834">
        <v>15.681880000000001</v>
      </c>
      <c r="F63" s="802">
        <v>3.44665</v>
      </c>
      <c r="G63" s="834">
        <v>4.8806499999999993</v>
      </c>
      <c r="H63" s="802">
        <v>20</v>
      </c>
      <c r="I63" s="835">
        <v>169.98018999999999</v>
      </c>
    </row>
    <row r="64" spans="1:9" ht="14" thickBot="1">
      <c r="A64" s="832">
        <v>1322</v>
      </c>
      <c r="B64" s="833" t="s">
        <v>1301</v>
      </c>
      <c r="C64" s="829" t="s">
        <v>967</v>
      </c>
      <c r="D64" s="802">
        <v>128.19999999999999</v>
      </c>
      <c r="E64" s="834">
        <v>40.390349999999998</v>
      </c>
      <c r="F64" s="802">
        <v>13.740200000000002</v>
      </c>
      <c r="G64" s="834">
        <v>41.413200000000003</v>
      </c>
      <c r="H64" s="802">
        <v>34.549999999999997</v>
      </c>
      <c r="I64" s="835">
        <v>198.72713000000002</v>
      </c>
    </row>
    <row r="65" spans="1:9" ht="14" thickBot="1">
      <c r="A65" s="832">
        <v>1328</v>
      </c>
      <c r="B65" s="833" t="s">
        <v>1302</v>
      </c>
      <c r="C65" s="829" t="s">
        <v>967</v>
      </c>
      <c r="D65" s="802">
        <v>116.9</v>
      </c>
      <c r="E65" s="834">
        <v>37.457300000000004</v>
      </c>
      <c r="F65" s="802">
        <v>6.4582199999999998</v>
      </c>
      <c r="G65" s="834">
        <v>-28.016760000000001</v>
      </c>
      <c r="H65" s="802">
        <v>255.46148000000002</v>
      </c>
      <c r="I65" s="835">
        <v>210.07627000000002</v>
      </c>
    </row>
    <row r="66" spans="1:9" ht="14" thickBot="1">
      <c r="A66" s="832">
        <v>1331</v>
      </c>
      <c r="B66" s="833" t="s">
        <v>1303</v>
      </c>
      <c r="C66" s="829" t="s">
        <v>967</v>
      </c>
      <c r="D66" s="802">
        <v>2.5</v>
      </c>
      <c r="E66" s="834">
        <v>0.27300000000000002</v>
      </c>
      <c r="F66" s="802">
        <v>6.7498000000000005</v>
      </c>
      <c r="G66" s="834">
        <v>1.121</v>
      </c>
      <c r="H66" s="802">
        <v>134.4</v>
      </c>
      <c r="I66" s="835">
        <v>557.21050000000002</v>
      </c>
    </row>
    <row r="67" spans="1:9" ht="14" thickBot="1">
      <c r="A67" s="832">
        <v>1362</v>
      </c>
      <c r="B67" s="833" t="s">
        <v>1304</v>
      </c>
      <c r="C67" s="829" t="s">
        <v>967</v>
      </c>
      <c r="D67" s="802">
        <v>15.7</v>
      </c>
      <c r="E67" s="834">
        <v>1E-3</v>
      </c>
      <c r="F67" s="802">
        <v>1.1910499999999999</v>
      </c>
      <c r="G67" s="834">
        <v>0.37504999999999999</v>
      </c>
      <c r="H67" s="802">
        <v>1.5</v>
      </c>
      <c r="I67" s="835">
        <v>13.17225</v>
      </c>
    </row>
    <row r="68" spans="1:9" ht="14" thickBot="1">
      <c r="A68" s="832">
        <v>1384</v>
      </c>
      <c r="B68" s="833" t="s">
        <v>1305</v>
      </c>
      <c r="C68" s="829" t="s">
        <v>967</v>
      </c>
      <c r="D68" s="802">
        <v>7009</v>
      </c>
      <c r="E68" s="834">
        <v>5188.4276200000004</v>
      </c>
      <c r="F68" s="802">
        <v>397.14413999999999</v>
      </c>
      <c r="G68" s="834">
        <v>1421.6447700000001</v>
      </c>
      <c r="H68" s="802">
        <v>1093.5889999999999</v>
      </c>
      <c r="I68" s="835">
        <v>6083.7946099999999</v>
      </c>
    </row>
    <row r="69" spans="1:9" ht="14" thickBot="1">
      <c r="A69" s="832">
        <v>1386</v>
      </c>
      <c r="B69" s="833" t="s">
        <v>1306</v>
      </c>
      <c r="C69" s="829" t="s">
        <v>967</v>
      </c>
      <c r="D69" s="802">
        <v>1174.7</v>
      </c>
      <c r="E69" s="834">
        <v>1244.7735</v>
      </c>
      <c r="F69" s="802">
        <v>63.03575</v>
      </c>
      <c r="G69" s="834">
        <v>62.8474</v>
      </c>
      <c r="H69" s="802">
        <v>100</v>
      </c>
      <c r="I69" s="835">
        <v>236.66523000000001</v>
      </c>
    </row>
    <row r="70" spans="1:9" ht="14" thickBot="1">
      <c r="A70" s="832">
        <v>1395</v>
      </c>
      <c r="B70" s="833" t="s">
        <v>1307</v>
      </c>
      <c r="C70" s="829" t="s">
        <v>967</v>
      </c>
      <c r="D70" s="802">
        <v>192.1</v>
      </c>
      <c r="E70" s="834">
        <v>143.08240000000001</v>
      </c>
      <c r="F70" s="802">
        <v>16.32713</v>
      </c>
      <c r="G70" s="834">
        <v>48</v>
      </c>
      <c r="H70" s="802">
        <v>30.870999999999999</v>
      </c>
      <c r="I70" s="835">
        <v>48</v>
      </c>
    </row>
    <row r="71" spans="1:9" ht="14" thickBot="1">
      <c r="A71" s="832">
        <v>1401</v>
      </c>
      <c r="B71" s="833" t="s">
        <v>1308</v>
      </c>
      <c r="C71" s="829" t="s">
        <v>967</v>
      </c>
      <c r="D71" s="802">
        <v>53.8</v>
      </c>
      <c r="E71" s="834">
        <v>41.761000000000003</v>
      </c>
      <c r="F71" s="802">
        <v>22.999500000000001</v>
      </c>
      <c r="G71" s="834">
        <v>-22.076000000000004</v>
      </c>
      <c r="H71" s="802">
        <v>110</v>
      </c>
      <c r="I71" s="835">
        <v>217.75049999999999</v>
      </c>
    </row>
    <row r="72" spans="1:9" ht="14" thickBot="1">
      <c r="A72" s="832">
        <v>1402</v>
      </c>
      <c r="B72" s="833" t="s">
        <v>316</v>
      </c>
      <c r="C72" s="829" t="s">
        <v>315</v>
      </c>
      <c r="D72" s="802">
        <v>0</v>
      </c>
      <c r="E72" s="834">
        <v>144.9975</v>
      </c>
      <c r="F72" s="802">
        <v>4.0866499999999997</v>
      </c>
      <c r="G72" s="834">
        <v>90.633600000000001</v>
      </c>
      <c r="H72" s="802">
        <v>20</v>
      </c>
      <c r="I72" s="835">
        <v>1164.9192</v>
      </c>
    </row>
    <row r="73" spans="1:9" ht="14" thickBot="1">
      <c r="A73" s="832">
        <v>1423</v>
      </c>
      <c r="B73" s="833" t="s">
        <v>1309</v>
      </c>
      <c r="C73" s="829" t="s">
        <v>967</v>
      </c>
      <c r="D73" s="802">
        <v>90.5</v>
      </c>
      <c r="E73" s="834">
        <v>29.1736</v>
      </c>
      <c r="F73" s="802">
        <v>2.5028999999999999</v>
      </c>
      <c r="G73" s="834">
        <v>41.8964</v>
      </c>
      <c r="H73" s="802">
        <v>120</v>
      </c>
      <c r="I73" s="835">
        <v>257.03923000000003</v>
      </c>
    </row>
    <row r="74" spans="1:9" ht="14" thickBot="1">
      <c r="A74" s="832">
        <v>1442</v>
      </c>
      <c r="B74" s="833" t="s">
        <v>1310</v>
      </c>
      <c r="C74" s="829" t="s">
        <v>967</v>
      </c>
      <c r="D74" s="802">
        <v>45.3</v>
      </c>
      <c r="E74" s="834">
        <v>2E-3</v>
      </c>
      <c r="F74" s="802">
        <v>7.1618599999999999</v>
      </c>
      <c r="G74" s="834">
        <v>34.757330000000003</v>
      </c>
      <c r="H74" s="802">
        <v>10</v>
      </c>
      <c r="I74" s="835">
        <v>273.38231999999999</v>
      </c>
    </row>
    <row r="75" spans="1:9" ht="14" thickBot="1">
      <c r="A75" s="832">
        <v>1454</v>
      </c>
      <c r="B75" s="833" t="s">
        <v>1311</v>
      </c>
      <c r="C75" s="829" t="s">
        <v>967</v>
      </c>
      <c r="D75" s="802">
        <v>2160.4</v>
      </c>
      <c r="E75" s="834">
        <v>1631.3708000000001</v>
      </c>
      <c r="F75" s="802">
        <v>157.15389999999999</v>
      </c>
      <c r="G75" s="834">
        <v>31.734449999999995</v>
      </c>
      <c r="H75" s="802">
        <v>3150</v>
      </c>
      <c r="I75" s="835">
        <v>1699.5708999999999</v>
      </c>
    </row>
    <row r="76" spans="1:9" ht="14" thickBot="1">
      <c r="A76" s="832">
        <v>1479</v>
      </c>
      <c r="B76" s="833" t="s">
        <v>1312</v>
      </c>
      <c r="C76" s="829" t="s">
        <v>967</v>
      </c>
      <c r="D76" s="802">
        <v>12028.6</v>
      </c>
      <c r="E76" s="834">
        <v>6659.3885700000001</v>
      </c>
      <c r="F76" s="802">
        <v>2625.58869</v>
      </c>
      <c r="G76" s="834">
        <v>4253.8723800000007</v>
      </c>
      <c r="H76" s="802">
        <v>1080</v>
      </c>
      <c r="I76" s="835">
        <v>25973.262620000001</v>
      </c>
    </row>
    <row r="77" spans="1:9" ht="14" thickBot="1">
      <c r="A77" s="832">
        <v>1491</v>
      </c>
      <c r="B77" s="833" t="s">
        <v>317</v>
      </c>
      <c r="C77" s="829" t="s">
        <v>315</v>
      </c>
      <c r="D77" s="802">
        <v>1683</v>
      </c>
      <c r="E77" s="834">
        <v>1697.441</v>
      </c>
      <c r="F77" s="802">
        <v>187.99745000000001</v>
      </c>
      <c r="G77" s="834">
        <v>-59.173099999999991</v>
      </c>
      <c r="H77" s="802">
        <v>0</v>
      </c>
      <c r="I77" s="835">
        <v>2239.9963399999997</v>
      </c>
    </row>
    <row r="78" spans="1:9" ht="14" thickBot="1">
      <c r="A78" s="832">
        <v>1507</v>
      </c>
      <c r="B78" s="833" t="s">
        <v>1313</v>
      </c>
      <c r="C78" s="829" t="s">
        <v>967</v>
      </c>
      <c r="D78" s="802">
        <v>427.2</v>
      </c>
      <c r="E78" s="834">
        <v>142.96829</v>
      </c>
      <c r="F78" s="802">
        <v>71.985259999999997</v>
      </c>
      <c r="G78" s="834">
        <v>265.26819</v>
      </c>
      <c r="H78" s="802">
        <v>110</v>
      </c>
      <c r="I78" s="835">
        <v>1697.2489599999999</v>
      </c>
    </row>
    <row r="79" spans="1:9" ht="14" thickBot="1">
      <c r="A79" s="832">
        <v>1509</v>
      </c>
      <c r="B79" s="833" t="s">
        <v>1314</v>
      </c>
      <c r="C79" s="829" t="s">
        <v>967</v>
      </c>
      <c r="D79" s="802">
        <v>8275.7999999999993</v>
      </c>
      <c r="E79" s="834">
        <v>5179.9219000000003</v>
      </c>
      <c r="F79" s="802">
        <v>585.50592000000006</v>
      </c>
      <c r="G79" s="834">
        <v>2873.6448600000003</v>
      </c>
      <c r="H79" s="802">
        <v>3848</v>
      </c>
      <c r="I79" s="835">
        <v>13102.865330000001</v>
      </c>
    </row>
    <row r="80" spans="1:9" ht="14" thickBot="1">
      <c r="A80" s="832">
        <v>1520</v>
      </c>
      <c r="B80" s="833" t="s">
        <v>318</v>
      </c>
      <c r="C80" s="829" t="s">
        <v>967</v>
      </c>
      <c r="D80" s="802">
        <v>24286.5</v>
      </c>
      <c r="E80" s="834">
        <v>18856.737649999999</v>
      </c>
      <c r="F80" s="802">
        <v>2059.1698000000001</v>
      </c>
      <c r="G80" s="834">
        <v>3062.1369100000011</v>
      </c>
      <c r="H80" s="802">
        <v>3500</v>
      </c>
      <c r="I80" s="835">
        <v>13916.315259999999</v>
      </c>
    </row>
    <row r="81" spans="1:9" ht="14" thickBot="1">
      <c r="A81" s="832">
        <v>1522</v>
      </c>
      <c r="B81" s="833" t="s">
        <v>630</v>
      </c>
      <c r="C81" s="829" t="s">
        <v>315</v>
      </c>
      <c r="D81" s="802">
        <v>2755.9</v>
      </c>
      <c r="E81" s="834">
        <v>2324.558</v>
      </c>
      <c r="F81" s="802">
        <v>340.45774999999998</v>
      </c>
      <c r="G81" s="834">
        <v>154.26570000000001</v>
      </c>
      <c r="H81" s="802">
        <v>150</v>
      </c>
      <c r="I81" s="835">
        <v>5011.1244400000005</v>
      </c>
    </row>
    <row r="82" spans="1:9" ht="14" thickBot="1">
      <c r="A82" s="832">
        <v>1529</v>
      </c>
      <c r="B82" s="833" t="s">
        <v>1316</v>
      </c>
      <c r="C82" s="829" t="s">
        <v>967</v>
      </c>
      <c r="D82" s="802">
        <v>997.3</v>
      </c>
      <c r="E82" s="834">
        <v>813.22309999999993</v>
      </c>
      <c r="F82" s="802">
        <v>32.547359999999998</v>
      </c>
      <c r="G82" s="834">
        <v>159.90938</v>
      </c>
      <c r="H82" s="802">
        <v>187.04131000000001</v>
      </c>
      <c r="I82" s="835">
        <v>6823.6960199999994</v>
      </c>
    </row>
    <row r="83" spans="1:9" ht="14" thickBot="1">
      <c r="A83" s="832">
        <v>1535</v>
      </c>
      <c r="B83" s="833" t="s">
        <v>1317</v>
      </c>
      <c r="C83" s="829" t="s">
        <v>967</v>
      </c>
      <c r="D83" s="802">
        <v>22902.6</v>
      </c>
      <c r="E83" s="834">
        <v>14032.044199999998</v>
      </c>
      <c r="F83" s="802">
        <v>3566.1673999999998</v>
      </c>
      <c r="G83" s="834">
        <v>4111.3406500000001</v>
      </c>
      <c r="H83" s="802">
        <v>1751</v>
      </c>
      <c r="I83" s="835">
        <v>29831.730449999999</v>
      </c>
    </row>
    <row r="84" spans="1:9" ht="14" thickBot="1">
      <c r="A84" s="832">
        <v>1540</v>
      </c>
      <c r="B84" s="833" t="s">
        <v>631</v>
      </c>
      <c r="C84" s="829" t="s">
        <v>315</v>
      </c>
      <c r="D84" s="802">
        <v>2486</v>
      </c>
      <c r="E84" s="834">
        <v>1944.8262500000001</v>
      </c>
      <c r="F84" s="802">
        <v>144.68470000000002</v>
      </c>
      <c r="G84" s="834">
        <v>515.01800000000003</v>
      </c>
      <c r="H84" s="802">
        <v>25</v>
      </c>
      <c r="I84" s="835">
        <v>2388.8657699999999</v>
      </c>
    </row>
    <row r="85" spans="1:9" ht="14" thickBot="1">
      <c r="A85" s="832">
        <v>1551</v>
      </c>
      <c r="B85" s="833" t="s">
        <v>1319</v>
      </c>
      <c r="C85" s="829" t="s">
        <v>967</v>
      </c>
      <c r="D85" s="802">
        <v>974.5</v>
      </c>
      <c r="E85" s="834">
        <v>702.85193000000004</v>
      </c>
      <c r="F85" s="802">
        <v>160.87076999999999</v>
      </c>
      <c r="G85" s="834">
        <v>151.35954999999998</v>
      </c>
      <c r="H85" s="802">
        <v>270</v>
      </c>
      <c r="I85" s="835">
        <v>1155.99269</v>
      </c>
    </row>
    <row r="86" spans="1:9" ht="14" thickBot="1">
      <c r="A86" s="832">
        <v>1552</v>
      </c>
      <c r="B86" s="833" t="s">
        <v>1320</v>
      </c>
      <c r="C86" s="829" t="s">
        <v>967</v>
      </c>
      <c r="D86" s="802">
        <v>0.4</v>
      </c>
      <c r="E86" s="834">
        <v>1E-3</v>
      </c>
      <c r="F86" s="802">
        <v>0.03</v>
      </c>
      <c r="G86" s="834">
        <v>0.22929999999999998</v>
      </c>
      <c r="H86" s="802">
        <v>0</v>
      </c>
      <c r="I86" s="835">
        <v>1.5426500000000001</v>
      </c>
    </row>
    <row r="87" spans="1:9" ht="14" thickBot="1">
      <c r="A87" s="832">
        <v>1555</v>
      </c>
      <c r="B87" s="833" t="s">
        <v>1321</v>
      </c>
      <c r="C87" s="829" t="s">
        <v>967</v>
      </c>
      <c r="D87" s="802">
        <v>4757.3</v>
      </c>
      <c r="E87" s="834">
        <v>2748.1936800000003</v>
      </c>
      <c r="F87" s="802">
        <v>244.37292000000002</v>
      </c>
      <c r="G87" s="834">
        <v>1901.5528400000001</v>
      </c>
      <c r="H87" s="802">
        <v>784</v>
      </c>
      <c r="I87" s="835">
        <v>46016.227039999998</v>
      </c>
    </row>
    <row r="88" spans="1:9" ht="14" thickBot="1">
      <c r="A88" s="832">
        <v>1560</v>
      </c>
      <c r="B88" s="833" t="s">
        <v>1322</v>
      </c>
      <c r="C88" s="829" t="s">
        <v>967</v>
      </c>
      <c r="D88" s="802">
        <v>14606.6</v>
      </c>
      <c r="E88" s="834">
        <v>10879.947</v>
      </c>
      <c r="F88" s="802">
        <v>1150.9870000000001</v>
      </c>
      <c r="G88" s="834">
        <v>3312.31052</v>
      </c>
      <c r="H88" s="802">
        <v>2691.0349999999999</v>
      </c>
      <c r="I88" s="835">
        <v>25857.25619</v>
      </c>
    </row>
    <row r="89" spans="1:9" ht="14" thickBot="1">
      <c r="A89" s="832">
        <v>1562</v>
      </c>
      <c r="B89" s="833" t="s">
        <v>1323</v>
      </c>
      <c r="C89" s="829" t="s">
        <v>967</v>
      </c>
      <c r="D89" s="802">
        <v>109639.6</v>
      </c>
      <c r="E89" s="834">
        <v>72444.268750000003</v>
      </c>
      <c r="F89" s="802">
        <v>17656.185129999998</v>
      </c>
      <c r="G89" s="834">
        <v>14420.544519999999</v>
      </c>
      <c r="H89" s="802">
        <v>56825</v>
      </c>
      <c r="I89" s="835">
        <v>87073.040939999992</v>
      </c>
    </row>
    <row r="90" spans="1:9" ht="14" thickBot="1">
      <c r="A90" s="832">
        <v>1563</v>
      </c>
      <c r="B90" s="833" t="s">
        <v>302</v>
      </c>
      <c r="C90" s="829" t="s">
        <v>967</v>
      </c>
      <c r="D90" s="802">
        <v>1490.2</v>
      </c>
      <c r="E90" s="834">
        <v>884.26580000000001</v>
      </c>
      <c r="F90" s="802">
        <v>636.85996999999998</v>
      </c>
      <c r="G90" s="834">
        <v>-27.444350000000007</v>
      </c>
      <c r="H90" s="802">
        <v>179</v>
      </c>
      <c r="I90" s="835">
        <v>2233.50936</v>
      </c>
    </row>
    <row r="91" spans="1:9" ht="14" thickBot="1">
      <c r="A91" s="832">
        <v>1565</v>
      </c>
      <c r="B91" s="833" t="s">
        <v>303</v>
      </c>
      <c r="C91" s="829" t="s">
        <v>967</v>
      </c>
      <c r="D91" s="802">
        <v>6.2</v>
      </c>
      <c r="E91" s="834">
        <v>1E-3</v>
      </c>
      <c r="F91" s="802">
        <v>0.92762999999999995</v>
      </c>
      <c r="G91" s="834">
        <v>5.2888500000000001</v>
      </c>
      <c r="H91" s="802">
        <v>0</v>
      </c>
      <c r="I91" s="835">
        <v>5.8315799999999998</v>
      </c>
    </row>
    <row r="92" spans="1:9" ht="14" thickBot="1">
      <c r="A92" s="832">
        <v>1566</v>
      </c>
      <c r="B92" s="833" t="s">
        <v>304</v>
      </c>
      <c r="C92" s="829" t="s">
        <v>967</v>
      </c>
      <c r="D92" s="802">
        <v>146.1</v>
      </c>
      <c r="E92" s="834">
        <v>68.766499999999994</v>
      </c>
      <c r="F92" s="802">
        <v>23.034990000000001</v>
      </c>
      <c r="G92" s="834">
        <v>53.138020000000004</v>
      </c>
      <c r="H92" s="802">
        <v>52</v>
      </c>
      <c r="I92" s="835">
        <v>133.65743000000001</v>
      </c>
    </row>
    <row r="93" spans="1:9" ht="14" thickBot="1">
      <c r="A93" s="832"/>
      <c r="B93" s="833"/>
      <c r="C93" s="829" t="s">
        <v>967</v>
      </c>
      <c r="D93" s="802"/>
      <c r="E93" s="834"/>
      <c r="F93" s="802"/>
      <c r="G93" s="834"/>
      <c r="H93" s="802"/>
      <c r="I93" s="835"/>
    </row>
    <row r="94" spans="1:9" ht="14" thickBot="1">
      <c r="A94" s="832"/>
      <c r="B94" s="833"/>
      <c r="C94" s="829" t="s">
        <v>967</v>
      </c>
      <c r="D94" s="802"/>
      <c r="E94" s="834"/>
      <c r="F94" s="802"/>
      <c r="G94" s="834"/>
      <c r="H94" s="802"/>
      <c r="I94" s="835"/>
    </row>
    <row r="95" spans="1:9" ht="14" thickBot="1">
      <c r="A95" s="832"/>
      <c r="B95" s="833"/>
      <c r="C95" s="829" t="s">
        <v>967</v>
      </c>
      <c r="D95" s="802"/>
      <c r="E95" s="834"/>
      <c r="F95" s="802"/>
      <c r="G95" s="834"/>
      <c r="H95" s="802"/>
      <c r="I95" s="835"/>
    </row>
    <row r="96" spans="1:9" ht="14" thickBot="1">
      <c r="A96" s="832"/>
      <c r="B96" s="833"/>
      <c r="C96" s="829" t="s">
        <v>967</v>
      </c>
      <c r="D96" s="802"/>
      <c r="E96" s="834"/>
      <c r="F96" s="802"/>
      <c r="G96" s="834"/>
      <c r="H96" s="802"/>
      <c r="I96" s="835"/>
    </row>
    <row r="97" spans="1:9" ht="14" thickBot="1">
      <c r="A97" s="832"/>
      <c r="B97" s="833"/>
      <c r="C97" s="829" t="s">
        <v>967</v>
      </c>
      <c r="D97" s="802"/>
      <c r="E97" s="834"/>
      <c r="F97" s="802"/>
      <c r="G97" s="834"/>
      <c r="H97" s="802"/>
      <c r="I97" s="835"/>
    </row>
    <row r="98" spans="1:9" ht="14" thickBot="1">
      <c r="A98" s="832"/>
      <c r="B98" s="833"/>
      <c r="C98" s="829" t="s">
        <v>967</v>
      </c>
      <c r="D98" s="802"/>
      <c r="E98" s="834"/>
      <c r="F98" s="802"/>
      <c r="G98" s="834"/>
      <c r="H98" s="802"/>
      <c r="I98" s="835"/>
    </row>
    <row r="99" spans="1:9" ht="14" thickBot="1">
      <c r="A99" s="832"/>
      <c r="B99" s="833"/>
      <c r="C99" s="829" t="s">
        <v>967</v>
      </c>
      <c r="D99" s="802"/>
      <c r="E99" s="834"/>
      <c r="F99" s="802"/>
      <c r="G99" s="834"/>
      <c r="H99" s="802"/>
      <c r="I99" s="835"/>
    </row>
    <row r="100" spans="1:9" ht="14" thickBot="1">
      <c r="A100" s="832"/>
      <c r="B100" s="833"/>
      <c r="C100" s="829" t="s">
        <v>967</v>
      </c>
      <c r="D100" s="802"/>
      <c r="E100" s="834"/>
      <c r="F100" s="802"/>
      <c r="G100" s="834"/>
      <c r="H100" s="802"/>
      <c r="I100" s="835"/>
    </row>
    <row r="101" spans="1:9" ht="14" thickBot="1">
      <c r="A101" s="832"/>
      <c r="B101" s="833"/>
      <c r="C101" s="829" t="s">
        <v>967</v>
      </c>
      <c r="D101" s="802"/>
      <c r="E101" s="834"/>
      <c r="F101" s="802"/>
      <c r="G101" s="834"/>
      <c r="H101" s="802"/>
      <c r="I101" s="835"/>
    </row>
    <row r="102" spans="1:9" ht="14" thickBot="1">
      <c r="A102" s="832"/>
      <c r="B102" s="833"/>
      <c r="C102" s="829" t="s">
        <v>967</v>
      </c>
      <c r="D102" s="802"/>
      <c r="E102" s="834"/>
      <c r="F102" s="802"/>
      <c r="G102" s="834"/>
      <c r="H102" s="802"/>
      <c r="I102" s="835"/>
    </row>
    <row r="103" spans="1:9" ht="14" thickBot="1">
      <c r="A103" s="832"/>
      <c r="B103" s="833"/>
      <c r="C103" s="829" t="s">
        <v>967</v>
      </c>
      <c r="D103" s="802"/>
      <c r="E103" s="834"/>
      <c r="F103" s="802"/>
      <c r="G103" s="834"/>
      <c r="H103" s="802"/>
      <c r="I103" s="835"/>
    </row>
    <row r="104" spans="1:9" s="151" customFormat="1" ht="18.75" customHeight="1" thickBot="1">
      <c r="A104" s="836" t="s">
        <v>1951</v>
      </c>
      <c r="B104" s="837">
        <v>82</v>
      </c>
      <c r="C104" s="838">
        <v>5</v>
      </c>
      <c r="D104" s="811">
        <v>318096.8</v>
      </c>
      <c r="E104" s="839">
        <v>220621.35848</v>
      </c>
      <c r="F104" s="811">
        <v>45299.773890000004</v>
      </c>
      <c r="G104" s="839">
        <v>50296.835340000005</v>
      </c>
      <c r="H104" s="811">
        <v>95291.56087999999</v>
      </c>
      <c r="I104" s="840">
        <v>397113.13132000004</v>
      </c>
    </row>
    <row r="105" spans="1:9" ht="16.5" customHeight="1" thickBot="1">
      <c r="A105" s="100" t="s">
        <v>453</v>
      </c>
      <c r="C105" s="841"/>
      <c r="D105" s="813"/>
      <c r="E105" s="813"/>
      <c r="F105" s="814"/>
      <c r="G105" s="813"/>
      <c r="H105" s="815"/>
      <c r="I105" s="816"/>
    </row>
    <row r="107" spans="1:9">
      <c r="A107" s="2" t="s">
        <v>581</v>
      </c>
    </row>
    <row r="109" spans="1:9">
      <c r="A109" s="103" t="s">
        <v>582</v>
      </c>
    </row>
    <row r="110" spans="1:9">
      <c r="A110" s="97">
        <v>0</v>
      </c>
      <c r="B110" s="103" t="s">
        <v>583</v>
      </c>
    </row>
    <row r="111" spans="1:9">
      <c r="A111" s="97">
        <v>1</v>
      </c>
      <c r="B111" s="103" t="s">
        <v>584</v>
      </c>
    </row>
    <row r="112" spans="1:9">
      <c r="A112" s="97">
        <v>2</v>
      </c>
      <c r="B112" s="103" t="s">
        <v>585</v>
      </c>
    </row>
    <row r="113" spans="1:2">
      <c r="A113" s="97">
        <v>3</v>
      </c>
      <c r="B113" s="103" t="s">
        <v>586</v>
      </c>
    </row>
    <row r="114" spans="1:2">
      <c r="A114" s="97" t="s">
        <v>587</v>
      </c>
      <c r="B114" s="103" t="s">
        <v>588</v>
      </c>
    </row>
    <row r="115" spans="1:2">
      <c r="A115" s="97">
        <v>5</v>
      </c>
      <c r="B115" s="103" t="s">
        <v>589</v>
      </c>
    </row>
    <row r="116" spans="1:2">
      <c r="A116" s="97">
        <v>6</v>
      </c>
      <c r="B116" s="103" t="s">
        <v>590</v>
      </c>
    </row>
    <row r="117" spans="1:2">
      <c r="A117" s="97">
        <v>7</v>
      </c>
      <c r="B117" s="103" t="s">
        <v>591</v>
      </c>
    </row>
    <row r="120" spans="1:2">
      <c r="A120" s="2" t="s">
        <v>1955</v>
      </c>
    </row>
  </sheetData>
  <phoneticPr fontId="0" type="noConversion"/>
  <pageMargins left="0.51" right="0.35" top="0.62" bottom="0.66" header="0.36" footer="0.28000000000000003"/>
  <pageSetup paperSize="9" scale="68" fitToHeight="2" pageOrder="overThenDown" orientation="portrait" horizontalDpi="1200" verticalDpi="1200"/>
  <headerFooter alignWithMargins="0">
    <oddFooter>&amp;R&amp;P/&amp;N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878F-76AC-E441-BC1E-A59B28A7DA01}">
  <sheetPr>
    <pageSetUpPr fitToPage="1"/>
  </sheetPr>
  <dimension ref="A1:O33"/>
  <sheetViews>
    <sheetView zoomScale="75" zoomScaleNormal="75" workbookViewId="0">
      <selection activeCell="C11" sqref="C11"/>
    </sheetView>
  </sheetViews>
  <sheetFormatPr baseColWidth="10" defaultColWidth="11.3984375" defaultRowHeight="13"/>
  <cols>
    <col min="1" max="1" width="5.796875" style="2" customWidth="1"/>
    <col min="2" max="2" width="35.19921875" style="97" customWidth="1"/>
    <col min="3" max="3" width="10.796875" style="97" customWidth="1"/>
    <col min="4" max="4" width="11.19921875" style="97" customWidth="1"/>
    <col min="5" max="5" width="10.19921875" style="8" customWidth="1"/>
    <col min="6" max="6" width="17.59765625" style="8" customWidth="1"/>
    <col min="7" max="7" width="14.19921875" style="2" customWidth="1"/>
    <col min="8" max="8" width="7.59765625" style="98" customWidth="1"/>
    <col min="9" max="9" width="26.19921875" style="2" customWidth="1"/>
    <col min="10" max="16384" width="11.3984375" style="2"/>
  </cols>
  <sheetData>
    <row r="1" spans="1:9" s="1" customFormat="1" ht="14" customHeight="1">
      <c r="A1" s="54"/>
      <c r="B1" s="55"/>
      <c r="C1" s="55"/>
      <c r="D1" s="55"/>
      <c r="E1" s="54"/>
      <c r="F1" s="56"/>
      <c r="G1" s="54"/>
      <c r="H1" s="57"/>
      <c r="I1" s="54"/>
    </row>
    <row r="2" spans="1:9" s="1" customFormat="1" ht="19.5" customHeight="1">
      <c r="A2" s="58" t="s">
        <v>1921</v>
      </c>
      <c r="C2" s="55"/>
      <c r="D2" s="55"/>
      <c r="E2" s="56"/>
      <c r="F2" s="56"/>
      <c r="G2" s="59"/>
      <c r="H2" s="57"/>
      <c r="I2" s="58">
        <v>2006</v>
      </c>
    </row>
    <row r="3" spans="1:9" s="1" customFormat="1" ht="11.25" customHeight="1">
      <c r="A3" s="54"/>
      <c r="B3" s="54"/>
      <c r="C3" s="55"/>
      <c r="D3" s="55"/>
      <c r="E3" s="56"/>
      <c r="F3" s="56"/>
      <c r="G3" s="54"/>
      <c r="H3" s="57"/>
      <c r="I3" s="54"/>
    </row>
    <row r="4" spans="1:9" ht="18" customHeight="1">
      <c r="A4" s="60" t="s">
        <v>1922</v>
      </c>
      <c r="B4" s="60" t="s">
        <v>1923</v>
      </c>
      <c r="C4" s="61" t="s">
        <v>1924</v>
      </c>
      <c r="D4" s="62" t="s">
        <v>1925</v>
      </c>
      <c r="E4" s="63" t="s">
        <v>1926</v>
      </c>
      <c r="F4" s="64" t="s">
        <v>1927</v>
      </c>
      <c r="G4" s="61" t="s">
        <v>1928</v>
      </c>
      <c r="H4" s="65" t="s">
        <v>1929</v>
      </c>
      <c r="I4" s="62"/>
    </row>
    <row r="5" spans="1:9" ht="15" customHeight="1">
      <c r="A5" s="66" t="s">
        <v>1930</v>
      </c>
      <c r="B5" s="66"/>
      <c r="C5" s="67"/>
      <c r="D5" s="68" t="s">
        <v>1931</v>
      </c>
      <c r="E5" s="69" t="s">
        <v>1932</v>
      </c>
      <c r="F5" s="70" t="s">
        <v>1933</v>
      </c>
      <c r="G5" s="67" t="s">
        <v>1934</v>
      </c>
      <c r="H5" s="71" t="s">
        <v>1935</v>
      </c>
      <c r="I5" s="68"/>
    </row>
    <row r="6" spans="1:9" ht="15" customHeight="1">
      <c r="A6" s="66"/>
      <c r="B6" s="66"/>
      <c r="C6" s="67"/>
      <c r="D6" s="68" t="s">
        <v>1954</v>
      </c>
      <c r="E6" s="69"/>
      <c r="F6" s="70"/>
      <c r="G6" s="67" t="s">
        <v>1936</v>
      </c>
      <c r="H6" s="72"/>
      <c r="I6" s="68"/>
    </row>
    <row r="7" spans="1:9" ht="18" customHeight="1">
      <c r="A7" s="73"/>
      <c r="B7" s="74"/>
      <c r="C7" s="75"/>
      <c r="D7" s="76"/>
      <c r="E7" s="77"/>
      <c r="F7" s="78"/>
      <c r="G7" s="75"/>
      <c r="H7" s="79"/>
      <c r="I7" s="76"/>
    </row>
    <row r="8" spans="1:9" ht="36" customHeight="1" thickBot="1">
      <c r="A8" s="80">
        <v>23</v>
      </c>
      <c r="B8" s="81" t="s">
        <v>1937</v>
      </c>
      <c r="C8" s="82" t="s">
        <v>1938</v>
      </c>
      <c r="D8" s="83"/>
      <c r="E8" s="84"/>
      <c r="F8" s="85" t="s">
        <v>1939</v>
      </c>
      <c r="G8" s="84"/>
      <c r="H8" s="86"/>
      <c r="I8" s="87"/>
    </row>
    <row r="9" spans="1:9" ht="37.5" customHeight="1" thickBot="1">
      <c r="A9" s="80">
        <v>820</v>
      </c>
      <c r="B9" s="88" t="s">
        <v>1940</v>
      </c>
      <c r="C9" s="82" t="s">
        <v>1941</v>
      </c>
      <c r="D9" s="83"/>
      <c r="E9" s="84"/>
      <c r="F9" s="89" t="s">
        <v>1942</v>
      </c>
      <c r="G9" s="84"/>
      <c r="H9" s="86"/>
      <c r="I9" s="88"/>
    </row>
    <row r="10" spans="1:9" ht="30" customHeight="1" thickBot="1">
      <c r="A10" s="80">
        <v>1507</v>
      </c>
      <c r="B10" s="81" t="s">
        <v>1943</v>
      </c>
      <c r="C10" s="82" t="s">
        <v>1938</v>
      </c>
      <c r="D10" s="83"/>
      <c r="E10" s="84"/>
      <c r="F10" s="85"/>
      <c r="G10" s="84" t="s">
        <v>1944</v>
      </c>
      <c r="H10" s="86"/>
      <c r="I10" s="83"/>
    </row>
    <row r="11" spans="1:9" ht="39" customHeight="1" thickBot="1">
      <c r="A11" s="80">
        <v>1552</v>
      </c>
      <c r="B11" s="81" t="s">
        <v>1945</v>
      </c>
      <c r="C11" s="82" t="s">
        <v>1938</v>
      </c>
      <c r="D11" s="83"/>
      <c r="E11" s="84"/>
      <c r="F11" s="89" t="s">
        <v>1946</v>
      </c>
      <c r="G11" s="84"/>
      <c r="H11" s="80"/>
      <c r="I11" s="88"/>
    </row>
    <row r="12" spans="1:9" ht="40.5" customHeight="1" thickBot="1">
      <c r="A12" s="80">
        <v>1570</v>
      </c>
      <c r="B12" s="81" t="s">
        <v>1947</v>
      </c>
      <c r="C12" s="82" t="s">
        <v>1938</v>
      </c>
      <c r="D12" s="83"/>
      <c r="E12" s="84" t="s">
        <v>1948</v>
      </c>
      <c r="F12" s="89"/>
      <c r="G12" s="84" t="s">
        <v>1949</v>
      </c>
      <c r="H12" s="86"/>
      <c r="I12" s="87"/>
    </row>
    <row r="13" spans="1:9" ht="35.25" customHeight="1" thickBot="1">
      <c r="A13" s="80">
        <v>1571</v>
      </c>
      <c r="B13" s="81" t="s">
        <v>1950</v>
      </c>
      <c r="C13" s="82" t="s">
        <v>1938</v>
      </c>
      <c r="D13" s="83"/>
      <c r="E13" s="84" t="s">
        <v>1948</v>
      </c>
      <c r="F13" s="89"/>
      <c r="G13" s="84"/>
      <c r="H13" s="86"/>
      <c r="I13" s="87"/>
    </row>
    <row r="14" spans="1:9" ht="30" customHeight="1" thickBot="1">
      <c r="A14" s="80"/>
      <c r="B14" s="81"/>
      <c r="C14" s="82"/>
      <c r="D14" s="83"/>
      <c r="E14" s="84"/>
      <c r="F14" s="83"/>
      <c r="G14" s="84"/>
      <c r="H14" s="86"/>
      <c r="I14" s="87"/>
    </row>
    <row r="15" spans="1:9" ht="33.75" customHeight="1" thickBot="1">
      <c r="A15" s="80"/>
      <c r="B15" s="81"/>
      <c r="C15" s="82"/>
      <c r="D15" s="83"/>
      <c r="E15" s="84"/>
      <c r="F15" s="83"/>
      <c r="G15" s="84"/>
      <c r="H15" s="86"/>
      <c r="I15" s="87"/>
    </row>
    <row r="16" spans="1:9" ht="44.25" customHeight="1" thickBot="1">
      <c r="A16" s="80"/>
      <c r="B16" s="81"/>
      <c r="C16" s="82"/>
      <c r="D16" s="83"/>
      <c r="E16" s="84"/>
      <c r="F16" s="83"/>
      <c r="G16" s="84"/>
      <c r="H16" s="86"/>
      <c r="I16" s="83"/>
    </row>
    <row r="17" spans="1:15" ht="33.75" customHeight="1" thickBot="1">
      <c r="A17" s="80"/>
      <c r="B17" s="81"/>
      <c r="C17" s="82"/>
      <c r="D17" s="83"/>
      <c r="E17" s="84"/>
      <c r="F17" s="83"/>
      <c r="G17" s="84"/>
      <c r="H17" s="86"/>
      <c r="I17" s="83"/>
    </row>
    <row r="18" spans="1:15" ht="30.75" customHeight="1" thickBot="1">
      <c r="A18" s="80"/>
      <c r="B18" s="81"/>
      <c r="C18" s="82"/>
      <c r="D18" s="83"/>
      <c r="E18" s="84"/>
      <c r="F18" s="83"/>
      <c r="G18" s="84"/>
      <c r="H18" s="86"/>
      <c r="I18" s="88"/>
    </row>
    <row r="19" spans="1:15" ht="30.75" customHeight="1" thickBot="1">
      <c r="A19" s="80"/>
      <c r="B19" s="81"/>
      <c r="C19" s="82"/>
      <c r="D19" s="83"/>
      <c r="E19" s="84"/>
      <c r="F19" s="83"/>
      <c r="G19" s="84"/>
      <c r="H19" s="86"/>
      <c r="I19" s="83"/>
    </row>
    <row r="20" spans="1:15" ht="28.5" customHeight="1" thickBot="1">
      <c r="A20" s="80"/>
      <c r="B20" s="81"/>
      <c r="C20" s="82"/>
      <c r="D20" s="83"/>
      <c r="E20" s="84"/>
      <c r="F20" s="83"/>
      <c r="G20" s="84"/>
      <c r="H20" s="86"/>
      <c r="I20" s="87"/>
    </row>
    <row r="21" spans="1:15" s="90" customFormat="1" ht="28.5" customHeight="1" thickBot="1">
      <c r="A21" s="80"/>
      <c r="B21" s="81"/>
      <c r="C21" s="82"/>
      <c r="D21" s="83"/>
      <c r="E21" s="84"/>
      <c r="F21" s="83"/>
      <c r="G21" s="84"/>
      <c r="H21" s="86"/>
      <c r="I21" s="81"/>
    </row>
    <row r="22" spans="1:15" ht="28.5" customHeight="1" thickBot="1">
      <c r="A22" s="80"/>
      <c r="B22" s="81"/>
      <c r="C22" s="82"/>
      <c r="D22" s="83"/>
      <c r="E22" s="84"/>
      <c r="F22" s="88"/>
      <c r="G22" s="84"/>
      <c r="H22" s="86"/>
      <c r="I22" s="83"/>
    </row>
    <row r="23" spans="1:15" ht="24.75" customHeight="1" thickBot="1">
      <c r="A23" s="80"/>
      <c r="B23" s="81"/>
      <c r="C23" s="91"/>
      <c r="D23" s="83"/>
      <c r="E23" s="84"/>
      <c r="F23" s="83"/>
      <c r="G23" s="84"/>
      <c r="H23" s="86"/>
      <c r="I23" s="83"/>
      <c r="J23"/>
      <c r="K23"/>
      <c r="L23"/>
      <c r="M23"/>
      <c r="N23"/>
      <c r="O23"/>
    </row>
    <row r="24" spans="1:15" ht="25.5" customHeight="1" thickBot="1">
      <c r="A24" s="92"/>
      <c r="B24" s="93" t="s">
        <v>1951</v>
      </c>
      <c r="C24" s="94"/>
      <c r="D24" s="92">
        <v>0</v>
      </c>
      <c r="E24" s="95">
        <v>2</v>
      </c>
      <c r="F24" s="92">
        <v>3</v>
      </c>
      <c r="G24" s="94">
        <v>2</v>
      </c>
      <c r="H24" s="92">
        <v>0</v>
      </c>
      <c r="I24" s="92"/>
      <c r="J24"/>
      <c r="K24"/>
      <c r="L24"/>
      <c r="M24"/>
      <c r="N24"/>
      <c r="O24"/>
    </row>
    <row r="25" spans="1:15">
      <c r="B25" s="96"/>
    </row>
    <row r="26" spans="1:15">
      <c r="A26" s="99" t="s">
        <v>1956</v>
      </c>
      <c r="G26" s="100"/>
      <c r="I26" s="100"/>
    </row>
    <row r="27" spans="1:15">
      <c r="A27" s="99"/>
      <c r="G27" s="100"/>
      <c r="I27" s="100"/>
    </row>
    <row r="28" spans="1:15">
      <c r="A28" s="101" t="s">
        <v>1952</v>
      </c>
      <c r="G28" s="100"/>
      <c r="I28" s="100"/>
    </row>
    <row r="29" spans="1:15">
      <c r="A29" s="102"/>
    </row>
    <row r="30" spans="1:15">
      <c r="A30" s="103" t="s">
        <v>1953</v>
      </c>
    </row>
    <row r="31" spans="1:15">
      <c r="A31" s="103"/>
    </row>
    <row r="32" spans="1:15">
      <c r="A32" s="103"/>
    </row>
    <row r="33" spans="1:1">
      <c r="A33" s="103" t="s">
        <v>1955</v>
      </c>
    </row>
  </sheetData>
  <phoneticPr fontId="0" type="noConversion"/>
  <pageMargins left="0.6" right="0.55000000000000004" top="0.62992125984251968" bottom="0.74803149606299213" header="0.31496062992125984" footer="0.27559055118110237"/>
  <pageSetup paperSize="9" scale="64" pageOrder="overThenDown" orientation="portrait" horizontalDpi="1200" verticalDpi="1200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966A-2F69-5F40-8B2F-6043CD14BD1C}">
  <sheetPr>
    <pageSetUpPr fitToPage="1"/>
  </sheetPr>
  <dimension ref="A1:B11"/>
  <sheetViews>
    <sheetView workbookViewId="0">
      <selection activeCell="B3" sqref="B3"/>
    </sheetView>
  </sheetViews>
  <sheetFormatPr baseColWidth="10" defaultColWidth="11.3984375" defaultRowHeight="13"/>
  <cols>
    <col min="1" max="1" width="5.59765625" style="468" customWidth="1"/>
    <col min="2" max="16384" width="11.3984375" style="468"/>
  </cols>
  <sheetData>
    <row r="1" spans="1:2" ht="16">
      <c r="A1" s="467" t="s">
        <v>1743</v>
      </c>
    </row>
    <row r="2" spans="1:2" ht="16">
      <c r="A2" s="469"/>
    </row>
    <row r="3" spans="1:2">
      <c r="A3" s="468">
        <v>6.01</v>
      </c>
      <c r="B3" s="470" t="s">
        <v>1744</v>
      </c>
    </row>
    <row r="4" spans="1:2">
      <c r="A4" s="468">
        <v>6.02</v>
      </c>
      <c r="B4" s="470" t="s">
        <v>1745</v>
      </c>
    </row>
    <row r="5" spans="1:2">
      <c r="A5" s="468">
        <v>6.03</v>
      </c>
      <c r="B5" s="470" t="s">
        <v>1746</v>
      </c>
    </row>
    <row r="6" spans="1:2">
      <c r="A6" s="468">
        <v>6.04</v>
      </c>
      <c r="B6" s="470" t="s">
        <v>1747</v>
      </c>
    </row>
    <row r="7" spans="1:2">
      <c r="A7" s="468">
        <v>6.05</v>
      </c>
      <c r="B7" s="470" t="s">
        <v>1748</v>
      </c>
    </row>
    <row r="8" spans="1:2">
      <c r="A8" s="468">
        <v>6.06</v>
      </c>
      <c r="B8" s="470" t="s">
        <v>1749</v>
      </c>
    </row>
    <row r="11" spans="1:2">
      <c r="A11" s="471" t="s">
        <v>1955</v>
      </c>
    </row>
  </sheetData>
  <phoneticPr fontId="30" type="noConversion"/>
  <pageMargins left="0.46" right="0.35" top="0.69" bottom="0.984251969" header="0.36" footer="0.4921259845"/>
  <pageSetup paperSize="9" orientation="portrait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2176-9EDD-DC45-BD22-A1FEF19D3F2E}">
  <sheetPr>
    <pageSetUpPr fitToPage="1"/>
  </sheetPr>
  <dimension ref="A1:G26"/>
  <sheetViews>
    <sheetView topLeftCell="A7" zoomScale="75" workbookViewId="0">
      <selection activeCell="B20" sqref="B20"/>
    </sheetView>
  </sheetViews>
  <sheetFormatPr baseColWidth="10" defaultColWidth="11.3984375" defaultRowHeight="13"/>
  <cols>
    <col min="1" max="1" width="16.796875" style="2" customWidth="1"/>
    <col min="2" max="7" width="14.796875" style="2" customWidth="1"/>
    <col min="8" max="16384" width="11.3984375" style="2"/>
  </cols>
  <sheetData>
    <row r="1" spans="1:7" s="1" customFormat="1" ht="14" customHeight="1"/>
    <row r="2" spans="1:7" s="1" customFormat="1" ht="31.5" customHeight="1">
      <c r="A2" s="1695" t="s">
        <v>1430</v>
      </c>
      <c r="B2" s="1699"/>
      <c r="C2" s="1699"/>
      <c r="D2" s="1699"/>
      <c r="E2" s="1699"/>
      <c r="F2" s="1699"/>
      <c r="G2" s="58">
        <v>2006</v>
      </c>
    </row>
    <row r="3" spans="1:7" ht="24" customHeight="1">
      <c r="A3" s="113" t="s">
        <v>758</v>
      </c>
      <c r="B3" s="114" t="s">
        <v>1431</v>
      </c>
      <c r="C3" s="115" t="s">
        <v>1432</v>
      </c>
      <c r="D3" s="114" t="s">
        <v>1020</v>
      </c>
      <c r="E3" s="115" t="s">
        <v>1433</v>
      </c>
      <c r="F3" s="114" t="s">
        <v>1434</v>
      </c>
      <c r="G3" s="170" t="s">
        <v>1434</v>
      </c>
    </row>
    <row r="4" spans="1:7" ht="15" customHeight="1">
      <c r="A4" s="248"/>
      <c r="B4" s="117" t="s">
        <v>1435</v>
      </c>
      <c r="C4" s="118" t="s">
        <v>1436</v>
      </c>
      <c r="D4" s="117" t="s">
        <v>1435</v>
      </c>
      <c r="E4" s="118" t="s">
        <v>1437</v>
      </c>
      <c r="F4" s="117" t="s">
        <v>1438</v>
      </c>
      <c r="G4" s="116" t="s">
        <v>1439</v>
      </c>
    </row>
    <row r="5" spans="1:7" ht="15" customHeight="1">
      <c r="A5" s="248"/>
      <c r="B5" s="117"/>
      <c r="C5" s="118" t="s">
        <v>1440</v>
      </c>
      <c r="D5" s="117"/>
      <c r="E5" s="118" t="s">
        <v>1441</v>
      </c>
      <c r="F5" s="117" t="s">
        <v>1445</v>
      </c>
      <c r="G5" s="116" t="s">
        <v>1442</v>
      </c>
    </row>
    <row r="6" spans="1:7" ht="24" customHeight="1">
      <c r="A6" s="249"/>
      <c r="B6" s="123"/>
      <c r="C6" s="122" t="s">
        <v>1446</v>
      </c>
      <c r="D6" s="123"/>
      <c r="E6" s="122" t="s">
        <v>1447</v>
      </c>
      <c r="F6" s="123"/>
      <c r="G6" s="120"/>
    </row>
    <row r="7" spans="1:7" ht="22.5" customHeight="1" thickBot="1">
      <c r="A7" s="250">
        <v>1996</v>
      </c>
      <c r="B7" s="510">
        <v>834.29346030999989</v>
      </c>
      <c r="C7" s="511">
        <v>147.33000000000001</v>
      </c>
      <c r="D7" s="510">
        <v>872.50191104999999</v>
      </c>
      <c r="E7" s="511">
        <v>174.02</v>
      </c>
      <c r="F7" s="512">
        <v>1497811</v>
      </c>
      <c r="G7" s="513">
        <v>150</v>
      </c>
    </row>
    <row r="8" spans="1:7" ht="20" customHeight="1" thickBot="1">
      <c r="A8" s="251">
        <v>1997</v>
      </c>
      <c r="B8" s="514">
        <v>560.57016199999998</v>
      </c>
      <c r="C8" s="500">
        <v>177.97135605247547</v>
      </c>
      <c r="D8" s="514">
        <v>621.52611999999999</v>
      </c>
      <c r="E8" s="500">
        <v>219.40142149615536</v>
      </c>
      <c r="F8" s="515">
        <v>962507</v>
      </c>
      <c r="G8" s="516">
        <v>134</v>
      </c>
    </row>
    <row r="9" spans="1:7" ht="20" customHeight="1" thickBot="1">
      <c r="A9" s="251">
        <v>1998</v>
      </c>
      <c r="B9" s="514">
        <v>511.39633099999998</v>
      </c>
      <c r="C9" s="500">
        <v>210.006745555365</v>
      </c>
      <c r="D9" s="514">
        <v>456.36259100000001</v>
      </c>
      <c r="E9" s="500">
        <v>198.92326535477412</v>
      </c>
      <c r="F9" s="515">
        <v>822171</v>
      </c>
      <c r="G9" s="516">
        <v>115</v>
      </c>
    </row>
    <row r="10" spans="1:7" ht="20" customHeight="1" thickBot="1">
      <c r="A10" s="251">
        <v>1999</v>
      </c>
      <c r="B10" s="514">
        <v>464.48300699999999</v>
      </c>
      <c r="C10" s="500">
        <v>208.58087392018217</v>
      </c>
      <c r="D10" s="514">
        <v>412.14915300000001</v>
      </c>
      <c r="E10" s="500">
        <v>192.54405491703864</v>
      </c>
      <c r="F10" s="515">
        <v>727206</v>
      </c>
      <c r="G10" s="516">
        <v>109</v>
      </c>
    </row>
    <row r="11" spans="1:7" ht="20" customHeight="1" thickBot="1">
      <c r="A11" s="251">
        <v>2000</v>
      </c>
      <c r="B11" s="514">
        <v>439.22602000000001</v>
      </c>
      <c r="C11" s="500">
        <v>209.03</v>
      </c>
      <c r="D11" s="514">
        <v>381.63992000000002</v>
      </c>
      <c r="E11" s="500">
        <v>199.95</v>
      </c>
      <c r="F11" s="515">
        <v>639885</v>
      </c>
      <c r="G11" s="516">
        <v>102</v>
      </c>
    </row>
    <row r="12" spans="1:7" ht="20" customHeight="1" thickBot="1">
      <c r="A12" s="251">
        <v>2001</v>
      </c>
      <c r="B12" s="514">
        <v>400.71188914999999</v>
      </c>
      <c r="C12" s="500">
        <v>221.99</v>
      </c>
      <c r="D12" s="514">
        <v>351.97137099999998</v>
      </c>
      <c r="E12" s="500">
        <v>196.51</v>
      </c>
      <c r="F12" s="515">
        <v>561848</v>
      </c>
      <c r="G12" s="516">
        <v>102</v>
      </c>
    </row>
    <row r="13" spans="1:7" ht="20" customHeight="1" thickBot="1">
      <c r="A13" s="251">
        <v>2002</v>
      </c>
      <c r="B13" s="514">
        <v>371.74367599999999</v>
      </c>
      <c r="C13" s="500">
        <v>218.55</v>
      </c>
      <c r="D13" s="514">
        <v>329.14910600000002</v>
      </c>
      <c r="E13" s="500">
        <v>192.51</v>
      </c>
      <c r="F13" s="515">
        <v>495344</v>
      </c>
      <c r="G13" s="516">
        <v>93</v>
      </c>
    </row>
    <row r="14" spans="1:7" ht="20" customHeight="1" thickBot="1">
      <c r="A14" s="251">
        <v>2003</v>
      </c>
      <c r="B14" s="514">
        <v>357.14315599999998</v>
      </c>
      <c r="C14" s="500">
        <v>230.55</v>
      </c>
      <c r="D14" s="514">
        <v>309.91303299999998</v>
      </c>
      <c r="E14" s="500">
        <v>196.87</v>
      </c>
      <c r="F14" s="515">
        <v>439082</v>
      </c>
      <c r="G14" s="516">
        <v>92</v>
      </c>
    </row>
    <row r="15" spans="1:7" ht="20" customHeight="1" thickBot="1">
      <c r="A15" s="251">
        <v>2004</v>
      </c>
      <c r="B15" s="514">
        <v>356.58952599999998</v>
      </c>
      <c r="C15" s="500">
        <v>237.95</v>
      </c>
      <c r="D15" s="514">
        <v>277.93515500000001</v>
      </c>
      <c r="E15" s="500">
        <v>191.46</v>
      </c>
      <c r="F15" s="515">
        <v>384858</v>
      </c>
      <c r="G15" s="516">
        <v>93</v>
      </c>
    </row>
    <row r="16" spans="1:7" ht="20" customHeight="1" thickBot="1">
      <c r="A16" s="251">
        <v>2005</v>
      </c>
      <c r="B16" s="514">
        <v>342.30109299999998</v>
      </c>
      <c r="C16" s="500">
        <v>202.99</v>
      </c>
      <c r="D16" s="514">
        <v>251.061485</v>
      </c>
      <c r="E16" s="500">
        <v>158.24</v>
      </c>
      <c r="F16" s="515">
        <v>409989</v>
      </c>
      <c r="G16" s="516">
        <v>82</v>
      </c>
    </row>
    <row r="17" spans="1:7" ht="30" customHeight="1" thickBot="1">
      <c r="A17" s="508">
        <v>2006</v>
      </c>
      <c r="B17" s="517">
        <v>318.09682500000002</v>
      </c>
      <c r="C17" s="197">
        <v>203.43</v>
      </c>
      <c r="D17" s="517">
        <v>220.62135799999999</v>
      </c>
      <c r="E17" s="197">
        <v>148.53</v>
      </c>
      <c r="F17" s="196">
        <v>376229</v>
      </c>
      <c r="G17" s="518">
        <v>81</v>
      </c>
    </row>
    <row r="18" spans="1:7" ht="20" customHeight="1">
      <c r="A18" s="136" t="s">
        <v>452</v>
      </c>
      <c r="B18" s="136"/>
      <c r="C18" s="136"/>
      <c r="D18" s="136"/>
      <c r="E18" s="136"/>
      <c r="F18" s="136"/>
      <c r="G18" s="136"/>
    </row>
    <row r="19" spans="1:7" ht="13.5" customHeight="1">
      <c r="A19" s="3"/>
      <c r="B19" s="3"/>
      <c r="C19" s="3"/>
      <c r="D19" s="3"/>
      <c r="E19" s="3"/>
      <c r="F19" s="3"/>
      <c r="G19" s="3"/>
    </row>
    <row r="20" spans="1:7" ht="15.75" customHeight="1">
      <c r="A20" s="3" t="s">
        <v>1443</v>
      </c>
      <c r="B20" s="3"/>
      <c r="C20" s="3"/>
      <c r="D20" s="3"/>
      <c r="E20" s="3"/>
      <c r="F20" s="3"/>
      <c r="G20" s="3"/>
    </row>
    <row r="21" spans="1:7" ht="14.25" customHeight="1">
      <c r="A21" s="3"/>
      <c r="B21" s="3"/>
      <c r="C21" s="3"/>
      <c r="D21" s="3"/>
      <c r="E21" s="3"/>
      <c r="F21" s="3"/>
      <c r="G21" s="3"/>
    </row>
    <row r="22" spans="1:7" ht="12.75" customHeight="1">
      <c r="A22" s="3" t="s">
        <v>1444</v>
      </c>
      <c r="B22" s="3"/>
      <c r="C22" s="3"/>
      <c r="D22" s="3"/>
      <c r="E22" s="3"/>
      <c r="F22" s="3"/>
      <c r="G22" s="3"/>
    </row>
    <row r="23" spans="1:7">
      <c r="A23" s="2" t="s">
        <v>1448</v>
      </c>
    </row>
    <row r="26" spans="1:7">
      <c r="A26" s="2" t="s">
        <v>1955</v>
      </c>
    </row>
  </sheetData>
  <mergeCells count="1">
    <mergeCell ref="A2:F2"/>
  </mergeCells>
  <phoneticPr fontId="0" type="noConversion"/>
  <pageMargins left="0.62" right="0.64" top="1.01" bottom="0.49" header="0.53" footer="0.4921259845"/>
  <pageSetup paperSize="9" scale="86" orientation="portrait" horizontalDpi="4294967292" verticalDpi="4294967292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CC7D-3654-E746-BE24-8CE7EFD5D518}">
  <sheetPr>
    <pageSetUpPr fitToPage="1"/>
  </sheetPr>
  <dimension ref="A1:K23"/>
  <sheetViews>
    <sheetView topLeftCell="A3" zoomScale="75" workbookViewId="0">
      <selection activeCell="A16" sqref="A16:IV16"/>
    </sheetView>
  </sheetViews>
  <sheetFormatPr baseColWidth="10" defaultColWidth="11.3984375" defaultRowHeight="13"/>
  <cols>
    <col min="1" max="1" width="16.796875" style="2" customWidth="1"/>
    <col min="2" max="2" width="14.796875" style="2" customWidth="1"/>
    <col min="3" max="3" width="14.796875" style="97" customWidth="1"/>
    <col min="4" max="4" width="14.796875" style="2" customWidth="1"/>
    <col min="5" max="5" width="14.796875" style="97" customWidth="1"/>
    <col min="6" max="6" width="14.796875" style="2" customWidth="1"/>
    <col min="7" max="7" width="15.3984375" style="97" customWidth="1"/>
    <col min="8" max="16384" width="11.3984375" style="2"/>
  </cols>
  <sheetData>
    <row r="1" spans="1:11" s="1" customFormat="1" ht="14" customHeight="1">
      <c r="C1" s="169"/>
      <c r="E1" s="169"/>
      <c r="G1" s="169"/>
    </row>
    <row r="2" spans="1:11" s="1" customFormat="1" ht="28" customHeight="1">
      <c r="A2" s="58" t="s">
        <v>1420</v>
      </c>
      <c r="C2" s="169"/>
      <c r="E2" s="169"/>
      <c r="G2" s="58">
        <v>2006</v>
      </c>
    </row>
    <row r="3" spans="1:11" ht="24" customHeight="1">
      <c r="A3" s="113" t="s">
        <v>758</v>
      </c>
      <c r="B3" s="114" t="s">
        <v>1421</v>
      </c>
      <c r="C3" s="170" t="s">
        <v>45</v>
      </c>
      <c r="D3" s="114" t="s">
        <v>1422</v>
      </c>
      <c r="E3" s="170" t="s">
        <v>45</v>
      </c>
      <c r="F3" s="114" t="s">
        <v>894</v>
      </c>
      <c r="G3" s="170" t="s">
        <v>45</v>
      </c>
    </row>
    <row r="4" spans="1:11" ht="15" customHeight="1">
      <c r="A4" s="248"/>
      <c r="B4" s="117" t="s">
        <v>894</v>
      </c>
      <c r="C4" s="116" t="s">
        <v>46</v>
      </c>
      <c r="D4" s="117" t="s">
        <v>1423</v>
      </c>
      <c r="E4" s="116" t="s">
        <v>46</v>
      </c>
      <c r="F4" s="117" t="s">
        <v>1424</v>
      </c>
      <c r="G4" s="116" t="s">
        <v>46</v>
      </c>
    </row>
    <row r="5" spans="1:11" ht="15" customHeight="1">
      <c r="A5" s="248"/>
      <c r="B5" s="117" t="s">
        <v>1425</v>
      </c>
      <c r="C5" s="116" t="s">
        <v>50</v>
      </c>
      <c r="D5" s="117" t="s">
        <v>1426</v>
      </c>
      <c r="E5" s="116" t="s">
        <v>50</v>
      </c>
      <c r="F5" s="117" t="s">
        <v>1427</v>
      </c>
      <c r="G5" s="116" t="s">
        <v>50</v>
      </c>
    </row>
    <row r="6" spans="1:11" ht="24" customHeight="1">
      <c r="A6" s="249"/>
      <c r="B6" s="123"/>
      <c r="C6" s="120"/>
      <c r="D6" s="123" t="s">
        <v>1428</v>
      </c>
      <c r="E6" s="120"/>
      <c r="F6" s="123"/>
      <c r="G6" s="120"/>
    </row>
    <row r="7" spans="1:11" ht="22.5" customHeight="1" thickBot="1">
      <c r="A7" s="250">
        <v>1996</v>
      </c>
      <c r="B7" s="145">
        <v>842626041.5999999</v>
      </c>
      <c r="C7" s="421">
        <v>-0.22395165786377283</v>
      </c>
      <c r="D7" s="145">
        <v>918792074.10000002</v>
      </c>
      <c r="E7" s="421">
        <v>-0.174100182026726</v>
      </c>
      <c r="F7" s="145">
        <v>-76164233.309999987</v>
      </c>
      <c r="G7" s="421">
        <v>-1.8543740517491432</v>
      </c>
      <c r="I7" s="9"/>
      <c r="J7" s="9"/>
      <c r="K7" s="9"/>
    </row>
    <row r="8" spans="1:11" ht="20" customHeight="1" thickBot="1">
      <c r="A8" s="251">
        <v>1997</v>
      </c>
      <c r="B8" s="147">
        <v>582586264.20000005</v>
      </c>
      <c r="C8" s="499">
        <v>-0.30860638594343665</v>
      </c>
      <c r="D8" s="147">
        <v>600844654.99000001</v>
      </c>
      <c r="E8" s="499">
        <v>-0.34604937076916387</v>
      </c>
      <c r="F8" s="147">
        <v>-18258290.829999998</v>
      </c>
      <c r="G8" s="499">
        <v>0.76027736331716245</v>
      </c>
    </row>
    <row r="9" spans="1:11" ht="20" customHeight="1" thickBot="1">
      <c r="A9" s="251">
        <v>1998</v>
      </c>
      <c r="B9" s="147">
        <v>506597985.24000001</v>
      </c>
      <c r="C9" s="499">
        <v>-0.13043266487641306</v>
      </c>
      <c r="D9" s="147">
        <v>466707907.44999999</v>
      </c>
      <c r="E9" s="499">
        <v>-0.22324696812395292</v>
      </c>
      <c r="F9" s="147">
        <v>39890107.789999999</v>
      </c>
      <c r="G9" s="499">
        <v>3.1847668087561076</v>
      </c>
    </row>
    <row r="10" spans="1:11" ht="20" customHeight="1" thickBot="1">
      <c r="A10" s="251">
        <v>1999</v>
      </c>
      <c r="B10" s="147">
        <v>464005598.98000002</v>
      </c>
      <c r="C10" s="499">
        <v>-8.4075317117224449E-2</v>
      </c>
      <c r="D10" s="147">
        <v>422158429.66000003</v>
      </c>
      <c r="E10" s="499">
        <v>-9.5454731061681661E-2</v>
      </c>
      <c r="F10" s="147">
        <v>41847169.719999999</v>
      </c>
      <c r="G10" s="499">
        <v>4.9061334712427351E-2</v>
      </c>
    </row>
    <row r="11" spans="1:11" ht="20" customHeight="1" thickBot="1">
      <c r="A11" s="251">
        <v>2000</v>
      </c>
      <c r="B11" s="147">
        <v>458973777.85000002</v>
      </c>
      <c r="C11" s="499">
        <v>-1.0844311234737667E-2</v>
      </c>
      <c r="D11" s="147">
        <v>416527371.23000002</v>
      </c>
      <c r="E11" s="499">
        <v>-1.3338732651945802E-2</v>
      </c>
      <c r="F11" s="147">
        <v>42446406.640000001</v>
      </c>
      <c r="G11" s="499">
        <v>1.4319652296905794E-2</v>
      </c>
    </row>
    <row r="12" spans="1:11" ht="20" customHeight="1" thickBot="1">
      <c r="A12" s="251">
        <v>2001</v>
      </c>
      <c r="B12" s="147">
        <v>405199385</v>
      </c>
      <c r="C12" s="499">
        <v>-0.11716223332387053</v>
      </c>
      <c r="D12" s="147">
        <v>389159830</v>
      </c>
      <c r="E12" s="499">
        <v>-6.5704064415224431E-2</v>
      </c>
      <c r="F12" s="147">
        <v>16039555</v>
      </c>
      <c r="G12" s="499">
        <v>-0.62212219432292559</v>
      </c>
    </row>
    <row r="13" spans="1:11" ht="20" customHeight="1" thickBot="1">
      <c r="A13" s="251">
        <v>2002</v>
      </c>
      <c r="B13" s="147">
        <v>372184863.34999996</v>
      </c>
      <c r="C13" s="499">
        <v>-8.147722546518682E-2</v>
      </c>
      <c r="D13" s="147">
        <v>361726442.44999999</v>
      </c>
      <c r="E13" s="499">
        <v>-7.0493883065988625E-2</v>
      </c>
      <c r="F13" s="147">
        <v>10458420.890000001</v>
      </c>
      <c r="G13" s="499">
        <v>-0.34796065788608221</v>
      </c>
    </row>
    <row r="14" spans="1:11" ht="20" customHeight="1" thickBot="1">
      <c r="A14" s="251">
        <v>2003</v>
      </c>
      <c r="B14" s="147">
        <v>364678826.25</v>
      </c>
      <c r="C14" s="499">
        <v>-2.016749695954545E-2</v>
      </c>
      <c r="D14" s="147">
        <v>338730046.06999999</v>
      </c>
      <c r="E14" s="499">
        <v>-6.357399869427216E-2</v>
      </c>
      <c r="F14" s="147">
        <v>25948780.16</v>
      </c>
      <c r="G14" s="499">
        <v>1.4811374903463079</v>
      </c>
    </row>
    <row r="15" spans="1:11" ht="20" customHeight="1" thickBot="1">
      <c r="A15" s="251">
        <v>2004</v>
      </c>
      <c r="B15" s="147">
        <v>363267822.86999995</v>
      </c>
      <c r="C15" s="499">
        <v>-3.8691672738706551E-3</v>
      </c>
      <c r="D15" s="147">
        <v>315178869.18000001</v>
      </c>
      <c r="E15" s="499">
        <v>-6.9527864927379501E-2</v>
      </c>
      <c r="F15" s="147">
        <v>48088953.700000003</v>
      </c>
      <c r="G15" s="499">
        <v>0.85322598609583356</v>
      </c>
    </row>
    <row r="16" spans="1:11" ht="20" customHeight="1" thickBot="1">
      <c r="A16" s="251">
        <v>2005</v>
      </c>
      <c r="B16" s="147">
        <v>347836052.75999999</v>
      </c>
      <c r="C16" s="499">
        <v>-4.2480421161668391E-2</v>
      </c>
      <c r="D16" s="147">
        <v>299546558.91000003</v>
      </c>
      <c r="E16" s="499">
        <v>-4.9598218023532259E-2</v>
      </c>
      <c r="F16" s="147">
        <v>48289493.789999999</v>
      </c>
      <c r="G16" s="499">
        <v>4.1701903362476589E-3</v>
      </c>
    </row>
    <row r="17" spans="1:7" ht="30" customHeight="1" thickBot="1">
      <c r="A17" s="508">
        <v>2006</v>
      </c>
      <c r="B17" s="149">
        <v>318876960.83999997</v>
      </c>
      <c r="C17" s="509">
        <v>-8.3255003873854427E-2</v>
      </c>
      <c r="D17" s="149">
        <v>268580125.52999997</v>
      </c>
      <c r="E17" s="509">
        <v>-0.10337769691857501</v>
      </c>
      <c r="F17" s="149">
        <v>50296835.340000004</v>
      </c>
      <c r="G17" s="509">
        <v>4.1568908523445636E-2</v>
      </c>
    </row>
    <row r="18" spans="1:7" ht="20" customHeight="1">
      <c r="A18" s="136" t="s">
        <v>452</v>
      </c>
      <c r="B18" s="136"/>
      <c r="C18" s="173"/>
      <c r="D18" s="136"/>
      <c r="E18" s="173"/>
      <c r="F18" s="136"/>
      <c r="G18" s="173"/>
    </row>
    <row r="19" spans="1:7" ht="15.75" customHeight="1">
      <c r="A19" s="3"/>
      <c r="B19" s="3"/>
      <c r="C19" s="174"/>
      <c r="D19" s="3"/>
      <c r="E19" s="174"/>
      <c r="F19" s="3"/>
      <c r="G19" s="174"/>
    </row>
    <row r="20" spans="1:7" ht="15.75" customHeight="1">
      <c r="A20" s="3" t="s">
        <v>1429</v>
      </c>
      <c r="B20" s="3"/>
      <c r="C20" s="174"/>
      <c r="D20" s="3"/>
      <c r="E20" s="174"/>
      <c r="F20" s="3"/>
      <c r="G20" s="174"/>
    </row>
    <row r="23" spans="1:7">
      <c r="A23" s="2" t="s">
        <v>1955</v>
      </c>
    </row>
  </sheetData>
  <phoneticPr fontId="0" type="noConversion"/>
  <pageMargins left="0.57999999999999996" right="0.65" top="0.96" bottom="0.49" header="0.49" footer="0.4921259845"/>
  <pageSetup paperSize="9" scale="86" orientation="portrait" horizontalDpi="4294967292" verticalDpi="4294967292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177A-3505-6D46-B1F1-01D0445B1727}">
  <sheetPr>
    <pageSetUpPr fitToPage="1"/>
  </sheetPr>
  <dimension ref="A1:H39"/>
  <sheetViews>
    <sheetView topLeftCell="A20" zoomScale="75" workbookViewId="0">
      <selection activeCell="K9" sqref="K9"/>
    </sheetView>
  </sheetViews>
  <sheetFormatPr baseColWidth="10" defaultColWidth="11.3984375" defaultRowHeight="13"/>
  <cols>
    <col min="1" max="1" width="33.796875" style="2" customWidth="1"/>
    <col min="2" max="3" width="17.59765625" style="2" customWidth="1"/>
    <col min="4" max="4" width="17.59765625" style="151" customWidth="1"/>
    <col min="5" max="5" width="17.59765625" style="415" customWidth="1"/>
    <col min="6" max="6" width="11.3984375" style="2"/>
    <col min="7" max="7" width="14.796875" style="2" hidden="1" customWidth="1"/>
    <col min="8" max="8" width="14.3984375" style="2" hidden="1" customWidth="1"/>
    <col min="9" max="16384" width="11.3984375" style="2"/>
  </cols>
  <sheetData>
    <row r="1" spans="1:8" s="1" customFormat="1" ht="14" customHeight="1">
      <c r="D1" s="17"/>
      <c r="E1" s="392"/>
    </row>
    <row r="2" spans="1:8" s="1" customFormat="1" ht="40.5" customHeight="1">
      <c r="A2" s="1695" t="s">
        <v>1418</v>
      </c>
      <c r="B2" s="1699"/>
      <c r="C2" s="1699"/>
      <c r="D2" s="1699"/>
      <c r="E2" s="58">
        <v>2006</v>
      </c>
    </row>
    <row r="3" spans="1:8" ht="24" customHeight="1">
      <c r="A3" s="113" t="s">
        <v>1357</v>
      </c>
      <c r="B3" s="114" t="s">
        <v>1358</v>
      </c>
      <c r="C3" s="115" t="s">
        <v>1359</v>
      </c>
      <c r="D3" s="427" t="s">
        <v>1951</v>
      </c>
      <c r="E3" s="394" t="s">
        <v>45</v>
      </c>
    </row>
    <row r="4" spans="1:8" ht="15" customHeight="1">
      <c r="A4" s="248"/>
      <c r="B4" s="117" t="s">
        <v>1360</v>
      </c>
      <c r="C4" s="118" t="s">
        <v>1360</v>
      </c>
      <c r="D4" s="493"/>
      <c r="E4" s="494" t="s">
        <v>46</v>
      </c>
    </row>
    <row r="5" spans="1:8" ht="15" customHeight="1">
      <c r="A5" s="248"/>
      <c r="B5" s="117" t="s">
        <v>751</v>
      </c>
      <c r="C5" s="118" t="s">
        <v>976</v>
      </c>
      <c r="D5" s="493"/>
      <c r="E5" s="494" t="s">
        <v>50</v>
      </c>
    </row>
    <row r="6" spans="1:8" ht="24" customHeight="1">
      <c r="A6" s="249"/>
      <c r="B6" s="123"/>
      <c r="C6" s="122"/>
      <c r="D6" s="495"/>
      <c r="E6" s="395"/>
      <c r="G6" s="496" t="s">
        <v>1361</v>
      </c>
      <c r="H6" s="496" t="s">
        <v>1362</v>
      </c>
    </row>
    <row r="7" spans="1:8" ht="30" customHeight="1" thickBot="1">
      <c r="A7" s="497" t="s">
        <v>1363</v>
      </c>
      <c r="B7" s="145">
        <v>80</v>
      </c>
      <c r="C7" s="198">
        <v>47</v>
      </c>
      <c r="D7" s="329">
        <v>81</v>
      </c>
      <c r="E7" s="421">
        <v>-1.2195121951219513E-2</v>
      </c>
      <c r="F7" s="8"/>
      <c r="G7" s="270">
        <v>109</v>
      </c>
      <c r="H7" s="270">
        <v>109</v>
      </c>
    </row>
    <row r="8" spans="1:8" ht="25.5" customHeight="1" thickBot="1">
      <c r="A8" s="498" t="s">
        <v>1419</v>
      </c>
      <c r="B8" s="147"/>
      <c r="C8" s="204"/>
      <c r="D8" s="255"/>
      <c r="E8" s="499" t="s">
        <v>967</v>
      </c>
      <c r="G8" s="147"/>
      <c r="H8" s="147"/>
    </row>
    <row r="9" spans="1:8" ht="20" customHeight="1" thickBot="1">
      <c r="A9" s="500" t="s">
        <v>93</v>
      </c>
      <c r="B9" s="147">
        <v>163669</v>
      </c>
      <c r="C9" s="204" t="s">
        <v>1412</v>
      </c>
      <c r="D9" s="255" t="s">
        <v>1412</v>
      </c>
      <c r="E9" s="499">
        <v>-7.691223083257194E-2</v>
      </c>
      <c r="G9" s="147">
        <v>747913</v>
      </c>
      <c r="H9" s="147">
        <v>541989</v>
      </c>
    </row>
    <row r="10" spans="1:8" ht="20" customHeight="1" thickBot="1">
      <c r="A10" s="500" t="s">
        <v>95</v>
      </c>
      <c r="B10" s="147">
        <v>212561</v>
      </c>
      <c r="C10" s="204" t="s">
        <v>1412</v>
      </c>
      <c r="D10" s="255" t="s">
        <v>1412</v>
      </c>
      <c r="E10" s="499">
        <v>-8.6474243817742671E-2</v>
      </c>
      <c r="G10" s="147">
        <v>671493</v>
      </c>
      <c r="H10" s="147">
        <v>525355</v>
      </c>
    </row>
    <row r="11" spans="1:8" ht="20" customHeight="1" thickBot="1">
      <c r="A11" s="500" t="s">
        <v>1951</v>
      </c>
      <c r="B11" s="147">
        <v>376229</v>
      </c>
      <c r="C11" s="204" t="s">
        <v>1412</v>
      </c>
      <c r="D11" s="255" t="s">
        <v>1412</v>
      </c>
      <c r="E11" s="499">
        <v>-8.2343672635119478E-2</v>
      </c>
      <c r="G11" s="147">
        <v>1419406</v>
      </c>
      <c r="H11" s="147">
        <v>1067344</v>
      </c>
    </row>
    <row r="12" spans="1:8" ht="24" customHeight="1" thickBot="1">
      <c r="A12" s="498" t="s">
        <v>1364</v>
      </c>
      <c r="B12" s="147"/>
      <c r="C12" s="204"/>
      <c r="D12" s="255"/>
      <c r="E12" s="499" t="s">
        <v>967</v>
      </c>
      <c r="G12" s="147"/>
      <c r="H12" s="147"/>
    </row>
    <row r="13" spans="1:8" ht="20" customHeight="1" thickBot="1">
      <c r="A13" s="500" t="s">
        <v>93</v>
      </c>
      <c r="B13" s="147">
        <v>45867752</v>
      </c>
      <c r="C13" s="204">
        <v>168205528</v>
      </c>
      <c r="D13" s="255">
        <v>214073280</v>
      </c>
      <c r="E13" s="499">
        <v>-7.5674057830440636E-2</v>
      </c>
      <c r="G13" s="147">
        <v>346254879</v>
      </c>
      <c r="H13" s="147">
        <v>346254879</v>
      </c>
    </row>
    <row r="14" spans="1:8" ht="20" customHeight="1" thickBot="1">
      <c r="A14" s="500" t="s">
        <v>95</v>
      </c>
      <c r="B14" s="147">
        <v>30670372</v>
      </c>
      <c r="C14" s="204">
        <v>73353172</v>
      </c>
      <c r="D14" s="255">
        <v>104023544</v>
      </c>
      <c r="E14" s="499">
        <v>-6.0326118960846428E-2</v>
      </c>
      <c r="G14" s="147">
        <v>118228128</v>
      </c>
      <c r="H14" s="147">
        <v>118228128</v>
      </c>
    </row>
    <row r="15" spans="1:8" ht="20" customHeight="1" thickBot="1">
      <c r="A15" s="500" t="s">
        <v>1951</v>
      </c>
      <c r="B15" s="147">
        <v>76538124</v>
      </c>
      <c r="C15" s="204">
        <v>241558700</v>
      </c>
      <c r="D15" s="255">
        <v>318096825</v>
      </c>
      <c r="E15" s="499">
        <v>-7.0710460746323117E-2</v>
      </c>
      <c r="G15" s="147">
        <v>464483007</v>
      </c>
      <c r="H15" s="147">
        <v>464483007</v>
      </c>
    </row>
    <row r="16" spans="1:8" ht="33.75" customHeight="1" thickBot="1">
      <c r="A16" s="501" t="s">
        <v>1365</v>
      </c>
      <c r="B16" s="147"/>
      <c r="C16" s="204"/>
      <c r="D16" s="255"/>
      <c r="E16" s="499" t="s">
        <v>967</v>
      </c>
      <c r="G16" s="147"/>
      <c r="H16" s="147"/>
    </row>
    <row r="17" spans="1:8" ht="20" customHeight="1" thickBot="1">
      <c r="A17" s="500" t="s">
        <v>93</v>
      </c>
      <c r="B17" s="147">
        <v>280.25</v>
      </c>
      <c r="C17" s="204" t="s">
        <v>1412</v>
      </c>
      <c r="D17" s="255" t="s">
        <v>1412</v>
      </c>
      <c r="E17" s="499">
        <v>-2.4560404356802085E-3</v>
      </c>
      <c r="G17" s="147">
        <v>462.96</v>
      </c>
      <c r="H17" s="147">
        <v>638.86</v>
      </c>
    </row>
    <row r="18" spans="1:8" ht="20" customHeight="1" thickBot="1">
      <c r="A18" s="500" t="s">
        <v>95</v>
      </c>
      <c r="B18" s="147">
        <v>144.29</v>
      </c>
      <c r="C18" s="204" t="s">
        <v>1412</v>
      </c>
      <c r="D18" s="255" t="s">
        <v>1412</v>
      </c>
      <c r="E18" s="499">
        <v>4.8050139275765862E-3</v>
      </c>
      <c r="G18" s="147">
        <v>176.07</v>
      </c>
      <c r="H18" s="147">
        <v>225.04</v>
      </c>
    </row>
    <row r="19" spans="1:8" ht="20" customHeight="1" thickBot="1">
      <c r="A19" s="500" t="s">
        <v>1951</v>
      </c>
      <c r="B19" s="147">
        <v>203.43</v>
      </c>
      <c r="C19" s="204" t="s">
        <v>1412</v>
      </c>
      <c r="D19" s="255" t="s">
        <v>1412</v>
      </c>
      <c r="E19" s="499">
        <v>2.1675944627814066E-3</v>
      </c>
      <c r="G19" s="147">
        <v>327.24</v>
      </c>
      <c r="H19" s="147">
        <v>435.18</v>
      </c>
    </row>
    <row r="20" spans="1:8" ht="24" customHeight="1" thickBot="1">
      <c r="A20" s="498" t="s">
        <v>1366</v>
      </c>
      <c r="B20" s="147"/>
      <c r="C20" s="204"/>
      <c r="D20" s="255"/>
      <c r="E20" s="499" t="s">
        <v>967</v>
      </c>
      <c r="G20" s="147"/>
      <c r="H20" s="147"/>
    </row>
    <row r="21" spans="1:8" ht="20" customHeight="1" thickBot="1">
      <c r="A21" s="500" t="s">
        <v>93</v>
      </c>
      <c r="B21" s="147">
        <v>36114213</v>
      </c>
      <c r="C21" s="204">
        <v>120699192</v>
      </c>
      <c r="D21" s="255">
        <v>156813405</v>
      </c>
      <c r="E21" s="499">
        <v>-0.13325176315679335</v>
      </c>
      <c r="G21" s="147">
        <v>297772901</v>
      </c>
      <c r="H21" s="147">
        <v>297772901</v>
      </c>
    </row>
    <row r="22" spans="1:8" ht="20" customHeight="1" thickBot="1">
      <c r="A22" s="500" t="s">
        <v>95</v>
      </c>
      <c r="B22" s="147">
        <v>19765821</v>
      </c>
      <c r="C22" s="204">
        <v>44042132</v>
      </c>
      <c r="D22" s="255">
        <v>63807953</v>
      </c>
      <c r="E22" s="499">
        <v>-9.0276844722826224E-2</v>
      </c>
      <c r="G22" s="147">
        <v>114376252</v>
      </c>
      <c r="H22" s="147">
        <v>114376252</v>
      </c>
    </row>
    <row r="23" spans="1:8" ht="20" customHeight="1" thickBot="1">
      <c r="A23" s="500" t="s">
        <v>1951</v>
      </c>
      <c r="B23" s="147">
        <v>55880034</v>
      </c>
      <c r="C23" s="204">
        <v>164741325</v>
      </c>
      <c r="D23" s="255">
        <v>220621358</v>
      </c>
      <c r="E23" s="499">
        <v>-0.12124570600703648</v>
      </c>
      <c r="G23" s="147">
        <v>412149153</v>
      </c>
      <c r="H23" s="147">
        <v>412149153</v>
      </c>
    </row>
    <row r="24" spans="1:8" ht="24" customHeight="1" thickBot="1">
      <c r="A24" s="502" t="s">
        <v>1367</v>
      </c>
      <c r="B24" s="147">
        <v>499740</v>
      </c>
      <c r="C24" s="204">
        <v>4789486</v>
      </c>
      <c r="D24" s="255">
        <v>5289226</v>
      </c>
      <c r="E24" s="499">
        <v>-0.4341377420418121</v>
      </c>
      <c r="G24" s="318">
        <v>21005933</v>
      </c>
      <c r="H24" s="318">
        <v>21005933</v>
      </c>
    </row>
    <row r="25" spans="1:8" ht="34.5" customHeight="1" thickBot="1">
      <c r="A25" s="501" t="s">
        <v>1368</v>
      </c>
      <c r="B25" s="147"/>
      <c r="C25" s="204"/>
      <c r="D25" s="255"/>
      <c r="E25" s="499" t="s">
        <v>967</v>
      </c>
      <c r="G25" s="147"/>
      <c r="H25" s="147"/>
    </row>
    <row r="26" spans="1:8" ht="20" customHeight="1" thickBot="1">
      <c r="A26" s="500" t="s">
        <v>93</v>
      </c>
      <c r="B26" s="147">
        <v>220.65</v>
      </c>
      <c r="C26" s="204" t="s">
        <v>1412</v>
      </c>
      <c r="D26" s="255" t="s">
        <v>1412</v>
      </c>
      <c r="E26" s="499">
        <v>-8.8034717916924923E-2</v>
      </c>
      <c r="G26" s="147">
        <v>398.14</v>
      </c>
      <c r="H26" s="147">
        <v>549.41</v>
      </c>
    </row>
    <row r="27" spans="1:8" ht="20" customHeight="1" thickBot="1">
      <c r="A27" s="500" t="s">
        <v>95</v>
      </c>
      <c r="B27" s="147">
        <v>92.99</v>
      </c>
      <c r="C27" s="204" t="s">
        <v>1412</v>
      </c>
      <c r="D27" s="255" t="s">
        <v>1412</v>
      </c>
      <c r="E27" s="499">
        <v>-1.5457914240338887E-2</v>
      </c>
      <c r="G27" s="147">
        <v>170.33</v>
      </c>
      <c r="H27" s="147">
        <v>217.71</v>
      </c>
    </row>
    <row r="28" spans="1:8" ht="30" customHeight="1" thickBot="1">
      <c r="A28" s="503" t="s">
        <v>1951</v>
      </c>
      <c r="B28" s="318">
        <v>148.53</v>
      </c>
      <c r="C28" s="319" t="s">
        <v>1412</v>
      </c>
      <c r="D28" s="149" t="s">
        <v>1412</v>
      </c>
      <c r="E28" s="504">
        <v>-6.1362487360970726E-2</v>
      </c>
      <c r="G28" s="505">
        <v>290.37</v>
      </c>
      <c r="H28" s="505">
        <v>386.14</v>
      </c>
    </row>
    <row r="29" spans="1:8" ht="20" customHeight="1">
      <c r="A29" s="136" t="s">
        <v>452</v>
      </c>
      <c r="B29" s="136"/>
      <c r="C29" s="136"/>
      <c r="D29" s="506"/>
      <c r="E29" s="413"/>
    </row>
    <row r="30" spans="1:8" ht="14.25" customHeight="1">
      <c r="A30" s="3"/>
      <c r="B30" s="3"/>
      <c r="C30" s="3"/>
      <c r="D30" s="507"/>
      <c r="E30" s="414"/>
    </row>
    <row r="31" spans="1:8" ht="14.25" customHeight="1">
      <c r="A31" s="3" t="s">
        <v>1369</v>
      </c>
      <c r="B31" s="3"/>
      <c r="C31" s="3"/>
      <c r="D31" s="507"/>
      <c r="E31" s="414"/>
    </row>
    <row r="32" spans="1:8" ht="14.25" customHeight="1">
      <c r="A32" s="3"/>
      <c r="B32" s="3"/>
      <c r="C32" s="3"/>
      <c r="D32" s="507"/>
      <c r="E32" s="414"/>
    </row>
    <row r="33" spans="1:1">
      <c r="A33" s="3" t="s">
        <v>1350</v>
      </c>
    </row>
    <row r="34" spans="1:1">
      <c r="A34" s="2" t="s">
        <v>1351</v>
      </c>
    </row>
    <row r="35" spans="1:1">
      <c r="A35" s="2" t="s">
        <v>1370</v>
      </c>
    </row>
    <row r="36" spans="1:1">
      <c r="A36" s="745" t="s">
        <v>975</v>
      </c>
    </row>
    <row r="39" spans="1:1">
      <c r="A39" s="2" t="s">
        <v>1955</v>
      </c>
    </row>
  </sheetData>
  <mergeCells count="1">
    <mergeCell ref="A2:D2"/>
  </mergeCells>
  <phoneticPr fontId="0" type="noConversion"/>
  <pageMargins left="0.56999999999999995" right="0.56000000000000005" top="0.96" bottom="0.49" header="0.56000000000000005" footer="0.4921259845"/>
  <pageSetup paperSize="9" scale="89" orientation="portrait" horizontalDpi="1200" verticalDpi="1200"/>
  <headerFooter alignWithMargins="0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30AB-6953-D14E-86B3-D288EC9AA952}">
  <dimension ref="A1:E37"/>
  <sheetViews>
    <sheetView topLeftCell="A19" zoomScale="75" workbookViewId="0">
      <selection activeCell="E3" sqref="E3"/>
    </sheetView>
  </sheetViews>
  <sheetFormatPr baseColWidth="10" defaultColWidth="11.3984375" defaultRowHeight="13"/>
  <cols>
    <col min="1" max="1" width="8.796875" style="2" customWidth="1"/>
    <col min="2" max="2" width="48.796875" style="97" customWidth="1"/>
    <col min="3" max="3" width="16.796875" style="2" customWidth="1"/>
    <col min="4" max="4" width="16.796875" style="8" customWidth="1"/>
    <col min="5" max="5" width="16.796875" style="344" customWidth="1"/>
    <col min="6" max="16384" width="11.3984375" style="2"/>
  </cols>
  <sheetData>
    <row r="1" spans="1:5" s="1" customFormat="1" ht="14" customHeight="1">
      <c r="B1" s="169"/>
      <c r="D1" s="175"/>
      <c r="E1" s="489"/>
    </row>
    <row r="2" spans="1:5" s="1" customFormat="1" ht="28" customHeight="1">
      <c r="A2" s="58" t="s">
        <v>1355</v>
      </c>
      <c r="B2" s="169"/>
      <c r="D2" s="175"/>
      <c r="E2" s="58">
        <v>2006</v>
      </c>
    </row>
    <row r="3" spans="1:5" ht="39" customHeight="1">
      <c r="A3" s="328" t="s">
        <v>1004</v>
      </c>
      <c r="B3" s="170"/>
      <c r="C3" s="114" t="s">
        <v>1005</v>
      </c>
      <c r="D3" s="177" t="s">
        <v>1006</v>
      </c>
      <c r="E3" s="313" t="s">
        <v>1951</v>
      </c>
    </row>
    <row r="4" spans="1:5" ht="38" customHeight="1">
      <c r="A4" s="314"/>
      <c r="B4" s="315"/>
      <c r="C4" s="123" t="s">
        <v>1007</v>
      </c>
      <c r="D4" s="183" t="s">
        <v>1007</v>
      </c>
      <c r="E4" s="316" t="s">
        <v>1007</v>
      </c>
    </row>
    <row r="5" spans="1:5" ht="30" customHeight="1" thickBot="1">
      <c r="A5" s="125">
        <v>60</v>
      </c>
      <c r="B5" s="125" t="s">
        <v>1008</v>
      </c>
      <c r="C5" s="145">
        <v>293002889.05000001</v>
      </c>
      <c r="D5" s="198">
        <v>25093936.210000001</v>
      </c>
      <c r="E5" s="329">
        <v>318096825.25999999</v>
      </c>
    </row>
    <row r="6" spans="1:5" ht="20" customHeight="1" thickBot="1">
      <c r="A6" s="130">
        <v>64</v>
      </c>
      <c r="B6" s="130" t="s">
        <v>1009</v>
      </c>
      <c r="C6" s="147">
        <v>-2579371.2200000002</v>
      </c>
      <c r="D6" s="204">
        <v>-208748.84</v>
      </c>
      <c r="E6" s="255">
        <v>-2788120.06</v>
      </c>
    </row>
    <row r="7" spans="1:5" ht="20" customHeight="1" thickBot="1">
      <c r="A7" s="130">
        <v>65</v>
      </c>
      <c r="B7" s="130" t="s">
        <v>1010</v>
      </c>
      <c r="C7" s="147">
        <v>445801.71</v>
      </c>
      <c r="D7" s="204">
        <v>3914.99</v>
      </c>
      <c r="E7" s="255">
        <v>449716.7</v>
      </c>
    </row>
    <row r="8" spans="1:5" ht="27" customHeight="1" thickBot="1">
      <c r="A8" s="131" t="s">
        <v>1011</v>
      </c>
      <c r="B8" s="131" t="s">
        <v>1012</v>
      </c>
      <c r="C8" s="147">
        <v>290869319.54000002</v>
      </c>
      <c r="D8" s="204">
        <v>24889102.359999999</v>
      </c>
      <c r="E8" s="255">
        <v>315758421.89999998</v>
      </c>
    </row>
    <row r="9" spans="1:5" ht="20" customHeight="1" thickBot="1">
      <c r="A9" s="130">
        <v>66</v>
      </c>
      <c r="B9" s="130" t="s">
        <v>1013</v>
      </c>
      <c r="C9" s="147">
        <v>-1548881.1</v>
      </c>
      <c r="D9" s="204">
        <v>-72507.53</v>
      </c>
      <c r="E9" s="255">
        <v>-1621388.63</v>
      </c>
    </row>
    <row r="10" spans="1:5" ht="27" customHeight="1" thickBot="1">
      <c r="A10" s="131" t="s">
        <v>1014</v>
      </c>
      <c r="B10" s="131" t="s">
        <v>1015</v>
      </c>
      <c r="C10" s="147">
        <v>289320438.43000001</v>
      </c>
      <c r="D10" s="204">
        <v>24816594.829999998</v>
      </c>
      <c r="E10" s="255">
        <v>314137033.25999999</v>
      </c>
    </row>
    <row r="11" spans="1:5" ht="20" customHeight="1" thickBot="1">
      <c r="A11" s="130">
        <v>67</v>
      </c>
      <c r="B11" s="130" t="s">
        <v>1016</v>
      </c>
      <c r="C11" s="147">
        <v>195448.7</v>
      </c>
      <c r="D11" s="204">
        <v>21768.9</v>
      </c>
      <c r="E11" s="255">
        <v>217217.6</v>
      </c>
    </row>
    <row r="12" spans="1:5" ht="20" customHeight="1" thickBot="1">
      <c r="A12" s="130">
        <v>68</v>
      </c>
      <c r="B12" s="130" t="s">
        <v>1017</v>
      </c>
      <c r="C12" s="147">
        <v>0</v>
      </c>
      <c r="D12" s="204">
        <v>0</v>
      </c>
      <c r="E12" s="255">
        <v>0</v>
      </c>
    </row>
    <row r="13" spans="1:5" ht="20" customHeight="1" thickBot="1">
      <c r="A13" s="130">
        <v>69</v>
      </c>
      <c r="B13" s="130" t="s">
        <v>1018</v>
      </c>
      <c r="C13" s="147">
        <v>1377430.14</v>
      </c>
      <c r="D13" s="204">
        <v>21827.14</v>
      </c>
      <c r="E13" s="255">
        <v>1399257.28</v>
      </c>
    </row>
    <row r="14" spans="1:5" ht="27" customHeight="1" thickBot="1">
      <c r="A14" s="131">
        <v>6</v>
      </c>
      <c r="B14" s="131" t="s">
        <v>1019</v>
      </c>
      <c r="C14" s="147">
        <v>290893317.26999998</v>
      </c>
      <c r="D14" s="204">
        <v>24860190.879999999</v>
      </c>
      <c r="E14" s="255">
        <v>315753508.14999998</v>
      </c>
    </row>
    <row r="15" spans="1:5" ht="20" customHeight="1" thickBot="1">
      <c r="A15" s="130">
        <v>30</v>
      </c>
      <c r="B15" s="130" t="s">
        <v>1020</v>
      </c>
      <c r="C15" s="147">
        <v>201914166.00999999</v>
      </c>
      <c r="D15" s="204">
        <v>18707187.829999998</v>
      </c>
      <c r="E15" s="255">
        <v>220621353.84</v>
      </c>
    </row>
    <row r="16" spans="1:5" ht="20" customHeight="1" thickBot="1">
      <c r="A16" s="130">
        <v>32</v>
      </c>
      <c r="B16" s="130" t="s">
        <v>1021</v>
      </c>
      <c r="C16" s="147" t="s">
        <v>1451</v>
      </c>
      <c r="D16" s="204" t="s">
        <v>1451</v>
      </c>
      <c r="E16" s="255" t="s">
        <v>1451</v>
      </c>
    </row>
    <row r="17" spans="1:5" ht="27" customHeight="1" thickBot="1">
      <c r="A17" s="131" t="s">
        <v>1022</v>
      </c>
      <c r="B17" s="131" t="s">
        <v>1023</v>
      </c>
      <c r="C17" s="147">
        <v>201914166.00999999</v>
      </c>
      <c r="D17" s="204">
        <v>18707187.829999998</v>
      </c>
      <c r="E17" s="255">
        <v>220621353.84</v>
      </c>
    </row>
    <row r="18" spans="1:5" ht="20" customHeight="1" thickBot="1">
      <c r="A18" s="130">
        <v>34</v>
      </c>
      <c r="B18" s="130" t="s">
        <v>1024</v>
      </c>
      <c r="C18" s="147">
        <v>1090939.0900000001</v>
      </c>
      <c r="D18" s="204">
        <v>47306.42</v>
      </c>
      <c r="E18" s="255">
        <v>1138245.51</v>
      </c>
    </row>
    <row r="19" spans="1:5" ht="20" customHeight="1" thickBot="1">
      <c r="A19" s="130">
        <v>35</v>
      </c>
      <c r="B19" s="130" t="s">
        <v>1025</v>
      </c>
      <c r="C19" s="147">
        <v>2360307.67</v>
      </c>
      <c r="D19" s="204">
        <v>402457.2</v>
      </c>
      <c r="E19" s="255">
        <v>2762764.87</v>
      </c>
    </row>
    <row r="20" spans="1:5" ht="27" customHeight="1" thickBot="1">
      <c r="A20" s="131" t="s">
        <v>1026</v>
      </c>
      <c r="B20" s="131" t="s">
        <v>1027</v>
      </c>
      <c r="C20" s="147">
        <v>205365412.75999999</v>
      </c>
      <c r="D20" s="204">
        <v>19156951.43</v>
      </c>
      <c r="E20" s="255">
        <v>224522364.19</v>
      </c>
    </row>
    <row r="21" spans="1:5" ht="20" customHeight="1" thickBot="1">
      <c r="A21" s="130">
        <v>36</v>
      </c>
      <c r="B21" s="130" t="s">
        <v>1028</v>
      </c>
      <c r="C21" s="147">
        <v>-1038412.26</v>
      </c>
      <c r="D21" s="204">
        <v>-77006.14</v>
      </c>
      <c r="E21" s="255">
        <v>-1115418.3999999999</v>
      </c>
    </row>
    <row r="22" spans="1:5" ht="20" customHeight="1" thickBot="1">
      <c r="A22" s="130">
        <v>37</v>
      </c>
      <c r="B22" s="130" t="s">
        <v>1029</v>
      </c>
      <c r="C22" s="147" t="s">
        <v>1451</v>
      </c>
      <c r="D22" s="204" t="s">
        <v>1451</v>
      </c>
      <c r="E22" s="255" t="s">
        <v>1451</v>
      </c>
    </row>
    <row r="23" spans="1:5" ht="27" customHeight="1" thickBot="1">
      <c r="A23" s="131">
        <v>3</v>
      </c>
      <c r="B23" s="131" t="s">
        <v>1030</v>
      </c>
      <c r="C23" s="147">
        <v>204327000.5</v>
      </c>
      <c r="D23" s="204">
        <v>19079945.289999999</v>
      </c>
      <c r="E23" s="255">
        <v>223406945.78999999</v>
      </c>
    </row>
    <row r="24" spans="1:5" ht="20" customHeight="1" thickBot="1">
      <c r="A24" s="130" t="s">
        <v>1031</v>
      </c>
      <c r="B24" s="130" t="s">
        <v>1032</v>
      </c>
      <c r="C24" s="147">
        <v>36497764.530000001</v>
      </c>
      <c r="D24" s="204">
        <v>3013512.13</v>
      </c>
      <c r="E24" s="255">
        <v>39511276.659999996</v>
      </c>
    </row>
    <row r="25" spans="1:5" ht="20" customHeight="1" thickBot="1">
      <c r="A25" s="130">
        <v>48</v>
      </c>
      <c r="B25" s="130" t="s">
        <v>1033</v>
      </c>
      <c r="C25" s="147">
        <v>4963132.25</v>
      </c>
      <c r="D25" s="204">
        <v>825364.98</v>
      </c>
      <c r="E25" s="255">
        <v>5788497.2300000004</v>
      </c>
    </row>
    <row r="26" spans="1:5" ht="20" customHeight="1" thickBot="1">
      <c r="A26" s="130">
        <v>49</v>
      </c>
      <c r="B26" s="130" t="s">
        <v>1034</v>
      </c>
      <c r="C26" s="147">
        <v>-108193.56</v>
      </c>
      <c r="D26" s="204">
        <v>-18400.599999999999</v>
      </c>
      <c r="E26" s="255">
        <v>-126594.16</v>
      </c>
    </row>
    <row r="27" spans="1:5" ht="27" customHeight="1" thickBot="1">
      <c r="A27" s="131">
        <v>4</v>
      </c>
      <c r="B27" s="131" t="s">
        <v>1035</v>
      </c>
      <c r="C27" s="147">
        <v>41352703.229999997</v>
      </c>
      <c r="D27" s="204">
        <v>3820476.5</v>
      </c>
      <c r="E27" s="255">
        <v>45173179.729999997</v>
      </c>
    </row>
    <row r="28" spans="1:5" ht="27" customHeight="1" thickBot="1">
      <c r="A28" s="131" t="s">
        <v>1036</v>
      </c>
      <c r="B28" s="131" t="s">
        <v>1037</v>
      </c>
      <c r="C28" s="147">
        <v>245679703.72</v>
      </c>
      <c r="D28" s="204">
        <v>22900421.809999999</v>
      </c>
      <c r="E28" s="255">
        <v>268580125.52999997</v>
      </c>
    </row>
    <row r="29" spans="1:5" ht="27" customHeight="1" thickBot="1">
      <c r="A29" s="131"/>
      <c r="B29" s="131" t="s">
        <v>1038</v>
      </c>
      <c r="C29" s="147">
        <v>45213613.539999999</v>
      </c>
      <c r="D29" s="204">
        <v>1959769.08</v>
      </c>
      <c r="E29" s="255">
        <v>47173382.619999997</v>
      </c>
    </row>
    <row r="30" spans="1:5" ht="27" customHeight="1" thickBot="1">
      <c r="A30" s="131">
        <v>7</v>
      </c>
      <c r="B30" s="131" t="s">
        <v>1039</v>
      </c>
      <c r="C30" s="147">
        <v>2976573.01</v>
      </c>
      <c r="D30" s="204">
        <v>146879.67999999999</v>
      </c>
      <c r="E30" s="255">
        <v>3123452.69</v>
      </c>
    </row>
    <row r="31" spans="1:5" ht="34.5" customHeight="1" thickBot="1">
      <c r="A31" s="491"/>
      <c r="B31" s="491" t="s">
        <v>1040</v>
      </c>
      <c r="C31" s="318">
        <v>48190186.549999997</v>
      </c>
      <c r="D31" s="319">
        <v>2106648.79</v>
      </c>
      <c r="E31" s="149">
        <v>50296835.340000004</v>
      </c>
    </row>
    <row r="32" spans="1:5" ht="19.5" customHeight="1">
      <c r="A32" s="136" t="s">
        <v>452</v>
      </c>
      <c r="B32" s="173"/>
      <c r="C32" s="136"/>
      <c r="D32" s="190"/>
      <c r="E32" s="343"/>
    </row>
    <row r="34" spans="1:1">
      <c r="A34" s="2" t="s">
        <v>1356</v>
      </c>
    </row>
    <row r="37" spans="1:1">
      <c r="A37" s="2" t="s">
        <v>1955</v>
      </c>
    </row>
  </sheetData>
  <phoneticPr fontId="0" type="noConversion"/>
  <pageMargins left="0.62" right="0.68" top="0.87" bottom="0.49" header="0.49" footer="0.4921259845"/>
  <pageSetup paperSize="9" scale="80" orientation="portrait" horizontalDpi="4294967292" verticalDpi="4294967292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040A-FDFE-B844-9143-ECB2F7AD6FBE}">
  <sheetPr>
    <pageSetUpPr fitToPage="1"/>
  </sheetPr>
  <dimension ref="A1:E40"/>
  <sheetViews>
    <sheetView topLeftCell="A22" zoomScale="75" workbookViewId="0">
      <selection activeCell="A35" sqref="A35"/>
    </sheetView>
  </sheetViews>
  <sheetFormatPr baseColWidth="10" defaultColWidth="11.3984375" defaultRowHeight="13"/>
  <cols>
    <col min="1" max="1" width="8.796875" style="2" customWidth="1"/>
    <col min="2" max="2" width="48.796875" style="97" customWidth="1"/>
    <col min="3" max="3" width="16.796875" style="2" customWidth="1"/>
    <col min="4" max="4" width="16.796875" style="8" customWidth="1"/>
    <col min="5" max="5" width="16.796875" style="344" customWidth="1"/>
    <col min="6" max="16384" width="11.3984375" style="2"/>
  </cols>
  <sheetData>
    <row r="1" spans="1:5" s="1" customFormat="1" ht="14" customHeight="1">
      <c r="B1" s="169"/>
      <c r="D1" s="175"/>
      <c r="E1" s="489"/>
    </row>
    <row r="2" spans="1:5" s="1" customFormat="1" ht="28" customHeight="1">
      <c r="A2" s="58" t="s">
        <v>1354</v>
      </c>
      <c r="B2" s="169"/>
      <c r="D2" s="175"/>
      <c r="E2" s="58">
        <v>2006</v>
      </c>
    </row>
    <row r="3" spans="1:5" ht="39" customHeight="1">
      <c r="A3" s="328" t="s">
        <v>1004</v>
      </c>
      <c r="B3" s="170"/>
      <c r="C3" s="114" t="s">
        <v>1005</v>
      </c>
      <c r="D3" s="177" t="s">
        <v>1006</v>
      </c>
      <c r="E3" s="313" t="s">
        <v>1951</v>
      </c>
    </row>
    <row r="4" spans="1:5" ht="38" customHeight="1">
      <c r="A4" s="314"/>
      <c r="B4" s="315"/>
      <c r="C4" s="123" t="s">
        <v>1007</v>
      </c>
      <c r="D4" s="183" t="s">
        <v>1007</v>
      </c>
      <c r="E4" s="316" t="s">
        <v>1007</v>
      </c>
    </row>
    <row r="5" spans="1:5" ht="30" customHeight="1" thickBot="1">
      <c r="A5" s="490">
        <v>60</v>
      </c>
      <c r="B5" s="490" t="s">
        <v>1008</v>
      </c>
      <c r="C5" s="341">
        <v>69048608.739999995</v>
      </c>
      <c r="D5" s="342">
        <v>7489514.3399999999</v>
      </c>
      <c r="E5" s="199">
        <v>76538123.079999998</v>
      </c>
    </row>
    <row r="6" spans="1:5" ht="20" customHeight="1" thickBot="1">
      <c r="A6" s="131">
        <v>64</v>
      </c>
      <c r="B6" s="131" t="s">
        <v>1009</v>
      </c>
      <c r="C6" s="318">
        <v>-303782.53000000003</v>
      </c>
      <c r="D6" s="319">
        <v>-28645.71</v>
      </c>
      <c r="E6" s="149">
        <v>-332428.24</v>
      </c>
    </row>
    <row r="7" spans="1:5" ht="20" customHeight="1" thickBot="1">
      <c r="A7" s="131">
        <v>65</v>
      </c>
      <c r="B7" s="131" t="s">
        <v>1010</v>
      </c>
      <c r="C7" s="318">
        <v>90679.81</v>
      </c>
      <c r="D7" s="319">
        <v>2298.37</v>
      </c>
      <c r="E7" s="149">
        <v>92978.18</v>
      </c>
    </row>
    <row r="8" spans="1:5" ht="27" customHeight="1" thickBot="1">
      <c r="A8" s="131" t="s">
        <v>1011</v>
      </c>
      <c r="B8" s="131" t="s">
        <v>1012</v>
      </c>
      <c r="C8" s="318">
        <v>68835506.040000007</v>
      </c>
      <c r="D8" s="319">
        <v>7463166.9900000002</v>
      </c>
      <c r="E8" s="149">
        <v>76298673.030000001</v>
      </c>
    </row>
    <row r="9" spans="1:5" ht="20" customHeight="1" thickBot="1">
      <c r="A9" s="131">
        <v>66</v>
      </c>
      <c r="B9" s="131" t="s">
        <v>1013</v>
      </c>
      <c r="C9" s="318">
        <v>-743686.08</v>
      </c>
      <c r="D9" s="319">
        <v>-61036.09</v>
      </c>
      <c r="E9" s="149">
        <v>-804722.17</v>
      </c>
    </row>
    <row r="10" spans="1:5" ht="27" customHeight="1" thickBot="1">
      <c r="A10" s="131" t="s">
        <v>1014</v>
      </c>
      <c r="B10" s="131" t="s">
        <v>1015</v>
      </c>
      <c r="C10" s="318">
        <v>68091819.959999993</v>
      </c>
      <c r="D10" s="319">
        <v>7402130.9000000004</v>
      </c>
      <c r="E10" s="149">
        <v>75493950.859999999</v>
      </c>
    </row>
    <row r="11" spans="1:5" ht="20" customHeight="1" thickBot="1">
      <c r="A11" s="131">
        <v>67</v>
      </c>
      <c r="B11" s="131" t="s">
        <v>1016</v>
      </c>
      <c r="C11" s="318">
        <v>194355.25</v>
      </c>
      <c r="D11" s="319">
        <v>21685.5</v>
      </c>
      <c r="E11" s="149">
        <v>216040.75</v>
      </c>
    </row>
    <row r="12" spans="1:5" ht="20" customHeight="1" thickBot="1">
      <c r="A12" s="131">
        <v>68</v>
      </c>
      <c r="B12" s="131" t="s">
        <v>1017</v>
      </c>
      <c r="C12" s="318">
        <v>0</v>
      </c>
      <c r="D12" s="319">
        <v>0</v>
      </c>
      <c r="E12" s="149">
        <v>0</v>
      </c>
    </row>
    <row r="13" spans="1:5" ht="20" customHeight="1" thickBot="1">
      <c r="A13" s="131">
        <v>69</v>
      </c>
      <c r="B13" s="131" t="s">
        <v>1018</v>
      </c>
      <c r="C13" s="318">
        <v>304074.76</v>
      </c>
      <c r="D13" s="319">
        <v>14141.38</v>
      </c>
      <c r="E13" s="149">
        <v>318216.14</v>
      </c>
    </row>
    <row r="14" spans="1:5" ht="27" customHeight="1" thickBot="1">
      <c r="A14" s="131">
        <v>6</v>
      </c>
      <c r="B14" s="131" t="s">
        <v>1019</v>
      </c>
      <c r="C14" s="318">
        <v>68590249.969999999</v>
      </c>
      <c r="D14" s="319">
        <v>7437957.7800000003</v>
      </c>
      <c r="E14" s="149">
        <v>76028207.75</v>
      </c>
    </row>
    <row r="15" spans="1:5" ht="20" customHeight="1" thickBot="1">
      <c r="A15" s="131">
        <v>30</v>
      </c>
      <c r="B15" s="131" t="s">
        <v>1020</v>
      </c>
      <c r="C15" s="318">
        <v>50781467.579999998</v>
      </c>
      <c r="D15" s="319">
        <v>5098561.2300000004</v>
      </c>
      <c r="E15" s="149">
        <v>55880028.810000002</v>
      </c>
    </row>
    <row r="16" spans="1:5" ht="20" customHeight="1" thickBot="1">
      <c r="A16" s="131">
        <v>32</v>
      </c>
      <c r="B16" s="131" t="s">
        <v>1021</v>
      </c>
      <c r="C16" s="318" t="s">
        <v>1451</v>
      </c>
      <c r="D16" s="319" t="s">
        <v>1451</v>
      </c>
      <c r="E16" s="149" t="s">
        <v>1451</v>
      </c>
    </row>
    <row r="17" spans="1:5" ht="27" customHeight="1" thickBot="1">
      <c r="A17" s="131" t="s">
        <v>1022</v>
      </c>
      <c r="B17" s="131" t="s">
        <v>1023</v>
      </c>
      <c r="C17" s="318">
        <v>50781467.579999998</v>
      </c>
      <c r="D17" s="319">
        <v>5098561.2300000004</v>
      </c>
      <c r="E17" s="149">
        <v>55880028.810000002</v>
      </c>
    </row>
    <row r="18" spans="1:5" ht="20" customHeight="1" thickBot="1">
      <c r="A18" s="131">
        <v>34</v>
      </c>
      <c r="B18" s="131" t="s">
        <v>1024</v>
      </c>
      <c r="C18" s="318">
        <v>347658.04</v>
      </c>
      <c r="D18" s="319">
        <v>22328.61</v>
      </c>
      <c r="E18" s="149">
        <v>369986.65</v>
      </c>
    </row>
    <row r="19" spans="1:5" ht="20" customHeight="1" thickBot="1">
      <c r="A19" s="131">
        <v>35</v>
      </c>
      <c r="B19" s="131" t="s">
        <v>1025</v>
      </c>
      <c r="C19" s="318">
        <v>-761583.17</v>
      </c>
      <c r="D19" s="319">
        <v>-48655.18</v>
      </c>
      <c r="E19" s="149">
        <v>-810238.35</v>
      </c>
    </row>
    <row r="20" spans="1:5" ht="27" customHeight="1" thickBot="1">
      <c r="A20" s="131" t="s">
        <v>1026</v>
      </c>
      <c r="B20" s="131" t="s">
        <v>1027</v>
      </c>
      <c r="C20" s="318">
        <v>50367542.450000003</v>
      </c>
      <c r="D20" s="319">
        <v>5072234.6399999997</v>
      </c>
      <c r="E20" s="149">
        <v>55439777.090000004</v>
      </c>
    </row>
    <row r="21" spans="1:5" ht="20" customHeight="1" thickBot="1">
      <c r="A21" s="131">
        <v>36</v>
      </c>
      <c r="B21" s="131" t="s">
        <v>1028</v>
      </c>
      <c r="C21" s="318">
        <v>-463271.5</v>
      </c>
      <c r="D21" s="319">
        <v>-68937.919999999998</v>
      </c>
      <c r="E21" s="149">
        <v>-532209.42000000004</v>
      </c>
    </row>
    <row r="22" spans="1:5" ht="20" customHeight="1" thickBot="1">
      <c r="A22" s="131">
        <v>37</v>
      </c>
      <c r="B22" s="131" t="s">
        <v>1029</v>
      </c>
      <c r="C22" s="318" t="s">
        <v>1451</v>
      </c>
      <c r="D22" s="319" t="s">
        <v>1451</v>
      </c>
      <c r="E22" s="149" t="s">
        <v>1451</v>
      </c>
    </row>
    <row r="23" spans="1:5" ht="27" customHeight="1" thickBot="1">
      <c r="A23" s="131">
        <v>3</v>
      </c>
      <c r="B23" s="131" t="s">
        <v>1030</v>
      </c>
      <c r="C23" s="318">
        <v>49904270.950000003</v>
      </c>
      <c r="D23" s="319">
        <v>5003296.72</v>
      </c>
      <c r="E23" s="149">
        <v>54907567.670000002</v>
      </c>
    </row>
    <row r="24" spans="1:5" ht="20" customHeight="1" thickBot="1">
      <c r="A24" s="130" t="s">
        <v>1031</v>
      </c>
      <c r="B24" s="130" t="s">
        <v>1032</v>
      </c>
      <c r="C24" s="318">
        <v>9534281.1999999993</v>
      </c>
      <c r="D24" s="319">
        <v>866095.37</v>
      </c>
      <c r="E24" s="149">
        <v>10400376.57</v>
      </c>
    </row>
    <row r="25" spans="1:5" ht="20" customHeight="1" thickBot="1">
      <c r="A25" s="130">
        <v>48</v>
      </c>
      <c r="B25" s="130" t="s">
        <v>1033</v>
      </c>
      <c r="C25" s="318">
        <v>804195.52</v>
      </c>
      <c r="D25" s="319">
        <v>135451.07999999999</v>
      </c>
      <c r="E25" s="149">
        <v>939646.6</v>
      </c>
    </row>
    <row r="26" spans="1:5" ht="20" customHeight="1" thickBot="1">
      <c r="A26" s="131">
        <v>49</v>
      </c>
      <c r="B26" s="131" t="s">
        <v>1034</v>
      </c>
      <c r="C26" s="318">
        <v>-12375.94</v>
      </c>
      <c r="D26" s="319">
        <v>-1752.38</v>
      </c>
      <c r="E26" s="149">
        <v>-14128.32</v>
      </c>
    </row>
    <row r="27" spans="1:5" ht="27" customHeight="1" thickBot="1">
      <c r="A27" s="131">
        <v>4</v>
      </c>
      <c r="B27" s="131" t="s">
        <v>1035</v>
      </c>
      <c r="C27" s="318">
        <v>10326100.800000001</v>
      </c>
      <c r="D27" s="319">
        <v>999794.07</v>
      </c>
      <c r="E27" s="149">
        <v>11325894.869999999</v>
      </c>
    </row>
    <row r="28" spans="1:5" ht="27" customHeight="1" thickBot="1">
      <c r="A28" s="131" t="s">
        <v>1036</v>
      </c>
      <c r="B28" s="131" t="s">
        <v>1037</v>
      </c>
      <c r="C28" s="318">
        <v>60230371.719999999</v>
      </c>
      <c r="D28" s="319">
        <v>6003090.7999999998</v>
      </c>
      <c r="E28" s="149">
        <v>66233462.520000003</v>
      </c>
    </row>
    <row r="29" spans="1:5" ht="27" customHeight="1" thickBot="1">
      <c r="A29" s="131"/>
      <c r="B29" s="131" t="s">
        <v>1038</v>
      </c>
      <c r="C29" s="318">
        <v>8359878.2400000002</v>
      </c>
      <c r="D29" s="319">
        <v>1434866.97</v>
      </c>
      <c r="E29" s="149">
        <v>9794745.2100000009</v>
      </c>
    </row>
    <row r="30" spans="1:5" ht="27" customHeight="1" thickBot="1">
      <c r="A30" s="131">
        <v>7</v>
      </c>
      <c r="B30" s="131" t="s">
        <v>1039</v>
      </c>
      <c r="C30" s="318">
        <v>55699.67</v>
      </c>
      <c r="D30" s="319">
        <v>65254.48</v>
      </c>
      <c r="E30" s="149">
        <v>120954.15</v>
      </c>
    </row>
    <row r="31" spans="1:5" ht="34.5" customHeight="1" thickBot="1">
      <c r="A31" s="491"/>
      <c r="B31" s="491" t="s">
        <v>1040</v>
      </c>
      <c r="C31" s="318">
        <v>8415577.9199999999</v>
      </c>
      <c r="D31" s="319">
        <v>1500121.47</v>
      </c>
      <c r="E31" s="149">
        <v>9915699.3900000006</v>
      </c>
    </row>
    <row r="32" spans="1:5" ht="20" customHeight="1">
      <c r="A32" s="136" t="s">
        <v>452</v>
      </c>
      <c r="B32" s="173"/>
      <c r="C32" s="136"/>
      <c r="D32" s="190"/>
      <c r="E32" s="343"/>
    </row>
    <row r="33" spans="1:5" ht="15.75" customHeight="1">
      <c r="A33" s="3"/>
      <c r="B33" s="174"/>
      <c r="C33" s="3"/>
      <c r="D33" s="191"/>
      <c r="E33" s="492"/>
    </row>
    <row r="34" spans="1:5" ht="15.75" customHeight="1">
      <c r="A34" s="2" t="s">
        <v>1353</v>
      </c>
      <c r="B34" s="174"/>
      <c r="C34" s="3"/>
      <c r="D34" s="191"/>
      <c r="E34" s="492"/>
    </row>
    <row r="35" spans="1:5" ht="13.5" customHeight="1">
      <c r="A35" s="3"/>
      <c r="B35" s="174"/>
      <c r="C35" s="3"/>
      <c r="D35" s="191"/>
      <c r="E35" s="492"/>
    </row>
    <row r="36" spans="1:5">
      <c r="A36" s="3" t="s">
        <v>1350</v>
      </c>
    </row>
    <row r="37" spans="1:5">
      <c r="A37" s="2" t="s">
        <v>1351</v>
      </c>
    </row>
    <row r="40" spans="1:5">
      <c r="A40" s="2" t="s">
        <v>1955</v>
      </c>
    </row>
  </sheetData>
  <phoneticPr fontId="0" type="noConversion"/>
  <pageMargins left="0.6" right="0.6" top="0.78" bottom="0.49" header="0.49" footer="0.4921259845"/>
  <pageSetup paperSize="9" scale="84" orientation="portrait" horizontalDpi="4294967292" verticalDpi="4294967292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F584-FE85-7A48-9E58-82CC1BCB1C0E}">
  <sheetPr>
    <pageSetUpPr fitToPage="1"/>
  </sheetPr>
  <dimension ref="A1:E40"/>
  <sheetViews>
    <sheetView topLeftCell="A22" zoomScale="75" workbookViewId="0">
      <selection activeCell="A35" sqref="A35"/>
    </sheetView>
  </sheetViews>
  <sheetFormatPr baseColWidth="10" defaultColWidth="11.3984375" defaultRowHeight="13"/>
  <cols>
    <col min="1" max="1" width="8.796875" style="2" customWidth="1"/>
    <col min="2" max="2" width="48.796875" style="97" customWidth="1"/>
    <col min="3" max="3" width="16.796875" style="2" customWidth="1"/>
    <col min="4" max="4" width="16.796875" style="8" customWidth="1"/>
    <col min="5" max="5" width="16.796875" style="344" customWidth="1"/>
    <col min="6" max="16384" width="11.3984375" style="2"/>
  </cols>
  <sheetData>
    <row r="1" spans="1:5" s="1" customFormat="1" ht="14" customHeight="1">
      <c r="B1" s="169"/>
      <c r="D1" s="175"/>
      <c r="E1" s="489"/>
    </row>
    <row r="2" spans="1:5" s="1" customFormat="1" ht="28" customHeight="1">
      <c r="A2" s="58" t="s">
        <v>1352</v>
      </c>
      <c r="B2" s="169"/>
      <c r="D2" s="175"/>
      <c r="E2" s="58">
        <v>2006</v>
      </c>
    </row>
    <row r="3" spans="1:5" ht="39" customHeight="1">
      <c r="A3" s="113" t="s">
        <v>1004</v>
      </c>
      <c r="B3" s="170"/>
      <c r="C3" s="114" t="s">
        <v>1005</v>
      </c>
      <c r="D3" s="177" t="s">
        <v>1006</v>
      </c>
      <c r="E3" s="313" t="s">
        <v>1951</v>
      </c>
    </row>
    <row r="4" spans="1:5" ht="38" customHeight="1">
      <c r="A4" s="314"/>
      <c r="B4" s="315"/>
      <c r="C4" s="123" t="s">
        <v>1007</v>
      </c>
      <c r="D4" s="183" t="s">
        <v>1007</v>
      </c>
      <c r="E4" s="316" t="s">
        <v>1007</v>
      </c>
    </row>
    <row r="5" spans="1:5" ht="30" customHeight="1" thickBot="1">
      <c r="A5" s="490">
        <v>60</v>
      </c>
      <c r="B5" s="490" t="s">
        <v>1008</v>
      </c>
      <c r="C5" s="341">
        <v>223954280.31</v>
      </c>
      <c r="D5" s="342">
        <v>17604421.870000001</v>
      </c>
      <c r="E5" s="199">
        <v>241558702.18000001</v>
      </c>
    </row>
    <row r="6" spans="1:5" ht="20" customHeight="1" thickBot="1">
      <c r="A6" s="131">
        <v>64</v>
      </c>
      <c r="B6" s="131" t="s">
        <v>1009</v>
      </c>
      <c r="C6" s="341">
        <v>-2275588.69</v>
      </c>
      <c r="D6" s="342">
        <v>-180103.13</v>
      </c>
      <c r="E6" s="199">
        <v>-2455691.8199999998</v>
      </c>
    </row>
    <row r="7" spans="1:5" ht="20" customHeight="1" thickBot="1">
      <c r="A7" s="131">
        <v>65</v>
      </c>
      <c r="B7" s="131" t="s">
        <v>1010</v>
      </c>
      <c r="C7" s="341">
        <v>355121.9</v>
      </c>
      <c r="D7" s="342">
        <v>1616.62</v>
      </c>
      <c r="E7" s="199">
        <v>356738.52</v>
      </c>
    </row>
    <row r="8" spans="1:5" ht="27" customHeight="1" thickBot="1">
      <c r="A8" s="131" t="s">
        <v>1011</v>
      </c>
      <c r="B8" s="131" t="s">
        <v>1012</v>
      </c>
      <c r="C8" s="341">
        <v>222033813.5</v>
      </c>
      <c r="D8" s="342">
        <v>17425935.370000001</v>
      </c>
      <c r="E8" s="199">
        <v>239459748.87</v>
      </c>
    </row>
    <row r="9" spans="1:5" ht="20" customHeight="1" thickBot="1">
      <c r="A9" s="131">
        <v>66</v>
      </c>
      <c r="B9" s="131" t="s">
        <v>1013</v>
      </c>
      <c r="C9" s="341">
        <v>-805195.02</v>
      </c>
      <c r="D9" s="342">
        <v>-11471.44</v>
      </c>
      <c r="E9" s="199">
        <v>-816666.46</v>
      </c>
    </row>
    <row r="10" spans="1:5" ht="27" customHeight="1" thickBot="1">
      <c r="A10" s="131" t="s">
        <v>1014</v>
      </c>
      <c r="B10" s="131" t="s">
        <v>1015</v>
      </c>
      <c r="C10" s="341">
        <v>221228618.47</v>
      </c>
      <c r="D10" s="342">
        <v>17414463.93</v>
      </c>
      <c r="E10" s="199">
        <v>238643082.40000001</v>
      </c>
    </row>
    <row r="11" spans="1:5" ht="20" customHeight="1" thickBot="1">
      <c r="A11" s="131">
        <v>67</v>
      </c>
      <c r="B11" s="131" t="s">
        <v>1016</v>
      </c>
      <c r="C11" s="341">
        <v>1093.45</v>
      </c>
      <c r="D11" s="342">
        <v>83.4</v>
      </c>
      <c r="E11" s="199">
        <v>1176.8499999999999</v>
      </c>
    </row>
    <row r="12" spans="1:5" ht="20" customHeight="1" thickBot="1">
      <c r="A12" s="131">
        <v>68</v>
      </c>
      <c r="B12" s="131" t="s">
        <v>1017</v>
      </c>
      <c r="C12" s="341">
        <v>0</v>
      </c>
      <c r="D12" s="342">
        <v>0</v>
      </c>
      <c r="E12" s="199">
        <v>0</v>
      </c>
    </row>
    <row r="13" spans="1:5" ht="20" customHeight="1" thickBot="1">
      <c r="A13" s="131">
        <v>69</v>
      </c>
      <c r="B13" s="131" t="s">
        <v>1018</v>
      </c>
      <c r="C13" s="341">
        <v>1073355.3799999999</v>
      </c>
      <c r="D13" s="342">
        <v>7685.76</v>
      </c>
      <c r="E13" s="199">
        <v>1081041.1399999999</v>
      </c>
    </row>
    <row r="14" spans="1:5" ht="27" customHeight="1" thickBot="1">
      <c r="A14" s="131">
        <v>6</v>
      </c>
      <c r="B14" s="131" t="s">
        <v>1019</v>
      </c>
      <c r="C14" s="341">
        <v>222303067.30000001</v>
      </c>
      <c r="D14" s="342">
        <v>17422233.100000001</v>
      </c>
      <c r="E14" s="199">
        <v>239725300.40000001</v>
      </c>
    </row>
    <row r="15" spans="1:5" ht="20" customHeight="1" thickBot="1">
      <c r="A15" s="131">
        <v>30</v>
      </c>
      <c r="B15" s="131" t="s">
        <v>1020</v>
      </c>
      <c r="C15" s="341">
        <v>151132698.43000001</v>
      </c>
      <c r="D15" s="342">
        <v>13608626.6</v>
      </c>
      <c r="E15" s="199">
        <v>164741325.03</v>
      </c>
    </row>
    <row r="16" spans="1:5" ht="20" customHeight="1" thickBot="1">
      <c r="A16" s="131">
        <v>32</v>
      </c>
      <c r="B16" s="131" t="s">
        <v>1021</v>
      </c>
      <c r="C16" s="341" t="s">
        <v>1451</v>
      </c>
      <c r="D16" s="342" t="s">
        <v>1451</v>
      </c>
      <c r="E16" s="199" t="s">
        <v>1451</v>
      </c>
    </row>
    <row r="17" spans="1:5" ht="27" customHeight="1" thickBot="1">
      <c r="A17" s="131" t="s">
        <v>1022</v>
      </c>
      <c r="B17" s="131" t="s">
        <v>1023</v>
      </c>
      <c r="C17" s="341">
        <v>151132698.43000001</v>
      </c>
      <c r="D17" s="342">
        <v>13608626.6</v>
      </c>
      <c r="E17" s="199">
        <v>164741325.03</v>
      </c>
    </row>
    <row r="18" spans="1:5" ht="20" customHeight="1" thickBot="1">
      <c r="A18" s="131">
        <v>34</v>
      </c>
      <c r="B18" s="131" t="s">
        <v>1024</v>
      </c>
      <c r="C18" s="341">
        <v>743281.05</v>
      </c>
      <c r="D18" s="342">
        <v>24977.81</v>
      </c>
      <c r="E18" s="199">
        <v>768258.86</v>
      </c>
    </row>
    <row r="19" spans="1:5" ht="20" customHeight="1" thickBot="1">
      <c r="A19" s="131">
        <v>35</v>
      </c>
      <c r="B19" s="131" t="s">
        <v>1025</v>
      </c>
      <c r="C19" s="341">
        <v>3121890.84</v>
      </c>
      <c r="D19" s="342">
        <v>451112.38</v>
      </c>
      <c r="E19" s="199">
        <v>3573003.22</v>
      </c>
    </row>
    <row r="20" spans="1:5" ht="27" customHeight="1" thickBot="1">
      <c r="A20" s="131" t="s">
        <v>1026</v>
      </c>
      <c r="B20" s="131" t="s">
        <v>1027</v>
      </c>
      <c r="C20" s="341">
        <v>154997870.31</v>
      </c>
      <c r="D20" s="342">
        <v>14084716.789999999</v>
      </c>
      <c r="E20" s="199">
        <v>169082587.09999999</v>
      </c>
    </row>
    <row r="21" spans="1:5" ht="20" customHeight="1" thickBot="1">
      <c r="A21" s="131">
        <v>36</v>
      </c>
      <c r="B21" s="131" t="s">
        <v>1028</v>
      </c>
      <c r="C21" s="341">
        <v>-575140.76</v>
      </c>
      <c r="D21" s="342">
        <v>-8068.22</v>
      </c>
      <c r="E21" s="199">
        <v>-583208.98</v>
      </c>
    </row>
    <row r="22" spans="1:5" ht="20" customHeight="1" thickBot="1">
      <c r="A22" s="131">
        <v>37</v>
      </c>
      <c r="B22" s="131" t="s">
        <v>1029</v>
      </c>
      <c r="C22" s="341" t="s">
        <v>1451</v>
      </c>
      <c r="D22" s="342" t="s">
        <v>1451</v>
      </c>
      <c r="E22" s="199" t="s">
        <v>1451</v>
      </c>
    </row>
    <row r="23" spans="1:5" ht="27" customHeight="1" thickBot="1">
      <c r="A23" s="131">
        <v>3</v>
      </c>
      <c r="B23" s="131" t="s">
        <v>1030</v>
      </c>
      <c r="C23" s="341">
        <v>154422729.55000001</v>
      </c>
      <c r="D23" s="342">
        <v>14076648.57</v>
      </c>
      <c r="E23" s="199">
        <v>168499378.12</v>
      </c>
    </row>
    <row r="24" spans="1:5" ht="20" customHeight="1" thickBot="1">
      <c r="A24" s="130" t="s">
        <v>1031</v>
      </c>
      <c r="B24" s="130" t="s">
        <v>1032</v>
      </c>
      <c r="C24" s="341">
        <v>26963483.329999998</v>
      </c>
      <c r="D24" s="342">
        <v>2147416.7599999998</v>
      </c>
      <c r="E24" s="199">
        <v>29110900.09</v>
      </c>
    </row>
    <row r="25" spans="1:5" ht="20" customHeight="1" thickBot="1">
      <c r="A25" s="130">
        <v>48</v>
      </c>
      <c r="B25" s="130" t="s">
        <v>1033</v>
      </c>
      <c r="C25" s="341">
        <v>4158936.73</v>
      </c>
      <c r="D25" s="342">
        <v>689913.9</v>
      </c>
      <c r="E25" s="199">
        <v>4848850.63</v>
      </c>
    </row>
    <row r="26" spans="1:5" ht="20" customHeight="1" thickBot="1">
      <c r="A26" s="131">
        <v>49</v>
      </c>
      <c r="B26" s="131" t="s">
        <v>1034</v>
      </c>
      <c r="C26" s="341">
        <v>-95817.62</v>
      </c>
      <c r="D26" s="342">
        <v>-16648.22</v>
      </c>
      <c r="E26" s="199">
        <v>-112465.84</v>
      </c>
    </row>
    <row r="27" spans="1:5" ht="27" customHeight="1" thickBot="1">
      <c r="A27" s="131">
        <v>4</v>
      </c>
      <c r="B27" s="131" t="s">
        <v>1035</v>
      </c>
      <c r="C27" s="341">
        <v>31026602.43</v>
      </c>
      <c r="D27" s="342">
        <v>2820682.43</v>
      </c>
      <c r="E27" s="199">
        <v>33847284.859999999</v>
      </c>
    </row>
    <row r="28" spans="1:5" ht="27" customHeight="1" thickBot="1">
      <c r="A28" s="131" t="s">
        <v>1036</v>
      </c>
      <c r="B28" s="131" t="s">
        <v>1037</v>
      </c>
      <c r="C28" s="341">
        <v>185449332</v>
      </c>
      <c r="D28" s="342">
        <v>16897331.010000002</v>
      </c>
      <c r="E28" s="199">
        <v>202346663.00999999</v>
      </c>
    </row>
    <row r="29" spans="1:5" ht="27" customHeight="1" thickBot="1">
      <c r="A29" s="131"/>
      <c r="B29" s="131" t="s">
        <v>1038</v>
      </c>
      <c r="C29" s="341">
        <v>36853735.299999997</v>
      </c>
      <c r="D29" s="342">
        <v>524902.11</v>
      </c>
      <c r="E29" s="199">
        <v>37378637.409999996</v>
      </c>
    </row>
    <row r="30" spans="1:5" ht="27" customHeight="1" thickBot="1">
      <c r="A30" s="131">
        <v>7</v>
      </c>
      <c r="B30" s="131" t="s">
        <v>1039</v>
      </c>
      <c r="C30" s="341">
        <v>2920873.34</v>
      </c>
      <c r="D30" s="342">
        <v>81625.2</v>
      </c>
      <c r="E30" s="199">
        <v>3002498.54</v>
      </c>
    </row>
    <row r="31" spans="1:5" ht="34.5" customHeight="1" thickBot="1">
      <c r="A31" s="491"/>
      <c r="B31" s="491" t="s">
        <v>1040</v>
      </c>
      <c r="C31" s="341">
        <v>39774608.630000003</v>
      </c>
      <c r="D31" s="342">
        <v>606527.31999999995</v>
      </c>
      <c r="E31" s="199">
        <v>40381135.950000003</v>
      </c>
    </row>
    <row r="32" spans="1:5" ht="20" customHeight="1">
      <c r="A32" s="136" t="s">
        <v>452</v>
      </c>
      <c r="B32" s="173"/>
      <c r="C32" s="136"/>
      <c r="D32" s="190"/>
      <c r="E32" s="343"/>
    </row>
    <row r="33" spans="1:5" ht="14.25" customHeight="1">
      <c r="A33" s="3"/>
      <c r="B33" s="174"/>
      <c r="C33" s="3"/>
      <c r="D33" s="191"/>
      <c r="E33" s="492"/>
    </row>
    <row r="34" spans="1:5" ht="15.75" customHeight="1">
      <c r="A34" s="2" t="s">
        <v>1349</v>
      </c>
      <c r="B34" s="174"/>
      <c r="C34" s="3"/>
      <c r="D34" s="191"/>
      <c r="E34" s="492"/>
    </row>
    <row r="35" spans="1:5" ht="13.5" customHeight="1">
      <c r="A35" s="3"/>
      <c r="B35" s="174"/>
      <c r="C35" s="3"/>
      <c r="D35" s="191"/>
      <c r="E35" s="492"/>
    </row>
    <row r="36" spans="1:5">
      <c r="A36" s="3" t="s">
        <v>1350</v>
      </c>
    </row>
    <row r="37" spans="1:5">
      <c r="A37" s="2" t="s">
        <v>1351</v>
      </c>
    </row>
    <row r="40" spans="1:5">
      <c r="A40" s="2" t="s">
        <v>1955</v>
      </c>
    </row>
  </sheetData>
  <phoneticPr fontId="0" type="noConversion"/>
  <pageMargins left="0.57999999999999996" right="0.65" top="0.92" bottom="0.49" header="0.49" footer="0.4921259845"/>
  <pageSetup paperSize="9" scale="84" orientation="portrait" horizontalDpi="4294967292" verticalDpi="4294967292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03D6-07AD-F041-A83F-2D154FF90882}">
  <sheetPr>
    <pageSetUpPr fitToPage="1"/>
  </sheetPr>
  <dimension ref="A1:B10"/>
  <sheetViews>
    <sheetView workbookViewId="0">
      <selection activeCell="B6" sqref="B6"/>
    </sheetView>
  </sheetViews>
  <sheetFormatPr baseColWidth="10" defaultColWidth="11.3984375" defaultRowHeight="13"/>
  <cols>
    <col min="1" max="1" width="5.59765625" style="473" customWidth="1"/>
    <col min="2" max="16384" width="11.3984375" style="473"/>
  </cols>
  <sheetData>
    <row r="1" spans="1:2" ht="16">
      <c r="A1" s="472" t="s">
        <v>1750</v>
      </c>
    </row>
    <row r="2" spans="1:2" ht="16">
      <c r="A2" s="474"/>
    </row>
    <row r="3" spans="1:2">
      <c r="A3" s="475">
        <v>7.01</v>
      </c>
      <c r="B3" s="476" t="s">
        <v>1751</v>
      </c>
    </row>
    <row r="4" spans="1:2">
      <c r="A4" s="475">
        <v>7.02</v>
      </c>
      <c r="B4" s="476" t="s">
        <v>1752</v>
      </c>
    </row>
    <row r="5" spans="1:2">
      <c r="A5" s="475">
        <v>7.03</v>
      </c>
      <c r="B5" s="476" t="s">
        <v>1753</v>
      </c>
    </row>
    <row r="6" spans="1:2">
      <c r="A6" s="475">
        <v>7.04</v>
      </c>
      <c r="B6" s="476" t="s">
        <v>1754</v>
      </c>
    </row>
    <row r="7" spans="1:2">
      <c r="A7" s="475">
        <v>7.05</v>
      </c>
      <c r="B7" s="476" t="s">
        <v>1755</v>
      </c>
    </row>
    <row r="10" spans="1:2">
      <c r="A10" s="477" t="s">
        <v>1955</v>
      </c>
    </row>
  </sheetData>
  <phoneticPr fontId="30" type="noConversion"/>
  <pageMargins left="0.46" right="0.35" top="0.62" bottom="0.984251969" header="0.36" footer="0.4921259845"/>
  <pageSetup paperSize="9" orientation="portrait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DD05-65AB-DF4A-A5AC-4FB94665988C}">
  <sheetPr>
    <pageSetUpPr fitToPage="1"/>
  </sheetPr>
  <dimension ref="A1:K29"/>
  <sheetViews>
    <sheetView topLeftCell="A9" zoomScale="75" workbookViewId="0">
      <selection activeCell="A16" sqref="A16:IV16"/>
    </sheetView>
  </sheetViews>
  <sheetFormatPr baseColWidth="10" defaultColWidth="11.3984375" defaultRowHeight="13"/>
  <cols>
    <col min="1" max="1" width="16.796875" style="2" customWidth="1"/>
    <col min="2" max="2" width="16.19921875" style="2" customWidth="1"/>
    <col min="3" max="3" width="15" style="2" customWidth="1"/>
    <col min="4" max="4" width="16.19921875" style="2" customWidth="1"/>
    <col min="5" max="7" width="15" style="2" customWidth="1"/>
    <col min="8" max="16384" width="11.3984375" style="2"/>
  </cols>
  <sheetData>
    <row r="1" spans="1:11" s="1" customFormat="1" ht="14" customHeight="1"/>
    <row r="2" spans="1:11" s="1" customFormat="1" ht="42" customHeight="1">
      <c r="A2" s="1695" t="s">
        <v>846</v>
      </c>
      <c r="B2" s="1699"/>
      <c r="C2" s="1699"/>
      <c r="D2" s="1699"/>
      <c r="E2" s="1699"/>
      <c r="F2" s="1699"/>
      <c r="G2" s="58">
        <v>2006</v>
      </c>
    </row>
    <row r="3" spans="1:11" ht="24" customHeight="1">
      <c r="A3" s="113" t="s">
        <v>847</v>
      </c>
      <c r="B3" s="114" t="s">
        <v>1421</v>
      </c>
      <c r="C3" s="115" t="s">
        <v>45</v>
      </c>
      <c r="D3" s="114" t="s">
        <v>1422</v>
      </c>
      <c r="E3" s="115" t="s">
        <v>45</v>
      </c>
      <c r="F3" s="114" t="s">
        <v>894</v>
      </c>
      <c r="G3" s="115" t="s">
        <v>45</v>
      </c>
    </row>
    <row r="4" spans="1:11" ht="15" customHeight="1">
      <c r="A4" s="248"/>
      <c r="B4" s="117" t="s">
        <v>894</v>
      </c>
      <c r="C4" s="118" t="s">
        <v>46</v>
      </c>
      <c r="D4" s="117" t="s">
        <v>1423</v>
      </c>
      <c r="E4" s="118" t="s">
        <v>46</v>
      </c>
      <c r="F4" s="117" t="s">
        <v>1424</v>
      </c>
      <c r="G4" s="118" t="s">
        <v>46</v>
      </c>
    </row>
    <row r="5" spans="1:11" ht="15" customHeight="1">
      <c r="A5" s="248"/>
      <c r="B5" s="117" t="s">
        <v>1425</v>
      </c>
      <c r="C5" s="118" t="s">
        <v>50</v>
      </c>
      <c r="D5" s="117" t="s">
        <v>1426</v>
      </c>
      <c r="E5" s="118" t="s">
        <v>50</v>
      </c>
      <c r="F5" s="117" t="s">
        <v>1427</v>
      </c>
      <c r="G5" s="118" t="s">
        <v>50</v>
      </c>
    </row>
    <row r="6" spans="1:11" ht="24" customHeight="1">
      <c r="A6" s="249"/>
      <c r="B6" s="123"/>
      <c r="C6" s="122"/>
      <c r="D6" s="123" t="s">
        <v>839</v>
      </c>
      <c r="E6" s="122"/>
      <c r="F6" s="123"/>
      <c r="G6" s="122"/>
    </row>
    <row r="7" spans="1:11" ht="20" customHeight="1" thickBot="1">
      <c r="A7" s="250">
        <v>1996</v>
      </c>
      <c r="B7" s="145">
        <v>4599022226.4899998</v>
      </c>
      <c r="C7" s="146">
        <v>4.7135061423122571E-2</v>
      </c>
      <c r="D7" s="145">
        <v>4507461189</v>
      </c>
      <c r="E7" s="146">
        <v>8.2125105302542703E-2</v>
      </c>
      <c r="F7" s="145">
        <v>91699445.469999999</v>
      </c>
      <c r="G7" s="146">
        <v>-0.59537068849307151</v>
      </c>
      <c r="I7" s="9"/>
      <c r="J7" s="9"/>
      <c r="K7" s="9"/>
    </row>
    <row r="8" spans="1:11" ht="20" customHeight="1" thickBot="1">
      <c r="A8" s="251">
        <v>1997</v>
      </c>
      <c r="B8" s="147">
        <v>4851626656</v>
      </c>
      <c r="C8" s="148">
        <v>5.4925681388321837E-2</v>
      </c>
      <c r="D8" s="147">
        <v>4710142665.8999996</v>
      </c>
      <c r="E8" s="148">
        <v>4.4965773059704457E-2</v>
      </c>
      <c r="F8" s="147">
        <v>141483990.28999999</v>
      </c>
      <c r="G8" s="148">
        <v>0.54290998778490207</v>
      </c>
    </row>
    <row r="9" spans="1:11" ht="20" customHeight="1" thickBot="1">
      <c r="A9" s="251">
        <v>1998</v>
      </c>
      <c r="B9" s="147">
        <v>4992640209.6999998</v>
      </c>
      <c r="C9" s="148">
        <v>2.9065211257673453E-2</v>
      </c>
      <c r="D9" s="147">
        <v>4882154897.6999998</v>
      </c>
      <c r="E9" s="148">
        <v>3.6519537517476157E-2</v>
      </c>
      <c r="F9" s="147">
        <v>110485312.03</v>
      </c>
      <c r="G9" s="148">
        <v>-0.2190967203883771</v>
      </c>
    </row>
    <row r="10" spans="1:11" ht="20" customHeight="1" thickBot="1">
      <c r="A10" s="251">
        <v>1999</v>
      </c>
      <c r="B10" s="147">
        <v>4257016347.5999999</v>
      </c>
      <c r="C10" s="148">
        <v>-0.14734165315393366</v>
      </c>
      <c r="D10" s="147">
        <v>4120691131.5999999</v>
      </c>
      <c r="E10" s="148">
        <v>-0.15596878469766051</v>
      </c>
      <c r="F10" s="147">
        <v>136325216.02000001</v>
      </c>
      <c r="G10" s="148">
        <v>0.23387637248092957</v>
      </c>
    </row>
    <row r="11" spans="1:11" ht="20" customHeight="1" thickBot="1">
      <c r="A11" s="251">
        <v>2000</v>
      </c>
      <c r="B11" s="147">
        <v>3297340718.6999998</v>
      </c>
      <c r="C11" s="148">
        <v>-0.22543386037054836</v>
      </c>
      <c r="D11" s="147">
        <v>3197872772.4000001</v>
      </c>
      <c r="E11" s="148">
        <v>-0.22394747136548521</v>
      </c>
      <c r="F11" s="147">
        <v>99467946.299999997</v>
      </c>
      <c r="G11" s="148">
        <v>-0.27036281911772475</v>
      </c>
    </row>
    <row r="12" spans="1:11" ht="19.5" customHeight="1" thickBot="1">
      <c r="A12" s="251">
        <v>2001</v>
      </c>
      <c r="B12" s="147">
        <v>2297775177.9000001</v>
      </c>
      <c r="C12" s="148">
        <v>-0.30314293428374783</v>
      </c>
      <c r="D12" s="147">
        <v>2245296158.4000001</v>
      </c>
      <c r="E12" s="148">
        <v>-0.29787820898362138</v>
      </c>
      <c r="F12" s="147">
        <v>52479019.649999999</v>
      </c>
      <c r="G12" s="148">
        <v>-0.4724027025578591</v>
      </c>
    </row>
    <row r="13" spans="1:11" ht="19.5" customHeight="1" thickBot="1">
      <c r="A13" s="251">
        <v>2002</v>
      </c>
      <c r="B13" s="147">
        <v>2179075331.1500001</v>
      </c>
      <c r="C13" s="148">
        <v>-5.1658599105628311E-2</v>
      </c>
      <c r="D13" s="147">
        <v>2190020061.2499995</v>
      </c>
      <c r="E13" s="148">
        <v>-2.4618621887898429E-2</v>
      </c>
      <c r="F13" s="147">
        <v>-10944730.16</v>
      </c>
      <c r="G13" s="148">
        <v>-1.2085543943654824</v>
      </c>
    </row>
    <row r="14" spans="1:11" ht="19.5" customHeight="1" thickBot="1">
      <c r="A14" s="251">
        <v>2003</v>
      </c>
      <c r="B14" s="147">
        <v>2288718484.4899998</v>
      </c>
      <c r="C14" s="148">
        <v>5.0316366659125977E-2</v>
      </c>
      <c r="D14" s="147">
        <v>2230195619.6600003</v>
      </c>
      <c r="E14" s="148">
        <v>1.8344835794366965E-2</v>
      </c>
      <c r="F14" s="147">
        <v>58522864.830000006</v>
      </c>
      <c r="G14" s="148">
        <v>6.3471272452093057</v>
      </c>
    </row>
    <row r="15" spans="1:11" ht="19.5" customHeight="1" thickBot="1">
      <c r="A15" s="251">
        <v>2004</v>
      </c>
      <c r="B15" s="147">
        <v>1913538530.5999999</v>
      </c>
      <c r="C15" s="148">
        <v>-0.16392577611990666</v>
      </c>
      <c r="D15" s="147">
        <v>1875065073.2299998</v>
      </c>
      <c r="E15" s="148">
        <v>-0.15923739751768551</v>
      </c>
      <c r="F15" s="147">
        <v>38473457.389999993</v>
      </c>
      <c r="G15" s="148">
        <v>-0.34259101119264213</v>
      </c>
    </row>
    <row r="16" spans="1:11" ht="19.5" customHeight="1" thickBot="1">
      <c r="A16" s="251">
        <v>2005</v>
      </c>
      <c r="B16" s="147">
        <v>2014328063.2799997</v>
      </c>
      <c r="C16" s="148">
        <v>5.2671807266089665E-2</v>
      </c>
      <c r="D16" s="147">
        <v>1987939073.0000002</v>
      </c>
      <c r="E16" s="148">
        <v>6.0197377350516668E-2</v>
      </c>
      <c r="F16" s="147">
        <v>26388990.279999997</v>
      </c>
      <c r="G16" s="148">
        <v>-0.31409880810818386</v>
      </c>
    </row>
    <row r="17" spans="1:7" ht="30" customHeight="1" thickBot="1">
      <c r="A17" s="508">
        <v>2006</v>
      </c>
      <c r="B17" s="149">
        <v>2046344832.71</v>
      </c>
      <c r="C17" s="150">
        <v>1.5894515900188644E-2</v>
      </c>
      <c r="D17" s="149">
        <v>2023719014.0099998</v>
      </c>
      <c r="E17" s="150">
        <v>1.7998509861775647E-2</v>
      </c>
      <c r="F17" s="149">
        <v>22625818.670000002</v>
      </c>
      <c r="G17" s="150">
        <v>-0.14260384994162029</v>
      </c>
    </row>
    <row r="18" spans="1:7" ht="20" customHeight="1">
      <c r="A18" s="136" t="s">
        <v>453</v>
      </c>
      <c r="B18" s="136"/>
      <c r="C18" s="136"/>
      <c r="D18" s="136"/>
      <c r="E18" s="136"/>
      <c r="F18" s="136"/>
      <c r="G18" s="136"/>
    </row>
    <row r="19" spans="1:7" ht="9.75" customHeight="1">
      <c r="A19" s="3"/>
      <c r="B19" s="3"/>
      <c r="C19" s="3"/>
      <c r="D19" s="3"/>
      <c r="E19" s="3"/>
      <c r="F19" s="3"/>
      <c r="G19" s="3"/>
    </row>
    <row r="20" spans="1:7">
      <c r="A20" s="3" t="s">
        <v>840</v>
      </c>
    </row>
    <row r="21" spans="1:7">
      <c r="A21" s="2" t="s">
        <v>841</v>
      </c>
    </row>
    <row r="22" spans="1:7">
      <c r="A22" s="2" t="s">
        <v>842</v>
      </c>
    </row>
    <row r="23" spans="1:7">
      <c r="A23" s="2" t="s">
        <v>843</v>
      </c>
    </row>
    <row r="24" spans="1:7">
      <c r="A24" s="2" t="s">
        <v>844</v>
      </c>
    </row>
    <row r="26" spans="1:7" ht="15.75" customHeight="1">
      <c r="A26" s="3" t="s">
        <v>845</v>
      </c>
      <c r="B26" s="3"/>
      <c r="C26" s="3"/>
      <c r="D26" s="3"/>
      <c r="E26" s="3"/>
      <c r="F26" s="3"/>
      <c r="G26" s="3"/>
    </row>
    <row r="29" spans="1:7">
      <c r="A29" s="2" t="s">
        <v>1955</v>
      </c>
    </row>
  </sheetData>
  <mergeCells count="1">
    <mergeCell ref="A2:F2"/>
  </mergeCells>
  <phoneticPr fontId="0" type="noConversion"/>
  <pageMargins left="0.56000000000000005" right="0.59" top="0.89" bottom="0.49" header="0.49" footer="0.4921259845"/>
  <pageSetup paperSize="9" scale="84" orientation="portrait" horizontalDpi="1200" verticalDpi="1200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DE85-701A-4740-A435-2CF2BE7414EB}">
  <sheetPr>
    <pageSetUpPr fitToPage="1"/>
  </sheetPr>
  <dimension ref="A1:I23"/>
  <sheetViews>
    <sheetView zoomScale="75" workbookViewId="0">
      <selection activeCell="I12" sqref="I12"/>
    </sheetView>
  </sheetViews>
  <sheetFormatPr baseColWidth="10" defaultColWidth="11.3984375" defaultRowHeight="13"/>
  <cols>
    <col min="1" max="1" width="33.3984375" style="2" customWidth="1"/>
    <col min="2" max="2" width="15.19921875" style="2" customWidth="1"/>
    <col min="3" max="3" width="15.59765625" style="2" customWidth="1"/>
    <col min="4" max="4" width="15.19921875" style="2" customWidth="1"/>
    <col min="5" max="5" width="17.796875" style="151" customWidth="1"/>
    <col min="6" max="6" width="15.19921875" style="2" customWidth="1"/>
    <col min="7" max="16384" width="11.3984375" style="2"/>
  </cols>
  <sheetData>
    <row r="1" spans="1:9" s="1" customFormat="1" ht="14" customHeight="1">
      <c r="E1" s="17"/>
    </row>
    <row r="2" spans="1:9" s="1" customFormat="1" ht="28" customHeight="1">
      <c r="A2" s="58" t="s">
        <v>817</v>
      </c>
      <c r="E2" s="17"/>
      <c r="F2" s="58">
        <v>2006</v>
      </c>
    </row>
    <row r="3" spans="1:9" ht="24" customHeight="1">
      <c r="A3" s="328" t="s">
        <v>1004</v>
      </c>
      <c r="B3" s="114" t="s">
        <v>818</v>
      </c>
      <c r="C3" s="115" t="s">
        <v>819</v>
      </c>
      <c r="D3" s="114" t="s">
        <v>820</v>
      </c>
      <c r="E3" s="284" t="s">
        <v>1951</v>
      </c>
      <c r="F3" s="466" t="s">
        <v>45</v>
      </c>
    </row>
    <row r="4" spans="1:9" ht="15" customHeight="1">
      <c r="A4" s="248"/>
      <c r="B4" s="117" t="s">
        <v>821</v>
      </c>
      <c r="C4" s="118" t="s">
        <v>822</v>
      </c>
      <c r="D4" s="117" t="s">
        <v>823</v>
      </c>
      <c r="E4" s="292"/>
      <c r="F4" s="119" t="s">
        <v>46</v>
      </c>
    </row>
    <row r="5" spans="1:9" ht="15" customHeight="1">
      <c r="A5" s="248"/>
      <c r="B5" s="117" t="s">
        <v>824</v>
      </c>
      <c r="C5" s="118" t="s">
        <v>825</v>
      </c>
      <c r="D5" s="117" t="s">
        <v>268</v>
      </c>
      <c r="E5" s="292"/>
      <c r="F5" s="119" t="s">
        <v>50</v>
      </c>
    </row>
    <row r="6" spans="1:9" ht="15" customHeight="1">
      <c r="A6" s="248"/>
      <c r="B6" s="117"/>
      <c r="C6" s="118" t="s">
        <v>826</v>
      </c>
      <c r="D6" s="117" t="s">
        <v>827</v>
      </c>
      <c r="E6" s="292"/>
      <c r="F6" s="526"/>
    </row>
    <row r="7" spans="1:9" ht="15" customHeight="1">
      <c r="A7" s="248"/>
      <c r="B7" s="117"/>
      <c r="C7" s="118" t="s">
        <v>828</v>
      </c>
      <c r="D7" s="366" t="s">
        <v>829</v>
      </c>
      <c r="E7" s="292"/>
      <c r="F7" s="119"/>
    </row>
    <row r="8" spans="1:9" ht="24" customHeight="1">
      <c r="A8" s="249"/>
      <c r="B8" s="123"/>
      <c r="C8" s="122"/>
      <c r="D8" s="123"/>
      <c r="E8" s="293"/>
      <c r="F8" s="121"/>
    </row>
    <row r="9" spans="1:9" ht="30" customHeight="1" thickBot="1">
      <c r="A9" s="527" t="s">
        <v>830</v>
      </c>
      <c r="B9" s="341">
        <v>1920145293.4400001</v>
      </c>
      <c r="C9" s="342">
        <v>93603961.760000005</v>
      </c>
      <c r="D9" s="341">
        <v>3574973.56</v>
      </c>
      <c r="E9" s="200">
        <v>2017324228.76</v>
      </c>
      <c r="F9" s="528">
        <v>2.1571777904786434E-2</v>
      </c>
      <c r="G9" s="8"/>
    </row>
    <row r="10" spans="1:9" ht="20" customHeight="1" thickBot="1">
      <c r="A10" s="131" t="s">
        <v>831</v>
      </c>
      <c r="B10" s="318">
        <v>1933076658.4100001</v>
      </c>
      <c r="C10" s="319">
        <v>54362060.409999996</v>
      </c>
      <c r="D10" s="318">
        <v>3579553.55</v>
      </c>
      <c r="E10" s="205">
        <v>1991018272.3700001</v>
      </c>
      <c r="F10" s="529">
        <v>1.9921468378221605E-2</v>
      </c>
      <c r="H10" s="9"/>
      <c r="I10" s="9"/>
    </row>
    <row r="11" spans="1:9" ht="20" customHeight="1" thickBot="1">
      <c r="A11" s="251" t="s">
        <v>832</v>
      </c>
      <c r="B11" s="318">
        <v>29050566.350000001</v>
      </c>
      <c r="C11" s="319">
        <v>-81713.59</v>
      </c>
      <c r="D11" s="318">
        <v>51751.19</v>
      </c>
      <c r="E11" s="205">
        <v>29020603.950000003</v>
      </c>
      <c r="F11" s="529">
        <v>-0.26719685594581655</v>
      </c>
      <c r="H11" s="9"/>
      <c r="I11" s="9"/>
    </row>
    <row r="12" spans="1:9" ht="20" customHeight="1" thickBot="1">
      <c r="A12" s="251" t="s">
        <v>833</v>
      </c>
      <c r="B12" s="318">
        <v>1949195859.79</v>
      </c>
      <c r="C12" s="319">
        <v>93522248.170000002</v>
      </c>
      <c r="D12" s="318">
        <v>3626724.75</v>
      </c>
      <c r="E12" s="205">
        <v>2046344832.71</v>
      </c>
      <c r="F12" s="529">
        <v>1.589451590018872E-2</v>
      </c>
      <c r="H12" s="9"/>
      <c r="I12" s="9"/>
    </row>
    <row r="13" spans="1:9" ht="20" customHeight="1" thickBot="1">
      <c r="A13" s="251" t="s">
        <v>834</v>
      </c>
      <c r="B13" s="318">
        <v>1644596029.95</v>
      </c>
      <c r="C13" s="319">
        <v>87971793.530000001</v>
      </c>
      <c r="D13" s="318">
        <v>9150923.0800000001</v>
      </c>
      <c r="E13" s="205">
        <v>1741718746.5599999</v>
      </c>
      <c r="F13" s="529">
        <v>9.6105456493951191E-3</v>
      </c>
      <c r="H13" s="9"/>
      <c r="I13" s="9"/>
    </row>
    <row r="14" spans="1:9" ht="20" customHeight="1" thickBot="1">
      <c r="A14" s="131" t="s">
        <v>835</v>
      </c>
      <c r="B14" s="318">
        <v>1651730304.8499999</v>
      </c>
      <c r="C14" s="319">
        <v>87971793.530000001</v>
      </c>
      <c r="D14" s="318">
        <v>9150923.0800000001</v>
      </c>
      <c r="E14" s="205">
        <v>1748853021.4599998</v>
      </c>
      <c r="F14" s="529">
        <v>9.4110208914370309E-3</v>
      </c>
      <c r="H14" s="9"/>
      <c r="I14" s="9"/>
    </row>
    <row r="15" spans="1:9" ht="20" customHeight="1" thickBot="1">
      <c r="A15" s="251" t="s">
        <v>836</v>
      </c>
      <c r="B15" s="318">
        <v>275448033.32999998</v>
      </c>
      <c r="C15" s="319">
        <v>6237835.5899999999</v>
      </c>
      <c r="D15" s="318">
        <v>314398.53999999998</v>
      </c>
      <c r="E15" s="205">
        <v>282000267.45999998</v>
      </c>
      <c r="F15" s="529">
        <v>7.3060967911268232E-2</v>
      </c>
      <c r="H15" s="9"/>
      <c r="I15" s="9"/>
    </row>
    <row r="16" spans="1:9" ht="20" customHeight="1" thickBot="1">
      <c r="A16" s="251" t="s">
        <v>837</v>
      </c>
      <c r="B16" s="318">
        <v>1920044063.28</v>
      </c>
      <c r="C16" s="319">
        <v>94209629.109999999</v>
      </c>
      <c r="D16" s="318">
        <v>9465321.6199999992</v>
      </c>
      <c r="E16" s="205">
        <v>2023719014.0099998</v>
      </c>
      <c r="F16" s="529">
        <v>1.7998509861775581E-2</v>
      </c>
      <c r="H16" s="9"/>
      <c r="I16" s="9"/>
    </row>
    <row r="17" spans="1:6" ht="30" customHeight="1" thickBot="1">
      <c r="A17" s="530" t="s">
        <v>1040</v>
      </c>
      <c r="B17" s="318">
        <v>29151796.510000002</v>
      </c>
      <c r="C17" s="319">
        <v>-687380.95</v>
      </c>
      <c r="D17" s="318">
        <v>-5838596.8899999997</v>
      </c>
      <c r="E17" s="205">
        <v>22625818.670000002</v>
      </c>
      <c r="F17" s="529">
        <v>-0.14260384994162029</v>
      </c>
    </row>
    <row r="18" spans="1:6" ht="20" customHeight="1">
      <c r="A18" s="136" t="s">
        <v>453</v>
      </c>
      <c r="B18" s="136"/>
      <c r="C18" s="136"/>
      <c r="D18" s="136"/>
      <c r="E18" s="506"/>
      <c r="F18" s="136"/>
    </row>
    <row r="19" spans="1:6">
      <c r="A19" s="3"/>
    </row>
    <row r="20" spans="1:6">
      <c r="A20" s="2" t="s">
        <v>838</v>
      </c>
    </row>
    <row r="23" spans="1:6">
      <c r="A23" s="2" t="s">
        <v>1955</v>
      </c>
    </row>
  </sheetData>
  <phoneticPr fontId="0" type="noConversion"/>
  <pageMargins left="0.47" right="0.47" top="0.92" bottom="0.49" header="0.49" footer="0.4921259845"/>
  <pageSetup paperSize="9" scale="84" orientation="portrait" horizontalDpi="1200" verticalDpi="1200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8564-C184-434A-94CD-B7C0F70E294A}">
  <sheetPr>
    <pageSetUpPr fitToPage="1"/>
  </sheetPr>
  <dimension ref="A1:E43"/>
  <sheetViews>
    <sheetView topLeftCell="A24" zoomScale="75" workbookViewId="0">
      <selection activeCell="E3" sqref="E3"/>
    </sheetView>
  </sheetViews>
  <sheetFormatPr baseColWidth="10" defaultColWidth="11.3984375" defaultRowHeight="13"/>
  <cols>
    <col min="1" max="1" width="8.796875" style="2" customWidth="1"/>
    <col min="2" max="2" width="48.796875" style="97" customWidth="1"/>
    <col min="3" max="3" width="16.59765625" style="2" customWidth="1"/>
    <col min="4" max="4" width="16.59765625" style="8" customWidth="1"/>
    <col min="5" max="5" width="15.3984375" style="344" customWidth="1"/>
    <col min="6" max="16384" width="11.3984375" style="2"/>
  </cols>
  <sheetData>
    <row r="1" spans="1:5" s="1" customFormat="1" ht="14" customHeight="1">
      <c r="B1" s="169"/>
      <c r="D1" s="175"/>
      <c r="E1" s="489"/>
    </row>
    <row r="2" spans="1:5" s="1" customFormat="1" ht="25.5" customHeight="1">
      <c r="A2" s="1695" t="s">
        <v>816</v>
      </c>
      <c r="B2" s="1699"/>
      <c r="C2" s="1699"/>
      <c r="D2" s="1699"/>
      <c r="E2" s="58">
        <v>2006</v>
      </c>
    </row>
    <row r="3" spans="1:5" ht="39" customHeight="1">
      <c r="A3" s="328" t="s">
        <v>1004</v>
      </c>
      <c r="B3" s="170"/>
      <c r="C3" s="114" t="s">
        <v>1005</v>
      </c>
      <c r="D3" s="177" t="s">
        <v>1006</v>
      </c>
      <c r="E3" s="313" t="s">
        <v>1951</v>
      </c>
    </row>
    <row r="4" spans="1:5" ht="38" customHeight="1">
      <c r="A4" s="314"/>
      <c r="B4" s="315"/>
      <c r="C4" s="123" t="s">
        <v>1007</v>
      </c>
      <c r="D4" s="183" t="s">
        <v>1007</v>
      </c>
      <c r="E4" s="316" t="s">
        <v>1007</v>
      </c>
    </row>
    <row r="5" spans="1:5" ht="30" customHeight="1" thickBot="1">
      <c r="A5" s="125">
        <v>63</v>
      </c>
      <c r="B5" s="125" t="s">
        <v>1008</v>
      </c>
      <c r="C5" s="145">
        <v>1876890222.0999999</v>
      </c>
      <c r="D5" s="198">
        <v>76214086.390000001</v>
      </c>
      <c r="E5" s="329">
        <v>1953104308.49</v>
      </c>
    </row>
    <row r="6" spans="1:5" ht="20" customHeight="1" thickBot="1">
      <c r="A6" s="130">
        <v>64</v>
      </c>
      <c r="B6" s="130" t="s">
        <v>1009</v>
      </c>
      <c r="C6" s="147">
        <v>-18447256.920000002</v>
      </c>
      <c r="D6" s="204">
        <v>-557513.18000000005</v>
      </c>
      <c r="E6" s="255">
        <v>-19004770.100000001</v>
      </c>
    </row>
    <row r="7" spans="1:5" ht="20" customHeight="1" thickBot="1">
      <c r="A7" s="130">
        <v>65</v>
      </c>
      <c r="B7" s="130" t="s">
        <v>1010</v>
      </c>
      <c r="C7" s="147">
        <v>-866323.55</v>
      </c>
      <c r="D7" s="204">
        <v>-156556.43</v>
      </c>
      <c r="E7" s="255">
        <v>-1022879.98</v>
      </c>
    </row>
    <row r="8" spans="1:5" ht="27" customHeight="1" thickBot="1">
      <c r="A8" s="131" t="s">
        <v>1011</v>
      </c>
      <c r="B8" s="131" t="s">
        <v>1012</v>
      </c>
      <c r="C8" s="147">
        <v>1857576641.6300001</v>
      </c>
      <c r="D8" s="204">
        <v>75500016.780000001</v>
      </c>
      <c r="E8" s="255">
        <v>1933076658.4100001</v>
      </c>
    </row>
    <row r="9" spans="1:5" ht="20" customHeight="1" thickBot="1">
      <c r="A9" s="130">
        <v>66</v>
      </c>
      <c r="B9" s="130" t="s">
        <v>1013</v>
      </c>
      <c r="C9" s="147">
        <v>-15990164.59</v>
      </c>
      <c r="D9" s="204">
        <v>-837717.54</v>
      </c>
      <c r="E9" s="255">
        <v>-16827882.129999999</v>
      </c>
    </row>
    <row r="10" spans="1:5" ht="27" customHeight="1" thickBot="1">
      <c r="A10" s="131" t="s">
        <v>1014</v>
      </c>
      <c r="B10" s="131" t="s">
        <v>1015</v>
      </c>
      <c r="C10" s="147">
        <v>1841586477.04</v>
      </c>
      <c r="D10" s="204">
        <v>74662299.239999995</v>
      </c>
      <c r="E10" s="255">
        <v>1916248776.28</v>
      </c>
    </row>
    <row r="11" spans="1:5" ht="20" customHeight="1" thickBot="1">
      <c r="A11" s="130">
        <v>67</v>
      </c>
      <c r="B11" s="130" t="s">
        <v>1016</v>
      </c>
      <c r="C11" s="147">
        <v>-1189232.29</v>
      </c>
      <c r="D11" s="204">
        <v>-78500.509999999995</v>
      </c>
      <c r="E11" s="255">
        <v>-1267732.8</v>
      </c>
    </row>
    <row r="12" spans="1:5" ht="20" customHeight="1" thickBot="1">
      <c r="A12" s="130">
        <v>68</v>
      </c>
      <c r="B12" s="130" t="s">
        <v>1017</v>
      </c>
      <c r="C12" s="147">
        <v>-6692026.6500000004</v>
      </c>
      <c r="D12" s="204">
        <v>-37886.449999999997</v>
      </c>
      <c r="E12" s="255">
        <v>-6729913.0999999996</v>
      </c>
    </row>
    <row r="13" spans="1:5" ht="20" customHeight="1" thickBot="1">
      <c r="A13" s="130">
        <v>69</v>
      </c>
      <c r="B13" s="130" t="s">
        <v>1018</v>
      </c>
      <c r="C13" s="147">
        <v>9767465.8599999994</v>
      </c>
      <c r="D13" s="204">
        <v>2126697.2000000002</v>
      </c>
      <c r="E13" s="255">
        <v>11894163.060000001</v>
      </c>
    </row>
    <row r="14" spans="1:5" ht="27" customHeight="1" thickBot="1">
      <c r="A14" s="131">
        <v>6</v>
      </c>
      <c r="B14" s="131" t="s">
        <v>1019</v>
      </c>
      <c r="C14" s="147">
        <v>1843472683.96</v>
      </c>
      <c r="D14" s="204">
        <v>76672609.480000004</v>
      </c>
      <c r="E14" s="255">
        <v>1920145293.4400001</v>
      </c>
    </row>
    <row r="15" spans="1:5" ht="20" customHeight="1" thickBot="1">
      <c r="A15" s="130">
        <v>33</v>
      </c>
      <c r="B15" s="130" t="s">
        <v>1020</v>
      </c>
      <c r="C15" s="147">
        <v>1425174344.0999999</v>
      </c>
      <c r="D15" s="204">
        <v>48713349.490000002</v>
      </c>
      <c r="E15" s="255">
        <v>1473887693.5899999</v>
      </c>
    </row>
    <row r="16" spans="1:5" ht="20" customHeight="1" thickBot="1">
      <c r="A16" s="130">
        <v>32</v>
      </c>
      <c r="B16" s="130" t="s">
        <v>1021</v>
      </c>
      <c r="C16" s="147">
        <v>-41754597.159999996</v>
      </c>
      <c r="D16" s="204">
        <v>-1037990.35</v>
      </c>
      <c r="E16" s="255">
        <v>-42792587.509999998</v>
      </c>
    </row>
    <row r="17" spans="1:5" ht="27" customHeight="1" thickBot="1">
      <c r="A17" s="131" t="s">
        <v>1022</v>
      </c>
      <c r="B17" s="131" t="s">
        <v>1023</v>
      </c>
      <c r="C17" s="147">
        <v>1383419746.9400001</v>
      </c>
      <c r="D17" s="204">
        <v>47675359.140000001</v>
      </c>
      <c r="E17" s="255">
        <v>1431095106.0799999</v>
      </c>
    </row>
    <row r="18" spans="1:5" ht="20" customHeight="1" thickBot="1">
      <c r="A18" s="130">
        <v>34</v>
      </c>
      <c r="B18" s="130" t="s">
        <v>1024</v>
      </c>
      <c r="C18" s="147">
        <v>8840619.2699999996</v>
      </c>
      <c r="D18" s="204">
        <v>263231.5</v>
      </c>
      <c r="E18" s="255">
        <v>9103850.7699999996</v>
      </c>
    </row>
    <row r="19" spans="1:5" ht="20" customHeight="1" thickBot="1">
      <c r="A19" s="130">
        <v>35</v>
      </c>
      <c r="B19" s="130" t="s">
        <v>1025</v>
      </c>
      <c r="C19" s="147">
        <v>204854927.93000001</v>
      </c>
      <c r="D19" s="204">
        <v>6676420.0700000003</v>
      </c>
      <c r="E19" s="255">
        <v>211531348</v>
      </c>
    </row>
    <row r="20" spans="1:5" ht="27" customHeight="1" thickBot="1">
      <c r="A20" s="131" t="s">
        <v>1026</v>
      </c>
      <c r="B20" s="131" t="s">
        <v>1027</v>
      </c>
      <c r="C20" s="147">
        <v>1597115294.1400001</v>
      </c>
      <c r="D20" s="204">
        <v>54615010.710000001</v>
      </c>
      <c r="E20" s="255">
        <v>1651730304.8499999</v>
      </c>
    </row>
    <row r="21" spans="1:5" ht="20" customHeight="1" thickBot="1">
      <c r="A21" s="130">
        <v>36</v>
      </c>
      <c r="B21" s="130" t="s">
        <v>1028</v>
      </c>
      <c r="C21" s="147">
        <v>-6918778.3200000003</v>
      </c>
      <c r="D21" s="204">
        <v>-215496.58</v>
      </c>
      <c r="E21" s="255">
        <v>-7134274.9000000004</v>
      </c>
    </row>
    <row r="22" spans="1:5" ht="20" customHeight="1" thickBot="1">
      <c r="A22" s="130">
        <v>37</v>
      </c>
      <c r="B22" s="130" t="s">
        <v>1029</v>
      </c>
      <c r="C22" s="147">
        <v>0</v>
      </c>
      <c r="D22" s="204">
        <v>0</v>
      </c>
      <c r="E22" s="255">
        <v>0</v>
      </c>
    </row>
    <row r="23" spans="1:5" ht="26.25" customHeight="1" thickBot="1">
      <c r="A23" s="131">
        <v>3</v>
      </c>
      <c r="B23" s="131" t="s">
        <v>1030</v>
      </c>
      <c r="C23" s="147">
        <v>1590196515.8199999</v>
      </c>
      <c r="D23" s="204">
        <v>54399514.130000003</v>
      </c>
      <c r="E23" s="255">
        <v>1644596029.95</v>
      </c>
    </row>
    <row r="24" spans="1:5" ht="20" customHeight="1" thickBot="1">
      <c r="A24" s="130" t="s">
        <v>1031</v>
      </c>
      <c r="B24" s="130" t="s">
        <v>1032</v>
      </c>
      <c r="C24" s="147">
        <v>251788219.77000001</v>
      </c>
      <c r="D24" s="204">
        <v>13283399.630000001</v>
      </c>
      <c r="E24" s="255">
        <v>265071619.40000001</v>
      </c>
    </row>
    <row r="25" spans="1:5" ht="20" customHeight="1" thickBot="1">
      <c r="A25" s="130">
        <v>48</v>
      </c>
      <c r="B25" s="130" t="s">
        <v>1033</v>
      </c>
      <c r="C25" s="147">
        <v>8757112.0999999996</v>
      </c>
      <c r="D25" s="204">
        <v>977977.89</v>
      </c>
      <c r="E25" s="255">
        <v>9735089.9900000002</v>
      </c>
    </row>
    <row r="26" spans="1:5" ht="20" customHeight="1" thickBot="1">
      <c r="A26" s="130">
        <v>49</v>
      </c>
      <c r="B26" s="130" t="s">
        <v>1034</v>
      </c>
      <c r="C26" s="147">
        <v>603462.72</v>
      </c>
      <c r="D26" s="204">
        <v>37861.22</v>
      </c>
      <c r="E26" s="255">
        <v>641323.93999999994</v>
      </c>
    </row>
    <row r="27" spans="1:5" ht="27" customHeight="1" thickBot="1">
      <c r="A27" s="131">
        <v>4</v>
      </c>
      <c r="B27" s="131" t="s">
        <v>1035</v>
      </c>
      <c r="C27" s="147">
        <v>261148794.59999999</v>
      </c>
      <c r="D27" s="204">
        <v>14299238.73</v>
      </c>
      <c r="E27" s="255">
        <v>275448033.32999998</v>
      </c>
    </row>
    <row r="28" spans="1:5" ht="27" customHeight="1" thickBot="1">
      <c r="A28" s="131" t="s">
        <v>1036</v>
      </c>
      <c r="B28" s="131" t="s">
        <v>1037</v>
      </c>
      <c r="C28" s="147">
        <v>1851345310.4200001</v>
      </c>
      <c r="D28" s="204">
        <v>68698752.859999999</v>
      </c>
      <c r="E28" s="255">
        <v>1920044063.28</v>
      </c>
    </row>
    <row r="29" spans="1:5" ht="27" customHeight="1" thickBot="1">
      <c r="A29" s="131"/>
      <c r="B29" s="131" t="s">
        <v>1038</v>
      </c>
      <c r="C29" s="147">
        <v>-7872626.46</v>
      </c>
      <c r="D29" s="204">
        <v>7973856.6200000001</v>
      </c>
      <c r="E29" s="255">
        <v>101230.16</v>
      </c>
    </row>
    <row r="30" spans="1:5" ht="27" customHeight="1" thickBot="1">
      <c r="A30" s="131">
        <v>7</v>
      </c>
      <c r="B30" s="131" t="s">
        <v>1039</v>
      </c>
      <c r="C30" s="147">
        <v>19817634.050000001</v>
      </c>
      <c r="D30" s="204">
        <v>9232932.3000000007</v>
      </c>
      <c r="E30" s="255">
        <v>29050566.350000001</v>
      </c>
    </row>
    <row r="31" spans="1:5" ht="28.5" customHeight="1" thickBot="1">
      <c r="A31" s="331"/>
      <c r="B31" s="331" t="s">
        <v>1040</v>
      </c>
      <c r="C31" s="332">
        <v>11945007.59</v>
      </c>
      <c r="D31" s="333">
        <v>17206788.920000002</v>
      </c>
      <c r="E31" s="334">
        <v>29151796.510000002</v>
      </c>
    </row>
    <row r="32" spans="1:5" ht="20" customHeight="1">
      <c r="A32" s="335"/>
      <c r="B32" s="335"/>
      <c r="C32" s="336"/>
      <c r="D32" s="336"/>
      <c r="E32" s="337"/>
    </row>
    <row r="33" spans="1:5" ht="23.25" customHeight="1">
      <c r="A33" s="338" t="s">
        <v>811</v>
      </c>
      <c r="B33" s="339"/>
      <c r="C33" s="339"/>
      <c r="D33" s="339"/>
      <c r="E33" s="339"/>
    </row>
    <row r="34" spans="1:5" ht="19.5" customHeight="1" thickBot="1">
      <c r="A34" s="340"/>
      <c r="B34" s="340" t="s">
        <v>812</v>
      </c>
      <c r="C34" s="341" t="s">
        <v>1412</v>
      </c>
      <c r="D34" s="342" t="s">
        <v>1412</v>
      </c>
      <c r="E34" s="199">
        <v>549014236.10000002</v>
      </c>
    </row>
    <row r="35" spans="1:5" ht="19.5" customHeight="1" thickBot="1">
      <c r="A35" s="131"/>
      <c r="B35" s="131" t="s">
        <v>813</v>
      </c>
      <c r="C35" s="318" t="s">
        <v>1412</v>
      </c>
      <c r="D35" s="319" t="s">
        <v>1412</v>
      </c>
      <c r="E35" s="149">
        <v>347818521.66000003</v>
      </c>
    </row>
    <row r="36" spans="1:5" ht="15.75" customHeight="1">
      <c r="A36" s="136" t="s">
        <v>453</v>
      </c>
      <c r="B36" s="173"/>
      <c r="C36" s="136"/>
      <c r="D36" s="190"/>
      <c r="E36" s="343"/>
    </row>
    <row r="37" spans="1:5">
      <c r="A37" s="3"/>
    </row>
    <row r="38" spans="1:5">
      <c r="A38" s="3" t="s">
        <v>814</v>
      </c>
    </row>
    <row r="39" spans="1:5">
      <c r="A39" s="3"/>
    </row>
    <row r="40" spans="1:5">
      <c r="A40" s="2" t="s">
        <v>815</v>
      </c>
    </row>
    <row r="43" spans="1:5">
      <c r="A43" s="2" t="s">
        <v>1955</v>
      </c>
    </row>
  </sheetData>
  <mergeCells count="1">
    <mergeCell ref="A2:D2"/>
  </mergeCells>
  <phoneticPr fontId="0" type="noConversion"/>
  <pageMargins left="0.51181102362204722" right="0.47244094488188981" top="0.74" bottom="0.57999999999999996" header="0.41" footer="0.37"/>
  <pageSetup paperSize="9" scale="82" orientation="portrait" horizontalDpi="1200" verticalDpi="1200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4D65-2F28-D744-8163-89500AA0B5F5}">
  <sheetPr>
    <pageSetUpPr fitToPage="1"/>
  </sheetPr>
  <dimension ref="A1:H37"/>
  <sheetViews>
    <sheetView topLeftCell="A19" zoomScale="75" workbookViewId="0">
      <selection activeCell="F2" sqref="F2"/>
    </sheetView>
  </sheetViews>
  <sheetFormatPr baseColWidth="10" defaultColWidth="11.3984375" defaultRowHeight="13"/>
  <cols>
    <col min="1" max="1" width="8.796875" style="2" customWidth="1"/>
    <col min="2" max="2" width="48.796875" style="97" customWidth="1"/>
    <col min="3" max="3" width="17.3984375" style="2" customWidth="1"/>
    <col min="4" max="4" width="17.3984375" style="8" customWidth="1"/>
    <col min="5" max="5" width="17" style="344" customWidth="1"/>
    <col min="6" max="16384" width="11.3984375" style="2"/>
  </cols>
  <sheetData>
    <row r="1" spans="1:8" s="1" customFormat="1" ht="14" customHeight="1">
      <c r="B1" s="169"/>
      <c r="D1" s="175"/>
      <c r="E1" s="489"/>
    </row>
    <row r="2" spans="1:8" s="1" customFormat="1" ht="28" customHeight="1">
      <c r="A2" s="58" t="s">
        <v>809</v>
      </c>
      <c r="B2" s="169"/>
      <c r="D2" s="175"/>
      <c r="E2" s="58">
        <v>2006</v>
      </c>
    </row>
    <row r="3" spans="1:8" ht="39" customHeight="1">
      <c r="A3" s="328" t="s">
        <v>1004</v>
      </c>
      <c r="B3" s="170"/>
      <c r="C3" s="114" t="s">
        <v>1005</v>
      </c>
      <c r="D3" s="177" t="s">
        <v>1006</v>
      </c>
      <c r="E3" s="313" t="s">
        <v>1951</v>
      </c>
      <c r="G3" s="4"/>
      <c r="H3" s="4"/>
    </row>
    <row r="4" spans="1:8" ht="38" customHeight="1">
      <c r="A4" s="314"/>
      <c r="B4" s="315"/>
      <c r="C4" s="123" t="s">
        <v>1007</v>
      </c>
      <c r="D4" s="183" t="s">
        <v>1007</v>
      </c>
      <c r="E4" s="316" t="s">
        <v>1007</v>
      </c>
      <c r="G4" s="522"/>
      <c r="H4" s="523"/>
    </row>
    <row r="5" spans="1:8" ht="30" customHeight="1" thickBot="1">
      <c r="A5" s="125">
        <v>63</v>
      </c>
      <c r="B5" s="125" t="s">
        <v>1008</v>
      </c>
      <c r="C5" s="145">
        <v>53668105.939999998</v>
      </c>
      <c r="D5" s="198">
        <v>1198742.74</v>
      </c>
      <c r="E5" s="329">
        <v>54866848.68</v>
      </c>
      <c r="G5" s="96"/>
      <c r="H5" s="523"/>
    </row>
    <row r="6" spans="1:8" ht="20" customHeight="1" thickBot="1">
      <c r="A6" s="130">
        <v>64</v>
      </c>
      <c r="B6" s="130" t="s">
        <v>1009</v>
      </c>
      <c r="C6" s="147">
        <v>-494401.1</v>
      </c>
      <c r="D6" s="204">
        <v>-10387.17</v>
      </c>
      <c r="E6" s="255">
        <v>-504788.27</v>
      </c>
      <c r="G6" s="96"/>
      <c r="H6" s="523"/>
    </row>
    <row r="7" spans="1:8" ht="20" customHeight="1" thickBot="1">
      <c r="A7" s="130">
        <v>65</v>
      </c>
      <c r="B7" s="130" t="s">
        <v>1010</v>
      </c>
      <c r="C7" s="147">
        <v>0</v>
      </c>
      <c r="D7" s="204">
        <v>0</v>
      </c>
      <c r="E7" s="255">
        <v>0</v>
      </c>
      <c r="G7" s="96"/>
      <c r="H7" s="523"/>
    </row>
    <row r="8" spans="1:8" ht="27" customHeight="1" thickBot="1">
      <c r="A8" s="131" t="s">
        <v>1011</v>
      </c>
      <c r="B8" s="131" t="s">
        <v>1012</v>
      </c>
      <c r="C8" s="147">
        <v>53173704.840000004</v>
      </c>
      <c r="D8" s="204">
        <v>1188355.57</v>
      </c>
      <c r="E8" s="255">
        <v>54362060.409999996</v>
      </c>
      <c r="G8" s="96"/>
      <c r="H8" s="523"/>
    </row>
    <row r="9" spans="1:8" ht="21" customHeight="1" thickBot="1">
      <c r="A9" s="130">
        <v>66</v>
      </c>
      <c r="B9" s="130" t="s">
        <v>1013</v>
      </c>
      <c r="C9" s="147">
        <v>0</v>
      </c>
      <c r="D9" s="204">
        <v>0</v>
      </c>
      <c r="E9" s="255">
        <v>0</v>
      </c>
      <c r="G9" s="96"/>
      <c r="H9" s="523"/>
    </row>
    <row r="10" spans="1:8" ht="27" customHeight="1" thickBot="1">
      <c r="A10" s="131" t="s">
        <v>1014</v>
      </c>
      <c r="B10" s="131" t="s">
        <v>1015</v>
      </c>
      <c r="C10" s="147">
        <v>53173704.840000004</v>
      </c>
      <c r="D10" s="204">
        <v>1188355.57</v>
      </c>
      <c r="E10" s="255">
        <v>54362060.409999996</v>
      </c>
      <c r="G10" s="96"/>
      <c r="H10" s="523"/>
    </row>
    <row r="11" spans="1:8" ht="20" customHeight="1" thickBot="1">
      <c r="A11" s="130">
        <v>67</v>
      </c>
      <c r="B11" s="130" t="s">
        <v>1016</v>
      </c>
      <c r="C11" s="147">
        <v>38133108.280000001</v>
      </c>
      <c r="D11" s="204">
        <v>1102278.72</v>
      </c>
      <c r="E11" s="255">
        <v>39235387</v>
      </c>
      <c r="G11" s="524"/>
      <c r="H11" s="523"/>
    </row>
    <row r="12" spans="1:8" ht="20" customHeight="1" thickBot="1">
      <c r="A12" s="130">
        <v>68</v>
      </c>
      <c r="B12" s="130" t="s">
        <v>1017</v>
      </c>
      <c r="C12" s="147">
        <v>0</v>
      </c>
      <c r="D12" s="204">
        <v>0</v>
      </c>
      <c r="E12" s="255">
        <v>0</v>
      </c>
      <c r="G12" s="96"/>
      <c r="H12" s="523"/>
    </row>
    <row r="13" spans="1:8" ht="20" customHeight="1" thickBot="1">
      <c r="A13" s="130">
        <v>69</v>
      </c>
      <c r="B13" s="130" t="s">
        <v>1018</v>
      </c>
      <c r="C13" s="147">
        <v>6378.95</v>
      </c>
      <c r="D13" s="204">
        <v>135.4</v>
      </c>
      <c r="E13" s="255">
        <v>6514.35</v>
      </c>
    </row>
    <row r="14" spans="1:8" ht="27" customHeight="1" thickBot="1">
      <c r="A14" s="131">
        <v>6</v>
      </c>
      <c r="B14" s="131" t="s">
        <v>1019</v>
      </c>
      <c r="C14" s="147">
        <v>91313192.069999993</v>
      </c>
      <c r="D14" s="204">
        <v>2290769.69</v>
      </c>
      <c r="E14" s="255">
        <v>93603961.760000005</v>
      </c>
    </row>
    <row r="15" spans="1:8" ht="20" customHeight="1" thickBot="1">
      <c r="A15" s="130">
        <v>33</v>
      </c>
      <c r="B15" s="130" t="s">
        <v>1020</v>
      </c>
      <c r="C15" s="147">
        <v>88393817.599999994</v>
      </c>
      <c r="D15" s="204">
        <v>2514665.73</v>
      </c>
      <c r="E15" s="255">
        <v>90908483.329999998</v>
      </c>
    </row>
    <row r="16" spans="1:8" ht="20" customHeight="1" thickBot="1">
      <c r="A16" s="130">
        <v>32</v>
      </c>
      <c r="B16" s="130" t="s">
        <v>1021</v>
      </c>
      <c r="C16" s="147">
        <v>-6621601.7599999998</v>
      </c>
      <c r="D16" s="204">
        <v>-108511</v>
      </c>
      <c r="E16" s="255">
        <v>-6730112.7599999998</v>
      </c>
    </row>
    <row r="17" spans="1:5" ht="27" customHeight="1" thickBot="1">
      <c r="A17" s="131" t="s">
        <v>1022</v>
      </c>
      <c r="B17" s="131" t="s">
        <v>1023</v>
      </c>
      <c r="C17" s="147">
        <v>81772215.840000004</v>
      </c>
      <c r="D17" s="204">
        <v>2406154.73</v>
      </c>
      <c r="E17" s="255">
        <v>84178370.569999993</v>
      </c>
    </row>
    <row r="18" spans="1:5" ht="20" customHeight="1" thickBot="1">
      <c r="A18" s="130">
        <v>34</v>
      </c>
      <c r="B18" s="130" t="s">
        <v>1024</v>
      </c>
      <c r="C18" s="147">
        <v>1303019.31</v>
      </c>
      <c r="D18" s="204">
        <v>42921.67</v>
      </c>
      <c r="E18" s="255">
        <v>1345940.98</v>
      </c>
    </row>
    <row r="19" spans="1:5" ht="20" customHeight="1" thickBot="1">
      <c r="A19" s="130">
        <v>35</v>
      </c>
      <c r="B19" s="130" t="s">
        <v>1025</v>
      </c>
      <c r="C19" s="147">
        <v>2379734.52</v>
      </c>
      <c r="D19" s="204">
        <v>67747.460000000006</v>
      </c>
      <c r="E19" s="255">
        <v>2447481.98</v>
      </c>
    </row>
    <row r="20" spans="1:5" ht="27" customHeight="1" thickBot="1">
      <c r="A20" s="131" t="s">
        <v>1026</v>
      </c>
      <c r="B20" s="131" t="s">
        <v>1027</v>
      </c>
      <c r="C20" s="147">
        <v>85454969.670000002</v>
      </c>
      <c r="D20" s="204">
        <v>2516823.86</v>
      </c>
      <c r="E20" s="255">
        <v>87971793.530000001</v>
      </c>
    </row>
    <row r="21" spans="1:5" ht="20" customHeight="1" thickBot="1">
      <c r="A21" s="130">
        <v>36</v>
      </c>
      <c r="B21" s="130" t="s">
        <v>1028</v>
      </c>
      <c r="C21" s="147">
        <v>0</v>
      </c>
      <c r="D21" s="204">
        <v>0</v>
      </c>
      <c r="E21" s="255">
        <v>0</v>
      </c>
    </row>
    <row r="22" spans="1:5" ht="20" customHeight="1" thickBot="1">
      <c r="A22" s="130">
        <v>37</v>
      </c>
      <c r="B22" s="130" t="s">
        <v>1029</v>
      </c>
      <c r="C22" s="147">
        <v>0</v>
      </c>
      <c r="D22" s="204">
        <v>0</v>
      </c>
      <c r="E22" s="255">
        <v>0</v>
      </c>
    </row>
    <row r="23" spans="1:5" ht="27" customHeight="1" thickBot="1">
      <c r="A23" s="131">
        <v>3</v>
      </c>
      <c r="B23" s="131" t="s">
        <v>1030</v>
      </c>
      <c r="C23" s="147">
        <v>85454969.670000002</v>
      </c>
      <c r="D23" s="204">
        <v>2516823.86</v>
      </c>
      <c r="E23" s="255">
        <v>87971793.530000001</v>
      </c>
    </row>
    <row r="24" spans="1:5" ht="20" customHeight="1" thickBot="1">
      <c r="A24" s="130" t="s">
        <v>1031</v>
      </c>
      <c r="B24" s="130" t="s">
        <v>1032</v>
      </c>
      <c r="C24" s="147">
        <v>5657240.7199999997</v>
      </c>
      <c r="D24" s="204">
        <v>121509.3</v>
      </c>
      <c r="E24" s="255">
        <v>5778750.0199999996</v>
      </c>
    </row>
    <row r="25" spans="1:5" ht="20" customHeight="1" thickBot="1">
      <c r="A25" s="130">
        <v>48</v>
      </c>
      <c r="B25" s="130" t="s">
        <v>1033</v>
      </c>
      <c r="C25" s="147">
        <v>432886.56</v>
      </c>
      <c r="D25" s="204">
        <v>9116.9</v>
      </c>
      <c r="E25" s="255">
        <v>442003.46</v>
      </c>
    </row>
    <row r="26" spans="1:5" ht="20" customHeight="1" thickBot="1">
      <c r="A26" s="130">
        <v>49</v>
      </c>
      <c r="B26" s="130" t="s">
        <v>1034</v>
      </c>
      <c r="C26" s="147">
        <v>16730.419999999998</v>
      </c>
      <c r="D26" s="204">
        <v>351.7</v>
      </c>
      <c r="E26" s="255">
        <v>17082.12</v>
      </c>
    </row>
    <row r="27" spans="1:5" ht="27" customHeight="1" thickBot="1">
      <c r="A27" s="131">
        <v>4</v>
      </c>
      <c r="B27" s="131" t="s">
        <v>1035</v>
      </c>
      <c r="C27" s="147">
        <v>6106857.6900000004</v>
      </c>
      <c r="D27" s="204">
        <v>130977.9</v>
      </c>
      <c r="E27" s="255">
        <v>6237835.5899999999</v>
      </c>
    </row>
    <row r="28" spans="1:5" ht="27" customHeight="1" thickBot="1">
      <c r="A28" s="131" t="s">
        <v>1036</v>
      </c>
      <c r="B28" s="131" t="s">
        <v>1037</v>
      </c>
      <c r="C28" s="147">
        <v>91561827.359999999</v>
      </c>
      <c r="D28" s="204">
        <v>2647801.75</v>
      </c>
      <c r="E28" s="255">
        <v>94209629.109999999</v>
      </c>
    </row>
    <row r="29" spans="1:5" ht="27" customHeight="1" thickBot="1">
      <c r="A29" s="131"/>
      <c r="B29" s="131" t="s">
        <v>1038</v>
      </c>
      <c r="C29" s="147">
        <v>-248635.29</v>
      </c>
      <c r="D29" s="204">
        <v>-357032.06</v>
      </c>
      <c r="E29" s="255">
        <v>-605667.35</v>
      </c>
    </row>
    <row r="30" spans="1:5" ht="27" customHeight="1" thickBot="1">
      <c r="A30" s="131">
        <v>7</v>
      </c>
      <c r="B30" s="131" t="s">
        <v>1039</v>
      </c>
      <c r="C30" s="147">
        <v>-81014.399999999994</v>
      </c>
      <c r="D30" s="204">
        <v>-699.19</v>
      </c>
      <c r="E30" s="255">
        <v>-81713.59</v>
      </c>
    </row>
    <row r="31" spans="1:5" ht="26.25" customHeight="1" thickBot="1">
      <c r="A31" s="491"/>
      <c r="B31" s="491" t="s">
        <v>1040</v>
      </c>
      <c r="C31" s="147">
        <v>-329649.69</v>
      </c>
      <c r="D31" s="204">
        <v>-357731.26</v>
      </c>
      <c r="E31" s="255">
        <v>-687380.95</v>
      </c>
    </row>
    <row r="32" spans="1:5" ht="20.25" customHeight="1">
      <c r="A32" s="136" t="s">
        <v>453</v>
      </c>
      <c r="B32" s="173"/>
      <c r="C32" s="136"/>
      <c r="D32" s="190"/>
      <c r="E32" s="343"/>
    </row>
    <row r="34" spans="1:1">
      <c r="A34" s="2" t="s">
        <v>810</v>
      </c>
    </row>
    <row r="37" spans="1:1">
      <c r="A37" s="2" t="s">
        <v>1955</v>
      </c>
    </row>
  </sheetData>
  <phoneticPr fontId="0" type="noConversion"/>
  <pageMargins left="0.51" right="0.56000000000000005" top="0.74" bottom="0.49" header="0.44" footer="0.4921259845"/>
  <pageSetup paperSize="9" scale="85" orientation="portrait" horizontalDpi="4294967292" verticalDpi="4294967292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4729-7AF8-074C-B296-C5D20C6DCB80}">
  <sheetPr>
    <pageSetUpPr fitToPage="1"/>
  </sheetPr>
  <dimension ref="A1:H39"/>
  <sheetViews>
    <sheetView zoomScale="75" workbookViewId="0">
      <selection activeCell="F11" sqref="F11"/>
    </sheetView>
  </sheetViews>
  <sheetFormatPr baseColWidth="10" defaultColWidth="11.3984375" defaultRowHeight="13"/>
  <cols>
    <col min="1" max="1" width="8.796875" style="2" customWidth="1"/>
    <col min="2" max="2" width="48.796875" style="97" customWidth="1"/>
    <col min="3" max="3" width="16.796875" style="2" customWidth="1"/>
    <col min="4" max="4" width="16.796875" style="8" customWidth="1"/>
    <col min="5" max="5" width="16.796875" style="344" customWidth="1"/>
    <col min="6" max="16384" width="11.3984375" style="2"/>
  </cols>
  <sheetData>
    <row r="1" spans="1:8" s="1" customFormat="1" ht="39.75" customHeight="1">
      <c r="A1" s="1697" t="s">
        <v>808</v>
      </c>
      <c r="B1" s="1698"/>
      <c r="C1" s="1698"/>
      <c r="D1" s="1698"/>
      <c r="E1" s="58">
        <v>2006</v>
      </c>
    </row>
    <row r="2" spans="1:8" s="1" customFormat="1" ht="12" customHeight="1">
      <c r="A2" s="258"/>
      <c r="B2" s="258"/>
      <c r="C2" s="258"/>
      <c r="D2" s="258"/>
      <c r="E2" s="258"/>
    </row>
    <row r="3" spans="1:8" ht="39" customHeight="1">
      <c r="A3" s="328" t="s">
        <v>1004</v>
      </c>
      <c r="B3" s="170"/>
      <c r="C3" s="114" t="s">
        <v>1005</v>
      </c>
      <c r="D3" s="177" t="s">
        <v>1006</v>
      </c>
      <c r="E3" s="313" t="s">
        <v>1951</v>
      </c>
      <c r="G3" s="4"/>
      <c r="H3" s="4"/>
    </row>
    <row r="4" spans="1:8" ht="38" customHeight="1">
      <c r="A4" s="314"/>
      <c r="B4" s="315"/>
      <c r="C4" s="123" t="s">
        <v>1007</v>
      </c>
      <c r="D4" s="183" t="s">
        <v>1007</v>
      </c>
      <c r="E4" s="316" t="s">
        <v>1007</v>
      </c>
      <c r="G4" s="522"/>
      <c r="H4" s="523"/>
    </row>
    <row r="5" spans="1:8" ht="30" customHeight="1" thickBot="1">
      <c r="A5" s="125">
        <v>63</v>
      </c>
      <c r="B5" s="125" t="s">
        <v>1008</v>
      </c>
      <c r="C5" s="145">
        <v>3465240</v>
      </c>
      <c r="D5" s="198">
        <v>165713.5</v>
      </c>
      <c r="E5" s="329">
        <v>3630953.5</v>
      </c>
      <c r="G5" s="96"/>
      <c r="H5" s="523"/>
    </row>
    <row r="6" spans="1:8" ht="20" customHeight="1" thickBot="1">
      <c r="A6" s="130">
        <v>64</v>
      </c>
      <c r="B6" s="130" t="s">
        <v>1009</v>
      </c>
      <c r="C6" s="147">
        <v>-49085.279999999999</v>
      </c>
      <c r="D6" s="204">
        <v>-2314.67</v>
      </c>
      <c r="E6" s="255">
        <v>-51399.95</v>
      </c>
      <c r="G6" s="96"/>
      <c r="H6" s="523"/>
    </row>
    <row r="7" spans="1:8" ht="20" customHeight="1" thickBot="1">
      <c r="A7" s="130">
        <v>65</v>
      </c>
      <c r="B7" s="130" t="s">
        <v>1010</v>
      </c>
      <c r="C7" s="147">
        <v>0</v>
      </c>
      <c r="D7" s="204">
        <v>0</v>
      </c>
      <c r="E7" s="255">
        <v>0</v>
      </c>
      <c r="G7" s="96"/>
      <c r="H7" s="523"/>
    </row>
    <row r="8" spans="1:8" ht="27" customHeight="1" thickBot="1">
      <c r="A8" s="131" t="s">
        <v>1011</v>
      </c>
      <c r="B8" s="131" t="s">
        <v>1012</v>
      </c>
      <c r="C8" s="147">
        <v>3416154.72</v>
      </c>
      <c r="D8" s="204">
        <v>163398.82999999999</v>
      </c>
      <c r="E8" s="255">
        <v>3579553.55</v>
      </c>
      <c r="G8" s="96"/>
      <c r="H8" s="523"/>
    </row>
    <row r="9" spans="1:8" ht="20" customHeight="1" thickBot="1">
      <c r="A9" s="130">
        <v>66</v>
      </c>
      <c r="B9" s="130" t="s">
        <v>1013</v>
      </c>
      <c r="C9" s="147">
        <v>-4811.7</v>
      </c>
      <c r="D9" s="204">
        <v>-308</v>
      </c>
      <c r="E9" s="255">
        <v>-5119.7</v>
      </c>
      <c r="G9" s="96"/>
      <c r="H9" s="523"/>
    </row>
    <row r="10" spans="1:8" ht="27" customHeight="1" thickBot="1">
      <c r="A10" s="131" t="s">
        <v>1014</v>
      </c>
      <c r="B10" s="131" t="s">
        <v>1015</v>
      </c>
      <c r="C10" s="147">
        <v>3411343.02</v>
      </c>
      <c r="D10" s="204">
        <v>163090.82999999999</v>
      </c>
      <c r="E10" s="255">
        <v>3574433.85</v>
      </c>
      <c r="G10" s="96"/>
      <c r="H10" s="523"/>
    </row>
    <row r="11" spans="1:8" ht="21" customHeight="1" thickBot="1">
      <c r="A11" s="130">
        <v>67</v>
      </c>
      <c r="B11" s="130" t="s">
        <v>1016</v>
      </c>
      <c r="C11" s="147">
        <v>0</v>
      </c>
      <c r="D11" s="204">
        <v>0</v>
      </c>
      <c r="E11" s="255">
        <v>0</v>
      </c>
      <c r="G11" s="524"/>
      <c r="H11" s="523"/>
    </row>
    <row r="12" spans="1:8" ht="21" customHeight="1" thickBot="1">
      <c r="A12" s="130">
        <v>68</v>
      </c>
      <c r="B12" s="130" t="s">
        <v>1017</v>
      </c>
      <c r="C12" s="147">
        <v>-4.7</v>
      </c>
      <c r="D12" s="204">
        <v>0</v>
      </c>
      <c r="E12" s="255">
        <v>-4.7</v>
      </c>
      <c r="G12" s="96"/>
      <c r="H12" s="523"/>
    </row>
    <row r="13" spans="1:8" ht="21" customHeight="1" thickBot="1">
      <c r="A13" s="130">
        <v>69</v>
      </c>
      <c r="B13" s="130" t="s">
        <v>1018</v>
      </c>
      <c r="C13" s="147">
        <v>519.89</v>
      </c>
      <c r="D13" s="204">
        <v>24.52</v>
      </c>
      <c r="E13" s="255">
        <v>544.41</v>
      </c>
    </row>
    <row r="14" spans="1:8" ht="27" customHeight="1" thickBot="1">
      <c r="A14" s="131">
        <v>6</v>
      </c>
      <c r="B14" s="131" t="s">
        <v>1019</v>
      </c>
      <c r="C14" s="147">
        <v>3411858.22</v>
      </c>
      <c r="D14" s="204">
        <v>163115.34</v>
      </c>
      <c r="E14" s="255">
        <v>3574973.56</v>
      </c>
    </row>
    <row r="15" spans="1:8" ht="20" customHeight="1" thickBot="1">
      <c r="A15" s="130">
        <v>33</v>
      </c>
      <c r="B15" s="130" t="s">
        <v>1020</v>
      </c>
      <c r="C15" s="147">
        <v>7904020</v>
      </c>
      <c r="D15" s="204">
        <v>97426.85</v>
      </c>
      <c r="E15" s="255">
        <v>8001446.8499999996</v>
      </c>
    </row>
    <row r="16" spans="1:8" ht="20" customHeight="1" thickBot="1">
      <c r="A16" s="130">
        <v>32</v>
      </c>
      <c r="B16" s="130" t="s">
        <v>1021</v>
      </c>
      <c r="C16" s="147">
        <v>-181046.39999999999</v>
      </c>
      <c r="D16" s="204">
        <v>-2701.8</v>
      </c>
      <c r="E16" s="255">
        <v>-183748.2</v>
      </c>
    </row>
    <row r="17" spans="1:5" ht="27" customHeight="1" thickBot="1">
      <c r="A17" s="131" t="s">
        <v>1022</v>
      </c>
      <c r="B17" s="131" t="s">
        <v>1023</v>
      </c>
      <c r="C17" s="147">
        <v>7722973.5999999996</v>
      </c>
      <c r="D17" s="204">
        <v>94725.05</v>
      </c>
      <c r="E17" s="255">
        <v>7817698.6500000004</v>
      </c>
    </row>
    <row r="18" spans="1:5" ht="20" customHeight="1" thickBot="1">
      <c r="A18" s="130">
        <v>34</v>
      </c>
      <c r="B18" s="130" t="s">
        <v>1024</v>
      </c>
      <c r="C18" s="147">
        <v>55901.93</v>
      </c>
      <c r="D18" s="204">
        <v>625.44000000000005</v>
      </c>
      <c r="E18" s="255">
        <v>56527.37</v>
      </c>
    </row>
    <row r="19" spans="1:5" ht="20" customHeight="1" thickBot="1">
      <c r="A19" s="130">
        <v>35</v>
      </c>
      <c r="B19" s="130" t="s">
        <v>1025</v>
      </c>
      <c r="C19" s="147">
        <v>1256545.55</v>
      </c>
      <c r="D19" s="204">
        <v>20151.509999999998</v>
      </c>
      <c r="E19" s="255">
        <v>1276697.06</v>
      </c>
    </row>
    <row r="20" spans="1:5" ht="27" customHeight="1" thickBot="1">
      <c r="A20" s="131" t="s">
        <v>1026</v>
      </c>
      <c r="B20" s="131" t="s">
        <v>1027</v>
      </c>
      <c r="C20" s="147">
        <v>9035421.0800000001</v>
      </c>
      <c r="D20" s="204">
        <v>115502</v>
      </c>
      <c r="E20" s="255">
        <v>9150923.0800000001</v>
      </c>
    </row>
    <row r="21" spans="1:5" ht="20" customHeight="1" thickBot="1">
      <c r="A21" s="130">
        <v>36</v>
      </c>
      <c r="B21" s="130" t="s">
        <v>1028</v>
      </c>
      <c r="C21" s="147">
        <v>0</v>
      </c>
      <c r="D21" s="204">
        <v>0</v>
      </c>
      <c r="E21" s="255">
        <v>0</v>
      </c>
    </row>
    <row r="22" spans="1:5" ht="20" customHeight="1" thickBot="1">
      <c r="A22" s="130">
        <v>37</v>
      </c>
      <c r="B22" s="130" t="s">
        <v>1029</v>
      </c>
      <c r="C22" s="147">
        <v>0</v>
      </c>
      <c r="D22" s="204">
        <v>0</v>
      </c>
      <c r="E22" s="255">
        <v>0</v>
      </c>
    </row>
    <row r="23" spans="1:5" ht="27" customHeight="1" thickBot="1">
      <c r="A23" s="131">
        <v>3</v>
      </c>
      <c r="B23" s="131" t="s">
        <v>1030</v>
      </c>
      <c r="C23" s="147">
        <v>9035421.0800000001</v>
      </c>
      <c r="D23" s="204">
        <v>115502</v>
      </c>
      <c r="E23" s="255">
        <v>9150923.0800000001</v>
      </c>
    </row>
    <row r="24" spans="1:5" ht="20" customHeight="1" thickBot="1">
      <c r="A24" s="130" t="s">
        <v>1031</v>
      </c>
      <c r="B24" s="130" t="s">
        <v>1032</v>
      </c>
      <c r="C24" s="147">
        <v>295805.74</v>
      </c>
      <c r="D24" s="204">
        <v>13768.38</v>
      </c>
      <c r="E24" s="255">
        <v>309574.12</v>
      </c>
    </row>
    <row r="25" spans="1:5" ht="20" customHeight="1" thickBot="1">
      <c r="A25" s="130">
        <v>48</v>
      </c>
      <c r="B25" s="130" t="s">
        <v>1033</v>
      </c>
      <c r="C25" s="147">
        <v>4504.43</v>
      </c>
      <c r="D25" s="204">
        <v>200.86</v>
      </c>
      <c r="E25" s="255">
        <v>4705.29</v>
      </c>
    </row>
    <row r="26" spans="1:5" ht="20" customHeight="1" thickBot="1">
      <c r="A26" s="130">
        <v>49</v>
      </c>
      <c r="B26" s="130" t="s">
        <v>1034</v>
      </c>
      <c r="C26" s="147">
        <v>115.81</v>
      </c>
      <c r="D26" s="204">
        <v>3.31</v>
      </c>
      <c r="E26" s="255">
        <v>119.12</v>
      </c>
    </row>
    <row r="27" spans="1:5" ht="27" customHeight="1" thickBot="1">
      <c r="A27" s="131">
        <v>4</v>
      </c>
      <c r="B27" s="131" t="s">
        <v>1035</v>
      </c>
      <c r="C27" s="147">
        <v>300425.98</v>
      </c>
      <c r="D27" s="204">
        <v>13972.56</v>
      </c>
      <c r="E27" s="255">
        <v>314398.53999999998</v>
      </c>
    </row>
    <row r="28" spans="1:5" ht="27" customHeight="1" thickBot="1">
      <c r="A28" s="131" t="s">
        <v>1036</v>
      </c>
      <c r="B28" s="131" t="s">
        <v>1037</v>
      </c>
      <c r="C28" s="147">
        <v>9335847.0600000005</v>
      </c>
      <c r="D28" s="204">
        <v>129474.56</v>
      </c>
      <c r="E28" s="255">
        <v>9465321.6199999992</v>
      </c>
    </row>
    <row r="29" spans="1:5" ht="27" customHeight="1" thickBot="1">
      <c r="A29" s="131"/>
      <c r="B29" s="131" t="s">
        <v>1038</v>
      </c>
      <c r="C29" s="147">
        <v>-5923988.8499999996</v>
      </c>
      <c r="D29" s="204">
        <v>33640.78</v>
      </c>
      <c r="E29" s="255">
        <v>-5890348.0700000003</v>
      </c>
    </row>
    <row r="30" spans="1:5" ht="27" customHeight="1" thickBot="1">
      <c r="A30" s="131">
        <v>7</v>
      </c>
      <c r="B30" s="131" t="s">
        <v>1039</v>
      </c>
      <c r="C30" s="147">
        <v>49021.31</v>
      </c>
      <c r="D30" s="204">
        <v>2729.88</v>
      </c>
      <c r="E30" s="255">
        <v>51751.19</v>
      </c>
    </row>
    <row r="31" spans="1:5" ht="27.75" customHeight="1" thickBot="1">
      <c r="A31" s="491"/>
      <c r="B31" s="491" t="s">
        <v>1040</v>
      </c>
      <c r="C31" s="147">
        <v>-5874967.5499999998</v>
      </c>
      <c r="D31" s="204">
        <v>36370.660000000003</v>
      </c>
      <c r="E31" s="255">
        <v>-5838596.8899999997</v>
      </c>
    </row>
    <row r="32" spans="1:5" ht="19.5" customHeight="1">
      <c r="A32" s="136" t="s">
        <v>453</v>
      </c>
      <c r="B32" s="173"/>
      <c r="C32" s="136"/>
      <c r="D32" s="190"/>
      <c r="E32" s="343"/>
    </row>
    <row r="34" spans="1:1">
      <c r="A34" s="525" t="s">
        <v>806</v>
      </c>
    </row>
    <row r="35" spans="1:1">
      <c r="A35" s="325"/>
    </row>
    <row r="36" spans="1:1">
      <c r="A36" s="2" t="s">
        <v>807</v>
      </c>
    </row>
    <row r="39" spans="1:1">
      <c r="A39" s="2" t="s">
        <v>1955</v>
      </c>
    </row>
  </sheetData>
  <mergeCells count="1">
    <mergeCell ref="A1:D1"/>
  </mergeCells>
  <phoneticPr fontId="0" type="noConversion"/>
  <pageMargins left="0.53" right="0.57999999999999996" top="0.92" bottom="0.49" header="0.49" footer="0.4921259845"/>
  <pageSetup paperSize="9" scale="86" orientation="portrait" horizontalDpi="4294967292" verticalDpi="4294967292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7258-A375-8745-BA56-1B201A366D5E}">
  <sheetPr>
    <pageSetUpPr fitToPage="1"/>
  </sheetPr>
  <dimension ref="A1:B17"/>
  <sheetViews>
    <sheetView workbookViewId="0">
      <selection activeCell="B11" sqref="B11"/>
    </sheetView>
  </sheetViews>
  <sheetFormatPr baseColWidth="10" defaultColWidth="11.3984375" defaultRowHeight="13"/>
  <cols>
    <col min="1" max="1" width="5.59765625" style="374" customWidth="1"/>
    <col min="2" max="16384" width="11.3984375" style="374"/>
  </cols>
  <sheetData>
    <row r="1" spans="1:2" ht="16">
      <c r="A1" s="373" t="s">
        <v>769</v>
      </c>
    </row>
    <row r="2" spans="1:2" ht="16">
      <c r="A2" s="373"/>
    </row>
    <row r="3" spans="1:2">
      <c r="A3" s="375">
        <v>8.01</v>
      </c>
      <c r="B3" s="376" t="s">
        <v>770</v>
      </c>
    </row>
    <row r="4" spans="1:2">
      <c r="A4" s="375">
        <v>8.02</v>
      </c>
      <c r="B4" s="377" t="s">
        <v>771</v>
      </c>
    </row>
    <row r="5" spans="1:2">
      <c r="A5" s="375">
        <v>8.0299999999999994</v>
      </c>
      <c r="B5" s="376" t="s">
        <v>772</v>
      </c>
    </row>
    <row r="6" spans="1:2">
      <c r="A6" s="375">
        <v>8.0399999999999991</v>
      </c>
      <c r="B6" s="376" t="s">
        <v>773</v>
      </c>
    </row>
    <row r="7" spans="1:2">
      <c r="A7" s="375">
        <v>8.0500000000000007</v>
      </c>
      <c r="B7" s="376" t="s">
        <v>774</v>
      </c>
    </row>
    <row r="8" spans="1:2">
      <c r="A8" s="375">
        <v>8.06</v>
      </c>
      <c r="B8" s="376" t="s">
        <v>775</v>
      </c>
    </row>
    <row r="9" spans="1:2">
      <c r="A9" s="375">
        <v>8.07</v>
      </c>
      <c r="B9" s="376" t="s">
        <v>776</v>
      </c>
    </row>
    <row r="10" spans="1:2">
      <c r="A10" s="375">
        <v>8.08</v>
      </c>
      <c r="B10" s="376" t="s">
        <v>1227</v>
      </c>
    </row>
    <row r="11" spans="1:2">
      <c r="A11" s="375">
        <v>8.09</v>
      </c>
      <c r="B11" s="376" t="s">
        <v>777</v>
      </c>
    </row>
    <row r="12" spans="1:2">
      <c r="A12" s="375">
        <v>8.1</v>
      </c>
      <c r="B12" s="376" t="s">
        <v>778</v>
      </c>
    </row>
    <row r="13" spans="1:2">
      <c r="A13" s="375">
        <v>8.11</v>
      </c>
      <c r="B13" s="378" t="s">
        <v>779</v>
      </c>
    </row>
    <row r="14" spans="1:2">
      <c r="A14" s="375">
        <v>8.1199999999999992</v>
      </c>
      <c r="B14" s="378" t="s">
        <v>780</v>
      </c>
    </row>
    <row r="17" spans="1:1">
      <c r="A17" s="379" t="s">
        <v>1955</v>
      </c>
    </row>
  </sheetData>
  <phoneticPr fontId="30" type="noConversion"/>
  <pageMargins left="0.54" right="0.53" top="0.65" bottom="0.984251969" header="0.38" footer="0.4921259845"/>
  <pageSetup paperSize="9" orientation="portrait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32C8-9353-FC49-B8EE-911F0309A9C7}">
  <sheetPr>
    <pageSetUpPr fitToPage="1"/>
  </sheetPr>
  <dimension ref="A1:G26"/>
  <sheetViews>
    <sheetView zoomScale="75" workbookViewId="0">
      <selection activeCell="H11" sqref="H11"/>
    </sheetView>
  </sheetViews>
  <sheetFormatPr baseColWidth="10" defaultColWidth="11.3984375" defaultRowHeight="13"/>
  <cols>
    <col min="1" max="1" width="12.796875" style="2" customWidth="1"/>
    <col min="2" max="2" width="15.3984375" style="97" customWidth="1"/>
    <col min="3" max="4" width="15.3984375" style="2" customWidth="1"/>
    <col min="5" max="5" width="15.796875" style="97" customWidth="1"/>
    <col min="6" max="6" width="15.3984375" style="97" customWidth="1"/>
    <col min="7" max="7" width="15.3984375" style="2" customWidth="1"/>
    <col min="8" max="16384" width="11.3984375" style="2"/>
  </cols>
  <sheetData>
    <row r="1" spans="1:7" s="1" customFormat="1" ht="14" customHeight="1">
      <c r="B1" s="169"/>
      <c r="E1" s="169"/>
      <c r="F1" s="169"/>
    </row>
    <row r="2" spans="1:7" s="1" customFormat="1" ht="28" customHeight="1">
      <c r="A2" s="58" t="s">
        <v>978</v>
      </c>
      <c r="B2" s="591"/>
      <c r="C2" s="58"/>
      <c r="D2" s="58"/>
      <c r="E2" s="169"/>
      <c r="F2" s="265"/>
      <c r="G2" s="265">
        <v>2006</v>
      </c>
    </row>
    <row r="3" spans="1:7" ht="24" customHeight="1">
      <c r="A3" s="256"/>
      <c r="B3" s="116" t="s">
        <v>979</v>
      </c>
      <c r="C3" s="113"/>
      <c r="D3" s="113"/>
      <c r="E3" s="466" t="s">
        <v>980</v>
      </c>
      <c r="F3" s="466" t="s">
        <v>981</v>
      </c>
      <c r="G3" s="466" t="s">
        <v>982</v>
      </c>
    </row>
    <row r="4" spans="1:7" ht="20.25" customHeight="1">
      <c r="A4" s="295" t="s">
        <v>758</v>
      </c>
      <c r="B4" s="116"/>
      <c r="C4" s="116"/>
      <c r="D4" s="116"/>
      <c r="E4" s="295" t="s">
        <v>994</v>
      </c>
      <c r="F4" s="119"/>
      <c r="G4" s="119"/>
    </row>
    <row r="5" spans="1:7" ht="20.25" customHeight="1">
      <c r="A5" s="295"/>
      <c r="B5" s="116" t="s">
        <v>983</v>
      </c>
      <c r="C5" s="116" t="s">
        <v>984</v>
      </c>
      <c r="D5" s="116" t="s">
        <v>985</v>
      </c>
      <c r="E5" s="119" t="s">
        <v>986</v>
      </c>
      <c r="F5" s="119" t="s">
        <v>987</v>
      </c>
      <c r="G5" s="119" t="s">
        <v>995</v>
      </c>
    </row>
    <row r="6" spans="1:7" ht="15" customHeight="1">
      <c r="A6" s="295"/>
      <c r="B6" s="116" t="s">
        <v>1932</v>
      </c>
      <c r="C6" s="116"/>
      <c r="D6" s="116"/>
      <c r="E6" s="119" t="s">
        <v>988</v>
      </c>
      <c r="F6" s="119" t="s">
        <v>989</v>
      </c>
      <c r="G6" s="119" t="s">
        <v>989</v>
      </c>
    </row>
    <row r="7" spans="1:7" ht="29.25" customHeight="1">
      <c r="A7" s="563"/>
      <c r="B7" s="120" t="s">
        <v>990</v>
      </c>
      <c r="C7" s="120"/>
      <c r="D7" s="120"/>
      <c r="E7" s="121" t="s">
        <v>991</v>
      </c>
      <c r="F7" s="121" t="s">
        <v>991</v>
      </c>
      <c r="G7" s="121" t="s">
        <v>991</v>
      </c>
    </row>
    <row r="8" spans="1:7" ht="17.25" customHeight="1" thickBot="1">
      <c r="A8" s="592">
        <v>1996</v>
      </c>
      <c r="B8" s="593">
        <v>159</v>
      </c>
      <c r="C8" s="593">
        <v>0</v>
      </c>
      <c r="D8" s="593">
        <v>25</v>
      </c>
      <c r="E8" s="594">
        <v>145</v>
      </c>
      <c r="F8" s="594">
        <v>150</v>
      </c>
      <c r="G8" s="594">
        <v>136</v>
      </c>
    </row>
    <row r="9" spans="1:7" ht="17.25" customHeight="1" thickBot="1">
      <c r="A9" s="595">
        <v>1997</v>
      </c>
      <c r="B9" s="596">
        <v>142</v>
      </c>
      <c r="C9" s="596">
        <v>1</v>
      </c>
      <c r="D9" s="596">
        <v>18</v>
      </c>
      <c r="E9" s="597">
        <v>129</v>
      </c>
      <c r="F9" s="597">
        <v>135</v>
      </c>
      <c r="G9" s="597">
        <v>122</v>
      </c>
    </row>
    <row r="10" spans="1:7" ht="17.25" customHeight="1" thickBot="1">
      <c r="A10" s="595">
        <v>1998</v>
      </c>
      <c r="B10" s="596">
        <v>127</v>
      </c>
      <c r="C10" s="596">
        <v>0</v>
      </c>
      <c r="D10" s="596">
        <v>15</v>
      </c>
      <c r="E10" s="597">
        <v>118</v>
      </c>
      <c r="F10" s="597">
        <v>115</v>
      </c>
      <c r="G10" s="597">
        <v>106</v>
      </c>
    </row>
    <row r="11" spans="1:7" ht="17.25" customHeight="1" thickBot="1">
      <c r="A11" s="595">
        <v>1999</v>
      </c>
      <c r="B11" s="596">
        <v>119</v>
      </c>
      <c r="C11" s="596">
        <v>2</v>
      </c>
      <c r="D11" s="596">
        <v>10</v>
      </c>
      <c r="E11" s="597">
        <v>109</v>
      </c>
      <c r="F11" s="597">
        <v>109</v>
      </c>
      <c r="G11" s="597">
        <v>99</v>
      </c>
    </row>
    <row r="12" spans="1:7" ht="17.25" customHeight="1" thickBot="1">
      <c r="A12" s="595">
        <v>2000</v>
      </c>
      <c r="B12" s="596">
        <v>110</v>
      </c>
      <c r="C12" s="596">
        <v>0</v>
      </c>
      <c r="D12" s="596">
        <v>9</v>
      </c>
      <c r="E12" s="597">
        <v>101</v>
      </c>
      <c r="F12" s="597">
        <v>102</v>
      </c>
      <c r="G12" s="597">
        <v>93</v>
      </c>
    </row>
    <row r="13" spans="1:7" ht="17.25" customHeight="1" thickBot="1">
      <c r="A13" s="595">
        <v>2001</v>
      </c>
      <c r="B13" s="596">
        <v>108</v>
      </c>
      <c r="C13" s="596">
        <v>0</v>
      </c>
      <c r="D13" s="596">
        <v>2</v>
      </c>
      <c r="E13" s="597">
        <v>99</v>
      </c>
      <c r="F13" s="597">
        <v>102</v>
      </c>
      <c r="G13" s="597">
        <v>92</v>
      </c>
    </row>
    <row r="14" spans="1:7" ht="17.25" customHeight="1" thickBot="1">
      <c r="A14" s="592">
        <v>2002</v>
      </c>
      <c r="B14" s="593">
        <v>101</v>
      </c>
      <c r="C14" s="593">
        <v>1</v>
      </c>
      <c r="D14" s="593">
        <v>8</v>
      </c>
      <c r="E14" s="594">
        <v>93</v>
      </c>
      <c r="F14" s="594">
        <v>93</v>
      </c>
      <c r="G14" s="594">
        <v>85</v>
      </c>
    </row>
    <row r="15" spans="1:7" ht="17.25" customHeight="1" thickBot="1">
      <c r="A15" s="592">
        <v>2003</v>
      </c>
      <c r="B15" s="593">
        <v>99</v>
      </c>
      <c r="C15" s="593">
        <v>2</v>
      </c>
      <c r="D15" s="593">
        <v>3</v>
      </c>
      <c r="E15" s="594">
        <v>93</v>
      </c>
      <c r="F15" s="594">
        <v>92</v>
      </c>
      <c r="G15" s="594">
        <v>86</v>
      </c>
    </row>
    <row r="16" spans="1:7" ht="17.25" customHeight="1" thickBot="1">
      <c r="A16" s="592">
        <v>2004</v>
      </c>
      <c r="B16" s="593">
        <v>98</v>
      </c>
      <c r="C16" s="593">
        <v>0</v>
      </c>
      <c r="D16" s="593">
        <v>2</v>
      </c>
      <c r="E16" s="594">
        <v>92</v>
      </c>
      <c r="F16" s="594">
        <v>93</v>
      </c>
      <c r="G16" s="594">
        <v>87</v>
      </c>
    </row>
    <row r="17" spans="1:7" ht="17.25" customHeight="1" thickBot="1">
      <c r="A17" s="592">
        <v>2005</v>
      </c>
      <c r="B17" s="593">
        <v>90</v>
      </c>
      <c r="C17" s="593">
        <v>2</v>
      </c>
      <c r="D17" s="593">
        <v>9</v>
      </c>
      <c r="E17" s="594">
        <v>85</v>
      </c>
      <c r="F17" s="594">
        <v>82</v>
      </c>
      <c r="G17" s="594">
        <v>76</v>
      </c>
    </row>
    <row r="18" spans="1:7" ht="25.5" customHeight="1" thickBot="1">
      <c r="A18" s="598">
        <v>2006</v>
      </c>
      <c r="B18" s="548">
        <v>92</v>
      </c>
      <c r="C18" s="519">
        <v>2</v>
      </c>
      <c r="D18" s="548">
        <v>0</v>
      </c>
      <c r="E18" s="520">
        <v>87</v>
      </c>
      <c r="F18" s="520">
        <v>82</v>
      </c>
      <c r="G18" s="521">
        <v>77</v>
      </c>
    </row>
    <row r="19" spans="1:7" ht="20" customHeight="1">
      <c r="A19" s="136" t="s">
        <v>453</v>
      </c>
      <c r="B19" s="173"/>
      <c r="C19" s="136"/>
      <c r="D19" s="136"/>
      <c r="E19" s="173"/>
      <c r="F19" s="173"/>
    </row>
    <row r="20" spans="1:7" ht="12.75" customHeight="1">
      <c r="A20" s="3"/>
      <c r="B20" s="174"/>
      <c r="C20" s="3"/>
      <c r="D20" s="3"/>
      <c r="E20" s="174"/>
      <c r="F20" s="174"/>
    </row>
    <row r="21" spans="1:7" ht="12.75" customHeight="1">
      <c r="A21" s="3" t="s">
        <v>992</v>
      </c>
      <c r="B21" s="174"/>
      <c r="C21" s="3"/>
      <c r="D21" s="3"/>
      <c r="E21" s="174"/>
      <c r="F21" s="174"/>
    </row>
    <row r="22" spans="1:7" ht="12.75" customHeight="1">
      <c r="A22" s="3"/>
      <c r="B22" s="174"/>
      <c r="C22" s="3"/>
      <c r="D22" s="3"/>
      <c r="E22" s="174"/>
      <c r="F22" s="174"/>
    </row>
    <row r="23" spans="1:7" ht="12" customHeight="1">
      <c r="A23" s="41" t="s">
        <v>993</v>
      </c>
    </row>
    <row r="26" spans="1:7">
      <c r="A26" s="2" t="s">
        <v>1955</v>
      </c>
    </row>
  </sheetData>
  <phoneticPr fontId="0" type="noConversion"/>
  <pageMargins left="0.56000000000000005" right="0.42" top="0.76" bottom="0.49" header="0.44" footer="0.4921259845"/>
  <pageSetup paperSize="9" scale="80" orientation="portrait" horizontalDpi="1200" verticalDpi="1200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A86A-50D9-3141-A5D7-F12C96863976}">
  <sheetPr>
    <pageSetUpPr fitToPage="1"/>
  </sheetPr>
  <dimension ref="A1:M23"/>
  <sheetViews>
    <sheetView topLeftCell="A4" zoomScale="75" workbookViewId="0">
      <selection activeCell="J24" sqref="J24"/>
    </sheetView>
  </sheetViews>
  <sheetFormatPr baseColWidth="10" defaultColWidth="11.3984375" defaultRowHeight="13"/>
  <cols>
    <col min="1" max="1" width="12.796875" style="2" customWidth="1"/>
    <col min="2" max="9" width="11.796875" style="2" customWidth="1"/>
    <col min="10" max="16384" width="11.3984375" style="2"/>
  </cols>
  <sheetData>
    <row r="1" spans="1:13" s="1" customFormat="1" ht="14" customHeight="1"/>
    <row r="2" spans="1:13" s="1" customFormat="1" ht="28" customHeight="1">
      <c r="A2" s="112" t="s">
        <v>1707</v>
      </c>
      <c r="I2" s="265">
        <v>2006</v>
      </c>
    </row>
    <row r="3" spans="1:13" ht="24" customHeight="1">
      <c r="A3" s="567" t="s">
        <v>758</v>
      </c>
      <c r="B3" s="568" t="s">
        <v>1701</v>
      </c>
      <c r="C3" s="569" t="s">
        <v>1702</v>
      </c>
      <c r="D3" s="114" t="s">
        <v>1703</v>
      </c>
      <c r="E3" s="569" t="s">
        <v>1704</v>
      </c>
      <c r="F3" s="114" t="s">
        <v>1705</v>
      </c>
      <c r="G3" s="569" t="s">
        <v>944</v>
      </c>
      <c r="H3" s="114" t="s">
        <v>1951</v>
      </c>
      <c r="I3" s="569" t="s">
        <v>45</v>
      </c>
    </row>
    <row r="4" spans="1:13" ht="15" customHeight="1">
      <c r="A4" s="570"/>
      <c r="B4" s="571"/>
      <c r="C4" s="572">
        <v>10000</v>
      </c>
      <c r="D4" s="143">
        <v>50000</v>
      </c>
      <c r="E4" s="572">
        <v>100000</v>
      </c>
      <c r="F4" s="143">
        <v>500000</v>
      </c>
      <c r="G4" s="572">
        <v>500000</v>
      </c>
      <c r="H4" s="117"/>
      <c r="I4" s="573" t="s">
        <v>46</v>
      </c>
    </row>
    <row r="5" spans="1:13" ht="15" customHeight="1">
      <c r="A5" s="570"/>
      <c r="B5" s="571"/>
      <c r="C5" s="573"/>
      <c r="D5" s="117"/>
      <c r="E5" s="573"/>
      <c r="F5" s="117"/>
      <c r="G5" s="573"/>
      <c r="H5" s="117"/>
      <c r="I5" s="573" t="s">
        <v>50</v>
      </c>
    </row>
    <row r="6" spans="1:13" ht="24" customHeight="1">
      <c r="A6" s="574"/>
      <c r="B6" s="575"/>
      <c r="C6" s="576"/>
      <c r="D6" s="123"/>
      <c r="E6" s="576"/>
      <c r="F6" s="123"/>
      <c r="G6" s="576"/>
      <c r="H6" s="123"/>
      <c r="I6" s="576"/>
    </row>
    <row r="7" spans="1:13" ht="21.75" customHeight="1" thickBot="1">
      <c r="A7" s="577">
        <v>1996</v>
      </c>
      <c r="B7" s="578">
        <v>90</v>
      </c>
      <c r="C7" s="579">
        <v>14</v>
      </c>
      <c r="D7" s="145">
        <v>20</v>
      </c>
      <c r="E7" s="579">
        <v>6</v>
      </c>
      <c r="F7" s="145">
        <v>12</v>
      </c>
      <c r="G7" s="579">
        <v>3</v>
      </c>
      <c r="H7" s="145">
        <v>145</v>
      </c>
      <c r="I7" s="580">
        <v>-0.12650602409638553</v>
      </c>
    </row>
    <row r="8" spans="1:13" ht="20" customHeight="1" thickBot="1">
      <c r="A8" s="581">
        <v>1997</v>
      </c>
      <c r="B8" s="582">
        <v>76</v>
      </c>
      <c r="C8" s="583">
        <v>14</v>
      </c>
      <c r="D8" s="147">
        <v>20</v>
      </c>
      <c r="E8" s="583">
        <v>4</v>
      </c>
      <c r="F8" s="147">
        <v>11</v>
      </c>
      <c r="G8" s="583">
        <v>4</v>
      </c>
      <c r="H8" s="147">
        <v>129</v>
      </c>
      <c r="I8" s="584">
        <v>-0.1103448275862069</v>
      </c>
      <c r="K8" s="9"/>
      <c r="L8" s="9"/>
      <c r="M8" s="9"/>
    </row>
    <row r="9" spans="1:13" ht="20" customHeight="1" thickBot="1">
      <c r="A9" s="581">
        <v>1998</v>
      </c>
      <c r="B9" s="582">
        <v>64</v>
      </c>
      <c r="C9" s="583">
        <v>13</v>
      </c>
      <c r="D9" s="147">
        <v>21</v>
      </c>
      <c r="E9" s="583">
        <v>6</v>
      </c>
      <c r="F9" s="147">
        <v>10</v>
      </c>
      <c r="G9" s="583">
        <v>4</v>
      </c>
      <c r="H9" s="147">
        <v>118</v>
      </c>
      <c r="I9" s="584">
        <v>-8.5271317829457363E-2</v>
      </c>
    </row>
    <row r="10" spans="1:13" ht="20" customHeight="1" thickBot="1">
      <c r="A10" s="581">
        <v>1999</v>
      </c>
      <c r="B10" s="582">
        <v>56</v>
      </c>
      <c r="C10" s="583">
        <v>12</v>
      </c>
      <c r="D10" s="147">
        <v>19</v>
      </c>
      <c r="E10" s="583">
        <v>8</v>
      </c>
      <c r="F10" s="147">
        <v>10</v>
      </c>
      <c r="G10" s="583">
        <v>4</v>
      </c>
      <c r="H10" s="147">
        <v>109</v>
      </c>
      <c r="I10" s="584">
        <v>-7.6271186440677971E-2</v>
      </c>
    </row>
    <row r="11" spans="1:13" ht="20" customHeight="1" thickBot="1">
      <c r="A11" s="581">
        <v>2000</v>
      </c>
      <c r="B11" s="582">
        <v>48</v>
      </c>
      <c r="C11" s="583">
        <v>11</v>
      </c>
      <c r="D11" s="147">
        <v>19</v>
      </c>
      <c r="E11" s="583">
        <v>9</v>
      </c>
      <c r="F11" s="147">
        <v>10</v>
      </c>
      <c r="G11" s="583">
        <v>4</v>
      </c>
      <c r="H11" s="147">
        <v>101</v>
      </c>
      <c r="I11" s="584">
        <v>-7.3394495412844041E-2</v>
      </c>
    </row>
    <row r="12" spans="1:13" ht="20" customHeight="1" thickBot="1">
      <c r="A12" s="581">
        <v>2001</v>
      </c>
      <c r="B12" s="582">
        <v>43</v>
      </c>
      <c r="C12" s="583">
        <v>9</v>
      </c>
      <c r="D12" s="147">
        <v>23</v>
      </c>
      <c r="E12" s="583">
        <v>9</v>
      </c>
      <c r="F12" s="147">
        <v>11</v>
      </c>
      <c r="G12" s="583">
        <v>4</v>
      </c>
      <c r="H12" s="147">
        <v>99</v>
      </c>
      <c r="I12" s="584">
        <v>-1.9801980198019802E-2</v>
      </c>
    </row>
    <row r="13" spans="1:13" ht="20" customHeight="1" thickBot="1">
      <c r="A13" s="581">
        <v>2002</v>
      </c>
      <c r="B13" s="582">
        <v>33</v>
      </c>
      <c r="C13" s="583">
        <v>10</v>
      </c>
      <c r="D13" s="147">
        <v>25</v>
      </c>
      <c r="E13" s="583">
        <v>9</v>
      </c>
      <c r="F13" s="147">
        <v>13</v>
      </c>
      <c r="G13" s="583">
        <v>3</v>
      </c>
      <c r="H13" s="147">
        <v>93</v>
      </c>
      <c r="I13" s="584">
        <v>-6.0606060606060608E-2</v>
      </c>
    </row>
    <row r="14" spans="1:13" ht="20" customHeight="1" thickBot="1">
      <c r="A14" s="581">
        <v>2003</v>
      </c>
      <c r="B14" s="582">
        <v>32</v>
      </c>
      <c r="C14" s="583">
        <v>10</v>
      </c>
      <c r="D14" s="147">
        <v>26</v>
      </c>
      <c r="E14" s="583">
        <v>9</v>
      </c>
      <c r="F14" s="147">
        <v>12</v>
      </c>
      <c r="G14" s="583">
        <v>4</v>
      </c>
      <c r="H14" s="147">
        <v>93</v>
      </c>
      <c r="I14" s="584">
        <v>0</v>
      </c>
    </row>
    <row r="15" spans="1:13" ht="20" customHeight="1" thickBot="1">
      <c r="A15" s="581">
        <v>2004</v>
      </c>
      <c r="B15" s="582">
        <v>32</v>
      </c>
      <c r="C15" s="583">
        <v>11</v>
      </c>
      <c r="D15" s="147">
        <v>24</v>
      </c>
      <c r="E15" s="583">
        <v>9</v>
      </c>
      <c r="F15" s="147">
        <v>12</v>
      </c>
      <c r="G15" s="583">
        <v>4</v>
      </c>
      <c r="H15" s="147">
        <v>92</v>
      </c>
      <c r="I15" s="584">
        <v>-1.0752688172043012E-2</v>
      </c>
    </row>
    <row r="16" spans="1:13" ht="20" customHeight="1" thickBot="1">
      <c r="A16" s="581">
        <v>2005</v>
      </c>
      <c r="B16" s="582">
        <v>27</v>
      </c>
      <c r="C16" s="583">
        <v>13</v>
      </c>
      <c r="D16" s="147">
        <v>20</v>
      </c>
      <c r="E16" s="583">
        <v>8</v>
      </c>
      <c r="F16" s="147">
        <v>13</v>
      </c>
      <c r="G16" s="583">
        <v>4</v>
      </c>
      <c r="H16" s="147">
        <v>85</v>
      </c>
      <c r="I16" s="584">
        <v>-7.6086956521739135E-2</v>
      </c>
    </row>
    <row r="17" spans="1:9" ht="30" customHeight="1" thickBot="1">
      <c r="A17" s="585">
        <v>2006</v>
      </c>
      <c r="B17" s="586">
        <v>28</v>
      </c>
      <c r="C17" s="587">
        <v>14</v>
      </c>
      <c r="D17" s="282">
        <v>20</v>
      </c>
      <c r="E17" s="587">
        <v>7</v>
      </c>
      <c r="F17" s="282">
        <v>14</v>
      </c>
      <c r="G17" s="587">
        <v>4</v>
      </c>
      <c r="H17" s="282">
        <v>87</v>
      </c>
      <c r="I17" s="588">
        <v>2.3529411764705882E-2</v>
      </c>
    </row>
    <row r="18" spans="1:9" ht="20" customHeight="1">
      <c r="A18" s="136" t="s">
        <v>453</v>
      </c>
      <c r="B18" s="279"/>
      <c r="C18" s="279"/>
      <c r="D18" s="279"/>
      <c r="E18" s="279"/>
      <c r="F18" s="279"/>
      <c r="G18" s="279"/>
      <c r="H18" s="279"/>
      <c r="I18" s="589"/>
    </row>
    <row r="19" spans="1:9" ht="13.5" customHeight="1">
      <c r="A19" s="3"/>
      <c r="B19" s="281"/>
      <c r="C19" s="281"/>
      <c r="D19" s="281"/>
      <c r="E19" s="281"/>
      <c r="F19" s="281"/>
      <c r="G19" s="281"/>
      <c r="H19" s="281"/>
      <c r="I19" s="590"/>
    </row>
    <row r="20" spans="1:9">
      <c r="A20" s="2" t="s">
        <v>1706</v>
      </c>
    </row>
    <row r="23" spans="1:9">
      <c r="A23" s="2" t="s">
        <v>1955</v>
      </c>
    </row>
  </sheetData>
  <phoneticPr fontId="0" type="noConversion"/>
  <pageMargins left="0.53" right="0.61" top="1.03" bottom="0.49" header="0.56000000000000005" footer="0.4921259845"/>
  <pageSetup paperSize="9" scale="86" orientation="portrait" horizontalDpi="4294967292" verticalDpi="4294967292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6AE5-FC5F-9C44-9D70-7D407C29983A}">
  <sheetPr>
    <pageSetUpPr fitToPage="1"/>
  </sheetPr>
  <dimension ref="A1:L26"/>
  <sheetViews>
    <sheetView topLeftCell="A7" zoomScale="75" workbookViewId="0">
      <selection activeCell="A16" sqref="A16:IV16"/>
    </sheetView>
  </sheetViews>
  <sheetFormatPr baseColWidth="10" defaultColWidth="11.3984375" defaultRowHeight="13"/>
  <cols>
    <col min="1" max="1" width="14.59765625" style="2" customWidth="1"/>
    <col min="2" max="7" width="12.796875" style="2" customWidth="1"/>
    <col min="8" max="8" width="13.796875" style="415" customWidth="1"/>
    <col min="9" max="16384" width="11.3984375" style="2"/>
  </cols>
  <sheetData>
    <row r="1" spans="1:12" s="1" customFormat="1" ht="14" customHeight="1">
      <c r="H1" s="392"/>
    </row>
    <row r="2" spans="1:12" s="1" customFormat="1" ht="28" customHeight="1">
      <c r="A2" s="58" t="s">
        <v>1692</v>
      </c>
      <c r="B2" s="58"/>
      <c r="H2" s="265">
        <v>2006</v>
      </c>
    </row>
    <row r="3" spans="1:12" ht="24" customHeight="1">
      <c r="A3" s="113" t="s">
        <v>1226</v>
      </c>
      <c r="B3" s="553" t="s">
        <v>1693</v>
      </c>
      <c r="C3" s="554"/>
      <c r="D3" s="553" t="s">
        <v>1694</v>
      </c>
      <c r="E3" s="554"/>
      <c r="F3" s="555" t="s">
        <v>1695</v>
      </c>
      <c r="G3" s="554"/>
      <c r="H3" s="556" t="s">
        <v>45</v>
      </c>
    </row>
    <row r="4" spans="1:12" ht="15" customHeight="1">
      <c r="A4" s="248"/>
      <c r="B4" s="557" t="s">
        <v>1696</v>
      </c>
      <c r="C4" s="558" t="s">
        <v>878</v>
      </c>
      <c r="D4" s="557" t="s">
        <v>1696</v>
      </c>
      <c r="E4" s="558" t="s">
        <v>878</v>
      </c>
      <c r="F4" s="557" t="s">
        <v>1696</v>
      </c>
      <c r="G4" s="558" t="s">
        <v>878</v>
      </c>
      <c r="H4" s="559" t="s">
        <v>46</v>
      </c>
    </row>
    <row r="5" spans="1:12" ht="15" customHeight="1">
      <c r="A5" s="248"/>
      <c r="B5" s="560"/>
      <c r="C5" s="561"/>
      <c r="D5" s="562"/>
      <c r="E5" s="561"/>
      <c r="F5" s="562"/>
      <c r="G5" s="561"/>
      <c r="H5" s="559" t="s">
        <v>1700</v>
      </c>
    </row>
    <row r="6" spans="1:12" ht="24" customHeight="1">
      <c r="A6" s="249"/>
      <c r="B6" s="563"/>
      <c r="C6" s="122"/>
      <c r="D6" s="123"/>
      <c r="E6" s="122"/>
      <c r="F6" s="123"/>
      <c r="G6" s="122"/>
      <c r="H6" s="543"/>
    </row>
    <row r="7" spans="1:12" ht="21.75" customHeight="1" thickBot="1">
      <c r="A7" s="250">
        <v>1996</v>
      </c>
      <c r="B7" s="564">
        <v>5252</v>
      </c>
      <c r="C7" s="198">
        <v>5728</v>
      </c>
      <c r="D7" s="145">
        <v>5623</v>
      </c>
      <c r="E7" s="198">
        <v>7761</v>
      </c>
      <c r="F7" s="145">
        <v>10875</v>
      </c>
      <c r="G7" s="198">
        <v>13489</v>
      </c>
      <c r="H7" s="544">
        <v>6.9028372166745913E-2</v>
      </c>
      <c r="J7" s="9"/>
      <c r="K7" s="9"/>
      <c r="L7" s="9"/>
    </row>
    <row r="8" spans="1:12" ht="20" customHeight="1" thickBot="1">
      <c r="A8" s="251">
        <v>1997</v>
      </c>
      <c r="B8" s="565">
        <v>5702</v>
      </c>
      <c r="C8" s="204">
        <v>6184</v>
      </c>
      <c r="D8" s="147">
        <v>4631</v>
      </c>
      <c r="E8" s="204">
        <v>6865</v>
      </c>
      <c r="F8" s="147">
        <v>10333</v>
      </c>
      <c r="G8" s="204">
        <v>13049</v>
      </c>
      <c r="H8" s="545">
        <v>-3.2619171176514195E-2</v>
      </c>
    </row>
    <row r="9" spans="1:12" ht="20" customHeight="1" thickBot="1">
      <c r="A9" s="251">
        <v>1998</v>
      </c>
      <c r="B9" s="565">
        <v>5440</v>
      </c>
      <c r="C9" s="204">
        <v>5884</v>
      </c>
      <c r="D9" s="147">
        <v>4852</v>
      </c>
      <c r="E9" s="204">
        <v>6728</v>
      </c>
      <c r="F9" s="147">
        <v>10292</v>
      </c>
      <c r="G9" s="204">
        <v>12612</v>
      </c>
      <c r="H9" s="545">
        <v>-3.3489156257184405E-2</v>
      </c>
    </row>
    <row r="10" spans="1:12" ht="20" customHeight="1" thickBot="1">
      <c r="A10" s="251">
        <v>1999</v>
      </c>
      <c r="B10" s="565">
        <v>5286</v>
      </c>
      <c r="C10" s="204">
        <v>5825</v>
      </c>
      <c r="D10" s="147">
        <v>4444</v>
      </c>
      <c r="E10" s="204">
        <v>6096</v>
      </c>
      <c r="F10" s="147">
        <v>9729</v>
      </c>
      <c r="G10" s="204">
        <v>11920</v>
      </c>
      <c r="H10" s="545">
        <v>-5.4868379321281302E-2</v>
      </c>
    </row>
    <row r="11" spans="1:12" ht="20" customHeight="1" thickBot="1">
      <c r="A11" s="251">
        <v>2000</v>
      </c>
      <c r="B11" s="565">
        <v>4367</v>
      </c>
      <c r="C11" s="204">
        <v>4846</v>
      </c>
      <c r="D11" s="147">
        <v>5837</v>
      </c>
      <c r="E11" s="204">
        <v>7246</v>
      </c>
      <c r="F11" s="147">
        <v>10204</v>
      </c>
      <c r="G11" s="204">
        <v>12092</v>
      </c>
      <c r="H11" s="545">
        <v>1.4429530201342189E-2</v>
      </c>
    </row>
    <row r="12" spans="1:12" ht="20" customHeight="1" thickBot="1">
      <c r="A12" s="251">
        <v>2001</v>
      </c>
      <c r="B12" s="565">
        <v>4317</v>
      </c>
      <c r="C12" s="204">
        <v>4736</v>
      </c>
      <c r="D12" s="147">
        <v>3995</v>
      </c>
      <c r="E12" s="204">
        <v>4942</v>
      </c>
      <c r="F12" s="147">
        <v>8312</v>
      </c>
      <c r="G12" s="204">
        <v>9678</v>
      </c>
      <c r="H12" s="545">
        <v>-0.19963612305656631</v>
      </c>
    </row>
    <row r="13" spans="1:12" ht="21.75" customHeight="1" thickBot="1">
      <c r="A13" s="251">
        <v>2002</v>
      </c>
      <c r="B13" s="565">
        <v>4346</v>
      </c>
      <c r="C13" s="204">
        <v>4839</v>
      </c>
      <c r="D13" s="147">
        <v>3951</v>
      </c>
      <c r="E13" s="204">
        <v>4838</v>
      </c>
      <c r="F13" s="147">
        <v>8297</v>
      </c>
      <c r="G13" s="204">
        <v>9677</v>
      </c>
      <c r="H13" s="545">
        <v>-1.0332713370531099E-4</v>
      </c>
    </row>
    <row r="14" spans="1:12" ht="21.75" customHeight="1" thickBot="1">
      <c r="A14" s="251">
        <v>2003</v>
      </c>
      <c r="B14" s="565">
        <v>5023</v>
      </c>
      <c r="C14" s="204">
        <v>5690</v>
      </c>
      <c r="D14" s="147">
        <v>2968</v>
      </c>
      <c r="E14" s="204">
        <v>3779</v>
      </c>
      <c r="F14" s="147">
        <v>7991</v>
      </c>
      <c r="G14" s="204">
        <v>9469</v>
      </c>
      <c r="H14" s="545">
        <v>-2.1494264751472536E-2</v>
      </c>
    </row>
    <row r="15" spans="1:12" ht="21.75" customHeight="1" thickBot="1">
      <c r="A15" s="251">
        <v>2004</v>
      </c>
      <c r="B15" s="565">
        <v>5428</v>
      </c>
      <c r="C15" s="204">
        <v>6333</v>
      </c>
      <c r="D15" s="147">
        <v>2801</v>
      </c>
      <c r="E15" s="204">
        <v>3511</v>
      </c>
      <c r="F15" s="147">
        <v>8229</v>
      </c>
      <c r="G15" s="204">
        <v>9844</v>
      </c>
      <c r="H15" s="545">
        <v>3.9602914774527376E-2</v>
      </c>
    </row>
    <row r="16" spans="1:12" ht="21.75" customHeight="1" thickBot="1">
      <c r="A16" s="251">
        <v>2005</v>
      </c>
      <c r="B16" s="565">
        <v>5554</v>
      </c>
      <c r="C16" s="204">
        <v>6193</v>
      </c>
      <c r="D16" s="147">
        <v>3178</v>
      </c>
      <c r="E16" s="204">
        <v>3889</v>
      </c>
      <c r="F16" s="147">
        <v>8732</v>
      </c>
      <c r="G16" s="204">
        <v>10082</v>
      </c>
      <c r="H16" s="545">
        <v>2.4177163754571351E-2</v>
      </c>
    </row>
    <row r="17" spans="1:8" s="390" customFormat="1" ht="26.25" customHeight="1" thickBot="1">
      <c r="A17" s="508">
        <v>2006</v>
      </c>
      <c r="B17" s="566">
        <v>5770</v>
      </c>
      <c r="C17" s="205">
        <v>6389</v>
      </c>
      <c r="D17" s="149">
        <v>3049</v>
      </c>
      <c r="E17" s="205">
        <v>3717</v>
      </c>
      <c r="F17" s="149">
        <v>8819</v>
      </c>
      <c r="G17" s="205">
        <v>10106</v>
      </c>
      <c r="H17" s="547">
        <v>2.3804800634794621E-3</v>
      </c>
    </row>
    <row r="18" spans="1:8" ht="20.25" customHeight="1">
      <c r="A18" s="136" t="s">
        <v>453</v>
      </c>
      <c r="B18" s="136"/>
      <c r="C18" s="136"/>
      <c r="D18" s="136"/>
      <c r="E18" s="136"/>
      <c r="F18" s="136"/>
      <c r="G18" s="136"/>
      <c r="H18" s="413"/>
    </row>
    <row r="19" spans="1:8" ht="14.25" customHeight="1">
      <c r="A19" s="3"/>
      <c r="B19" s="3"/>
      <c r="C19" s="3"/>
      <c r="D19" s="3"/>
      <c r="E19" s="3"/>
      <c r="F19" s="3"/>
      <c r="G19" s="3"/>
      <c r="H19" s="414"/>
    </row>
    <row r="20" spans="1:8">
      <c r="A20" s="2" t="s">
        <v>1697</v>
      </c>
    </row>
    <row r="21" spans="1:8">
      <c r="A21" s="2" t="s">
        <v>1698</v>
      </c>
    </row>
    <row r="23" spans="1:8">
      <c r="A23" s="2" t="s">
        <v>1699</v>
      </c>
    </row>
    <row r="26" spans="1:8">
      <c r="A26" s="2" t="s">
        <v>1955</v>
      </c>
    </row>
  </sheetData>
  <phoneticPr fontId="0" type="noConversion"/>
  <pageMargins left="0.69" right="0.69" top="1.03" bottom="0.49" header="0.61" footer="0.4921259845"/>
  <pageSetup paperSize="9" scale="85" orientation="portrait" horizontalDpi="4294967292" verticalDpi="4294967292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FDF2-6933-774A-8E6C-4D5610B4145D}">
  <sheetPr>
    <pageSetUpPr fitToPage="1"/>
  </sheetPr>
  <dimension ref="A1:K28"/>
  <sheetViews>
    <sheetView zoomScale="75" workbookViewId="0">
      <selection activeCell="A3" sqref="A3"/>
    </sheetView>
  </sheetViews>
  <sheetFormatPr baseColWidth="10" defaultColWidth="11.3984375" defaultRowHeight="13"/>
  <cols>
    <col min="1" max="1" width="15.796875" style="2" customWidth="1"/>
    <col min="2" max="2" width="15.19921875" style="2" customWidth="1"/>
    <col min="3" max="3" width="15.19921875" style="415" customWidth="1"/>
    <col min="4" max="4" width="15.19921875" style="2" customWidth="1"/>
    <col min="5" max="5" width="15.19921875" style="415" customWidth="1"/>
    <col min="6" max="6" width="15.19921875" style="2" customWidth="1"/>
    <col min="7" max="7" width="15.19921875" style="415" customWidth="1"/>
    <col min="8" max="8" width="10.3984375" style="2" customWidth="1"/>
    <col min="9" max="16384" width="11.3984375" style="2"/>
  </cols>
  <sheetData>
    <row r="1" spans="1:11" s="1" customFormat="1" ht="14" customHeight="1">
      <c r="C1" s="392"/>
      <c r="E1" s="392"/>
      <c r="G1" s="392"/>
    </row>
    <row r="2" spans="1:11" s="1" customFormat="1" ht="28" customHeight="1">
      <c r="A2" s="58" t="s">
        <v>1228</v>
      </c>
      <c r="C2" s="392"/>
      <c r="E2" s="392"/>
      <c r="G2" s="265">
        <v>2006</v>
      </c>
    </row>
    <row r="3" spans="1:11" ht="24" customHeight="1">
      <c r="A3" s="113" t="s">
        <v>1226</v>
      </c>
      <c r="B3" s="114" t="s">
        <v>1421</v>
      </c>
      <c r="C3" s="394" t="s">
        <v>45</v>
      </c>
      <c r="D3" s="114" t="s">
        <v>1422</v>
      </c>
      <c r="E3" s="394" t="s">
        <v>45</v>
      </c>
      <c r="F3" s="114" t="s">
        <v>894</v>
      </c>
      <c r="G3" s="394" t="s">
        <v>45</v>
      </c>
    </row>
    <row r="4" spans="1:11" ht="15" customHeight="1">
      <c r="A4" s="248"/>
      <c r="B4" s="117" t="s">
        <v>894</v>
      </c>
      <c r="C4" s="494" t="s">
        <v>46</v>
      </c>
      <c r="D4" s="117" t="s">
        <v>1423</v>
      </c>
      <c r="E4" s="494" t="s">
        <v>46</v>
      </c>
      <c r="F4" s="117" t="s">
        <v>1424</v>
      </c>
      <c r="G4" s="494" t="s">
        <v>46</v>
      </c>
    </row>
    <row r="5" spans="1:11" ht="15" customHeight="1">
      <c r="A5" s="248"/>
      <c r="B5" s="117" t="s">
        <v>1425</v>
      </c>
      <c r="C5" s="494" t="s">
        <v>50</v>
      </c>
      <c r="D5" s="117" t="s">
        <v>1426</v>
      </c>
      <c r="E5" s="494" t="s">
        <v>50</v>
      </c>
      <c r="F5" s="117" t="s">
        <v>1238</v>
      </c>
      <c r="G5" s="494" t="s">
        <v>50</v>
      </c>
    </row>
    <row r="6" spans="1:11" ht="24" customHeight="1">
      <c r="A6" s="249"/>
      <c r="B6" s="123"/>
      <c r="C6" s="395"/>
      <c r="D6" s="123" t="s">
        <v>839</v>
      </c>
      <c r="E6" s="395"/>
      <c r="F6" s="123"/>
      <c r="G6" s="395"/>
    </row>
    <row r="7" spans="1:11" ht="20" customHeight="1" thickBot="1">
      <c r="A7" s="250">
        <v>1996</v>
      </c>
      <c r="B7" s="145">
        <v>16879.057940520001</v>
      </c>
      <c r="C7" s="421">
        <v>3.1990175768496547E-2</v>
      </c>
      <c r="D7" s="145">
        <v>17192.470827740002</v>
      </c>
      <c r="E7" s="421">
        <v>6.792517720196245E-2</v>
      </c>
      <c r="F7" s="145">
        <v>-313.41288724000009</v>
      </c>
      <c r="G7" s="421">
        <v>-2.2198566405891191</v>
      </c>
      <c r="I7" s="9"/>
      <c r="J7" s="9"/>
      <c r="K7" s="9"/>
    </row>
    <row r="8" spans="1:11" ht="20" customHeight="1" thickBot="1">
      <c r="A8" s="251">
        <v>1997</v>
      </c>
      <c r="B8" s="147">
        <v>17865.03228775</v>
      </c>
      <c r="C8" s="499">
        <v>5.8414062603758345E-2</v>
      </c>
      <c r="D8" s="147">
        <v>17672.056997619999</v>
      </c>
      <c r="E8" s="499">
        <v>2.7895127738485698E-2</v>
      </c>
      <c r="F8" s="147">
        <v>192.97529009999997</v>
      </c>
      <c r="G8" s="499">
        <v>1.6157222563481464</v>
      </c>
    </row>
    <row r="9" spans="1:11" ht="20" customHeight="1" thickBot="1">
      <c r="A9" s="251">
        <v>1998</v>
      </c>
      <c r="B9" s="147">
        <v>18556.3398476</v>
      </c>
      <c r="C9" s="499">
        <v>3.8696127088671844E-2</v>
      </c>
      <c r="D9" s="147">
        <v>18402.610160249998</v>
      </c>
      <c r="E9" s="499">
        <v>4.1339452601832818E-2</v>
      </c>
      <c r="F9" s="147">
        <v>153.72876116999998</v>
      </c>
      <c r="G9" s="499">
        <v>-0.20337592916514025</v>
      </c>
    </row>
    <row r="10" spans="1:11" ht="19.5" customHeight="1" thickBot="1">
      <c r="A10" s="251">
        <v>1999</v>
      </c>
      <c r="B10" s="147">
        <v>18130.009685380002</v>
      </c>
      <c r="C10" s="499">
        <v>-2.2974905920099209E-2</v>
      </c>
      <c r="D10" s="147">
        <v>18002.60641059</v>
      </c>
      <c r="E10" s="499">
        <v>-2.1736250791423828E-2</v>
      </c>
      <c r="F10" s="147">
        <v>127.40327493000001</v>
      </c>
      <c r="G10" s="499">
        <v>-0.17124633048260957</v>
      </c>
    </row>
    <row r="11" spans="1:11" ht="19.5" customHeight="1" thickBot="1">
      <c r="A11" s="251">
        <v>2000</v>
      </c>
      <c r="B11" s="147">
        <v>17664.531028940004</v>
      </c>
      <c r="C11" s="499">
        <v>-2.5674484708927636E-2</v>
      </c>
      <c r="D11" s="147">
        <v>17831.851511680001</v>
      </c>
      <c r="E11" s="499">
        <v>-9.4850098377728953E-3</v>
      </c>
      <c r="F11" s="147">
        <v>-167.29975024999999</v>
      </c>
      <c r="G11" s="499">
        <v>-2.3131510971120686</v>
      </c>
    </row>
    <row r="12" spans="1:11" ht="19.5" customHeight="1" thickBot="1">
      <c r="A12" s="251">
        <v>2001</v>
      </c>
      <c r="B12" s="147">
        <v>16854.501682999999</v>
      </c>
      <c r="C12" s="499">
        <v>-4.5856261035910006E-2</v>
      </c>
      <c r="D12" s="147">
        <v>17581.378779999999</v>
      </c>
      <c r="E12" s="499">
        <v>-1.4046367059300624E-2</v>
      </c>
      <c r="F12" s="147">
        <v>-724.67685832999996</v>
      </c>
      <c r="G12" s="499">
        <v>-3.3316075322712564</v>
      </c>
    </row>
    <row r="13" spans="1:11" ht="19.5" customHeight="1" thickBot="1">
      <c r="A13" s="251">
        <v>2002</v>
      </c>
      <c r="B13" s="147">
        <v>17923.033692000001</v>
      </c>
      <c r="C13" s="499">
        <v>6.3397425156613174E-2</v>
      </c>
      <c r="D13" s="147">
        <v>18156.411305000001</v>
      </c>
      <c r="E13" s="499">
        <v>3.2706907245189543E-2</v>
      </c>
      <c r="F13" s="147">
        <v>-233.37761233999998</v>
      </c>
      <c r="G13" s="499">
        <v>0.67795630610060742</v>
      </c>
    </row>
    <row r="14" spans="1:11" ht="19.5" customHeight="1" thickBot="1">
      <c r="A14" s="251">
        <v>2003</v>
      </c>
      <c r="B14" s="147">
        <v>19735.068495</v>
      </c>
      <c r="C14" s="499">
        <v>0.10110089810347267</v>
      </c>
      <c r="D14" s="147">
        <v>19234.994873</v>
      </c>
      <c r="E14" s="499">
        <v>5.9405107643875299E-2</v>
      </c>
      <c r="F14" s="147">
        <v>500.07362212000004</v>
      </c>
      <c r="G14" s="499">
        <v>3.1427660395782078</v>
      </c>
    </row>
    <row r="15" spans="1:11" ht="19.5" customHeight="1" thickBot="1">
      <c r="A15" s="251">
        <v>2004</v>
      </c>
      <c r="B15" s="147">
        <v>20469.211171999999</v>
      </c>
      <c r="C15" s="499">
        <v>3.7199905193437743E-2</v>
      </c>
      <c r="D15" s="147">
        <v>19860.79033</v>
      </c>
      <c r="E15" s="499">
        <v>3.2534214910471482E-2</v>
      </c>
      <c r="F15" s="147">
        <v>608.42084196000008</v>
      </c>
      <c r="G15" s="499">
        <v>0.21666253736934862</v>
      </c>
    </row>
    <row r="16" spans="1:11" ht="19.5" customHeight="1" thickBot="1">
      <c r="A16" s="251">
        <v>2005</v>
      </c>
      <c r="B16" s="147">
        <v>21134.645651759998</v>
      </c>
      <c r="C16" s="499">
        <v>3.2509043664088688E-2</v>
      </c>
      <c r="D16" s="147">
        <v>20885.686091</v>
      </c>
      <c r="E16" s="499">
        <v>5.1603976678203045E-2</v>
      </c>
      <c r="F16" s="147">
        <v>248.95956138999998</v>
      </c>
      <c r="G16" s="499">
        <v>-0.59081026779426549</v>
      </c>
    </row>
    <row r="17" spans="1:9" s="390" customFormat="1" ht="26.25" customHeight="1" thickBot="1">
      <c r="A17" s="508">
        <v>2006</v>
      </c>
      <c r="B17" s="149">
        <v>21891.095507740003</v>
      </c>
      <c r="C17" s="509">
        <v>3.5791934648168988E-2</v>
      </c>
      <c r="D17" s="149">
        <v>21334.273675</v>
      </c>
      <c r="E17" s="509">
        <v>2.147823069088961E-2</v>
      </c>
      <c r="F17" s="149">
        <v>556.82183227999997</v>
      </c>
      <c r="G17" s="509">
        <v>1.2365954903323748</v>
      </c>
      <c r="I17" s="552"/>
    </row>
    <row r="18" spans="1:9" ht="20" customHeight="1">
      <c r="A18" s="136" t="s">
        <v>453</v>
      </c>
      <c r="B18" s="136"/>
      <c r="C18" s="413"/>
      <c r="D18" s="136"/>
      <c r="E18" s="413"/>
      <c r="F18" s="136"/>
      <c r="G18" s="413"/>
    </row>
    <row r="19" spans="1:9" ht="13.5" customHeight="1">
      <c r="A19" s="3"/>
      <c r="B19" s="3"/>
      <c r="C19" s="414"/>
      <c r="D19" s="3"/>
      <c r="E19" s="414"/>
      <c r="F19" s="3"/>
      <c r="G19" s="414"/>
    </row>
    <row r="20" spans="1:9">
      <c r="A20" s="3" t="s">
        <v>1229</v>
      </c>
    </row>
    <row r="21" spans="1:9">
      <c r="A21" s="2" t="s">
        <v>843</v>
      </c>
    </row>
    <row r="22" spans="1:9">
      <c r="A22" s="2" t="s">
        <v>1242</v>
      </c>
    </row>
    <row r="23" spans="1:9">
      <c r="A23" s="2" t="s">
        <v>1230</v>
      </c>
    </row>
    <row r="25" spans="1:9">
      <c r="A25" s="2" t="s">
        <v>1237</v>
      </c>
    </row>
    <row r="28" spans="1:9">
      <c r="A28" s="2" t="s">
        <v>1955</v>
      </c>
    </row>
  </sheetData>
  <phoneticPr fontId="0" type="noConversion"/>
  <pageMargins left="0.67" right="0.78740157480314965" top="1.1000000000000001" bottom="0.49" header="0.59" footer="0.4921259845"/>
  <pageSetup paperSize="9" scale="75" orientation="portrait" horizontalDpi="4294967292" verticalDpi="4294967292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200B-934F-5B48-8507-5E1944752C5B}">
  <sheetPr>
    <pageSetUpPr fitToPage="1"/>
  </sheetPr>
  <dimension ref="A1:D48"/>
  <sheetViews>
    <sheetView zoomScale="75" workbookViewId="0">
      <selection activeCell="D2" sqref="D2"/>
    </sheetView>
  </sheetViews>
  <sheetFormatPr baseColWidth="10" defaultColWidth="11.3984375" defaultRowHeight="13"/>
  <cols>
    <col min="1" max="1" width="10.796875" style="2" customWidth="1"/>
    <col min="2" max="2" width="60.3984375" style="97" customWidth="1"/>
    <col min="3" max="3" width="18.3984375" style="8" customWidth="1"/>
    <col min="4" max="4" width="17" style="415" customWidth="1"/>
    <col min="5" max="16384" width="11.3984375" style="2"/>
  </cols>
  <sheetData>
    <row r="1" spans="1:4" s="1" customFormat="1" ht="14" customHeight="1">
      <c r="B1" s="169"/>
      <c r="C1" s="175"/>
      <c r="D1" s="392"/>
    </row>
    <row r="2" spans="1:4" s="1" customFormat="1" ht="28" customHeight="1">
      <c r="A2" s="58" t="s">
        <v>1773</v>
      </c>
      <c r="B2" s="169"/>
      <c r="C2" s="175"/>
      <c r="D2" s="265">
        <v>2006</v>
      </c>
    </row>
    <row r="3" spans="1:4" ht="39" customHeight="1">
      <c r="A3" s="113" t="s">
        <v>1004</v>
      </c>
      <c r="B3" s="170"/>
      <c r="C3" s="142" t="s">
        <v>797</v>
      </c>
      <c r="D3" s="394" t="s">
        <v>1719</v>
      </c>
    </row>
    <row r="4" spans="1:4" ht="38" customHeight="1">
      <c r="A4" s="314"/>
      <c r="B4" s="315"/>
      <c r="C4" s="144" t="s">
        <v>1007</v>
      </c>
      <c r="D4" s="395" t="s">
        <v>94</v>
      </c>
    </row>
    <row r="5" spans="1:4" ht="30" customHeight="1" thickBot="1">
      <c r="A5" s="125">
        <v>60</v>
      </c>
      <c r="B5" s="125" t="s">
        <v>696</v>
      </c>
      <c r="C5" s="145">
        <v>318096825.25</v>
      </c>
      <c r="D5" s="421">
        <v>1.4530877412577685E-2</v>
      </c>
    </row>
    <row r="6" spans="1:4" ht="16" customHeight="1" thickBot="1">
      <c r="A6" s="130">
        <v>600</v>
      </c>
      <c r="B6" s="130" t="s">
        <v>1774</v>
      </c>
      <c r="C6" s="147">
        <v>331145350.75</v>
      </c>
      <c r="D6" s="499">
        <v>1.5126942853678448E-2</v>
      </c>
    </row>
    <row r="7" spans="1:4" ht="16" customHeight="1" thickBot="1">
      <c r="A7" s="130">
        <v>601</v>
      </c>
      <c r="B7" s="130" t="s">
        <v>1775</v>
      </c>
      <c r="C7" s="147">
        <v>-13048525.5</v>
      </c>
      <c r="D7" s="499">
        <v>-5.960654411007641E-4</v>
      </c>
    </row>
    <row r="8" spans="1:4" ht="19.5" customHeight="1" thickBot="1">
      <c r="A8" s="130">
        <v>61</v>
      </c>
      <c r="B8" s="130" t="s">
        <v>143</v>
      </c>
      <c r="C8" s="147">
        <v>19384155559.349998</v>
      </c>
      <c r="D8" s="499">
        <v>0.88548129318134727</v>
      </c>
    </row>
    <row r="9" spans="1:4" ht="18" customHeight="1" thickBot="1">
      <c r="A9" s="130">
        <v>63</v>
      </c>
      <c r="B9" s="130" t="s">
        <v>144</v>
      </c>
      <c r="C9" s="147">
        <v>2011602110.6700001</v>
      </c>
      <c r="D9" s="499">
        <v>9.1891340474886743E-2</v>
      </c>
    </row>
    <row r="10" spans="1:4" ht="21.75" customHeight="1" thickBot="1">
      <c r="A10" s="131" t="s">
        <v>1776</v>
      </c>
      <c r="B10" s="131" t="s">
        <v>1431</v>
      </c>
      <c r="C10" s="147">
        <v>21713854495.27</v>
      </c>
      <c r="D10" s="499">
        <v>0.99190351106881181</v>
      </c>
    </row>
    <row r="11" spans="1:4" ht="16" customHeight="1" thickBot="1">
      <c r="A11" s="130">
        <v>64</v>
      </c>
      <c r="B11" s="130" t="s">
        <v>1777</v>
      </c>
      <c r="C11" s="147">
        <v>-105330227.12</v>
      </c>
      <c r="D11" s="499">
        <v>-4.8115557799635273E-3</v>
      </c>
    </row>
    <row r="12" spans="1:4" ht="16" customHeight="1" thickBot="1">
      <c r="A12" s="130">
        <v>65</v>
      </c>
      <c r="B12" s="130" t="s">
        <v>1778</v>
      </c>
      <c r="C12" s="147">
        <v>2252672.69</v>
      </c>
      <c r="D12" s="499">
        <v>1.029036070489723E-4</v>
      </c>
    </row>
    <row r="13" spans="1:4" ht="21.75" customHeight="1" thickBot="1">
      <c r="A13" s="131" t="s">
        <v>1779</v>
      </c>
      <c r="B13" s="131" t="s">
        <v>1012</v>
      </c>
      <c r="C13" s="147">
        <v>21610776940.84</v>
      </c>
      <c r="D13" s="499">
        <v>0.9871948588958972</v>
      </c>
    </row>
    <row r="14" spans="1:4" ht="16" customHeight="1" thickBot="1">
      <c r="A14" s="130">
        <v>66</v>
      </c>
      <c r="B14" s="130" t="s">
        <v>1780</v>
      </c>
      <c r="C14" s="147">
        <v>-27126811.260000002</v>
      </c>
      <c r="D14" s="499">
        <v>-1.2391710250594273E-3</v>
      </c>
    </row>
    <row r="15" spans="1:4" ht="21.75" customHeight="1" thickBot="1">
      <c r="A15" s="131" t="s">
        <v>1781</v>
      </c>
      <c r="B15" s="131" t="s">
        <v>1015</v>
      </c>
      <c r="C15" s="147">
        <v>21583650129.580002</v>
      </c>
      <c r="D15" s="499">
        <v>0.98595568787083787</v>
      </c>
    </row>
    <row r="16" spans="1:4" ht="16" customHeight="1" thickBot="1">
      <c r="A16" s="130">
        <v>67</v>
      </c>
      <c r="B16" s="130" t="s">
        <v>1782</v>
      </c>
      <c r="C16" s="147">
        <v>1617975787.53</v>
      </c>
      <c r="D16" s="499">
        <v>7.391022468281383E-2</v>
      </c>
    </row>
    <row r="17" spans="1:4" ht="16" customHeight="1" thickBot="1">
      <c r="A17" s="130">
        <v>670</v>
      </c>
      <c r="B17" s="130" t="s">
        <v>1783</v>
      </c>
      <c r="C17" s="147">
        <v>1574426831.26</v>
      </c>
      <c r="D17" s="499">
        <v>7.1920879003215366E-2</v>
      </c>
    </row>
    <row r="18" spans="1:4" ht="16" customHeight="1" thickBot="1">
      <c r="A18" s="130">
        <v>672</v>
      </c>
      <c r="B18" s="130" t="s">
        <v>1784</v>
      </c>
      <c r="C18" s="147">
        <v>45872470.5</v>
      </c>
      <c r="D18" s="499">
        <v>2.0954853759502781E-3</v>
      </c>
    </row>
    <row r="19" spans="1:4" ht="16" customHeight="1" thickBot="1">
      <c r="A19" s="130">
        <v>673</v>
      </c>
      <c r="B19" s="130" t="s">
        <v>1785</v>
      </c>
      <c r="C19" s="147">
        <v>20894935.510000002</v>
      </c>
      <c r="D19" s="499">
        <v>9.5449473977271765E-4</v>
      </c>
    </row>
    <row r="20" spans="1:4" ht="16" customHeight="1" thickBot="1">
      <c r="A20" s="130">
        <v>675</v>
      </c>
      <c r="B20" s="130" t="s">
        <v>1786</v>
      </c>
      <c r="C20" s="147">
        <v>-23218449.739999998</v>
      </c>
      <c r="D20" s="499">
        <v>-1.0606344361245277E-3</v>
      </c>
    </row>
    <row r="21" spans="1:4" ht="16" customHeight="1" thickBot="1">
      <c r="A21" s="130">
        <v>68</v>
      </c>
      <c r="B21" s="130" t="s">
        <v>1787</v>
      </c>
      <c r="C21" s="147">
        <v>-1583598759.3199999</v>
      </c>
      <c r="D21" s="499">
        <v>-7.2339858859968395E-2</v>
      </c>
    </row>
    <row r="22" spans="1:4" ht="21.75" customHeight="1" thickBot="1">
      <c r="A22" s="131" t="s">
        <v>1788</v>
      </c>
      <c r="B22" s="131" t="s">
        <v>1789</v>
      </c>
      <c r="C22" s="147">
        <v>34377028.210000001</v>
      </c>
      <c r="D22" s="499">
        <v>1.5703658228454289E-3</v>
      </c>
    </row>
    <row r="23" spans="1:4" ht="16" customHeight="1" thickBot="1">
      <c r="A23" s="130">
        <v>69</v>
      </c>
      <c r="B23" s="130" t="s">
        <v>1018</v>
      </c>
      <c r="C23" s="147">
        <v>106390694.93000001</v>
      </c>
      <c r="D23" s="499">
        <v>4.8599986644059729E-3</v>
      </c>
    </row>
    <row r="24" spans="1:4" ht="21.75" customHeight="1" thickBot="1">
      <c r="A24" s="131">
        <v>6</v>
      </c>
      <c r="B24" s="131" t="s">
        <v>1019</v>
      </c>
      <c r="C24" s="147">
        <v>21724417852.720001</v>
      </c>
      <c r="D24" s="499">
        <v>0.99238605235808919</v>
      </c>
    </row>
    <row r="25" spans="1:4" ht="16" customHeight="1" thickBot="1">
      <c r="A25" s="130">
        <v>70</v>
      </c>
      <c r="B25" s="130" t="s">
        <v>1790</v>
      </c>
      <c r="C25" s="147">
        <v>34058836.170000002</v>
      </c>
      <c r="D25" s="499">
        <v>1.5558305959588851E-3</v>
      </c>
    </row>
    <row r="26" spans="1:4" ht="16" customHeight="1" thickBot="1">
      <c r="A26" s="130">
        <v>701</v>
      </c>
      <c r="B26" s="130" t="s">
        <v>1151</v>
      </c>
      <c r="C26" s="147">
        <v>34058836.170000002</v>
      </c>
      <c r="D26" s="499">
        <v>1.5558305959588851E-3</v>
      </c>
    </row>
    <row r="27" spans="1:4" ht="16" customHeight="1" thickBot="1">
      <c r="A27" s="130">
        <v>72</v>
      </c>
      <c r="B27" s="130" t="s">
        <v>1152</v>
      </c>
      <c r="C27" s="147">
        <v>138287421</v>
      </c>
      <c r="D27" s="499">
        <v>6.3170626134770608E-3</v>
      </c>
    </row>
    <row r="28" spans="1:4" ht="16" customHeight="1" thickBot="1">
      <c r="A28" s="130">
        <v>720</v>
      </c>
      <c r="B28" s="130" t="s">
        <v>1153</v>
      </c>
      <c r="C28" s="147">
        <v>487829165.16000003</v>
      </c>
      <c r="D28" s="499">
        <v>2.2284365119485179E-2</v>
      </c>
    </row>
    <row r="29" spans="1:4" ht="16" customHeight="1" thickBot="1">
      <c r="A29" s="130">
        <v>721</v>
      </c>
      <c r="B29" s="130" t="s">
        <v>1154</v>
      </c>
      <c r="C29" s="147">
        <v>-115076304.55</v>
      </c>
      <c r="D29" s="499">
        <v>-5.2567631669832443E-3</v>
      </c>
    </row>
    <row r="30" spans="1:4" ht="16" customHeight="1" thickBot="1">
      <c r="A30" s="130">
        <v>722</v>
      </c>
      <c r="B30" s="130" t="s">
        <v>1155</v>
      </c>
      <c r="C30" s="147">
        <v>-137810038.22</v>
      </c>
      <c r="D30" s="499">
        <v>-6.2952554462737927E-3</v>
      </c>
    </row>
    <row r="31" spans="1:4" ht="16" customHeight="1" thickBot="1">
      <c r="A31" s="130">
        <v>723</v>
      </c>
      <c r="B31" s="130" t="s">
        <v>129</v>
      </c>
      <c r="C31" s="147">
        <v>299287.71999999997</v>
      </c>
      <c r="D31" s="499">
        <v>1.3671664805179863E-5</v>
      </c>
    </row>
    <row r="32" spans="1:4" ht="16" customHeight="1" thickBot="1">
      <c r="A32" s="130">
        <v>724</v>
      </c>
      <c r="B32" s="130" t="s">
        <v>130</v>
      </c>
      <c r="C32" s="147">
        <v>-96954689.109999999</v>
      </c>
      <c r="D32" s="499">
        <v>-4.4289555575562616E-3</v>
      </c>
    </row>
    <row r="33" spans="1:4" ht="16" customHeight="1" thickBot="1">
      <c r="A33" s="130">
        <v>76</v>
      </c>
      <c r="B33" s="130" t="s">
        <v>131</v>
      </c>
      <c r="C33" s="147">
        <v>-5668602.1500000004</v>
      </c>
      <c r="D33" s="499">
        <v>-2.5894556752519585E-4</v>
      </c>
    </row>
    <row r="34" spans="1:4" ht="21.75" customHeight="1" thickBot="1">
      <c r="A34" s="131">
        <v>7</v>
      </c>
      <c r="B34" s="131" t="s">
        <v>132</v>
      </c>
      <c r="C34" s="147">
        <v>166677655.02000001</v>
      </c>
      <c r="D34" s="499">
        <v>7.6139476419107505E-3</v>
      </c>
    </row>
    <row r="35" spans="1:4" s="151" customFormat="1" ht="21.75" customHeight="1" thickBot="1">
      <c r="A35" s="411" t="s">
        <v>133</v>
      </c>
      <c r="B35" s="411" t="s">
        <v>134</v>
      </c>
      <c r="C35" s="255">
        <v>21891095507.740002</v>
      </c>
      <c r="D35" s="533">
        <v>1</v>
      </c>
    </row>
    <row r="36" spans="1:4" ht="21.75" customHeight="1" thickBot="1">
      <c r="A36" s="131" t="s">
        <v>135</v>
      </c>
      <c r="B36" s="131" t="s">
        <v>136</v>
      </c>
      <c r="C36" s="147">
        <v>38477200.719999999</v>
      </c>
      <c r="D36" s="499" t="s">
        <v>860</v>
      </c>
    </row>
    <row r="37" spans="1:4" s="390" customFormat="1" ht="35.25" customHeight="1" thickBot="1">
      <c r="A37" s="491"/>
      <c r="B37" s="491" t="s">
        <v>137</v>
      </c>
      <c r="C37" s="318">
        <v>21929572708.459999</v>
      </c>
      <c r="D37" s="504" t="s">
        <v>860</v>
      </c>
    </row>
    <row r="38" spans="1:4" ht="20" customHeight="1">
      <c r="A38" s="136" t="s">
        <v>453</v>
      </c>
      <c r="B38" s="173"/>
      <c r="C38" s="190"/>
      <c r="D38" s="413"/>
    </row>
    <row r="39" spans="1:4" ht="11.25" customHeight="1">
      <c r="A39" s="3"/>
      <c r="B39" s="174"/>
      <c r="C39" s="191"/>
      <c r="D39" s="414"/>
    </row>
    <row r="40" spans="1:4" ht="11.25" customHeight="1">
      <c r="A40" s="3" t="s">
        <v>138</v>
      </c>
      <c r="B40" s="174"/>
      <c r="C40" s="191"/>
      <c r="D40" s="414"/>
    </row>
    <row r="41" spans="1:4" ht="11.25" customHeight="1">
      <c r="A41" s="3" t="s">
        <v>139</v>
      </c>
      <c r="B41" s="174"/>
      <c r="C41" s="191"/>
      <c r="D41" s="414"/>
    </row>
    <row r="42" spans="1:4">
      <c r="A42" s="3" t="s">
        <v>140</v>
      </c>
    </row>
    <row r="43" spans="1:4">
      <c r="A43" s="2" t="s">
        <v>141</v>
      </c>
    </row>
    <row r="45" spans="1:4">
      <c r="A45" s="2" t="s">
        <v>142</v>
      </c>
    </row>
    <row r="48" spans="1:4">
      <c r="A48" s="207" t="s">
        <v>1955</v>
      </c>
    </row>
  </sheetData>
  <phoneticPr fontId="0" type="noConversion"/>
  <pageMargins left="0.69" right="0.71" top="0.85" bottom="0.49" header="0.44" footer="0.4921259845"/>
  <pageSetup paperSize="9" scale="83" orientation="portrait" horizontalDpi="4294967292" verticalDpi="4294967292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BE46-D48A-9842-A55A-6EAFFB9F60D9}">
  <sheetPr>
    <pageSetUpPr fitToPage="1"/>
  </sheetPr>
  <dimension ref="A1:D41"/>
  <sheetViews>
    <sheetView zoomScale="75" workbookViewId="0">
      <selection activeCell="F8" sqref="F8"/>
    </sheetView>
  </sheetViews>
  <sheetFormatPr baseColWidth="10" defaultColWidth="11.3984375" defaultRowHeight="13"/>
  <cols>
    <col min="1" max="1" width="10.59765625" style="2" customWidth="1"/>
    <col min="2" max="2" width="60.796875" style="97" customWidth="1"/>
    <col min="3" max="3" width="17" style="8" customWidth="1"/>
    <col min="4" max="4" width="17" style="540" customWidth="1"/>
    <col min="5" max="16384" width="11.3984375" style="2"/>
  </cols>
  <sheetData>
    <row r="1" spans="1:4" s="1" customFormat="1" ht="14" customHeight="1">
      <c r="B1" s="169"/>
      <c r="C1" s="175"/>
      <c r="D1" s="534"/>
    </row>
    <row r="2" spans="1:4" s="1" customFormat="1" ht="28" customHeight="1">
      <c r="A2" s="58" t="s">
        <v>145</v>
      </c>
      <c r="B2" s="169"/>
      <c r="C2" s="175"/>
      <c r="D2" s="265">
        <v>2006</v>
      </c>
    </row>
    <row r="3" spans="1:4" ht="39" customHeight="1">
      <c r="A3" s="113" t="s">
        <v>1004</v>
      </c>
      <c r="B3" s="170"/>
      <c r="C3" s="142" t="s">
        <v>797</v>
      </c>
      <c r="D3" s="535" t="s">
        <v>1719</v>
      </c>
    </row>
    <row r="4" spans="1:4" ht="38" customHeight="1">
      <c r="A4" s="314"/>
      <c r="B4" s="315"/>
      <c r="C4" s="144" t="s">
        <v>1007</v>
      </c>
      <c r="D4" s="182" t="s">
        <v>94</v>
      </c>
    </row>
    <row r="5" spans="1:4" ht="30" customHeight="1" thickBot="1">
      <c r="A5" s="125">
        <v>30</v>
      </c>
      <c r="B5" s="125" t="s">
        <v>696</v>
      </c>
      <c r="C5" s="145">
        <v>220621354</v>
      </c>
      <c r="D5" s="421">
        <v>1.0341170145320169E-2</v>
      </c>
    </row>
    <row r="6" spans="1:4" ht="16" customHeight="1" thickBot="1">
      <c r="A6" s="130">
        <v>31</v>
      </c>
      <c r="B6" s="130" t="s">
        <v>143</v>
      </c>
      <c r="C6" s="145">
        <v>20652160841</v>
      </c>
      <c r="D6" s="421">
        <v>0.96802737021231167</v>
      </c>
    </row>
    <row r="7" spans="1:4" ht="16" customHeight="1" thickBot="1">
      <c r="A7" s="130">
        <v>32</v>
      </c>
      <c r="B7" s="130" t="s">
        <v>146</v>
      </c>
      <c r="C7" s="145">
        <v>-3092123712</v>
      </c>
      <c r="D7" s="421">
        <v>-0.14493691039613046</v>
      </c>
    </row>
    <row r="8" spans="1:4" ht="18.75" customHeight="1" thickBot="1">
      <c r="A8" s="130">
        <v>33</v>
      </c>
      <c r="B8" s="130" t="s">
        <v>144</v>
      </c>
      <c r="C8" s="145">
        <v>1572797624</v>
      </c>
      <c r="D8" s="421">
        <v>7.372163908457971E-2</v>
      </c>
    </row>
    <row r="9" spans="1:4" ht="21.75" customHeight="1" thickBot="1">
      <c r="A9" s="131" t="s">
        <v>147</v>
      </c>
      <c r="B9" s="131" t="s">
        <v>1023</v>
      </c>
      <c r="C9" s="145">
        <v>19353456106</v>
      </c>
      <c r="D9" s="421">
        <v>0.90715326899920812</v>
      </c>
    </row>
    <row r="10" spans="1:4" ht="16" customHeight="1" thickBot="1">
      <c r="A10" s="130">
        <v>34</v>
      </c>
      <c r="B10" s="130" t="s">
        <v>1024</v>
      </c>
      <c r="C10" s="145">
        <v>62128678</v>
      </c>
      <c r="D10" s="421">
        <v>2.912153417850069E-3</v>
      </c>
    </row>
    <row r="11" spans="1:4" ht="39" customHeight="1" thickBot="1">
      <c r="A11" s="482">
        <v>35</v>
      </c>
      <c r="B11" s="482" t="s">
        <v>148</v>
      </c>
      <c r="C11" s="341">
        <v>527552264</v>
      </c>
      <c r="D11" s="483">
        <v>2.4727922404885902E-2</v>
      </c>
    </row>
    <row r="12" spans="1:4" ht="21.75" customHeight="1" thickBot="1">
      <c r="A12" s="131" t="s">
        <v>149</v>
      </c>
      <c r="B12" s="131" t="s">
        <v>1027</v>
      </c>
      <c r="C12" s="145">
        <v>19943137049</v>
      </c>
      <c r="D12" s="421">
        <v>0.93479334486881704</v>
      </c>
    </row>
    <row r="13" spans="1:4" ht="16" customHeight="1" thickBot="1">
      <c r="A13" s="130">
        <v>36</v>
      </c>
      <c r="B13" s="130" t="s">
        <v>150</v>
      </c>
      <c r="C13" s="145">
        <v>-14545846</v>
      </c>
      <c r="D13" s="421">
        <v>-6.81806478232496E-4</v>
      </c>
    </row>
    <row r="14" spans="1:4" ht="16" customHeight="1" thickBot="1">
      <c r="A14" s="131">
        <v>37</v>
      </c>
      <c r="B14" s="131" t="s">
        <v>1029</v>
      </c>
      <c r="C14" s="145">
        <v>-4201636</v>
      </c>
      <c r="D14" s="421">
        <v>-1.9694300654460878E-4</v>
      </c>
    </row>
    <row r="15" spans="1:4" ht="21.75" customHeight="1" thickBot="1">
      <c r="A15" s="131">
        <v>3</v>
      </c>
      <c r="B15" s="131" t="s">
        <v>1030</v>
      </c>
      <c r="C15" s="145">
        <v>19924389566</v>
      </c>
      <c r="D15" s="421">
        <v>0.93391459533716703</v>
      </c>
    </row>
    <row r="16" spans="1:4" ht="16" customHeight="1" thickBot="1">
      <c r="A16" s="130">
        <v>400</v>
      </c>
      <c r="B16" s="130" t="s">
        <v>151</v>
      </c>
      <c r="C16" s="145">
        <v>1141275905</v>
      </c>
      <c r="D16" s="421">
        <v>5.3494950068882531E-2</v>
      </c>
    </row>
    <row r="17" spans="1:4" ht="16" customHeight="1" thickBot="1">
      <c r="A17" s="130">
        <v>410</v>
      </c>
      <c r="B17" s="130" t="s">
        <v>1191</v>
      </c>
      <c r="C17" s="145">
        <v>113441283</v>
      </c>
      <c r="D17" s="421">
        <v>5.3173257607983691E-3</v>
      </c>
    </row>
    <row r="18" spans="1:4" ht="16" customHeight="1" thickBot="1">
      <c r="A18" s="130">
        <v>420</v>
      </c>
      <c r="B18" s="130" t="s">
        <v>1192</v>
      </c>
      <c r="C18" s="145">
        <v>188955403</v>
      </c>
      <c r="D18" s="421">
        <v>8.8568941168792794E-3</v>
      </c>
    </row>
    <row r="19" spans="1:4" ht="16" customHeight="1" thickBot="1">
      <c r="A19" s="130">
        <v>430</v>
      </c>
      <c r="B19" s="130" t="s">
        <v>1193</v>
      </c>
      <c r="C19" s="145">
        <v>61259672</v>
      </c>
      <c r="D19" s="421">
        <v>2.8714205570441105E-3</v>
      </c>
    </row>
    <row r="20" spans="1:4" ht="16" customHeight="1" thickBot="1">
      <c r="A20" s="131">
        <v>450</v>
      </c>
      <c r="B20" s="131" t="s">
        <v>1194</v>
      </c>
      <c r="C20" s="145">
        <v>116950051</v>
      </c>
      <c r="D20" s="421">
        <v>5.481792011370174E-3</v>
      </c>
    </row>
    <row r="21" spans="1:4" ht="16" customHeight="1" thickBot="1">
      <c r="A21" s="130">
        <v>453</v>
      </c>
      <c r="B21" s="130" t="s">
        <v>1195</v>
      </c>
      <c r="C21" s="145">
        <v>36887517</v>
      </c>
      <c r="D21" s="421">
        <v>1.7290261464689869E-3</v>
      </c>
    </row>
    <row r="22" spans="1:4" ht="16" customHeight="1" thickBot="1">
      <c r="A22" s="131">
        <v>460</v>
      </c>
      <c r="B22" s="131" t="s">
        <v>1196</v>
      </c>
      <c r="C22" s="145">
        <v>313425861</v>
      </c>
      <c r="D22" s="421">
        <v>1.4691189668541646E-2</v>
      </c>
    </row>
    <row r="23" spans="1:4" ht="16" customHeight="1" thickBot="1">
      <c r="A23" s="130">
        <v>470</v>
      </c>
      <c r="B23" s="130" t="s">
        <v>1197</v>
      </c>
      <c r="C23" s="145">
        <v>-663125405</v>
      </c>
      <c r="D23" s="421">
        <v>-3.1082633283038168E-2</v>
      </c>
    </row>
    <row r="24" spans="1:4" ht="21.75" customHeight="1" thickBot="1">
      <c r="A24" s="131" t="s">
        <v>1198</v>
      </c>
      <c r="B24" s="131" t="s">
        <v>1199</v>
      </c>
      <c r="C24" s="145">
        <v>1309070287</v>
      </c>
      <c r="D24" s="421">
        <v>6.1359965046946928E-2</v>
      </c>
    </row>
    <row r="25" spans="1:4" ht="16" customHeight="1" thickBot="1">
      <c r="A25" s="130">
        <v>48</v>
      </c>
      <c r="B25" s="130" t="s">
        <v>1033</v>
      </c>
      <c r="C25" s="145">
        <v>100953751</v>
      </c>
      <c r="D25" s="421">
        <v>4.7319984986552398E-3</v>
      </c>
    </row>
    <row r="26" spans="1:4" ht="16" customHeight="1" thickBot="1">
      <c r="A26" s="130">
        <v>49</v>
      </c>
      <c r="B26" s="130" t="s">
        <v>1034</v>
      </c>
      <c r="C26" s="145">
        <v>-139929</v>
      </c>
      <c r="D26" s="421">
        <v>-6.5588827691833764E-6</v>
      </c>
    </row>
    <row r="27" spans="1:4" ht="21.75" customHeight="1" thickBot="1">
      <c r="A27" s="131">
        <v>4</v>
      </c>
      <c r="B27" s="131" t="s">
        <v>1035</v>
      </c>
      <c r="C27" s="145">
        <v>1409884109</v>
      </c>
      <c r="D27" s="421">
        <v>6.6085404662832983E-2</v>
      </c>
    </row>
    <row r="28" spans="1:4" s="151" customFormat="1" ht="21.75" customHeight="1" thickBot="1">
      <c r="A28" s="411" t="s">
        <v>1200</v>
      </c>
      <c r="B28" s="411" t="s">
        <v>1037</v>
      </c>
      <c r="C28" s="329">
        <v>21334273675</v>
      </c>
      <c r="D28" s="484">
        <v>1</v>
      </c>
    </row>
    <row r="29" spans="1:4" ht="21.75" customHeight="1" thickBot="1">
      <c r="A29" s="131" t="s">
        <v>135</v>
      </c>
      <c r="B29" s="131" t="s">
        <v>1201</v>
      </c>
      <c r="C29" s="341">
        <v>595299033</v>
      </c>
      <c r="D29" s="536" t="s">
        <v>860</v>
      </c>
    </row>
    <row r="30" spans="1:4" ht="35.25" customHeight="1" thickBot="1">
      <c r="A30" s="491"/>
      <c r="B30" s="491" t="s">
        <v>137</v>
      </c>
      <c r="C30" s="341">
        <v>21929572708</v>
      </c>
      <c r="D30" s="537" t="s">
        <v>860</v>
      </c>
    </row>
    <row r="31" spans="1:4" ht="20" customHeight="1">
      <c r="A31" s="136" t="s">
        <v>453</v>
      </c>
      <c r="B31" s="173"/>
      <c r="C31" s="190"/>
      <c r="D31" s="538"/>
    </row>
    <row r="32" spans="1:4" ht="15.75" customHeight="1">
      <c r="A32" s="3"/>
      <c r="B32" s="174"/>
      <c r="C32" s="191"/>
      <c r="D32" s="539"/>
    </row>
    <row r="33" spans="1:4" ht="15.75" customHeight="1">
      <c r="A33" s="3" t="s">
        <v>138</v>
      </c>
      <c r="B33" s="174"/>
      <c r="C33" s="191"/>
      <c r="D33" s="539"/>
    </row>
    <row r="34" spans="1:4" ht="15.75" customHeight="1">
      <c r="A34" s="3" t="s">
        <v>139</v>
      </c>
      <c r="B34" s="174"/>
      <c r="C34" s="191"/>
      <c r="D34" s="539"/>
    </row>
    <row r="35" spans="1:4">
      <c r="A35" s="3" t="s">
        <v>140</v>
      </c>
    </row>
    <row r="36" spans="1:4">
      <c r="A36" s="2" t="s">
        <v>1202</v>
      </c>
    </row>
    <row r="38" spans="1:4">
      <c r="A38" s="2" t="s">
        <v>1203</v>
      </c>
    </row>
    <row r="41" spans="1:4">
      <c r="A41" s="207" t="s">
        <v>1955</v>
      </c>
    </row>
  </sheetData>
  <phoneticPr fontId="0" type="noConversion"/>
  <pageMargins left="0.65" right="0.74" top="0.83" bottom="0.49" header="0.53" footer="0.4921259845"/>
  <pageSetup paperSize="9" scale="85" orientation="portrait" horizontalDpi="4294967292" verticalDpi="4294967292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19B1-40DE-2F47-B7DF-760D5827D22E}">
  <dimension ref="A1:K27"/>
  <sheetViews>
    <sheetView zoomScale="75" workbookViewId="0">
      <selection activeCell="I12" sqref="I12"/>
    </sheetView>
  </sheetViews>
  <sheetFormatPr baseColWidth="10" defaultColWidth="11.3984375" defaultRowHeight="13"/>
  <cols>
    <col min="1" max="1" width="13.796875" style="2" customWidth="1"/>
    <col min="2" max="6" width="15" style="2" customWidth="1"/>
    <col min="7" max="7" width="15" style="415" customWidth="1"/>
    <col min="8" max="16384" width="11.3984375" style="2"/>
  </cols>
  <sheetData>
    <row r="1" spans="1:11" s="1" customFormat="1" ht="14" customHeight="1">
      <c r="G1" s="392"/>
    </row>
    <row r="2" spans="1:11" s="1" customFormat="1" ht="28" customHeight="1">
      <c r="A2" s="58" t="s">
        <v>660</v>
      </c>
      <c r="G2" s="265">
        <v>2006</v>
      </c>
    </row>
    <row r="3" spans="1:11" ht="24" customHeight="1">
      <c r="A3" s="113" t="s">
        <v>1226</v>
      </c>
      <c r="B3" s="114" t="s">
        <v>1212</v>
      </c>
      <c r="C3" s="115"/>
      <c r="D3" s="114" t="s">
        <v>1213</v>
      </c>
      <c r="E3" s="115"/>
      <c r="F3" s="114" t="s">
        <v>1214</v>
      </c>
      <c r="G3" s="394" t="s">
        <v>45</v>
      </c>
    </row>
    <row r="4" spans="1:11" ht="15" customHeight="1">
      <c r="A4" s="248"/>
      <c r="B4" s="117" t="s">
        <v>1215</v>
      </c>
      <c r="C4" s="118" t="s">
        <v>1216</v>
      </c>
      <c r="D4" s="117" t="s">
        <v>1217</v>
      </c>
      <c r="E4" s="118" t="s">
        <v>1218</v>
      </c>
      <c r="F4" s="117" t="s">
        <v>1219</v>
      </c>
      <c r="G4" s="494" t="s">
        <v>46</v>
      </c>
    </row>
    <row r="5" spans="1:11" ht="15" customHeight="1">
      <c r="A5" s="248"/>
      <c r="B5" s="117" t="s">
        <v>1220</v>
      </c>
      <c r="C5" s="118" t="s">
        <v>1220</v>
      </c>
      <c r="D5" s="117" t="s">
        <v>1221</v>
      </c>
      <c r="E5" s="118" t="s">
        <v>427</v>
      </c>
      <c r="F5" s="117"/>
      <c r="G5" s="494" t="s">
        <v>50</v>
      </c>
    </row>
    <row r="6" spans="1:11" ht="24" customHeight="1">
      <c r="A6" s="249"/>
      <c r="B6" s="123"/>
      <c r="C6" s="122"/>
      <c r="D6" s="123"/>
      <c r="E6" s="122"/>
      <c r="F6" s="123"/>
      <c r="G6" s="395"/>
    </row>
    <row r="7" spans="1:11" ht="20" customHeight="1" thickBot="1">
      <c r="A7" s="250">
        <v>1996</v>
      </c>
      <c r="B7" s="637">
        <v>4170.9064983500002</v>
      </c>
      <c r="C7" s="257">
        <v>8662.5285187900008</v>
      </c>
      <c r="D7" s="637">
        <v>8044.1419523000004</v>
      </c>
      <c r="E7" s="257">
        <v>4789.2930648399997</v>
      </c>
      <c r="F7" s="637">
        <v>12833.435017170003</v>
      </c>
      <c r="G7" s="421">
        <v>-6.5875098254165963E-3</v>
      </c>
      <c r="I7" s="9"/>
      <c r="J7" s="9"/>
      <c r="K7" s="9"/>
    </row>
    <row r="8" spans="1:11" ht="20" customHeight="1" thickBot="1">
      <c r="A8" s="251">
        <v>1997</v>
      </c>
      <c r="B8" s="638">
        <v>4394.7098477299996</v>
      </c>
      <c r="C8" s="546">
        <v>9362.3509974099998</v>
      </c>
      <c r="D8" s="638">
        <v>9077.9116548700003</v>
      </c>
      <c r="E8" s="546">
        <v>4679.1491902700009</v>
      </c>
      <c r="F8" s="638">
        <v>13757.060845139998</v>
      </c>
      <c r="G8" s="499">
        <v>7.1970273487516487E-2</v>
      </c>
    </row>
    <row r="9" spans="1:11" ht="20" customHeight="1" thickBot="1">
      <c r="A9" s="251">
        <v>1998</v>
      </c>
      <c r="B9" s="638">
        <v>4492.0042062100001</v>
      </c>
      <c r="C9" s="546">
        <v>10278.585833719999</v>
      </c>
      <c r="D9" s="638">
        <v>9968.5479871799998</v>
      </c>
      <c r="E9" s="546">
        <v>4802.0420530199999</v>
      </c>
      <c r="F9" s="638">
        <v>14770.59003996</v>
      </c>
      <c r="G9" s="499">
        <v>7.3673381707696217E-2</v>
      </c>
    </row>
    <row r="10" spans="1:11" ht="20" customHeight="1" thickBot="1">
      <c r="A10" s="251">
        <v>1999</v>
      </c>
      <c r="B10" s="638">
        <v>4039.0720529599998</v>
      </c>
      <c r="C10" s="546">
        <v>10698.624229800002</v>
      </c>
      <c r="D10" s="638">
        <v>9829.3330688500009</v>
      </c>
      <c r="E10" s="546">
        <v>4908.3632139400006</v>
      </c>
      <c r="F10" s="638">
        <v>14737.696282749999</v>
      </c>
      <c r="G10" s="499">
        <v>-2.2269765203022374E-3</v>
      </c>
    </row>
    <row r="11" spans="1:11" ht="20" customHeight="1" thickBot="1">
      <c r="A11" s="251">
        <v>2000</v>
      </c>
      <c r="B11" s="638">
        <v>4332.0125006399994</v>
      </c>
      <c r="C11" s="546">
        <v>10499.430512299999</v>
      </c>
      <c r="D11" s="638">
        <v>10459.0563088</v>
      </c>
      <c r="E11" s="546">
        <v>4372.38670413</v>
      </c>
      <c r="F11" s="638">
        <v>14831.443012869999</v>
      </c>
      <c r="G11" s="499">
        <v>6.361016560622712E-3</v>
      </c>
    </row>
    <row r="12" spans="1:11" ht="20" customHeight="1" thickBot="1">
      <c r="A12" s="251">
        <v>2001</v>
      </c>
      <c r="B12" s="638">
        <v>4480.2212955000005</v>
      </c>
      <c r="C12" s="546">
        <v>9101.4192862999989</v>
      </c>
      <c r="D12" s="638">
        <v>10583.525388</v>
      </c>
      <c r="E12" s="546">
        <v>2998.1151934999998</v>
      </c>
      <c r="F12" s="638">
        <v>13581.640582</v>
      </c>
      <c r="G12" s="499">
        <v>-8.4267082426536799E-2</v>
      </c>
    </row>
    <row r="13" spans="1:11" ht="20" customHeight="1" thickBot="1">
      <c r="A13" s="251">
        <v>2002</v>
      </c>
      <c r="B13" s="638">
        <v>5055.0187533999997</v>
      </c>
      <c r="C13" s="546">
        <v>8256.3197148999989</v>
      </c>
      <c r="D13" s="638">
        <v>10485.582893000001</v>
      </c>
      <c r="E13" s="546">
        <v>2730.3161460000001</v>
      </c>
      <c r="F13" s="638">
        <v>13311.318467999999</v>
      </c>
      <c r="G13" s="499">
        <v>-1.9903494895768592E-2</v>
      </c>
    </row>
    <row r="14" spans="1:11" ht="20" customHeight="1" thickBot="1">
      <c r="A14" s="251">
        <v>2003</v>
      </c>
      <c r="B14" s="638">
        <v>6067.1959962000001</v>
      </c>
      <c r="C14" s="546">
        <v>8398.4942018000002</v>
      </c>
      <c r="D14" s="638">
        <v>11252.005746999999</v>
      </c>
      <c r="E14" s="546">
        <v>3213.6844504999999</v>
      </c>
      <c r="F14" s="638">
        <v>14465.690198</v>
      </c>
      <c r="G14" s="499">
        <v>8.6721066194537677E-2</v>
      </c>
    </row>
    <row r="15" spans="1:11" ht="20" customHeight="1" thickBot="1">
      <c r="A15" s="251">
        <v>2004</v>
      </c>
      <c r="B15" s="638">
        <v>6542.9172908</v>
      </c>
      <c r="C15" s="546">
        <v>8401.4767168999988</v>
      </c>
      <c r="D15" s="638">
        <v>11192.037166</v>
      </c>
      <c r="E15" s="546">
        <v>3752.3568421999998</v>
      </c>
      <c r="F15" s="638">
        <v>14944.394007999999</v>
      </c>
      <c r="G15" s="499">
        <v>3.3092358777750075E-2</v>
      </c>
    </row>
    <row r="16" spans="1:11" ht="20" customHeight="1" thickBot="1">
      <c r="A16" s="251">
        <v>2005</v>
      </c>
      <c r="B16" s="638">
        <v>6906.5407365000001</v>
      </c>
      <c r="C16" s="546">
        <v>9245.4417635000009</v>
      </c>
      <c r="D16" s="638">
        <v>12133.7989425</v>
      </c>
      <c r="E16" s="546">
        <v>4018.1835572</v>
      </c>
      <c r="F16" s="638">
        <v>16151.982499600001</v>
      </c>
      <c r="G16" s="499">
        <v>8.0805450589268357E-2</v>
      </c>
    </row>
    <row r="17" spans="1:7" s="390" customFormat="1" ht="27.75" customHeight="1" thickBot="1">
      <c r="A17" s="508">
        <v>2006</v>
      </c>
      <c r="B17" s="639">
        <v>7617.7471638000006</v>
      </c>
      <c r="C17" s="549">
        <v>10441.159153100001</v>
      </c>
      <c r="D17" s="639">
        <v>13475.7956639</v>
      </c>
      <c r="E17" s="549">
        <v>4583.1106529999997</v>
      </c>
      <c r="F17" s="639">
        <v>18058.9063169</v>
      </c>
      <c r="G17" s="509">
        <v>0.11806128550146866</v>
      </c>
    </row>
    <row r="18" spans="1:7" ht="20" customHeight="1">
      <c r="A18" s="136" t="s">
        <v>453</v>
      </c>
      <c r="B18" s="136"/>
      <c r="C18" s="136"/>
      <c r="D18" s="136"/>
      <c r="E18" s="136"/>
      <c r="F18" s="136"/>
      <c r="G18" s="413"/>
    </row>
    <row r="19" spans="1:7" ht="10.5" customHeight="1">
      <c r="A19" s="3"/>
      <c r="B19" s="3"/>
      <c r="C19" s="3"/>
      <c r="D19" s="3"/>
      <c r="E19" s="3"/>
      <c r="F19" s="3"/>
      <c r="G19" s="414"/>
    </row>
    <row r="20" spans="1:7">
      <c r="A20" s="3" t="s">
        <v>1222</v>
      </c>
    </row>
    <row r="21" spans="1:7">
      <c r="A21" s="2" t="s">
        <v>1223</v>
      </c>
    </row>
    <row r="22" spans="1:7">
      <c r="A22" s="2" t="s">
        <v>1224</v>
      </c>
    </row>
    <row r="24" spans="1:7">
      <c r="A24" s="2" t="s">
        <v>1225</v>
      </c>
    </row>
    <row r="27" spans="1:7">
      <c r="A27" s="2" t="s">
        <v>1955</v>
      </c>
    </row>
  </sheetData>
  <phoneticPr fontId="0" type="noConversion"/>
  <pageMargins left="0.65" right="0.61" top="0.99" bottom="0.49" header="0.56000000000000005" footer="0.4921259845"/>
  <pageSetup paperSize="9" scale="80" orientation="portrait" horizontalDpi="4294967292" verticalDpi="4294967292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E317-B62B-0F45-9848-F7577E032780}">
  <sheetPr>
    <pageSetUpPr fitToPage="1"/>
  </sheetPr>
  <dimension ref="A1:I25"/>
  <sheetViews>
    <sheetView topLeftCell="A5" zoomScale="75" workbookViewId="0">
      <selection activeCell="J17" sqref="J17"/>
    </sheetView>
  </sheetViews>
  <sheetFormatPr baseColWidth="10" defaultColWidth="11.3984375" defaultRowHeight="13"/>
  <cols>
    <col min="1" max="1" width="14.19921875" style="2" customWidth="1"/>
    <col min="2" max="2" width="14" style="2" customWidth="1"/>
    <col min="3" max="5" width="14" style="415" customWidth="1"/>
    <col min="6" max="8" width="14" style="2" customWidth="1"/>
    <col min="9" max="16384" width="11.3984375" style="2"/>
  </cols>
  <sheetData>
    <row r="1" spans="1:9" s="1" customFormat="1" ht="14" customHeight="1">
      <c r="C1" s="392"/>
      <c r="D1" s="392"/>
      <c r="E1" s="392"/>
    </row>
    <row r="2" spans="1:9" s="1" customFormat="1" ht="38.25" customHeight="1">
      <c r="A2" s="1695" t="s">
        <v>661</v>
      </c>
      <c r="B2" s="1699"/>
      <c r="C2" s="1699"/>
      <c r="D2" s="1699"/>
      <c r="E2" s="1699"/>
      <c r="F2" s="1699"/>
      <c r="G2" s="1699"/>
      <c r="H2" s="265">
        <v>2006</v>
      </c>
    </row>
    <row r="3" spans="1:9" ht="24" customHeight="1">
      <c r="A3" s="113" t="s">
        <v>740</v>
      </c>
      <c r="B3" s="114" t="s">
        <v>1145</v>
      </c>
      <c r="C3" s="394" t="s">
        <v>45</v>
      </c>
      <c r="D3" s="541" t="s">
        <v>1204</v>
      </c>
      <c r="E3" s="394" t="s">
        <v>1205</v>
      </c>
      <c r="F3" s="541" t="s">
        <v>45</v>
      </c>
      <c r="G3" s="394" t="s">
        <v>1206</v>
      </c>
      <c r="H3" s="541" t="s">
        <v>45</v>
      </c>
    </row>
    <row r="4" spans="1:9" ht="15" customHeight="1">
      <c r="A4" s="248"/>
      <c r="B4" s="117" t="s">
        <v>1435</v>
      </c>
      <c r="C4" s="494" t="s">
        <v>46</v>
      </c>
      <c r="D4" s="542" t="s">
        <v>1211</v>
      </c>
      <c r="E4" s="494" t="s">
        <v>1207</v>
      </c>
      <c r="F4" s="542" t="s">
        <v>46</v>
      </c>
      <c r="G4" s="494" t="s">
        <v>1208</v>
      </c>
      <c r="H4" s="542" t="s">
        <v>46</v>
      </c>
    </row>
    <row r="5" spans="1:9" ht="15" customHeight="1">
      <c r="A5" s="248"/>
      <c r="B5" s="117"/>
      <c r="C5" s="494" t="s">
        <v>50</v>
      </c>
      <c r="D5" s="542"/>
      <c r="E5" s="116" t="s">
        <v>1435</v>
      </c>
      <c r="F5" s="542" t="s">
        <v>50</v>
      </c>
      <c r="G5" s="116" t="s">
        <v>1435</v>
      </c>
      <c r="H5" s="542" t="s">
        <v>50</v>
      </c>
    </row>
    <row r="6" spans="1:9" ht="24" customHeight="1">
      <c r="A6" s="249"/>
      <c r="B6" s="123"/>
      <c r="C6" s="395"/>
      <c r="D6" s="543"/>
      <c r="E6" s="395"/>
      <c r="F6" s="121"/>
      <c r="G6" s="395"/>
      <c r="H6" s="543"/>
    </row>
    <row r="7" spans="1:9" ht="20" customHeight="1" thickBot="1">
      <c r="A7" s="250">
        <v>1996</v>
      </c>
      <c r="B7" s="637">
        <v>4007.8366596000001</v>
      </c>
      <c r="C7" s="421">
        <v>-1.767505493939879E-2</v>
      </c>
      <c r="D7" s="544">
        <v>0.24196501185861982</v>
      </c>
      <c r="E7" s="257">
        <v>7634.4120938999995</v>
      </c>
      <c r="F7" s="544" t="s">
        <v>1412</v>
      </c>
      <c r="G7" s="257">
        <v>878.70776672</v>
      </c>
      <c r="H7" s="544" t="s">
        <v>1412</v>
      </c>
      <c r="I7" s="9"/>
    </row>
    <row r="8" spans="1:9" ht="20" customHeight="1" thickBot="1">
      <c r="A8" s="251">
        <v>1997</v>
      </c>
      <c r="B8" s="638">
        <v>4017.3956079</v>
      </c>
      <c r="C8" s="499">
        <v>2.385064340659509E-3</v>
      </c>
      <c r="D8" s="545">
        <v>0.22399999999999998</v>
      </c>
      <c r="E8" s="546">
        <v>8314.1764980999997</v>
      </c>
      <c r="F8" s="545">
        <v>8.9039522079655792E-2</v>
      </c>
      <c r="G8" s="546">
        <v>892.88593902000002</v>
      </c>
      <c r="H8" s="545">
        <v>1.6135253194499075E-2</v>
      </c>
    </row>
    <row r="9" spans="1:9" ht="20" customHeight="1" thickBot="1">
      <c r="A9" s="251">
        <v>1998</v>
      </c>
      <c r="B9" s="638">
        <v>4117.6667946999996</v>
      </c>
      <c r="C9" s="499">
        <v>2.4959251362455213E-2</v>
      </c>
      <c r="D9" s="545">
        <v>0.22</v>
      </c>
      <c r="E9" s="546">
        <v>9206.9689780000008</v>
      </c>
      <c r="F9" s="545">
        <v>0.1073819493853693</v>
      </c>
      <c r="G9" s="546">
        <v>910.20990798000003</v>
      </c>
      <c r="H9" s="545">
        <v>1.9402219480591416E-2</v>
      </c>
    </row>
    <row r="10" spans="1:9" ht="20" customHeight="1" thickBot="1">
      <c r="A10" s="251">
        <v>1999</v>
      </c>
      <c r="B10" s="638">
        <v>4531.0035571000008</v>
      </c>
      <c r="C10" s="499">
        <v>0.10038130402683909</v>
      </c>
      <c r="D10" s="545">
        <v>0.248</v>
      </c>
      <c r="E10" s="546">
        <v>9587.3624237999993</v>
      </c>
      <c r="F10" s="545">
        <v>4.1315817041302827E-2</v>
      </c>
      <c r="G10" s="546">
        <v>929.94977453999991</v>
      </c>
      <c r="H10" s="545">
        <v>2.168715851908054E-2</v>
      </c>
    </row>
    <row r="11" spans="1:9" ht="20" customHeight="1" thickBot="1">
      <c r="A11" s="251">
        <v>2000</v>
      </c>
      <c r="B11" s="638">
        <v>4046.3173426999997</v>
      </c>
      <c r="C11" s="499">
        <v>-0.10697105139997221</v>
      </c>
      <c r="D11" s="545">
        <v>0.22899999999999998</v>
      </c>
      <c r="E11" s="546">
        <v>9383.0818280000003</v>
      </c>
      <c r="F11" s="545">
        <v>-2.1307277932133384E-2</v>
      </c>
      <c r="G11" s="546">
        <v>935.15434852999999</v>
      </c>
      <c r="H11" s="545">
        <v>5.5966183685292048E-3</v>
      </c>
    </row>
    <row r="12" spans="1:9" ht="20" customHeight="1" thickBot="1">
      <c r="A12" s="251">
        <v>2001</v>
      </c>
      <c r="B12" s="638">
        <v>2721.4537870999998</v>
      </c>
      <c r="C12" s="499">
        <v>-0.32742453035479269</v>
      </c>
      <c r="D12" s="545">
        <v>0.16266572127677031</v>
      </c>
      <c r="E12" s="546">
        <v>7961.4574869999997</v>
      </c>
      <c r="F12" s="545">
        <v>-0.15150931933234768</v>
      </c>
      <c r="G12" s="546">
        <v>954.93160932000001</v>
      </c>
      <c r="H12" s="545">
        <v>2.1148659385574753E-2</v>
      </c>
    </row>
    <row r="13" spans="1:9" ht="20" customHeight="1" thickBot="1">
      <c r="A13" s="251">
        <v>2002</v>
      </c>
      <c r="B13" s="638">
        <v>2517.2839804</v>
      </c>
      <c r="C13" s="499">
        <v>-7.5022330957000949E-2</v>
      </c>
      <c r="D13" s="545">
        <v>0.13972376589664312</v>
      </c>
      <c r="E13" s="546">
        <v>7106.5237452000001</v>
      </c>
      <c r="F13" s="545">
        <v>-0.10738407423464769</v>
      </c>
      <c r="G13" s="546">
        <v>984.65094364999993</v>
      </c>
      <c r="H13" s="545">
        <v>3.1121950556399325E-2</v>
      </c>
    </row>
    <row r="14" spans="1:9" ht="20" customHeight="1" thickBot="1">
      <c r="A14" s="251">
        <v>2003</v>
      </c>
      <c r="B14" s="638">
        <v>3007.4782717600006</v>
      </c>
      <c r="C14" s="499">
        <v>0.19473142290529655</v>
      </c>
      <c r="D14" s="545">
        <v>0.15444074863234167</v>
      </c>
      <c r="E14" s="546">
        <v>7378.0453514999999</v>
      </c>
      <c r="F14" s="545">
        <v>3.820737339875846E-2</v>
      </c>
      <c r="G14" s="546">
        <v>885.89521162999995</v>
      </c>
      <c r="H14" s="545">
        <v>-0.1002951682084644</v>
      </c>
    </row>
    <row r="15" spans="1:9" ht="20" customHeight="1" thickBot="1">
      <c r="A15" s="251">
        <v>2004</v>
      </c>
      <c r="B15" s="638">
        <v>3581.7878758600004</v>
      </c>
      <c r="C15" s="499">
        <v>0.19096051648742551</v>
      </c>
      <c r="D15" s="545">
        <v>0.17609858201884715</v>
      </c>
      <c r="E15" s="546">
        <v>7386.4198756999995</v>
      </c>
      <c r="F15" s="545">
        <v>1.1350600058723792E-3</v>
      </c>
      <c r="G15" s="546">
        <v>876.33966492999991</v>
      </c>
      <c r="H15" s="545">
        <v>-1.0786317133849699E-2</v>
      </c>
    </row>
    <row r="16" spans="1:9" ht="20" customHeight="1" thickBot="1">
      <c r="A16" s="251">
        <v>2005</v>
      </c>
      <c r="B16" s="638">
        <v>3869.5470762</v>
      </c>
      <c r="C16" s="499">
        <v>8.0339542796321384E-2</v>
      </c>
      <c r="D16" s="545">
        <v>0.18526823405593668</v>
      </c>
      <c r="E16" s="546">
        <v>8227.3219200000003</v>
      </c>
      <c r="F16" s="545">
        <v>0.11384433303966635</v>
      </c>
      <c r="G16" s="546">
        <v>864.96945500000004</v>
      </c>
      <c r="H16" s="545">
        <v>-1.2974660836455598E-2</v>
      </c>
    </row>
    <row r="17" spans="1:8" s="390" customFormat="1" ht="28.5" customHeight="1" thickBot="1">
      <c r="A17" s="508">
        <v>2006</v>
      </c>
      <c r="B17" s="639">
        <v>4510.5379199999998</v>
      </c>
      <c r="C17" s="509">
        <v>0.16565009578058176</v>
      </c>
      <c r="D17" s="547">
        <v>0.20772626624087148</v>
      </c>
      <c r="E17" s="549">
        <v>9466.6831490000004</v>
      </c>
      <c r="F17" s="550">
        <v>0.15063969066133254</v>
      </c>
      <c r="G17" s="551">
        <v>858.28986799999996</v>
      </c>
      <c r="H17" s="550">
        <v>-7.7223385882453366E-3</v>
      </c>
    </row>
    <row r="18" spans="1:8" ht="20" customHeight="1">
      <c r="A18" s="136" t="s">
        <v>453</v>
      </c>
      <c r="B18" s="136"/>
      <c r="C18" s="413"/>
      <c r="D18" s="413"/>
      <c r="E18" s="413"/>
    </row>
    <row r="19" spans="1:8" ht="11.25" customHeight="1">
      <c r="A19" s="3"/>
      <c r="B19" s="3"/>
      <c r="C19" s="414"/>
      <c r="D19" s="414"/>
      <c r="E19" s="414"/>
    </row>
    <row r="20" spans="1:8">
      <c r="A20" s="2" t="s">
        <v>1209</v>
      </c>
    </row>
    <row r="22" spans="1:8">
      <c r="A22" s="2" t="s">
        <v>1210</v>
      </c>
    </row>
    <row r="25" spans="1:8">
      <c r="A25" s="2" t="s">
        <v>1955</v>
      </c>
    </row>
  </sheetData>
  <mergeCells count="1">
    <mergeCell ref="A2:G2"/>
  </mergeCells>
  <phoneticPr fontId="0" type="noConversion"/>
  <pageMargins left="0.69" right="0.56000000000000005" top="1.08" bottom="0.49" header="0.53" footer="0.4921259845"/>
  <pageSetup paperSize="9" scale="81" orientation="portrait" horizontalDpi="4294967292" verticalDpi="4294967292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AD01-B76A-8846-9693-053AD3433533}">
  <sheetPr>
    <pageSetUpPr fitToPage="1"/>
  </sheetPr>
  <dimension ref="A1:D33"/>
  <sheetViews>
    <sheetView zoomScale="75" workbookViewId="0">
      <selection activeCell="C17" sqref="C17"/>
    </sheetView>
  </sheetViews>
  <sheetFormatPr baseColWidth="10" defaultColWidth="11.3984375" defaultRowHeight="13"/>
  <cols>
    <col min="1" max="1" width="10.59765625" style="2" customWidth="1"/>
    <col min="2" max="2" width="60.796875" style="97" customWidth="1"/>
    <col min="3" max="3" width="17" style="8" customWidth="1"/>
    <col min="4" max="4" width="17" style="415" customWidth="1"/>
    <col min="5" max="16384" width="11.3984375" style="2"/>
  </cols>
  <sheetData>
    <row r="1" spans="1:4" s="1" customFormat="1" ht="14" customHeight="1">
      <c r="B1" s="169"/>
      <c r="C1" s="175"/>
      <c r="D1" s="392"/>
    </row>
    <row r="2" spans="1:4" s="1" customFormat="1" ht="28" customHeight="1">
      <c r="A2" s="58" t="s">
        <v>848</v>
      </c>
      <c r="B2" s="169"/>
      <c r="C2" s="175"/>
      <c r="D2" s="265">
        <v>2006</v>
      </c>
    </row>
    <row r="3" spans="1:4" ht="39" customHeight="1">
      <c r="A3" s="113" t="s">
        <v>1004</v>
      </c>
      <c r="B3" s="170"/>
      <c r="C3" s="142" t="s">
        <v>797</v>
      </c>
      <c r="D3" s="394" t="s">
        <v>1719</v>
      </c>
    </row>
    <row r="4" spans="1:4" ht="38" customHeight="1">
      <c r="A4" s="314"/>
      <c r="B4" s="315"/>
      <c r="C4" s="144" t="s">
        <v>1007</v>
      </c>
      <c r="D4" s="395" t="s">
        <v>94</v>
      </c>
    </row>
    <row r="5" spans="1:4" ht="30" customHeight="1" thickBot="1">
      <c r="A5" s="125"/>
      <c r="B5" s="420" t="s">
        <v>849</v>
      </c>
      <c r="C5" s="329">
        <v>7617747163.8000002</v>
      </c>
      <c r="D5" s="421">
        <v>0.42182771371215938</v>
      </c>
    </row>
    <row r="6" spans="1:4" ht="21.75" customHeight="1" thickBot="1">
      <c r="A6" s="130">
        <v>10</v>
      </c>
      <c r="B6" s="130" t="s">
        <v>850</v>
      </c>
      <c r="C6" s="145">
        <v>2498895125.3000002</v>
      </c>
      <c r="D6" s="499">
        <v>0.13837466574382015</v>
      </c>
    </row>
    <row r="7" spans="1:4" ht="21.75" customHeight="1" thickBot="1">
      <c r="A7" s="130">
        <v>11</v>
      </c>
      <c r="B7" s="130" t="s">
        <v>851</v>
      </c>
      <c r="C7" s="145">
        <v>3515498684.5</v>
      </c>
      <c r="D7" s="499">
        <v>0.19466841583923072</v>
      </c>
    </row>
    <row r="8" spans="1:4" ht="18.75" customHeight="1" thickBot="1">
      <c r="A8" s="130"/>
      <c r="B8" s="418" t="s">
        <v>852</v>
      </c>
      <c r="C8" s="531">
        <v>3764411891.8000002</v>
      </c>
      <c r="D8" s="499">
        <v>0.20845182015685879</v>
      </c>
    </row>
    <row r="9" spans="1:4" ht="18.75" customHeight="1" thickBot="1">
      <c r="A9" s="130"/>
      <c r="B9" s="418" t="s">
        <v>853</v>
      </c>
      <c r="C9" s="531">
        <v>-248913207.30000001</v>
      </c>
      <c r="D9" s="499">
        <v>-1.3783404317628053E-2</v>
      </c>
    </row>
    <row r="10" spans="1:4" ht="21.75" customHeight="1" thickBot="1">
      <c r="A10" s="130">
        <v>12</v>
      </c>
      <c r="B10" s="130" t="s">
        <v>854</v>
      </c>
      <c r="C10" s="145">
        <v>828651663.70000005</v>
      </c>
      <c r="D10" s="499">
        <v>4.5886038122060907E-2</v>
      </c>
    </row>
    <row r="11" spans="1:4" ht="18.75" customHeight="1" thickBot="1">
      <c r="A11" s="130"/>
      <c r="B11" s="418" t="s">
        <v>855</v>
      </c>
      <c r="C11" s="531">
        <v>849194467.20000005</v>
      </c>
      <c r="D11" s="499">
        <v>4.7023582286669342E-2</v>
      </c>
    </row>
    <row r="12" spans="1:4" ht="18.75" customHeight="1" thickBot="1">
      <c r="A12" s="130"/>
      <c r="B12" s="418" t="s">
        <v>856</v>
      </c>
      <c r="C12" s="531">
        <v>-20542803.600000001</v>
      </c>
      <c r="D12" s="499">
        <v>-1.1375441701458688E-3</v>
      </c>
    </row>
    <row r="13" spans="1:4" ht="24" customHeight="1" thickBot="1">
      <c r="A13" s="130">
        <v>13</v>
      </c>
      <c r="B13" s="130" t="s">
        <v>857</v>
      </c>
      <c r="C13" s="145">
        <v>6767096.4000000004</v>
      </c>
      <c r="D13" s="499">
        <v>3.7472348996390624E-4</v>
      </c>
    </row>
    <row r="14" spans="1:4" ht="28.5" customHeight="1" thickBot="1">
      <c r="A14" s="130">
        <v>14</v>
      </c>
      <c r="B14" s="401" t="s">
        <v>1760</v>
      </c>
      <c r="C14" s="145">
        <v>334428128.60000002</v>
      </c>
      <c r="D14" s="499">
        <v>1.8518736557541878E-2</v>
      </c>
    </row>
    <row r="15" spans="1:4" ht="30.75" customHeight="1" thickBot="1">
      <c r="A15" s="130">
        <v>15</v>
      </c>
      <c r="B15" s="401" t="s">
        <v>1761</v>
      </c>
      <c r="C15" s="145">
        <v>18121120.5</v>
      </c>
      <c r="D15" s="499">
        <v>1.0034450692643429E-3</v>
      </c>
    </row>
    <row r="16" spans="1:4" ht="21.75" customHeight="1" thickBot="1">
      <c r="A16" s="130">
        <v>16</v>
      </c>
      <c r="B16" s="130" t="s">
        <v>1762</v>
      </c>
      <c r="C16" s="145">
        <v>415385345</v>
      </c>
      <c r="D16" s="499">
        <v>2.3001688901352315E-2</v>
      </c>
    </row>
    <row r="17" spans="1:4" ht="30" customHeight="1" thickBot="1">
      <c r="A17" s="130"/>
      <c r="B17" s="409" t="s">
        <v>1763</v>
      </c>
      <c r="C17" s="329">
        <v>10441159153.1</v>
      </c>
      <c r="D17" s="499">
        <v>0.57817228628784056</v>
      </c>
    </row>
    <row r="18" spans="1:4" ht="21.75" customHeight="1" thickBot="1">
      <c r="A18" s="130">
        <v>17</v>
      </c>
      <c r="B18" s="130" t="s">
        <v>1764</v>
      </c>
      <c r="C18" s="145">
        <v>9466683149.3999996</v>
      </c>
      <c r="D18" s="499">
        <v>0.52421132173108553</v>
      </c>
    </row>
    <row r="19" spans="1:4" ht="18.75" customHeight="1" thickBot="1">
      <c r="A19" s="130"/>
      <c r="B19" s="418" t="s">
        <v>1765</v>
      </c>
      <c r="C19" s="531">
        <v>9921508729.7999992</v>
      </c>
      <c r="D19" s="499">
        <v>0.54939698759692823</v>
      </c>
    </row>
    <row r="20" spans="1:4" ht="18.75" customHeight="1" thickBot="1">
      <c r="A20" s="131"/>
      <c r="B20" s="532" t="s">
        <v>1766</v>
      </c>
      <c r="C20" s="531">
        <v>-454825580.39999998</v>
      </c>
      <c r="D20" s="499">
        <v>-2.5185665865842727E-2</v>
      </c>
    </row>
    <row r="21" spans="1:4" ht="21.75" customHeight="1" thickBot="1">
      <c r="A21" s="130">
        <v>18</v>
      </c>
      <c r="B21" s="130" t="s">
        <v>1730</v>
      </c>
      <c r="C21" s="145">
        <v>858289868.10000002</v>
      </c>
      <c r="D21" s="499">
        <v>4.7527234099264896E-2</v>
      </c>
    </row>
    <row r="22" spans="1:4" ht="18.75" customHeight="1" thickBot="1">
      <c r="A22" s="131"/>
      <c r="B22" s="532" t="s">
        <v>1767</v>
      </c>
      <c r="C22" s="531">
        <v>1288056401.3</v>
      </c>
      <c r="D22" s="499">
        <v>7.1325271790939115E-2</v>
      </c>
    </row>
    <row r="23" spans="1:4" ht="18.75" customHeight="1" thickBot="1">
      <c r="A23" s="130"/>
      <c r="B23" s="418" t="s">
        <v>1768</v>
      </c>
      <c r="C23" s="531">
        <v>-429766533.19999999</v>
      </c>
      <c r="D23" s="499">
        <v>-2.3798037691674226E-2</v>
      </c>
    </row>
    <row r="24" spans="1:4" ht="21.75" customHeight="1" thickBot="1">
      <c r="A24" s="130">
        <v>19</v>
      </c>
      <c r="B24" s="130" t="s">
        <v>1769</v>
      </c>
      <c r="C24" s="145">
        <v>116186135.59999999</v>
      </c>
      <c r="D24" s="499">
        <v>6.4337304574901052E-3</v>
      </c>
    </row>
    <row r="25" spans="1:4" ht="18.75" customHeight="1" thickBot="1">
      <c r="A25" s="130"/>
      <c r="B25" s="418" t="s">
        <v>1770</v>
      </c>
      <c r="C25" s="531">
        <v>850836494</v>
      </c>
      <c r="D25" s="499">
        <v>4.7114508435306776E-2</v>
      </c>
    </row>
    <row r="26" spans="1:4" ht="18.75" customHeight="1" thickBot="1">
      <c r="A26" s="130"/>
      <c r="B26" s="418" t="s">
        <v>1766</v>
      </c>
      <c r="C26" s="531">
        <v>-734650358.39999998</v>
      </c>
      <c r="D26" s="499">
        <v>-4.0680777977816669E-2</v>
      </c>
    </row>
    <row r="27" spans="1:4" s="188" customFormat="1" ht="36" customHeight="1" thickBot="1">
      <c r="A27" s="132">
        <v>1</v>
      </c>
      <c r="B27" s="132" t="s">
        <v>1771</v>
      </c>
      <c r="C27" s="199">
        <v>18058906316.900002</v>
      </c>
      <c r="D27" s="509">
        <v>1</v>
      </c>
    </row>
    <row r="28" spans="1:4" ht="18.75" customHeight="1">
      <c r="A28" s="136" t="s">
        <v>453</v>
      </c>
      <c r="B28" s="173"/>
      <c r="C28" s="190"/>
      <c r="D28" s="413"/>
    </row>
    <row r="30" spans="1:4">
      <c r="A30" s="2" t="s">
        <v>1772</v>
      </c>
    </row>
    <row r="33" spans="1:1">
      <c r="A33" s="207" t="s">
        <v>1955</v>
      </c>
    </row>
  </sheetData>
  <phoneticPr fontId="0" type="noConversion"/>
  <pageMargins left="0.78740157480314965" right="0.78740157480314965" top="0.87" bottom="0.49" header="0.47" footer="0.4921259845"/>
  <pageSetup paperSize="9" scale="82" orientation="portrait" horizontalDpi="4294967292" verticalDpi="4294967292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DD53-C284-3F4C-90AF-B179E4D6731F}">
  <sheetPr>
    <pageSetUpPr fitToPage="1"/>
  </sheetPr>
  <dimension ref="A1:D44"/>
  <sheetViews>
    <sheetView zoomScale="75" workbookViewId="0"/>
  </sheetViews>
  <sheetFormatPr baseColWidth="10" defaultColWidth="11.3984375" defaultRowHeight="13"/>
  <cols>
    <col min="1" max="1" width="10.59765625" style="2" customWidth="1"/>
    <col min="2" max="2" width="60.796875" style="97" customWidth="1"/>
    <col min="3" max="3" width="17.3984375" style="158" customWidth="1"/>
    <col min="4" max="4" width="16.796875" style="415" customWidth="1"/>
    <col min="5" max="16384" width="11.3984375" style="2"/>
  </cols>
  <sheetData>
    <row r="1" spans="1:4" s="1" customFormat="1" ht="14" customHeight="1">
      <c r="B1" s="169"/>
      <c r="C1" s="140"/>
      <c r="D1" s="392"/>
    </row>
    <row r="2" spans="1:4" s="1" customFormat="1" ht="28" customHeight="1">
      <c r="A2" s="58" t="s">
        <v>1740</v>
      </c>
      <c r="B2" s="169"/>
      <c r="C2" s="140"/>
      <c r="D2" s="265">
        <v>2006</v>
      </c>
    </row>
    <row r="3" spans="1:4" ht="39" customHeight="1">
      <c r="A3" s="113" t="s">
        <v>1004</v>
      </c>
      <c r="B3" s="170"/>
      <c r="C3" s="142" t="s">
        <v>797</v>
      </c>
      <c r="D3" s="394" t="s">
        <v>1719</v>
      </c>
    </row>
    <row r="4" spans="1:4" ht="38" customHeight="1">
      <c r="A4" s="314"/>
      <c r="B4" s="315"/>
      <c r="C4" s="144" t="s">
        <v>1007</v>
      </c>
      <c r="D4" s="395" t="s">
        <v>94</v>
      </c>
    </row>
    <row r="5" spans="1:4" ht="30" customHeight="1" thickBot="1">
      <c r="A5" s="125"/>
      <c r="B5" s="420" t="s">
        <v>1741</v>
      </c>
      <c r="C5" s="329">
        <v>13475795663.9</v>
      </c>
      <c r="D5" s="421">
        <v>0.74621327711795005</v>
      </c>
    </row>
    <row r="6" spans="1:4" ht="21.75" customHeight="1" thickBot="1">
      <c r="A6" s="130">
        <v>20</v>
      </c>
      <c r="B6" s="130" t="s">
        <v>1742</v>
      </c>
      <c r="C6" s="145">
        <v>468587268.60000002</v>
      </c>
      <c r="D6" s="421">
        <v>2.5947710253166532E-2</v>
      </c>
    </row>
    <row r="7" spans="1:4" ht="21.75" customHeight="1" thickBot="1">
      <c r="A7" s="130">
        <v>21</v>
      </c>
      <c r="B7" s="130" t="s">
        <v>1452</v>
      </c>
      <c r="C7" s="145">
        <v>3896476571.5</v>
      </c>
      <c r="D7" s="421">
        <v>0.21576481449785109</v>
      </c>
    </row>
    <row r="8" spans="1:4" ht="31.5" customHeight="1" thickBot="1">
      <c r="A8" s="130">
        <v>215</v>
      </c>
      <c r="B8" s="401" t="s">
        <v>1123</v>
      </c>
      <c r="C8" s="145">
        <v>-1855903.6</v>
      </c>
      <c r="D8" s="421">
        <v>-1.027694350605937E-4</v>
      </c>
    </row>
    <row r="9" spans="1:4" ht="21.75" customHeight="1" thickBot="1">
      <c r="A9" s="130">
        <v>22</v>
      </c>
      <c r="B9" s="130" t="s">
        <v>1124</v>
      </c>
      <c r="C9" s="145">
        <v>822873906.10000002</v>
      </c>
      <c r="D9" s="421">
        <v>4.5566098614174266E-2</v>
      </c>
    </row>
    <row r="10" spans="1:4" ht="21.75" customHeight="1" thickBot="1">
      <c r="A10" s="130">
        <v>23</v>
      </c>
      <c r="B10" s="130" t="s">
        <v>1125</v>
      </c>
      <c r="C10" s="145">
        <v>8423337.5</v>
      </c>
      <c r="D10" s="421">
        <v>4.664367460679066E-4</v>
      </c>
    </row>
    <row r="11" spans="1:4" ht="21.75" customHeight="1" thickBot="1">
      <c r="A11" s="130">
        <v>24</v>
      </c>
      <c r="B11" s="130" t="s">
        <v>1126</v>
      </c>
      <c r="C11" s="145">
        <v>52617176.899999999</v>
      </c>
      <c r="D11" s="421">
        <v>2.9136413898309807E-3</v>
      </c>
    </row>
    <row r="12" spans="1:4" ht="21.75" customHeight="1" thickBot="1">
      <c r="A12" s="130">
        <v>25</v>
      </c>
      <c r="B12" s="130" t="s">
        <v>1127</v>
      </c>
      <c r="C12" s="145">
        <v>22342416.300000001</v>
      </c>
      <c r="D12" s="421">
        <v>1.2371965338283735E-3</v>
      </c>
    </row>
    <row r="13" spans="1:4" ht="21.75" customHeight="1" thickBot="1">
      <c r="A13" s="130">
        <v>26</v>
      </c>
      <c r="B13" s="130" t="s">
        <v>1128</v>
      </c>
      <c r="C13" s="145">
        <v>581007207</v>
      </c>
      <c r="D13" s="421">
        <v>3.2172890030238328E-2</v>
      </c>
    </row>
    <row r="14" spans="1:4" s="407" customFormat="1" ht="47.25" customHeight="1" thickBot="1">
      <c r="A14" s="401">
        <v>27</v>
      </c>
      <c r="B14" s="401" t="s">
        <v>1129</v>
      </c>
      <c r="C14" s="145">
        <v>7625323683.6000004</v>
      </c>
      <c r="D14" s="421">
        <v>0.42224725848785322</v>
      </c>
    </row>
    <row r="15" spans="1:4" s="407" customFormat="1" ht="21" customHeight="1" thickBot="1">
      <c r="A15" s="422">
        <v>270</v>
      </c>
      <c r="B15" s="423" t="s">
        <v>1130</v>
      </c>
      <c r="C15" s="145">
        <v>4989972486.6999998</v>
      </c>
      <c r="D15" s="421">
        <v>0.27631642797937611</v>
      </c>
    </row>
    <row r="16" spans="1:4" ht="18.75" customHeight="1" thickBot="1">
      <c r="A16" s="417">
        <v>270.10000000000002</v>
      </c>
      <c r="B16" s="418" t="s">
        <v>1131</v>
      </c>
      <c r="C16" s="145">
        <v>579190986.5</v>
      </c>
      <c r="D16" s="421">
        <v>3.2072318020608913E-2</v>
      </c>
    </row>
    <row r="17" spans="1:4" ht="31.5" customHeight="1" thickBot="1">
      <c r="A17" s="417">
        <v>270.2</v>
      </c>
      <c r="B17" s="423" t="s">
        <v>1132</v>
      </c>
      <c r="C17" s="145">
        <v>29201424.800000001</v>
      </c>
      <c r="D17" s="421">
        <v>1.617009595574043E-3</v>
      </c>
    </row>
    <row r="18" spans="1:4" ht="30.75" customHeight="1" thickBot="1">
      <c r="A18" s="417">
        <v>270.3</v>
      </c>
      <c r="B18" s="423" t="s">
        <v>1133</v>
      </c>
      <c r="C18" s="145">
        <v>2186056.1</v>
      </c>
      <c r="D18" s="421">
        <v>1.2105141151068661E-4</v>
      </c>
    </row>
    <row r="19" spans="1:4" ht="18.75" customHeight="1" thickBot="1">
      <c r="A19" s="417">
        <v>271</v>
      </c>
      <c r="B19" s="418" t="s">
        <v>1134</v>
      </c>
      <c r="C19" s="145">
        <v>95291560.900000006</v>
      </c>
      <c r="D19" s="421">
        <v>5.2767071952094713E-3</v>
      </c>
    </row>
    <row r="20" spans="1:4" ht="18.75" customHeight="1" thickBot="1">
      <c r="A20" s="417">
        <v>272</v>
      </c>
      <c r="B20" s="418" t="s">
        <v>1135</v>
      </c>
      <c r="C20" s="145">
        <v>1630000</v>
      </c>
      <c r="D20" s="421">
        <v>9.026017253739242E-5</v>
      </c>
    </row>
    <row r="21" spans="1:4" ht="18.75" customHeight="1" thickBot="1">
      <c r="A21" s="417">
        <v>273</v>
      </c>
      <c r="B21" s="418" t="s">
        <v>1136</v>
      </c>
      <c r="C21" s="145">
        <v>1461957094.2</v>
      </c>
      <c r="D21" s="421">
        <v>8.0954907708439799E-2</v>
      </c>
    </row>
    <row r="22" spans="1:4" ht="18.75" customHeight="1" thickBot="1">
      <c r="A22" s="417">
        <v>273.10000000000002</v>
      </c>
      <c r="B22" s="418" t="s">
        <v>1137</v>
      </c>
      <c r="C22" s="145">
        <v>283555735.69999999</v>
      </c>
      <c r="D22" s="421">
        <v>1.5701711428373767E-2</v>
      </c>
    </row>
    <row r="23" spans="1:4" ht="18.75" customHeight="1" thickBot="1">
      <c r="A23" s="417">
        <v>274</v>
      </c>
      <c r="B23" s="418" t="s">
        <v>1138</v>
      </c>
      <c r="C23" s="145">
        <v>174020624.59999999</v>
      </c>
      <c r="D23" s="421">
        <v>9.6362770561109166E-3</v>
      </c>
    </row>
    <row r="24" spans="1:4" ht="18.75" customHeight="1" thickBot="1">
      <c r="A24" s="417">
        <v>279</v>
      </c>
      <c r="B24" s="418" t="s">
        <v>1139</v>
      </c>
      <c r="C24" s="145">
        <v>8317714.2000000002</v>
      </c>
      <c r="D24" s="421">
        <v>4.6058792564952083E-4</v>
      </c>
    </row>
    <row r="25" spans="1:4" ht="21.75" customHeight="1" thickBot="1">
      <c r="A25" s="130"/>
      <c r="B25" s="418" t="s">
        <v>1140</v>
      </c>
      <c r="C25" s="145">
        <v>4583110653</v>
      </c>
      <c r="D25" s="421">
        <v>0.25378672288204984</v>
      </c>
    </row>
    <row r="26" spans="1:4" ht="21.75" customHeight="1" thickBot="1">
      <c r="A26" s="130">
        <v>28</v>
      </c>
      <c r="B26" s="409" t="s">
        <v>1141</v>
      </c>
      <c r="C26" s="145">
        <v>72572733.099999994</v>
      </c>
      <c r="D26" s="421">
        <v>4.0186671233841285E-3</v>
      </c>
    </row>
    <row r="27" spans="1:4" ht="18.75" customHeight="1" thickBot="1">
      <c r="A27" s="417">
        <v>280</v>
      </c>
      <c r="B27" s="418" t="s">
        <v>1142</v>
      </c>
      <c r="C27" s="145">
        <v>36343784.700000003</v>
      </c>
      <c r="D27" s="421">
        <v>2.0125130537937685E-3</v>
      </c>
    </row>
    <row r="28" spans="1:4" ht="18.75" customHeight="1" thickBot="1">
      <c r="A28" s="417">
        <v>281</v>
      </c>
      <c r="B28" s="418" t="s">
        <v>1143</v>
      </c>
      <c r="C28" s="145">
        <v>23391811.300000001</v>
      </c>
      <c r="D28" s="421">
        <v>1.2953060882822858E-3</v>
      </c>
    </row>
    <row r="29" spans="1:4" ht="18.75" customHeight="1" thickBot="1">
      <c r="A29" s="417">
        <v>282</v>
      </c>
      <c r="B29" s="418" t="s">
        <v>1144</v>
      </c>
      <c r="C29" s="145">
        <v>12837137</v>
      </c>
      <c r="D29" s="421">
        <v>7.1084797577064052E-4</v>
      </c>
    </row>
    <row r="30" spans="1:4" ht="21.75" customHeight="1" thickBot="1">
      <c r="A30" s="130">
        <v>29</v>
      </c>
      <c r="B30" s="409" t="s">
        <v>1145</v>
      </c>
      <c r="C30" s="145">
        <v>4510537919.8999996</v>
      </c>
      <c r="D30" s="421">
        <v>0.2497680557586657</v>
      </c>
    </row>
    <row r="31" spans="1:4" ht="30" customHeight="1" thickBot="1">
      <c r="A31" s="417">
        <v>290</v>
      </c>
      <c r="B31" s="423" t="s">
        <v>1371</v>
      </c>
      <c r="C31" s="145">
        <v>3657621032</v>
      </c>
      <c r="D31" s="421">
        <v>0.20253834688632841</v>
      </c>
    </row>
    <row r="32" spans="1:4" ht="30.75" customHeight="1" thickBot="1">
      <c r="A32" s="417">
        <v>290.5</v>
      </c>
      <c r="B32" s="423" t="s">
        <v>1712</v>
      </c>
      <c r="C32" s="145">
        <v>14654596.5</v>
      </c>
      <c r="D32" s="421">
        <v>8.1148859420605347E-4</v>
      </c>
    </row>
    <row r="33" spans="1:4" ht="18.75" customHeight="1" thickBot="1">
      <c r="A33" s="417">
        <v>290.89999999999998</v>
      </c>
      <c r="B33" s="418" t="s">
        <v>1372</v>
      </c>
      <c r="C33" s="145">
        <v>91387544.400000006</v>
      </c>
      <c r="D33" s="421">
        <v>5.0605248621549762E-3</v>
      </c>
    </row>
    <row r="34" spans="1:4" ht="18.75" customHeight="1" thickBot="1">
      <c r="A34" s="417">
        <v>291</v>
      </c>
      <c r="B34" s="418" t="s">
        <v>1373</v>
      </c>
      <c r="C34" s="145">
        <v>397201656.10000002</v>
      </c>
      <c r="D34" s="421">
        <v>2.199477914829694E-2</v>
      </c>
    </row>
    <row r="35" spans="1:4" ht="18.75" customHeight="1" thickBot="1">
      <c r="A35" s="417">
        <v>292</v>
      </c>
      <c r="B35" s="418" t="s">
        <v>1374</v>
      </c>
      <c r="C35" s="145">
        <v>-10020129.6</v>
      </c>
      <c r="D35" s="421">
        <v>-5.5485805309388517E-4</v>
      </c>
    </row>
    <row r="36" spans="1:4" ht="18.75" customHeight="1" thickBot="1">
      <c r="A36" s="417">
        <v>293</v>
      </c>
      <c r="B36" s="418" t="s">
        <v>1375</v>
      </c>
      <c r="C36" s="145">
        <v>359693220.60000002</v>
      </c>
      <c r="D36" s="421">
        <v>1.9917774326310648E-2</v>
      </c>
    </row>
    <row r="37" spans="1:4" ht="18.75" customHeight="1" thickBot="1">
      <c r="A37" s="417">
        <v>299</v>
      </c>
      <c r="B37" s="418" t="s">
        <v>1376</v>
      </c>
      <c r="C37" s="145">
        <v>0</v>
      </c>
      <c r="D37" s="421">
        <v>0</v>
      </c>
    </row>
    <row r="38" spans="1:4" s="188" customFormat="1" ht="35.25" customHeight="1" thickBot="1">
      <c r="A38" s="132">
        <v>2</v>
      </c>
      <c r="B38" s="132" t="s">
        <v>1377</v>
      </c>
      <c r="C38" s="199">
        <v>18058906316.900002</v>
      </c>
      <c r="D38" s="424">
        <v>1</v>
      </c>
    </row>
    <row r="39" spans="1:4" ht="19.5" customHeight="1">
      <c r="A39" s="136" t="s">
        <v>452</v>
      </c>
      <c r="B39" s="173"/>
      <c r="C39" s="153"/>
      <c r="D39" s="413"/>
    </row>
    <row r="41" spans="1:4">
      <c r="A41" s="2" t="s">
        <v>1378</v>
      </c>
    </row>
    <row r="44" spans="1:4">
      <c r="A44" s="207" t="s">
        <v>1955</v>
      </c>
    </row>
  </sheetData>
  <phoneticPr fontId="0" type="noConversion"/>
  <pageMargins left="0.62" right="0.69" top="0.85" bottom="0.49" header="0.47" footer="0.4921259845"/>
  <pageSetup paperSize="9" scale="77" orientation="portrait" horizontalDpi="4294967292" verticalDpi="4294967292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D5B3-9F0E-0643-A319-80B16B78A663}">
  <sheetPr>
    <pageSetUpPr fitToPage="1"/>
  </sheetPr>
  <dimension ref="A1:D31"/>
  <sheetViews>
    <sheetView topLeftCell="A16" zoomScale="75" workbookViewId="0">
      <selection activeCell="A3" sqref="A3"/>
    </sheetView>
  </sheetViews>
  <sheetFormatPr baseColWidth="10" defaultColWidth="11.3984375" defaultRowHeight="13"/>
  <cols>
    <col min="1" max="1" width="10.59765625" style="2" customWidth="1"/>
    <col min="2" max="2" width="60.796875" style="97" customWidth="1"/>
    <col min="3" max="3" width="17.19921875" style="8" customWidth="1"/>
    <col min="4" max="4" width="16.796875" style="415" customWidth="1"/>
    <col min="5" max="16384" width="11.3984375" style="2"/>
  </cols>
  <sheetData>
    <row r="1" spans="1:4" s="1" customFormat="1" ht="14" customHeight="1">
      <c r="B1" s="169"/>
      <c r="C1" s="175"/>
      <c r="D1" s="392"/>
    </row>
    <row r="2" spans="1:4" s="1" customFormat="1" ht="28" customHeight="1">
      <c r="A2" s="58" t="s">
        <v>1718</v>
      </c>
      <c r="B2" s="169"/>
      <c r="C2" s="175"/>
      <c r="D2" s="265">
        <v>2006</v>
      </c>
    </row>
    <row r="3" spans="1:4" ht="39" customHeight="1">
      <c r="A3" s="113" t="s">
        <v>1004</v>
      </c>
      <c r="B3" s="170"/>
      <c r="C3" s="142" t="s">
        <v>797</v>
      </c>
      <c r="D3" s="394" t="s">
        <v>1719</v>
      </c>
    </row>
    <row r="4" spans="1:4" ht="38" customHeight="1">
      <c r="A4" s="314"/>
      <c r="B4" s="315"/>
      <c r="C4" s="144" t="s">
        <v>1007</v>
      </c>
      <c r="D4" s="395" t="s">
        <v>94</v>
      </c>
    </row>
    <row r="5" spans="1:4" ht="39" customHeight="1" thickBot="1">
      <c r="A5" s="396">
        <v>17</v>
      </c>
      <c r="B5" s="416" t="s">
        <v>1720</v>
      </c>
      <c r="C5" s="397"/>
      <c r="D5" s="398"/>
    </row>
    <row r="6" spans="1:4" ht="21.75" customHeight="1" thickBot="1">
      <c r="A6" s="417">
        <v>170</v>
      </c>
      <c r="B6" s="418" t="s">
        <v>1721</v>
      </c>
      <c r="C6" s="147"/>
      <c r="D6" s="171"/>
    </row>
    <row r="7" spans="1:4" ht="33.75" customHeight="1" thickBot="1">
      <c r="A7" s="399"/>
      <c r="B7" s="401" t="s">
        <v>1722</v>
      </c>
      <c r="C7" s="147">
        <v>2524992440</v>
      </c>
      <c r="D7" s="171">
        <v>0.24455196501168736</v>
      </c>
    </row>
    <row r="8" spans="1:4" ht="18" customHeight="1" thickBot="1">
      <c r="A8" s="399"/>
      <c r="B8" s="401" t="s">
        <v>1723</v>
      </c>
      <c r="C8" s="147">
        <v>6812761523</v>
      </c>
      <c r="D8" s="171">
        <v>0.65983334888941914</v>
      </c>
    </row>
    <row r="9" spans="1:4" ht="19.5" customHeight="1" thickBot="1">
      <c r="A9" s="399"/>
      <c r="B9" s="401" t="s">
        <v>1724</v>
      </c>
      <c r="C9" s="147">
        <v>359869448</v>
      </c>
      <c r="D9" s="171">
        <v>3.4854274912629539E-2</v>
      </c>
    </row>
    <row r="10" spans="1:4" ht="28.5" customHeight="1" thickBot="1">
      <c r="A10" s="399"/>
      <c r="B10" s="401" t="s">
        <v>1725</v>
      </c>
      <c r="C10" s="147">
        <v>0</v>
      </c>
      <c r="D10" s="171">
        <v>0</v>
      </c>
    </row>
    <row r="11" spans="1:4" ht="30.75" customHeight="1" thickBot="1">
      <c r="A11" s="399"/>
      <c r="B11" s="401" t="s">
        <v>1726</v>
      </c>
      <c r="C11" s="147">
        <v>29416254</v>
      </c>
      <c r="D11" s="171">
        <v>2.8490393099881552E-3</v>
      </c>
    </row>
    <row r="12" spans="1:4" ht="21.75" customHeight="1" thickBot="1">
      <c r="A12" s="399"/>
      <c r="B12" s="130" t="s">
        <v>1727</v>
      </c>
      <c r="C12" s="147">
        <v>194469065</v>
      </c>
      <c r="D12" s="171">
        <v>1.8834825493471794E-2</v>
      </c>
    </row>
    <row r="13" spans="1:4" ht="21.75" customHeight="1" thickBot="1">
      <c r="A13" s="405">
        <v>170</v>
      </c>
      <c r="B13" s="401" t="s">
        <v>1951</v>
      </c>
      <c r="C13" s="419">
        <v>9921508730</v>
      </c>
      <c r="D13" s="171">
        <v>0.960923453617196</v>
      </c>
    </row>
    <row r="14" spans="1:4" s="407" customFormat="1" ht="23.25" customHeight="1" thickBot="1">
      <c r="A14" s="399">
        <v>179</v>
      </c>
      <c r="B14" s="130" t="s">
        <v>1728</v>
      </c>
      <c r="C14" s="147">
        <v>-454825580</v>
      </c>
      <c r="D14" s="171">
        <v>-4.4051018753379079E-2</v>
      </c>
    </row>
    <row r="15" spans="1:4" s="407" customFormat="1" ht="27.75" customHeight="1" thickBot="1">
      <c r="A15" s="409">
        <v>17</v>
      </c>
      <c r="B15" s="409" t="s">
        <v>1729</v>
      </c>
      <c r="C15" s="255">
        <v>9466683149</v>
      </c>
      <c r="D15" s="398">
        <v>0.91687243476696434</v>
      </c>
    </row>
    <row r="16" spans="1:4" ht="24.75" customHeight="1" thickBot="1">
      <c r="A16" s="404">
        <v>18</v>
      </c>
      <c r="B16" s="406" t="s">
        <v>1730</v>
      </c>
      <c r="C16" s="147"/>
      <c r="D16" s="171"/>
    </row>
    <row r="17" spans="1:4" ht="16.5" customHeight="1" thickBot="1">
      <c r="A17" s="399">
        <v>180</v>
      </c>
      <c r="B17" s="401" t="s">
        <v>1731</v>
      </c>
      <c r="C17" s="147">
        <v>128041666</v>
      </c>
      <c r="D17" s="171">
        <v>1.2401162287705764E-2</v>
      </c>
    </row>
    <row r="18" spans="1:4" ht="22.5" customHeight="1" thickBot="1">
      <c r="A18" s="399"/>
      <c r="B18" s="401" t="s">
        <v>1732</v>
      </c>
      <c r="C18" s="147">
        <v>454511270</v>
      </c>
      <c r="D18" s="171">
        <v>4.4020577027334619E-2</v>
      </c>
    </row>
    <row r="19" spans="1:4" ht="18.75" customHeight="1" thickBot="1">
      <c r="A19" s="399"/>
      <c r="B19" s="130" t="s">
        <v>1733</v>
      </c>
      <c r="C19" s="147">
        <v>705503465</v>
      </c>
      <c r="D19" s="171">
        <v>6.8329811984824865E-2</v>
      </c>
    </row>
    <row r="20" spans="1:4" ht="18.75" customHeight="1" thickBot="1">
      <c r="A20" s="399">
        <v>180</v>
      </c>
      <c r="B20" s="130" t="s">
        <v>1951</v>
      </c>
      <c r="C20" s="147">
        <v>1288056401</v>
      </c>
      <c r="D20" s="171">
        <v>0.12475155129986525</v>
      </c>
    </row>
    <row r="21" spans="1:4" ht="21" customHeight="1" thickBot="1">
      <c r="A21" s="399">
        <v>189</v>
      </c>
      <c r="B21" s="130" t="s">
        <v>1734</v>
      </c>
      <c r="C21" s="147">
        <v>-429766533</v>
      </c>
      <c r="D21" s="171">
        <v>-4.1623986066829641E-2</v>
      </c>
    </row>
    <row r="22" spans="1:4" ht="30.75" customHeight="1" thickBot="1">
      <c r="A22" s="409">
        <v>18</v>
      </c>
      <c r="B22" s="409" t="s">
        <v>1735</v>
      </c>
      <c r="C22" s="255">
        <v>858289868</v>
      </c>
      <c r="D22" s="398">
        <v>8.3127565233035605E-2</v>
      </c>
    </row>
    <row r="23" spans="1:4" ht="39" customHeight="1" thickBot="1">
      <c r="A23" s="411" t="s">
        <v>1736</v>
      </c>
      <c r="B23" s="412" t="s">
        <v>1737</v>
      </c>
      <c r="C23" s="149">
        <v>10324973017</v>
      </c>
      <c r="D23" s="172">
        <v>1</v>
      </c>
    </row>
    <row r="24" spans="1:4" ht="19.5" customHeight="1">
      <c r="A24" s="136" t="s">
        <v>452</v>
      </c>
      <c r="B24" s="173"/>
      <c r="C24" s="190"/>
      <c r="D24" s="413"/>
    </row>
    <row r="25" spans="1:4" ht="14.25" customHeight="1">
      <c r="A25" s="3"/>
      <c r="B25" s="174"/>
      <c r="C25" s="191"/>
      <c r="D25" s="414"/>
    </row>
    <row r="26" spans="1:4" ht="14.25" customHeight="1">
      <c r="A26" s="3" t="s">
        <v>1738</v>
      </c>
      <c r="B26" s="174"/>
      <c r="C26" s="191"/>
      <c r="D26" s="414"/>
    </row>
    <row r="28" spans="1:4">
      <c r="A28" s="2" t="s">
        <v>1739</v>
      </c>
    </row>
    <row r="31" spans="1:4">
      <c r="A31" s="207" t="s">
        <v>1955</v>
      </c>
    </row>
  </sheetData>
  <phoneticPr fontId="0" type="noConversion"/>
  <pageMargins left="0.78740157480314965" right="0.83" top="0.92" bottom="0.49" header="0.53" footer="0.4921259845"/>
  <pageSetup paperSize="9" scale="82" orientation="portrait" horizontalDpi="1200" verticalDpi="1200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892A-3EC2-3645-AB04-B4654D9A452C}">
  <sheetPr>
    <pageSetUpPr fitToPage="1"/>
  </sheetPr>
  <dimension ref="A1:D27"/>
  <sheetViews>
    <sheetView topLeftCell="A10" zoomScale="75" workbookViewId="0">
      <selection activeCell="A3" sqref="A3"/>
    </sheetView>
  </sheetViews>
  <sheetFormatPr baseColWidth="10" defaultColWidth="11.3984375" defaultRowHeight="13"/>
  <cols>
    <col min="1" max="1" width="10.59765625" style="2" customWidth="1"/>
    <col min="2" max="2" width="60.796875" style="97" customWidth="1"/>
    <col min="3" max="3" width="18.59765625" style="8" customWidth="1"/>
    <col min="4" max="4" width="18.3984375" style="415" customWidth="1"/>
    <col min="5" max="16384" width="11.3984375" style="2"/>
  </cols>
  <sheetData>
    <row r="1" spans="1:4" s="1" customFormat="1" ht="14" customHeight="1">
      <c r="B1" s="169"/>
      <c r="C1" s="175"/>
      <c r="D1" s="392"/>
    </row>
    <row r="2" spans="1:4" s="1" customFormat="1" ht="28" customHeight="1">
      <c r="A2" s="58" t="s">
        <v>796</v>
      </c>
      <c r="B2" s="169"/>
      <c r="C2" s="175"/>
      <c r="D2" s="265">
        <v>2006</v>
      </c>
    </row>
    <row r="3" spans="1:4" ht="27.75" customHeight="1">
      <c r="A3" s="113"/>
      <c r="B3" s="170"/>
      <c r="C3" s="393" t="s">
        <v>797</v>
      </c>
      <c r="D3" s="394" t="s">
        <v>797</v>
      </c>
    </row>
    <row r="4" spans="1:4" ht="27.75" customHeight="1">
      <c r="A4" s="314"/>
      <c r="B4" s="315"/>
      <c r="C4" s="181" t="s">
        <v>1007</v>
      </c>
      <c r="D4" s="395" t="s">
        <v>1007</v>
      </c>
    </row>
    <row r="5" spans="1:4" ht="33" customHeight="1" thickBot="1">
      <c r="A5" s="396"/>
      <c r="B5" s="396" t="s">
        <v>798</v>
      </c>
      <c r="C5" s="397"/>
      <c r="D5" s="398"/>
    </row>
    <row r="6" spans="1:4" ht="21.75" customHeight="1" thickBot="1">
      <c r="A6" s="399">
        <v>800</v>
      </c>
      <c r="B6" s="130" t="s">
        <v>799</v>
      </c>
      <c r="C6" s="147" t="s">
        <v>1412</v>
      </c>
      <c r="D6" s="400">
        <v>595299033.42999995</v>
      </c>
    </row>
    <row r="7" spans="1:4" ht="23.25" customHeight="1" thickBot="1">
      <c r="A7" s="399">
        <v>800</v>
      </c>
      <c r="B7" s="401" t="s">
        <v>800</v>
      </c>
      <c r="C7" s="147">
        <v>38477200.719999999</v>
      </c>
      <c r="D7" s="400" t="s">
        <v>1412</v>
      </c>
    </row>
    <row r="8" spans="1:4" ht="46.5" customHeight="1" thickBot="1">
      <c r="A8" s="399"/>
      <c r="B8" s="130"/>
      <c r="C8" s="402" t="s">
        <v>801</v>
      </c>
      <c r="D8" s="403" t="s">
        <v>802</v>
      </c>
    </row>
    <row r="9" spans="1:4" ht="26.25" customHeight="1" thickBot="1">
      <c r="A9" s="399"/>
      <c r="B9" s="404" t="s">
        <v>803</v>
      </c>
      <c r="C9" s="147"/>
      <c r="D9" s="400"/>
    </row>
    <row r="10" spans="1:4" ht="21.75" customHeight="1" thickBot="1">
      <c r="A10" s="399">
        <v>280</v>
      </c>
      <c r="B10" s="401" t="s">
        <v>804</v>
      </c>
      <c r="C10" s="147">
        <v>-24142421.5</v>
      </c>
      <c r="D10" s="271">
        <v>4123819.25</v>
      </c>
    </row>
    <row r="11" spans="1:4" ht="24" customHeight="1" thickBot="1">
      <c r="A11" s="399">
        <v>281</v>
      </c>
      <c r="B11" s="401" t="s">
        <v>805</v>
      </c>
      <c r="C11" s="147">
        <v>0</v>
      </c>
      <c r="D11" s="271">
        <v>11862698.57</v>
      </c>
    </row>
    <row r="12" spans="1:4" ht="21.75" customHeight="1" thickBot="1">
      <c r="A12" s="399">
        <v>282</v>
      </c>
      <c r="B12" s="130" t="s">
        <v>1709</v>
      </c>
      <c r="C12" s="147">
        <v>25014.400000000001</v>
      </c>
      <c r="D12" s="271">
        <v>9088862.9600000009</v>
      </c>
    </row>
    <row r="13" spans="1:4" ht="28.5" customHeight="1" thickBot="1">
      <c r="A13" s="405"/>
      <c r="B13" s="406" t="s">
        <v>1710</v>
      </c>
      <c r="C13" s="147"/>
      <c r="D13" s="271"/>
    </row>
    <row r="14" spans="1:4" s="407" customFormat="1" ht="24.75" customHeight="1" thickBot="1">
      <c r="A14" s="399">
        <v>290</v>
      </c>
      <c r="B14" s="401" t="s">
        <v>1711</v>
      </c>
      <c r="C14" s="147">
        <v>560963924.95000005</v>
      </c>
      <c r="D14" s="271">
        <v>20237321.91</v>
      </c>
    </row>
    <row r="15" spans="1:4" s="407" customFormat="1" ht="30.75" customHeight="1" thickBot="1">
      <c r="A15" s="399">
        <v>290.5</v>
      </c>
      <c r="B15" s="401" t="s">
        <v>1712</v>
      </c>
      <c r="C15" s="147">
        <v>3275923.88</v>
      </c>
      <c r="D15" s="271">
        <v>4810613.42</v>
      </c>
    </row>
    <row r="16" spans="1:4" ht="25.5" customHeight="1" thickBot="1">
      <c r="A16" s="399">
        <v>291</v>
      </c>
      <c r="B16" s="401" t="s">
        <v>1713</v>
      </c>
      <c r="C16" s="147">
        <v>50744977.780000001</v>
      </c>
      <c r="D16" s="271">
        <v>417488.22</v>
      </c>
    </row>
    <row r="17" spans="1:4" ht="24" customHeight="1" thickBot="1">
      <c r="A17" s="399">
        <v>292</v>
      </c>
      <c r="B17" s="401" t="s">
        <v>1714</v>
      </c>
      <c r="C17" s="147">
        <v>1642579.95</v>
      </c>
      <c r="D17" s="271">
        <v>7745646.9800000004</v>
      </c>
    </row>
    <row r="18" spans="1:4" ht="22.5" customHeight="1" thickBot="1">
      <c r="A18" s="399">
        <v>293</v>
      </c>
      <c r="B18" s="401" t="s">
        <v>1715</v>
      </c>
      <c r="C18" s="147">
        <v>23896338.789999999</v>
      </c>
      <c r="D18" s="271">
        <v>1298053.8999999999</v>
      </c>
    </row>
    <row r="19" spans="1:4" ht="13.5" customHeight="1" thickBot="1">
      <c r="A19" s="399"/>
      <c r="B19" s="130"/>
      <c r="C19" s="147"/>
      <c r="D19" s="271"/>
    </row>
    <row r="20" spans="1:4" s="151" customFormat="1" ht="33" customHeight="1" thickBot="1">
      <c r="A20" s="408"/>
      <c r="B20" s="409" t="s">
        <v>1716</v>
      </c>
      <c r="C20" s="255">
        <v>654883538.96000004</v>
      </c>
      <c r="D20" s="410">
        <v>654883538.63999999</v>
      </c>
    </row>
    <row r="21" spans="1:4" ht="2.25" customHeight="1" thickBot="1">
      <c r="A21" s="411"/>
      <c r="B21" s="412"/>
      <c r="C21" s="149"/>
      <c r="D21" s="172"/>
    </row>
    <row r="22" spans="1:4" ht="19.5" customHeight="1">
      <c r="A22" s="136" t="s">
        <v>452</v>
      </c>
      <c r="B22" s="173"/>
      <c r="C22" s="190"/>
      <c r="D22" s="413"/>
    </row>
    <row r="23" spans="1:4" ht="14.25" customHeight="1">
      <c r="A23" s="3"/>
      <c r="B23" s="174"/>
      <c r="C23" s="191"/>
      <c r="D23" s="414"/>
    </row>
    <row r="24" spans="1:4">
      <c r="A24" s="2" t="s">
        <v>1717</v>
      </c>
    </row>
    <row r="27" spans="1:4">
      <c r="A27" s="207" t="s">
        <v>1955</v>
      </c>
    </row>
  </sheetData>
  <phoneticPr fontId="0" type="noConversion"/>
  <pageMargins left="0.78740157480314965" right="0.78740157480314965" top="1.05" bottom="0.49" header="0.56000000000000005" footer="0.4921259845"/>
  <pageSetup paperSize="9" scale="80" orientation="portrait" horizontalDpi="1200" verticalDpi="1200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5E00-6111-DE43-B309-A4EC5DEDA4F8}">
  <sheetPr>
    <pageSetUpPr fitToPage="1"/>
  </sheetPr>
  <dimension ref="A1:B28"/>
  <sheetViews>
    <sheetView topLeftCell="A6" workbookViewId="0">
      <selection activeCell="B11" sqref="B11"/>
    </sheetView>
  </sheetViews>
  <sheetFormatPr baseColWidth="10" defaultColWidth="11.3984375" defaultRowHeight="13"/>
  <cols>
    <col min="1" max="1" width="5.59765625" style="479" customWidth="1"/>
    <col min="2" max="8" width="11.3984375" style="479"/>
    <col min="9" max="9" width="10.796875" style="479" customWidth="1"/>
    <col min="10" max="10" width="7.59765625" style="479" customWidth="1"/>
    <col min="11" max="16384" width="11.3984375" style="479"/>
  </cols>
  <sheetData>
    <row r="1" spans="1:2" ht="16">
      <c r="A1" s="478" t="s">
        <v>1756</v>
      </c>
    </row>
    <row r="2" spans="1:2" ht="16">
      <c r="A2" s="480"/>
    </row>
    <row r="3" spans="1:2">
      <c r="A3" s="481">
        <v>9.01</v>
      </c>
      <c r="B3" s="485" t="s">
        <v>1757</v>
      </c>
    </row>
    <row r="4" spans="1:2">
      <c r="A4" s="481">
        <v>9.02</v>
      </c>
      <c r="B4" s="485" t="s">
        <v>1758</v>
      </c>
    </row>
    <row r="5" spans="1:2">
      <c r="A5" s="481">
        <v>9.0299999999999994</v>
      </c>
      <c r="B5" s="485" t="s">
        <v>1759</v>
      </c>
    </row>
    <row r="6" spans="1:2">
      <c r="A6" s="481">
        <v>9.0399999999999991</v>
      </c>
      <c r="B6" s="485" t="s">
        <v>2318</v>
      </c>
    </row>
    <row r="7" spans="1:2">
      <c r="A7" s="481">
        <v>9.0500000000000007</v>
      </c>
      <c r="B7" s="485" t="s">
        <v>2319</v>
      </c>
    </row>
    <row r="8" spans="1:2">
      <c r="A8" s="481">
        <v>9.06</v>
      </c>
      <c r="B8" s="485" t="s">
        <v>2320</v>
      </c>
    </row>
    <row r="9" spans="1:2">
      <c r="A9" s="481">
        <v>9.07</v>
      </c>
      <c r="B9" s="485" t="s">
        <v>2321</v>
      </c>
    </row>
    <row r="10" spans="1:2">
      <c r="A10" s="481">
        <v>9.08</v>
      </c>
      <c r="B10" s="485" t="s">
        <v>1875</v>
      </c>
    </row>
    <row r="11" spans="1:2">
      <c r="A11" s="481">
        <v>9.09</v>
      </c>
      <c r="B11" s="485" t="s">
        <v>1876</v>
      </c>
    </row>
    <row r="12" spans="1:2">
      <c r="A12" s="481">
        <v>9.1</v>
      </c>
      <c r="B12" s="485" t="s">
        <v>1877</v>
      </c>
    </row>
    <row r="13" spans="1:2">
      <c r="A13" s="481">
        <v>9.11</v>
      </c>
      <c r="B13" s="485" t="s">
        <v>1878</v>
      </c>
    </row>
    <row r="14" spans="1:2">
      <c r="A14" s="481">
        <v>9.1199999999999992</v>
      </c>
      <c r="B14" s="485" t="s">
        <v>1879</v>
      </c>
    </row>
    <row r="15" spans="1:2">
      <c r="A15" s="481">
        <v>9.1300000000000008</v>
      </c>
      <c r="B15" s="485" t="s">
        <v>1880</v>
      </c>
    </row>
    <row r="16" spans="1:2">
      <c r="A16" s="481">
        <v>9.14</v>
      </c>
      <c r="B16" s="485" t="s">
        <v>1881</v>
      </c>
    </row>
    <row r="17" spans="1:2">
      <c r="A17" s="481">
        <v>9.15</v>
      </c>
      <c r="B17" s="486" t="s">
        <v>1341</v>
      </c>
    </row>
    <row r="18" spans="1:2">
      <c r="A18" s="481">
        <v>9.16</v>
      </c>
      <c r="B18" s="485" t="s">
        <v>1342</v>
      </c>
    </row>
    <row r="19" spans="1:2">
      <c r="A19" s="481">
        <v>9.17</v>
      </c>
      <c r="B19" s="485" t="s">
        <v>1343</v>
      </c>
    </row>
    <row r="20" spans="1:2">
      <c r="A20" s="481">
        <v>9.18</v>
      </c>
      <c r="B20" s="485" t="s">
        <v>1344</v>
      </c>
    </row>
    <row r="21" spans="1:2">
      <c r="A21" s="481">
        <v>9.19</v>
      </c>
      <c r="B21" s="485" t="s">
        <v>1345</v>
      </c>
    </row>
    <row r="22" spans="1:2">
      <c r="A22" s="481">
        <v>9.1999999999999993</v>
      </c>
      <c r="B22" s="485" t="s">
        <v>1346</v>
      </c>
    </row>
    <row r="23" spans="1:2">
      <c r="A23" s="481">
        <v>9.2100000000000009</v>
      </c>
      <c r="B23" s="486" t="s">
        <v>1347</v>
      </c>
    </row>
    <row r="24" spans="1:2">
      <c r="A24" s="481">
        <v>9.2200000000000006</v>
      </c>
      <c r="B24" s="486" t="s">
        <v>1348</v>
      </c>
    </row>
    <row r="27" spans="1:2">
      <c r="A27" s="487" t="s">
        <v>1955</v>
      </c>
    </row>
    <row r="28" spans="1:2">
      <c r="B28" s="488"/>
    </row>
  </sheetData>
  <phoneticPr fontId="30" type="noConversion"/>
  <pageMargins left="0.46" right="0.3" top="0.78" bottom="0.984251969" header="0.34" footer="0.4921259845"/>
  <pageSetup paperSize="9" orientation="portrait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AF35-B740-E243-B7B2-D96AE18D25F8}">
  <sheetPr>
    <pageSetUpPr fitToPage="1"/>
  </sheetPr>
  <dimension ref="A1:J41"/>
  <sheetViews>
    <sheetView topLeftCell="A9" zoomScale="75" workbookViewId="0">
      <selection activeCell="G17" sqref="G17"/>
    </sheetView>
  </sheetViews>
  <sheetFormatPr baseColWidth="10" defaultColWidth="11.3984375" defaultRowHeight="13"/>
  <cols>
    <col min="1" max="1" width="15.796875" style="2" customWidth="1"/>
    <col min="2" max="7" width="15.796875" style="159" customWidth="1"/>
    <col min="8" max="16384" width="11.3984375" style="2"/>
  </cols>
  <sheetData>
    <row r="1" spans="1:7" s="1" customFormat="1" ht="14" customHeight="1">
      <c r="A1" s="718"/>
      <c r="B1" s="946"/>
      <c r="C1" s="946"/>
      <c r="D1" s="946"/>
      <c r="E1" s="946"/>
      <c r="F1" s="946"/>
      <c r="G1" s="946"/>
    </row>
    <row r="2" spans="1:7" s="1" customFormat="1" ht="38.25" customHeight="1">
      <c r="A2" s="1700" t="s">
        <v>1453</v>
      </c>
      <c r="B2" s="1699"/>
      <c r="C2" s="1699"/>
      <c r="D2" s="1699"/>
      <c r="E2" s="1699"/>
      <c r="F2" s="1699"/>
      <c r="G2" s="265">
        <v>2006</v>
      </c>
    </row>
    <row r="3" spans="1:7" ht="27" customHeight="1">
      <c r="A3" s="113" t="s">
        <v>758</v>
      </c>
      <c r="B3" s="114" t="s">
        <v>1471</v>
      </c>
      <c r="C3" s="115" t="s">
        <v>1454</v>
      </c>
      <c r="D3" s="114" t="s">
        <v>2035</v>
      </c>
      <c r="E3" s="115" t="s">
        <v>1455</v>
      </c>
      <c r="F3" s="114" t="s">
        <v>2035</v>
      </c>
      <c r="G3" s="115" t="s">
        <v>1456</v>
      </c>
    </row>
    <row r="4" spans="1:7" ht="15" customHeight="1">
      <c r="A4" s="248"/>
      <c r="B4" s="366"/>
      <c r="C4" s="784" t="s">
        <v>1360</v>
      </c>
      <c r="D4" s="117" t="s">
        <v>1457</v>
      </c>
      <c r="E4" s="118" t="s">
        <v>1458</v>
      </c>
      <c r="F4" s="117" t="s">
        <v>1459</v>
      </c>
      <c r="G4" s="118"/>
    </row>
    <row r="5" spans="1:7" ht="15" customHeight="1">
      <c r="A5" s="248"/>
      <c r="B5" s="117"/>
      <c r="C5" s="118" t="s">
        <v>1472</v>
      </c>
      <c r="D5" s="117" t="s">
        <v>1460</v>
      </c>
      <c r="E5" s="784" t="s">
        <v>1473</v>
      </c>
      <c r="F5" s="366" t="s">
        <v>1461</v>
      </c>
      <c r="G5" s="118"/>
    </row>
    <row r="6" spans="1:7" ht="25.5" customHeight="1">
      <c r="A6" s="314"/>
      <c r="B6" s="348"/>
      <c r="C6" s="122"/>
      <c r="D6" s="123" t="s">
        <v>1474</v>
      </c>
      <c r="E6" s="122"/>
      <c r="F6" s="123" t="s">
        <v>1475</v>
      </c>
      <c r="G6" s="349"/>
    </row>
    <row r="7" spans="1:7" ht="21.75" customHeight="1" thickBot="1">
      <c r="A7" s="367">
        <v>1996</v>
      </c>
      <c r="B7" s="637">
        <v>6108.1158740877472</v>
      </c>
      <c r="C7" s="257">
        <v>2881.6227466771279</v>
      </c>
      <c r="D7" s="637">
        <v>2760.27</v>
      </c>
      <c r="E7" s="257">
        <v>25779.589166335027</v>
      </c>
      <c r="F7" s="637">
        <v>378.69191084150691</v>
      </c>
      <c r="G7" s="257">
        <v>37908.289697941407</v>
      </c>
    </row>
    <row r="8" spans="1:7" ht="18" customHeight="1" thickBot="1">
      <c r="A8" s="368">
        <v>1997</v>
      </c>
      <c r="B8" s="638">
        <v>6057.9558227212619</v>
      </c>
      <c r="C8" s="546">
        <v>3011.3899942252165</v>
      </c>
      <c r="D8" s="638">
        <v>3024.94</v>
      </c>
      <c r="E8" s="546">
        <v>26188.70940181617</v>
      </c>
      <c r="F8" s="638">
        <v>386.63132230196129</v>
      </c>
      <c r="G8" s="546">
        <v>38669.626541064608</v>
      </c>
    </row>
    <row r="9" spans="1:7" ht="18" customHeight="1" thickBot="1">
      <c r="A9" s="368">
        <v>1998</v>
      </c>
      <c r="B9" s="638">
        <v>6131.7435544855471</v>
      </c>
      <c r="C9" s="546">
        <v>3176.3677925723964</v>
      </c>
      <c r="D9" s="638">
        <v>3270.2</v>
      </c>
      <c r="E9" s="546">
        <v>27318.880597474119</v>
      </c>
      <c r="F9" s="638">
        <v>395.20236445468498</v>
      </c>
      <c r="G9" s="546">
        <v>40292.394308986753</v>
      </c>
    </row>
    <row r="10" spans="1:7" ht="18" customHeight="1" thickBot="1">
      <c r="A10" s="368">
        <v>1999</v>
      </c>
      <c r="B10" s="638">
        <v>6416.6639279999999</v>
      </c>
      <c r="C10" s="546">
        <v>3314.4716839527723</v>
      </c>
      <c r="D10" s="638">
        <v>3620.5</v>
      </c>
      <c r="E10" s="546">
        <v>27825.139583369215</v>
      </c>
      <c r="F10" s="638">
        <v>408.78423901554766</v>
      </c>
      <c r="G10" s="546">
        <v>41585.559434337534</v>
      </c>
    </row>
    <row r="11" spans="1:7" ht="18" customHeight="1" thickBot="1">
      <c r="A11" s="368">
        <v>2000</v>
      </c>
      <c r="B11" s="638">
        <v>6599.5077579999997</v>
      </c>
      <c r="C11" s="546">
        <v>3458.985264289614</v>
      </c>
      <c r="D11" s="638">
        <v>3725.7</v>
      </c>
      <c r="E11" s="546">
        <v>29137.399971696475</v>
      </c>
      <c r="F11" s="638">
        <v>443.72611837314082</v>
      </c>
      <c r="G11" s="546">
        <v>43365.319112359233</v>
      </c>
    </row>
    <row r="12" spans="1:7" ht="18" customHeight="1" thickBot="1">
      <c r="A12" s="368">
        <v>2001</v>
      </c>
      <c r="B12" s="638">
        <v>7802.4641409999995</v>
      </c>
      <c r="C12" s="546">
        <v>3661.4400591827011</v>
      </c>
      <c r="D12" s="638">
        <v>3837.6</v>
      </c>
      <c r="E12" s="546">
        <v>30364.520158769472</v>
      </c>
      <c r="F12" s="638">
        <v>463.46745935715603</v>
      </c>
      <c r="G12" s="546">
        <v>46129.491818309332</v>
      </c>
    </row>
    <row r="13" spans="1:7" ht="18" customHeight="1" thickBot="1">
      <c r="A13" s="368">
        <v>2002</v>
      </c>
      <c r="B13" s="638">
        <v>8596.9415929999996</v>
      </c>
      <c r="C13" s="546">
        <v>3701.6993999861525</v>
      </c>
      <c r="D13" s="638">
        <v>4062.6</v>
      </c>
      <c r="E13" s="546">
        <v>31142.52125110001</v>
      </c>
      <c r="F13" s="638">
        <v>477.70596569061348</v>
      </c>
      <c r="G13" s="546">
        <v>47981.468209776773</v>
      </c>
    </row>
    <row r="14" spans="1:7" ht="18" customHeight="1" thickBot="1">
      <c r="A14" s="368">
        <v>2003</v>
      </c>
      <c r="B14" s="638">
        <v>8949.1301402555946</v>
      </c>
      <c r="C14" s="546">
        <v>3921.4728291844517</v>
      </c>
      <c r="D14" s="638">
        <v>4268.5</v>
      </c>
      <c r="E14" s="546">
        <v>32256.674952744135</v>
      </c>
      <c r="F14" s="638">
        <v>484.77612582398501</v>
      </c>
      <c r="G14" s="546">
        <v>49880.554048008169</v>
      </c>
    </row>
    <row r="15" spans="1:7" ht="18" customHeight="1" thickBot="1">
      <c r="A15" s="368">
        <v>2004</v>
      </c>
      <c r="B15" s="638">
        <v>8811.0582569999988</v>
      </c>
      <c r="C15" s="546">
        <v>4031.6958660596374</v>
      </c>
      <c r="D15" s="638">
        <v>4550.2</v>
      </c>
      <c r="E15" s="546">
        <v>33772.913904363799</v>
      </c>
      <c r="F15" s="638">
        <v>481.39682880277388</v>
      </c>
      <c r="G15" s="546">
        <v>51647.264856226211</v>
      </c>
    </row>
    <row r="16" spans="1:7" ht="18" customHeight="1" thickBot="1">
      <c r="A16" s="1007">
        <v>2005</v>
      </c>
      <c r="B16" s="860">
        <v>8885.1920399999999</v>
      </c>
      <c r="C16" s="632">
        <v>4241.9367205643975</v>
      </c>
      <c r="D16" s="860">
        <v>4782.4252710000001</v>
      </c>
      <c r="E16" s="632">
        <v>34287.672503741225</v>
      </c>
      <c r="F16" s="860">
        <v>500.09100958961278</v>
      </c>
      <c r="G16" s="632">
        <v>52697.317544895232</v>
      </c>
    </row>
    <row r="17" spans="1:8" ht="23.25" customHeight="1" thickBot="1">
      <c r="A17" s="1008" t="s">
        <v>1476</v>
      </c>
      <c r="B17" s="1009">
        <v>9479.0195712473378</v>
      </c>
      <c r="C17" s="1010" t="s">
        <v>1412</v>
      </c>
      <c r="D17" s="1009" t="s">
        <v>1412</v>
      </c>
      <c r="E17" s="1010" t="s">
        <v>1412</v>
      </c>
      <c r="F17" s="1009">
        <v>515.94077672123603</v>
      </c>
      <c r="G17" s="1010">
        <v>54984.136756295607</v>
      </c>
    </row>
    <row r="18" spans="1:8" ht="20" customHeight="1">
      <c r="A18" s="958" t="s">
        <v>1684</v>
      </c>
      <c r="B18" s="959"/>
      <c r="C18" s="959"/>
      <c r="D18" s="959"/>
      <c r="E18" s="959"/>
      <c r="F18" s="959"/>
      <c r="G18" s="959"/>
    </row>
    <row r="19" spans="1:8" ht="12.75" customHeight="1">
      <c r="A19" s="1011"/>
      <c r="B19" s="1012"/>
      <c r="C19" s="1012"/>
      <c r="D19" s="1012"/>
      <c r="E19" s="1012"/>
      <c r="F19" s="1012"/>
      <c r="G19" s="1012"/>
      <c r="H19" s="4"/>
    </row>
    <row r="20" spans="1:8" ht="12.75" customHeight="1">
      <c r="A20" s="1011" t="s">
        <v>1462</v>
      </c>
      <c r="B20" s="1012"/>
      <c r="C20" s="1012"/>
      <c r="D20" s="1012"/>
      <c r="E20" s="1012"/>
      <c r="F20" s="1012"/>
      <c r="G20" s="1012"/>
      <c r="H20" s="4"/>
    </row>
    <row r="21" spans="1:8" ht="12.75" customHeight="1">
      <c r="A21" s="1011" t="s">
        <v>1463</v>
      </c>
      <c r="B21" s="1012"/>
      <c r="C21" s="1012"/>
      <c r="D21" s="1012"/>
      <c r="E21" s="1012"/>
      <c r="F21" s="1012"/>
      <c r="G21" s="1012"/>
      <c r="H21" s="4"/>
    </row>
    <row r="22" spans="1:8" ht="12.75" customHeight="1">
      <c r="A22" s="1011" t="s">
        <v>1464</v>
      </c>
      <c r="B22" s="1012"/>
      <c r="C22" s="1012"/>
      <c r="D22" s="1012"/>
      <c r="E22" s="1012"/>
      <c r="F22" s="1012"/>
      <c r="G22" s="1012"/>
      <c r="H22" s="4"/>
    </row>
    <row r="23" spans="1:8" ht="12.75" customHeight="1">
      <c r="A23" s="1011" t="s">
        <v>1465</v>
      </c>
      <c r="B23" s="1012"/>
      <c r="C23" s="1012"/>
      <c r="D23" s="1012"/>
      <c r="E23" s="1012"/>
      <c r="F23" s="1012"/>
      <c r="G23" s="1012"/>
      <c r="H23" s="4"/>
    </row>
    <row r="24" spans="1:8" ht="12.75" customHeight="1">
      <c r="A24" s="1011" t="s">
        <v>1466</v>
      </c>
      <c r="B24" s="1012"/>
      <c r="C24" s="1012"/>
      <c r="D24" s="1012"/>
      <c r="E24" s="1012"/>
      <c r="F24" s="1012"/>
      <c r="G24" s="1012"/>
      <c r="H24" s="4"/>
    </row>
    <row r="25" spans="1:8" ht="12.75" customHeight="1">
      <c r="A25" s="1011" t="s">
        <v>1467</v>
      </c>
      <c r="B25" s="1012"/>
      <c r="C25" s="1012"/>
      <c r="D25" s="1012"/>
      <c r="E25" s="1012"/>
      <c r="F25" s="1012"/>
      <c r="G25" s="1012"/>
      <c r="H25" s="4"/>
    </row>
    <row r="26" spans="1:8" ht="12.75" customHeight="1">
      <c r="A26" s="1011" t="s">
        <v>1468</v>
      </c>
      <c r="B26" s="1012"/>
      <c r="C26" s="1012"/>
      <c r="D26" s="1012"/>
      <c r="E26" s="1012"/>
      <c r="F26" s="1012"/>
      <c r="G26" s="1012"/>
      <c r="H26" s="4"/>
    </row>
    <row r="27" spans="1:8" ht="12.75" customHeight="1">
      <c r="A27" s="1011" t="s">
        <v>1469</v>
      </c>
      <c r="B27" s="1012"/>
      <c r="C27" s="1012"/>
      <c r="D27" s="1012"/>
      <c r="E27" s="1012"/>
      <c r="F27" s="1012"/>
      <c r="G27" s="1012"/>
      <c r="H27" s="4"/>
    </row>
    <row r="28" spans="1:8" ht="12.75" customHeight="1">
      <c r="A28" s="1011"/>
      <c r="B28" s="1012"/>
      <c r="C28" s="1012"/>
      <c r="D28" s="1012"/>
      <c r="E28" s="1012"/>
      <c r="F28" s="1012"/>
      <c r="G28" s="1012"/>
      <c r="H28" s="4"/>
    </row>
    <row r="29" spans="1:8" ht="12.75" customHeight="1">
      <c r="A29" s="1011" t="s">
        <v>1470</v>
      </c>
      <c r="B29" s="1012"/>
      <c r="C29" s="1012"/>
      <c r="D29" s="1012"/>
      <c r="E29" s="1012"/>
      <c r="F29" s="1012"/>
      <c r="G29" s="1012"/>
      <c r="H29" s="4"/>
    </row>
    <row r="30" spans="1:8" ht="13.5" customHeight="1">
      <c r="A30" s="54"/>
      <c r="B30" s="1013"/>
      <c r="C30" s="1013"/>
      <c r="D30" s="1013"/>
      <c r="E30" s="1013"/>
      <c r="F30" s="1013"/>
      <c r="G30" s="1013"/>
      <c r="H30" s="4"/>
    </row>
    <row r="31" spans="1:8" ht="12.75" customHeight="1">
      <c r="A31" s="1014"/>
      <c r="B31" s="1013"/>
      <c r="C31" s="1013"/>
      <c r="D31" s="1013"/>
      <c r="E31" s="1013"/>
      <c r="F31" s="1013"/>
      <c r="G31" s="1013"/>
      <c r="H31" s="4"/>
    </row>
    <row r="32" spans="1:8" ht="13.5" customHeight="1">
      <c r="A32" s="4" t="s">
        <v>1955</v>
      </c>
      <c r="B32" s="1013"/>
      <c r="C32" s="1013"/>
      <c r="D32" s="1013"/>
      <c r="E32" s="1013"/>
      <c r="F32" s="1013"/>
      <c r="G32" s="1013"/>
      <c r="H32" s="4"/>
    </row>
    <row r="33" spans="1:10" ht="31" customHeight="1">
      <c r="A33" s="41"/>
      <c r="B33" s="963"/>
      <c r="C33" s="963"/>
      <c r="D33" s="963"/>
      <c r="E33" s="963"/>
      <c r="F33" s="963"/>
      <c r="G33" s="963"/>
    </row>
    <row r="34" spans="1:10" ht="31" customHeight="1">
      <c r="A34" s="41"/>
      <c r="B34" s="963"/>
      <c r="C34" s="963"/>
      <c r="D34" s="963"/>
      <c r="E34" s="963"/>
      <c r="F34" s="963"/>
      <c r="G34" s="963"/>
      <c r="J34" s="1"/>
    </row>
    <row r="35" spans="1:10" ht="31" customHeight="1">
      <c r="A35" s="41"/>
      <c r="B35" s="963"/>
      <c r="C35" s="963"/>
      <c r="D35" s="963"/>
      <c r="E35" s="963"/>
      <c r="F35" s="963"/>
      <c r="G35" s="963"/>
    </row>
    <row r="36" spans="1:10" ht="31" customHeight="1">
      <c r="A36" s="41"/>
      <c r="B36" s="963"/>
      <c r="C36" s="963"/>
      <c r="D36" s="963"/>
      <c r="E36" s="963"/>
      <c r="F36" s="963"/>
      <c r="G36" s="963"/>
    </row>
    <row r="37" spans="1:10" ht="31" customHeight="1">
      <c r="A37" s="41"/>
      <c r="B37" s="963"/>
      <c r="C37" s="963"/>
      <c r="D37" s="963"/>
      <c r="E37" s="963"/>
      <c r="F37" s="963"/>
      <c r="G37" s="963"/>
    </row>
    <row r="38" spans="1:10" ht="31" customHeight="1">
      <c r="A38" s="41"/>
      <c r="B38" s="963"/>
      <c r="C38" s="963"/>
      <c r="D38" s="963"/>
      <c r="E38" s="963"/>
      <c r="F38" s="963"/>
      <c r="G38" s="963"/>
    </row>
    <row r="39" spans="1:10" ht="31" customHeight="1">
      <c r="A39" s="41"/>
      <c r="B39" s="963"/>
      <c r="C39" s="963"/>
      <c r="D39" s="963"/>
      <c r="E39" s="963"/>
      <c r="F39" s="963"/>
      <c r="G39" s="963"/>
    </row>
    <row r="40" spans="1:10">
      <c r="A40" s="41"/>
      <c r="B40" s="963"/>
      <c r="C40" s="963"/>
      <c r="D40" s="963"/>
      <c r="E40" s="963"/>
      <c r="F40" s="963"/>
      <c r="G40" s="963"/>
    </row>
    <row r="41" spans="1:10">
      <c r="A41" s="41"/>
      <c r="B41" s="963"/>
      <c r="C41" s="963"/>
      <c r="D41" s="963"/>
      <c r="E41" s="963"/>
      <c r="F41" s="963"/>
      <c r="G41" s="963"/>
    </row>
  </sheetData>
  <mergeCells count="1">
    <mergeCell ref="A2:F2"/>
  </mergeCells>
  <phoneticPr fontId="0" type="noConversion"/>
  <pageMargins left="0.56000000000000005" right="0.51" top="1.02" bottom="0.49" header="0.68" footer="0.4921259845"/>
  <pageSetup paperSize="9" scale="84" orientation="portrait" horizontalDpi="4294967292" verticalDpi="4294967292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9BEF-F63E-4C4F-9D33-9528AE0D8237}">
  <sheetPr>
    <pageSetUpPr fitToPage="1"/>
  </sheetPr>
  <dimension ref="A1:J41"/>
  <sheetViews>
    <sheetView topLeftCell="A14" zoomScale="75" workbookViewId="0">
      <selection activeCell="A28" sqref="A28"/>
    </sheetView>
  </sheetViews>
  <sheetFormatPr baseColWidth="10" defaultColWidth="11.3984375" defaultRowHeight="13"/>
  <cols>
    <col min="1" max="1" width="14.19921875" style="2" customWidth="1"/>
    <col min="2" max="7" width="14.19921875" style="159" customWidth="1"/>
    <col min="8" max="16384" width="11.3984375" style="2"/>
  </cols>
  <sheetData>
    <row r="1" spans="1:7" s="1" customFormat="1" ht="14" customHeight="1">
      <c r="A1" s="718"/>
      <c r="B1" s="946"/>
      <c r="C1" s="946"/>
      <c r="D1" s="946"/>
      <c r="E1" s="946"/>
      <c r="F1" s="946"/>
      <c r="G1" s="946"/>
    </row>
    <row r="2" spans="1:7" s="1" customFormat="1" ht="38.25" customHeight="1">
      <c r="A2" s="1700" t="s">
        <v>1531</v>
      </c>
      <c r="B2" s="1699"/>
      <c r="C2" s="1699"/>
      <c r="D2" s="1699"/>
      <c r="E2" s="1699"/>
      <c r="F2" s="1699"/>
      <c r="G2" s="265">
        <v>2006</v>
      </c>
    </row>
    <row r="3" spans="1:7" ht="27" customHeight="1">
      <c r="A3" s="113" t="s">
        <v>758</v>
      </c>
      <c r="B3" s="114" t="s">
        <v>1471</v>
      </c>
      <c r="C3" s="115" t="s">
        <v>1454</v>
      </c>
      <c r="D3" s="114" t="s">
        <v>1524</v>
      </c>
      <c r="E3" s="115" t="s">
        <v>1455</v>
      </c>
      <c r="F3" s="114" t="s">
        <v>2035</v>
      </c>
      <c r="G3" s="115" t="s">
        <v>1456</v>
      </c>
    </row>
    <row r="4" spans="1:7" ht="15" customHeight="1">
      <c r="A4" s="248"/>
      <c r="B4" s="366"/>
      <c r="C4" s="784" t="s">
        <v>1360</v>
      </c>
      <c r="D4" s="117" t="s">
        <v>1360</v>
      </c>
      <c r="E4" s="118" t="s">
        <v>1458</v>
      </c>
      <c r="F4" s="117" t="s">
        <v>1459</v>
      </c>
      <c r="G4" s="118"/>
    </row>
    <row r="5" spans="1:7" ht="15" customHeight="1">
      <c r="A5" s="248"/>
      <c r="B5" s="117"/>
      <c r="C5" s="118" t="s">
        <v>1472</v>
      </c>
      <c r="D5" s="117" t="s">
        <v>1532</v>
      </c>
      <c r="E5" s="784" t="s">
        <v>1473</v>
      </c>
      <c r="F5" s="366" t="s">
        <v>1461</v>
      </c>
      <c r="G5" s="118"/>
    </row>
    <row r="6" spans="1:7" ht="25.5" customHeight="1">
      <c r="A6" s="314"/>
      <c r="B6" s="348"/>
      <c r="C6" s="122"/>
      <c r="D6" s="123" t="s">
        <v>1537</v>
      </c>
      <c r="E6" s="122"/>
      <c r="F6" s="123" t="s">
        <v>1475</v>
      </c>
      <c r="G6" s="349"/>
    </row>
    <row r="7" spans="1:7" ht="21" customHeight="1" thickBot="1">
      <c r="A7" s="367">
        <v>1996</v>
      </c>
      <c r="B7" s="637">
        <v>6108.1</v>
      </c>
      <c r="C7" s="257">
        <v>14621.3</v>
      </c>
      <c r="D7" s="637">
        <v>4896.5</v>
      </c>
      <c r="E7" s="257">
        <v>11903.7</v>
      </c>
      <c r="F7" s="637">
        <v>378.7</v>
      </c>
      <c r="G7" s="257">
        <v>37908.300000000003</v>
      </c>
    </row>
    <row r="8" spans="1:7" ht="18" customHeight="1" thickBot="1">
      <c r="A8" s="368">
        <v>1997</v>
      </c>
      <c r="B8" s="638">
        <v>6058</v>
      </c>
      <c r="C8" s="546">
        <v>15271.7</v>
      </c>
      <c r="D8" s="638">
        <v>4463.3999999999996</v>
      </c>
      <c r="E8" s="546">
        <v>12489.9</v>
      </c>
      <c r="F8" s="638">
        <v>386.6</v>
      </c>
      <c r="G8" s="546">
        <v>38669.599999999999</v>
      </c>
    </row>
    <row r="9" spans="1:7" ht="18" customHeight="1" thickBot="1">
      <c r="A9" s="368">
        <v>1998</v>
      </c>
      <c r="B9" s="638">
        <v>6131.7</v>
      </c>
      <c r="C9" s="546">
        <v>15975.1</v>
      </c>
      <c r="D9" s="638">
        <v>4590.2</v>
      </c>
      <c r="E9" s="546">
        <v>13200.2</v>
      </c>
      <c r="F9" s="638">
        <v>395.2</v>
      </c>
      <c r="G9" s="546">
        <v>40292.400000000001</v>
      </c>
    </row>
    <row r="10" spans="1:7" ht="18" customHeight="1" thickBot="1">
      <c r="A10" s="368">
        <v>1999</v>
      </c>
      <c r="B10" s="638">
        <v>6416.6639269999996</v>
      </c>
      <c r="C10" s="546">
        <v>16596.671683952769</v>
      </c>
      <c r="D10" s="638">
        <v>4331.8999999999996</v>
      </c>
      <c r="E10" s="546">
        <v>13831.539584369208</v>
      </c>
      <c r="F10" s="638">
        <v>408.8</v>
      </c>
      <c r="G10" s="546">
        <v>41585.575195321981</v>
      </c>
    </row>
    <row r="11" spans="1:7" ht="18" customHeight="1" thickBot="1">
      <c r="A11" s="368">
        <v>2000</v>
      </c>
      <c r="B11" s="638">
        <v>6599.5077570000003</v>
      </c>
      <c r="C11" s="546">
        <v>17518.085264289613</v>
      </c>
      <c r="D11" s="638">
        <v>4546.7</v>
      </c>
      <c r="E11" s="546">
        <v>14257.299972696481</v>
      </c>
      <c r="F11" s="638">
        <v>443.72611837314082</v>
      </c>
      <c r="G11" s="546">
        <v>43365.319112359233</v>
      </c>
    </row>
    <row r="12" spans="1:7" ht="18" customHeight="1" thickBot="1">
      <c r="A12" s="368">
        <v>2001</v>
      </c>
      <c r="B12" s="638">
        <v>7802.4641389999997</v>
      </c>
      <c r="C12" s="546">
        <v>18548.1400591827</v>
      </c>
      <c r="D12" s="638">
        <v>4699.8999999999996</v>
      </c>
      <c r="E12" s="546">
        <v>14615.520160769476</v>
      </c>
      <c r="F12" s="638">
        <v>463.46745935715603</v>
      </c>
      <c r="G12" s="546">
        <v>46129.491818309332</v>
      </c>
    </row>
    <row r="13" spans="1:7" ht="18" customHeight="1" thickBot="1">
      <c r="A13" s="368">
        <v>2002</v>
      </c>
      <c r="B13" s="638">
        <v>8596.9415909999989</v>
      </c>
      <c r="C13" s="546">
        <v>19184.999399986154</v>
      </c>
      <c r="D13" s="638">
        <v>4615.5</v>
      </c>
      <c r="E13" s="546">
        <v>15106.321253100015</v>
      </c>
      <c r="F13" s="638">
        <v>477.70596569061348</v>
      </c>
      <c r="G13" s="546">
        <v>47981.46820977678</v>
      </c>
    </row>
    <row r="14" spans="1:7" ht="18" customHeight="1" thickBot="1">
      <c r="A14" s="368">
        <v>2003</v>
      </c>
      <c r="B14" s="638">
        <v>8949.1301402555946</v>
      </c>
      <c r="C14" s="546">
        <v>20225.680829184454</v>
      </c>
      <c r="D14" s="638">
        <v>4477.9040000000005</v>
      </c>
      <c r="E14" s="546">
        <v>15743.069681999736</v>
      </c>
      <c r="F14" s="638">
        <v>484.77612582398501</v>
      </c>
      <c r="G14" s="546">
        <v>49880.560777263767</v>
      </c>
    </row>
    <row r="15" spans="1:7" ht="18" customHeight="1" thickBot="1">
      <c r="A15" s="368">
        <v>2004</v>
      </c>
      <c r="B15" s="638">
        <v>8811.0582559999984</v>
      </c>
      <c r="C15" s="546">
        <v>21411.499866059639</v>
      </c>
      <c r="D15" s="638">
        <v>4511.7479999999996</v>
      </c>
      <c r="E15" s="546">
        <v>16431.561905363804</v>
      </c>
      <c r="F15" s="638">
        <v>481.39682880277394</v>
      </c>
      <c r="G15" s="546">
        <v>51647.264856226211</v>
      </c>
    </row>
    <row r="16" spans="1:7" ht="18" customHeight="1" thickBot="1">
      <c r="A16" s="1007">
        <v>2005</v>
      </c>
      <c r="B16" s="860">
        <v>8885.1920379999992</v>
      </c>
      <c r="C16" s="632">
        <v>22514.613636144397</v>
      </c>
      <c r="D16" s="860">
        <v>4674.7509002500001</v>
      </c>
      <c r="E16" s="632">
        <v>16122.669960911224</v>
      </c>
      <c r="F16" s="860">
        <v>500.09100958961278</v>
      </c>
      <c r="G16" s="632">
        <v>52697.317544895232</v>
      </c>
    </row>
    <row r="17" spans="1:10" ht="30" customHeight="1" thickBot="1">
      <c r="A17" s="1008" t="s">
        <v>1476</v>
      </c>
      <c r="B17" s="1009">
        <v>9479.0195712473378</v>
      </c>
      <c r="C17" s="1010">
        <v>23650.447293178302</v>
      </c>
      <c r="D17" s="1009">
        <v>4695.2735866511302</v>
      </c>
      <c r="E17" s="1010">
        <v>16643.455528497598</v>
      </c>
      <c r="F17" s="1009">
        <v>515.94077672123603</v>
      </c>
      <c r="G17" s="1010">
        <v>54984.136756295607</v>
      </c>
    </row>
    <row r="18" spans="1:10" ht="20" customHeight="1">
      <c r="A18" s="958" t="s">
        <v>1684</v>
      </c>
      <c r="B18" s="959"/>
      <c r="C18" s="959"/>
      <c r="D18" s="959"/>
      <c r="E18" s="959"/>
      <c r="F18" s="959"/>
      <c r="G18" s="959"/>
    </row>
    <row r="19" spans="1:10" ht="12.75" customHeight="1">
      <c r="A19" s="1011"/>
      <c r="B19" s="1012"/>
      <c r="C19" s="1012"/>
      <c r="D19" s="1012"/>
      <c r="E19" s="1012"/>
      <c r="F19" s="1012"/>
      <c r="G19" s="1012"/>
      <c r="H19" s="4"/>
    </row>
    <row r="20" spans="1:10" ht="12.75" customHeight="1">
      <c r="A20" s="1011" t="s">
        <v>1533</v>
      </c>
      <c r="B20" s="1011"/>
      <c r="C20" s="1012"/>
      <c r="D20" s="1012"/>
      <c r="E20" s="1012"/>
      <c r="F20" s="1012"/>
      <c r="G20" s="1012"/>
      <c r="H20" s="4"/>
    </row>
    <row r="21" spans="1:10" ht="12.75" customHeight="1">
      <c r="A21" s="1011" t="s">
        <v>1534</v>
      </c>
      <c r="B21" s="1012"/>
      <c r="C21" s="1012"/>
      <c r="D21" s="1012"/>
      <c r="E21" s="1012"/>
      <c r="F21" s="1012"/>
      <c r="G21" s="1012"/>
      <c r="H21" s="4"/>
    </row>
    <row r="22" spans="1:10" ht="12.75" customHeight="1">
      <c r="A22" s="1011" t="s">
        <v>1535</v>
      </c>
      <c r="B22" s="1012"/>
      <c r="C22" s="1012"/>
      <c r="D22" s="1012"/>
      <c r="E22" s="1012"/>
      <c r="F22" s="1012"/>
      <c r="G22" s="1012"/>
      <c r="H22" s="4"/>
    </row>
    <row r="23" spans="1:10" ht="12.75" customHeight="1">
      <c r="A23" s="1011" t="s">
        <v>1536</v>
      </c>
      <c r="B23" s="1012"/>
      <c r="C23" s="1012"/>
      <c r="D23" s="1012"/>
      <c r="E23" s="1012"/>
      <c r="F23" s="1012"/>
      <c r="G23" s="1012"/>
      <c r="H23" s="4"/>
    </row>
    <row r="24" spans="1:10" ht="12.75" customHeight="1">
      <c r="A24" s="1011" t="s">
        <v>1468</v>
      </c>
      <c r="B24" s="1012"/>
      <c r="C24" s="1012"/>
      <c r="D24" s="1012"/>
      <c r="E24" s="1012"/>
      <c r="F24" s="1012"/>
      <c r="G24" s="1012"/>
      <c r="H24" s="4"/>
    </row>
    <row r="25" spans="1:10" ht="12.75" customHeight="1">
      <c r="A25" s="1011" t="s">
        <v>1469</v>
      </c>
      <c r="B25" s="1012"/>
      <c r="C25" s="1012"/>
      <c r="D25" s="1012"/>
      <c r="E25" s="1012"/>
      <c r="F25" s="1012"/>
      <c r="G25" s="1012"/>
      <c r="H25" s="4"/>
    </row>
    <row r="26" spans="1:10" ht="12.75" customHeight="1">
      <c r="A26" s="1011"/>
      <c r="B26" s="1012"/>
      <c r="C26" s="1012"/>
      <c r="D26" s="1012"/>
      <c r="E26" s="1012"/>
      <c r="F26" s="1012"/>
      <c r="G26" s="1012"/>
      <c r="H26" s="4"/>
    </row>
    <row r="27" spans="1:10" ht="12.75" customHeight="1">
      <c r="A27" s="1011" t="s">
        <v>1470</v>
      </c>
      <c r="B27" s="1012"/>
      <c r="C27" s="1012"/>
      <c r="D27" s="1012"/>
      <c r="E27" s="1012"/>
      <c r="F27" s="1012"/>
      <c r="G27" s="1012"/>
      <c r="H27" s="4"/>
    </row>
    <row r="28" spans="1:10" ht="13.5" customHeight="1">
      <c r="A28" s="54"/>
      <c r="B28" s="1013"/>
      <c r="C28" s="1013"/>
      <c r="D28" s="1013"/>
      <c r="E28" s="1013"/>
      <c r="F28" s="1013"/>
      <c r="G28" s="1013"/>
      <c r="H28" s="4"/>
    </row>
    <row r="29" spans="1:10" ht="15.75" customHeight="1">
      <c r="A29" s="1014"/>
      <c r="B29" s="1013"/>
      <c r="C29" s="1013"/>
      <c r="D29" s="1013"/>
      <c r="E29" s="1013"/>
      <c r="F29" s="1013"/>
      <c r="G29" s="1013"/>
      <c r="H29" s="4"/>
    </row>
    <row r="30" spans="1:10" ht="13.5" customHeight="1">
      <c r="A30" s="4" t="s">
        <v>1955</v>
      </c>
      <c r="B30" s="1013"/>
      <c r="C30" s="1013"/>
      <c r="D30" s="1013"/>
      <c r="E30" s="1013"/>
      <c r="F30" s="1013"/>
      <c r="G30" s="1013"/>
      <c r="H30" s="4"/>
    </row>
    <row r="31" spans="1:10" ht="31" customHeight="1">
      <c r="A31" s="4"/>
      <c r="B31" s="1013"/>
      <c r="C31" s="1013"/>
      <c r="D31" s="1013"/>
      <c r="E31" s="1013"/>
      <c r="F31" s="1013"/>
      <c r="G31" s="1013"/>
      <c r="H31" s="4"/>
    </row>
    <row r="32" spans="1:10" ht="31" customHeight="1">
      <c r="A32" s="4"/>
      <c r="B32" s="1013"/>
      <c r="C32" s="1013"/>
      <c r="D32" s="1013"/>
      <c r="E32" s="1013"/>
      <c r="F32" s="1013"/>
      <c r="G32" s="1013"/>
      <c r="H32" s="4"/>
      <c r="J32" s="1"/>
    </row>
    <row r="33" spans="1:8" ht="31" customHeight="1">
      <c r="A33" s="4"/>
      <c r="B33" s="1013"/>
      <c r="C33" s="1013"/>
      <c r="D33" s="1013"/>
      <c r="E33" s="1013"/>
      <c r="F33" s="1013"/>
      <c r="G33" s="1013"/>
      <c r="H33" s="4"/>
    </row>
    <row r="34" spans="1:8" ht="31" customHeight="1">
      <c r="A34" s="4"/>
      <c r="B34" s="1013"/>
      <c r="C34" s="1013"/>
      <c r="D34" s="1013"/>
      <c r="E34" s="1013"/>
      <c r="F34" s="1013"/>
      <c r="G34" s="1013"/>
      <c r="H34" s="4"/>
    </row>
    <row r="35" spans="1:8" ht="31" customHeight="1">
      <c r="A35" s="4"/>
      <c r="B35" s="1013"/>
      <c r="C35" s="1013"/>
      <c r="D35" s="1013"/>
      <c r="E35" s="1013"/>
      <c r="F35" s="1013"/>
      <c r="G35" s="1013"/>
      <c r="H35" s="4"/>
    </row>
    <row r="36" spans="1:8" ht="31" customHeight="1">
      <c r="A36" s="4"/>
      <c r="B36" s="1013"/>
      <c r="C36" s="1013"/>
      <c r="D36" s="1013"/>
      <c r="E36" s="1013"/>
      <c r="F36" s="1013"/>
      <c r="G36" s="1013"/>
      <c r="H36" s="4"/>
    </row>
    <row r="37" spans="1:8" ht="31" customHeight="1">
      <c r="A37" s="4"/>
      <c r="B37" s="1013"/>
      <c r="C37" s="1013"/>
      <c r="D37" s="1013"/>
      <c r="E37" s="1013"/>
      <c r="F37" s="1013"/>
      <c r="G37" s="1013"/>
      <c r="H37" s="4"/>
    </row>
    <row r="38" spans="1:8">
      <c r="A38" s="4"/>
      <c r="B38" s="1013"/>
      <c r="C38" s="1013"/>
      <c r="D38" s="1013"/>
      <c r="E38" s="1013"/>
      <c r="F38" s="1013"/>
      <c r="G38" s="1013"/>
      <c r="H38" s="4"/>
    </row>
    <row r="39" spans="1:8">
      <c r="A39" s="4"/>
      <c r="B39" s="1013"/>
      <c r="C39" s="1013"/>
      <c r="D39" s="1013"/>
      <c r="E39" s="1013"/>
      <c r="F39" s="1013"/>
      <c r="G39" s="1013"/>
      <c r="H39" s="4"/>
    </row>
    <row r="40" spans="1:8">
      <c r="A40" s="4"/>
      <c r="B40" s="1013"/>
      <c r="C40" s="1013"/>
      <c r="D40" s="1013"/>
      <c r="E40" s="1013"/>
      <c r="F40" s="1013"/>
      <c r="G40" s="1013"/>
      <c r="H40" s="4"/>
    </row>
    <row r="41" spans="1:8">
      <c r="A41" s="4"/>
      <c r="B41" s="1013"/>
      <c r="C41" s="1013"/>
      <c r="D41" s="1013"/>
      <c r="E41" s="1013"/>
      <c r="F41" s="1013"/>
      <c r="G41" s="1013"/>
      <c r="H41" s="4"/>
    </row>
  </sheetData>
  <mergeCells count="1">
    <mergeCell ref="A2:F2"/>
  </mergeCells>
  <phoneticPr fontId="0" type="noConversion"/>
  <pageMargins left="0.56000000000000005" right="0.51" top="1.02" bottom="0.49" header="0.68" footer="0.4921259845"/>
  <pageSetup paperSize="9" scale="84" orientation="portrait" horizontalDpi="4294967292" verticalDpi="4294967292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B60D-C49A-7249-91F9-5499B7F3675C}">
  <sheetPr>
    <pageSetUpPr fitToPage="1"/>
  </sheetPr>
  <dimension ref="A1:L40"/>
  <sheetViews>
    <sheetView topLeftCell="A10" zoomScale="75" workbookViewId="0">
      <selection activeCell="I17" sqref="I17"/>
    </sheetView>
  </sheetViews>
  <sheetFormatPr baseColWidth="10" defaultColWidth="11.3984375" defaultRowHeight="13"/>
  <cols>
    <col min="1" max="1" width="10.19921875" style="2" customWidth="1"/>
    <col min="2" max="9" width="13.19921875" style="159" customWidth="1"/>
    <col min="10" max="10" width="8.796875" style="2" customWidth="1"/>
    <col min="11" max="16384" width="11.3984375" style="2"/>
  </cols>
  <sheetData>
    <row r="1" spans="1:9" s="1" customFormat="1" ht="14" customHeight="1">
      <c r="A1" s="718"/>
      <c r="B1" s="946"/>
      <c r="C1" s="946"/>
      <c r="D1" s="946"/>
      <c r="E1" s="946"/>
      <c r="F1" s="946"/>
      <c r="G1" s="946"/>
      <c r="H1" s="946"/>
      <c r="I1" s="946"/>
    </row>
    <row r="2" spans="1:9" s="1" customFormat="1" ht="39" customHeight="1">
      <c r="A2" s="1700" t="s">
        <v>1477</v>
      </c>
      <c r="B2" s="1699"/>
      <c r="C2" s="1699"/>
      <c r="D2" s="1699"/>
      <c r="E2" s="1699"/>
      <c r="F2" s="1699"/>
      <c r="G2" s="1699"/>
      <c r="H2" s="1699"/>
      <c r="I2" s="265">
        <v>2006</v>
      </c>
    </row>
    <row r="3" spans="1:9" ht="27" customHeight="1">
      <c r="A3" s="113" t="s">
        <v>758</v>
      </c>
      <c r="B3" s="114" t="s">
        <v>819</v>
      </c>
      <c r="C3" s="115" t="s">
        <v>1478</v>
      </c>
      <c r="D3" s="114" t="s">
        <v>161</v>
      </c>
      <c r="E3" s="115" t="s">
        <v>1479</v>
      </c>
      <c r="F3" s="114" t="s">
        <v>1494</v>
      </c>
      <c r="G3" s="115" t="s">
        <v>1434</v>
      </c>
      <c r="H3" s="114" t="s">
        <v>1480</v>
      </c>
      <c r="I3" s="115" t="s">
        <v>1456</v>
      </c>
    </row>
    <row r="4" spans="1:9" ht="18.75" customHeight="1">
      <c r="A4" s="248"/>
      <c r="B4" s="366" t="s">
        <v>1495</v>
      </c>
      <c r="C4" s="784" t="s">
        <v>1481</v>
      </c>
      <c r="D4" s="117" t="s">
        <v>1482</v>
      </c>
      <c r="E4" s="118" t="s">
        <v>1496</v>
      </c>
      <c r="F4" s="117"/>
      <c r="G4" s="118" t="s">
        <v>1497</v>
      </c>
      <c r="H4" s="117" t="s">
        <v>1483</v>
      </c>
      <c r="I4" s="118"/>
    </row>
    <row r="5" spans="1:9" ht="16.5" customHeight="1">
      <c r="A5" s="248"/>
      <c r="B5" s="117"/>
      <c r="C5" s="118" t="s">
        <v>1484</v>
      </c>
      <c r="D5" s="117" t="s">
        <v>1498</v>
      </c>
      <c r="E5" s="784"/>
      <c r="F5" s="366"/>
      <c r="G5" s="784"/>
      <c r="H5" s="366" t="s">
        <v>1485</v>
      </c>
      <c r="I5" s="118"/>
    </row>
    <row r="6" spans="1:9" ht="23.25" customHeight="1">
      <c r="A6" s="314"/>
      <c r="B6" s="348"/>
      <c r="C6" s="122" t="s">
        <v>1499</v>
      </c>
      <c r="D6" s="123"/>
      <c r="E6" s="122"/>
      <c r="F6" s="123"/>
      <c r="G6" s="122"/>
      <c r="H6" s="123" t="s">
        <v>1486</v>
      </c>
      <c r="I6" s="122"/>
    </row>
    <row r="7" spans="1:9" ht="24" customHeight="1" thickBot="1">
      <c r="A7" s="1015">
        <v>1996</v>
      </c>
      <c r="B7" s="637">
        <v>13184</v>
      </c>
      <c r="C7" s="257">
        <v>6423.1</v>
      </c>
      <c r="D7" s="637">
        <v>11678.6</v>
      </c>
      <c r="E7" s="257">
        <v>3544.7</v>
      </c>
      <c r="F7" s="637">
        <v>869.1</v>
      </c>
      <c r="G7" s="257">
        <v>1796.9</v>
      </c>
      <c r="H7" s="637">
        <v>412</v>
      </c>
      <c r="I7" s="257">
        <v>37908.400000000001</v>
      </c>
    </row>
    <row r="8" spans="1:9" ht="18" customHeight="1" thickBot="1">
      <c r="A8" s="1016">
        <v>1997</v>
      </c>
      <c r="B8" s="638">
        <v>13300.5</v>
      </c>
      <c r="C8" s="546">
        <v>6678.2</v>
      </c>
      <c r="D8" s="638">
        <v>11898.8</v>
      </c>
      <c r="E8" s="546">
        <v>3699.7</v>
      </c>
      <c r="F8" s="638">
        <v>820.1</v>
      </c>
      <c r="G8" s="546">
        <v>1853.8</v>
      </c>
      <c r="H8" s="638">
        <v>418.5</v>
      </c>
      <c r="I8" s="546">
        <v>38669.599999999999</v>
      </c>
    </row>
    <row r="9" spans="1:9" ht="18" customHeight="1" thickBot="1">
      <c r="A9" s="1016">
        <v>1998</v>
      </c>
      <c r="B9" s="638">
        <v>13726.9</v>
      </c>
      <c r="C9" s="546">
        <v>6995</v>
      </c>
      <c r="D9" s="638">
        <v>12534.7</v>
      </c>
      <c r="E9" s="546">
        <v>3814.8</v>
      </c>
      <c r="F9" s="638">
        <v>825.8</v>
      </c>
      <c r="G9" s="546">
        <v>1952.6</v>
      </c>
      <c r="H9" s="638">
        <v>442.5</v>
      </c>
      <c r="I9" s="546">
        <v>40292.300000000003</v>
      </c>
    </row>
    <row r="10" spans="1:9" ht="18" customHeight="1" thickBot="1">
      <c r="A10" s="1016">
        <v>1999</v>
      </c>
      <c r="B10" s="638">
        <v>14269.859986000003</v>
      </c>
      <c r="C10" s="546">
        <v>7117.1</v>
      </c>
      <c r="D10" s="638">
        <v>12923.16416135502</v>
      </c>
      <c r="E10" s="546">
        <v>3985</v>
      </c>
      <c r="F10" s="638">
        <v>869.4</v>
      </c>
      <c r="G10" s="546">
        <v>1951.2</v>
      </c>
      <c r="H10" s="638">
        <v>469.9</v>
      </c>
      <c r="I10" s="546">
        <v>41585.624147355018</v>
      </c>
    </row>
    <row r="11" spans="1:9" ht="18" customHeight="1" thickBot="1">
      <c r="A11" s="1016">
        <v>2000</v>
      </c>
      <c r="B11" s="638">
        <v>14895.513251</v>
      </c>
      <c r="C11" s="546">
        <v>7563.9</v>
      </c>
      <c r="D11" s="638">
        <v>13440.733995653636</v>
      </c>
      <c r="E11" s="546">
        <v>4130.4973544495606</v>
      </c>
      <c r="F11" s="638">
        <v>886.60889900000006</v>
      </c>
      <c r="G11" s="546">
        <v>1968</v>
      </c>
      <c r="H11" s="638">
        <v>480.06561225603991</v>
      </c>
      <c r="I11" s="546">
        <v>43365.319112359233</v>
      </c>
    </row>
    <row r="12" spans="1:9" ht="18" customHeight="1" thickBot="1">
      <c r="A12" s="1016">
        <v>2001</v>
      </c>
      <c r="B12" s="638">
        <v>16132.139821000001</v>
      </c>
      <c r="C12" s="546">
        <v>8103.4</v>
      </c>
      <c r="D12" s="638">
        <v>14118.389210237772</v>
      </c>
      <c r="E12" s="546">
        <v>4333.6230316924066</v>
      </c>
      <c r="F12" s="638">
        <v>926.76387199999999</v>
      </c>
      <c r="G12" s="546">
        <v>2014.6</v>
      </c>
      <c r="H12" s="638">
        <v>500.57588337914626</v>
      </c>
      <c r="I12" s="546">
        <v>46129.491818309325</v>
      </c>
    </row>
    <row r="13" spans="1:9" ht="18" customHeight="1" thickBot="1">
      <c r="A13" s="1016">
        <v>2002</v>
      </c>
      <c r="B13" s="638">
        <v>16982.807524247681</v>
      </c>
      <c r="C13" s="546">
        <v>8660.4935274329982</v>
      </c>
      <c r="D13" s="638">
        <v>14430.539223398549</v>
      </c>
      <c r="E13" s="546">
        <v>4415.9295005981339</v>
      </c>
      <c r="F13" s="638">
        <v>981.40087700000004</v>
      </c>
      <c r="G13" s="546">
        <v>2000.8014692328545</v>
      </c>
      <c r="H13" s="638">
        <v>509.49608786656427</v>
      </c>
      <c r="I13" s="546">
        <v>47981.468209776787</v>
      </c>
    </row>
    <row r="14" spans="1:9" ht="18" customHeight="1" thickBot="1">
      <c r="A14" s="1016">
        <v>2003</v>
      </c>
      <c r="B14" s="638">
        <v>17712.226343618662</v>
      </c>
      <c r="C14" s="546">
        <v>8990.275688150492</v>
      </c>
      <c r="D14" s="638">
        <v>14813.56384014453</v>
      </c>
      <c r="E14" s="546">
        <v>4720.9651053618945</v>
      </c>
      <c r="F14" s="638">
        <v>1036.8831319999999</v>
      </c>
      <c r="G14" s="546">
        <v>2076.4031583018532</v>
      </c>
      <c r="H14" s="638">
        <v>530.23678043074028</v>
      </c>
      <c r="I14" s="546">
        <v>49880.554048008176</v>
      </c>
    </row>
    <row r="15" spans="1:9" ht="18" customHeight="1" thickBot="1">
      <c r="A15" s="1016">
        <v>2004</v>
      </c>
      <c r="B15" s="638">
        <v>18211.927869253603</v>
      </c>
      <c r="C15" s="546">
        <v>9269.4815999999992</v>
      </c>
      <c r="D15" s="638">
        <v>15519.799657335181</v>
      </c>
      <c r="E15" s="546">
        <v>4885.7901600000005</v>
      </c>
      <c r="F15" s="638">
        <v>1016.403946</v>
      </c>
      <c r="G15" s="546">
        <v>2188.6177220936333</v>
      </c>
      <c r="H15" s="638">
        <v>555.24390154379591</v>
      </c>
      <c r="I15" s="546">
        <v>51647.264856226218</v>
      </c>
    </row>
    <row r="16" spans="1:9" ht="18" customHeight="1" thickBot="1">
      <c r="A16" s="1017">
        <v>2005</v>
      </c>
      <c r="B16" s="860">
        <v>18296.451625528491</v>
      </c>
      <c r="C16" s="632">
        <v>9553.4498339982383</v>
      </c>
      <c r="D16" s="860">
        <v>16110.083387414588</v>
      </c>
      <c r="E16" s="632">
        <v>4948.2082112506641</v>
      </c>
      <c r="F16" s="860">
        <v>1023.603069</v>
      </c>
      <c r="G16" s="632">
        <v>2193.6107966786522</v>
      </c>
      <c r="H16" s="860">
        <v>571.91062102459728</v>
      </c>
      <c r="I16" s="632">
        <v>52697.317544895224</v>
      </c>
    </row>
    <row r="17" spans="1:9" s="151" customFormat="1" ht="30" customHeight="1" thickBot="1">
      <c r="A17" s="1008" t="s">
        <v>1500</v>
      </c>
      <c r="B17" s="1009">
        <v>19160.831297403172</v>
      </c>
      <c r="C17" s="1010">
        <v>10002.085993791943</v>
      </c>
      <c r="D17" s="1009">
        <v>16781.190743909538</v>
      </c>
      <c r="E17" s="1010">
        <v>5136.4523017254533</v>
      </c>
      <c r="F17" s="1009">
        <v>1045.0533785519142</v>
      </c>
      <c r="G17" s="1010">
        <v>2265.7717806738356</v>
      </c>
      <c r="H17" s="1009">
        <v>592.75126023975838</v>
      </c>
      <c r="I17" s="1010">
        <v>54984.136756295607</v>
      </c>
    </row>
    <row r="18" spans="1:9" ht="20" customHeight="1">
      <c r="A18" s="1018" t="s">
        <v>1684</v>
      </c>
      <c r="B18" s="1019"/>
      <c r="C18" s="1019"/>
      <c r="D18" s="1019"/>
      <c r="E18" s="1019"/>
      <c r="F18" s="1019"/>
      <c r="G18" s="1019"/>
      <c r="H18" s="1019"/>
      <c r="I18" s="1019"/>
    </row>
    <row r="19" spans="1:9" ht="12.75" customHeight="1">
      <c r="A19" s="1011"/>
      <c r="B19" s="1012"/>
      <c r="C19" s="1012"/>
      <c r="D19" s="1012"/>
      <c r="E19" s="1012"/>
      <c r="F19" s="1012"/>
      <c r="G19" s="1012"/>
      <c r="H19" s="1012"/>
      <c r="I19" s="1012"/>
    </row>
    <row r="20" spans="1:9" ht="12.75" customHeight="1">
      <c r="A20" s="1011" t="s">
        <v>1487</v>
      </c>
      <c r="B20" s="1012"/>
      <c r="C20" s="1012"/>
      <c r="D20" s="1012"/>
      <c r="E20" s="1012"/>
      <c r="F20" s="1012"/>
      <c r="G20" s="1012"/>
      <c r="H20" s="1012"/>
      <c r="I20" s="1012"/>
    </row>
    <row r="21" spans="1:9" ht="12.75" customHeight="1">
      <c r="A21" s="1011" t="s">
        <v>1488</v>
      </c>
      <c r="B21" s="1012"/>
      <c r="C21" s="1012"/>
      <c r="D21" s="1012"/>
      <c r="E21" s="1012"/>
      <c r="F21" s="1012"/>
      <c r="G21" s="1012"/>
      <c r="H21" s="1012"/>
      <c r="I21" s="1012"/>
    </row>
    <row r="22" spans="1:9" ht="12.75" customHeight="1">
      <c r="A22" s="1011" t="s">
        <v>1489</v>
      </c>
      <c r="B22" s="1012"/>
      <c r="C22" s="1012"/>
      <c r="D22" s="1012"/>
      <c r="E22" s="1012"/>
      <c r="F22" s="1012"/>
      <c r="G22" s="1012"/>
      <c r="H22" s="1012"/>
      <c r="I22" s="1012"/>
    </row>
    <row r="23" spans="1:9" ht="12.75" customHeight="1">
      <c r="A23" s="1011" t="s">
        <v>1490</v>
      </c>
      <c r="B23" s="1012"/>
      <c r="C23" s="1012"/>
      <c r="D23" s="1012"/>
      <c r="E23" s="1012"/>
      <c r="F23" s="1012"/>
      <c r="G23" s="1012"/>
      <c r="H23" s="1012"/>
      <c r="I23" s="1012"/>
    </row>
    <row r="24" spans="1:9" ht="12.75" customHeight="1">
      <c r="A24" s="1011" t="s">
        <v>1491</v>
      </c>
      <c r="B24" s="1012"/>
      <c r="C24" s="1012"/>
      <c r="D24" s="1012"/>
      <c r="E24" s="1012"/>
      <c r="F24" s="1012"/>
      <c r="G24" s="1012"/>
      <c r="H24" s="1012"/>
      <c r="I24" s="1012"/>
    </row>
    <row r="25" spans="1:9" ht="12.75" customHeight="1">
      <c r="A25" s="1011" t="s">
        <v>1492</v>
      </c>
      <c r="B25" s="1012"/>
      <c r="C25" s="1012"/>
      <c r="D25" s="1012"/>
      <c r="E25" s="1012"/>
      <c r="F25" s="1012"/>
      <c r="G25" s="1012"/>
      <c r="H25" s="1012"/>
      <c r="I25" s="1012"/>
    </row>
    <row r="26" spans="1:9" ht="12.75" customHeight="1">
      <c r="A26" s="1011" t="s">
        <v>1493</v>
      </c>
      <c r="B26" s="1012"/>
      <c r="C26" s="1012"/>
      <c r="D26" s="1012"/>
      <c r="E26" s="1012"/>
      <c r="F26" s="1012"/>
      <c r="G26" s="1012"/>
      <c r="H26" s="1012"/>
      <c r="I26" s="1012"/>
    </row>
    <row r="27" spans="1:9" ht="12.75" customHeight="1">
      <c r="A27" s="1011"/>
      <c r="B27" s="1012"/>
      <c r="C27" s="1012"/>
      <c r="D27" s="1012"/>
      <c r="E27" s="1012"/>
      <c r="F27" s="1012"/>
      <c r="G27" s="1012"/>
      <c r="H27" s="1012"/>
      <c r="I27" s="1012"/>
    </row>
    <row r="28" spans="1:9" ht="12.75" customHeight="1">
      <c r="A28" s="1011" t="s">
        <v>1470</v>
      </c>
      <c r="B28" s="1012"/>
      <c r="C28" s="1012"/>
      <c r="D28" s="1012"/>
      <c r="E28" s="1012"/>
      <c r="F28" s="1012"/>
      <c r="G28" s="1012"/>
      <c r="H28" s="1012"/>
      <c r="I28" s="1012"/>
    </row>
    <row r="29" spans="1:9" ht="15" customHeight="1">
      <c r="A29" s="54"/>
      <c r="B29" s="1013"/>
      <c r="C29" s="1013"/>
      <c r="D29" s="1013"/>
      <c r="E29" s="1013"/>
      <c r="F29" s="1013"/>
      <c r="G29" s="1013"/>
      <c r="H29" s="1013"/>
      <c r="I29" s="1013"/>
    </row>
    <row r="30" spans="1:9" ht="15" customHeight="1">
      <c r="A30" s="1014"/>
      <c r="B30" s="1013"/>
      <c r="C30" s="1013"/>
      <c r="D30" s="1013"/>
      <c r="E30" s="1013"/>
      <c r="F30" s="1013"/>
      <c r="G30" s="1013"/>
      <c r="H30" s="1013"/>
      <c r="I30" s="1013"/>
    </row>
    <row r="31" spans="1:9" ht="18" customHeight="1">
      <c r="A31" s="4" t="s">
        <v>1955</v>
      </c>
      <c r="B31" s="1013"/>
      <c r="C31" s="1013"/>
      <c r="D31" s="1013"/>
      <c r="E31" s="1013"/>
      <c r="F31" s="1013"/>
      <c r="G31" s="1013"/>
      <c r="H31" s="1013"/>
      <c r="I31" s="1013"/>
    </row>
    <row r="32" spans="1:9" ht="31" customHeight="1">
      <c r="A32" s="4"/>
      <c r="B32" s="1013"/>
      <c r="C32" s="1013"/>
      <c r="D32" s="1013"/>
      <c r="E32" s="1013"/>
      <c r="F32" s="1013"/>
      <c r="G32" s="1013"/>
      <c r="H32" s="1013"/>
      <c r="I32" s="1013"/>
    </row>
    <row r="33" spans="1:12" ht="31" customHeight="1">
      <c r="A33" s="41"/>
      <c r="B33" s="963"/>
      <c r="C33" s="963"/>
      <c r="D33" s="963"/>
      <c r="E33" s="963"/>
      <c r="F33" s="963"/>
      <c r="G33" s="963"/>
      <c r="H33" s="963"/>
      <c r="I33" s="963"/>
      <c r="L33" s="160"/>
    </row>
    <row r="34" spans="1:12" ht="31" customHeight="1">
      <c r="A34" s="41"/>
      <c r="B34" s="963"/>
      <c r="C34" s="963"/>
      <c r="D34" s="963"/>
      <c r="E34" s="963"/>
      <c r="F34" s="963"/>
      <c r="G34" s="963"/>
      <c r="H34" s="963"/>
      <c r="I34" s="963"/>
    </row>
    <row r="35" spans="1:12" ht="31" customHeight="1">
      <c r="A35" s="41"/>
      <c r="B35" s="963"/>
      <c r="C35" s="963"/>
      <c r="D35" s="963"/>
      <c r="E35" s="963"/>
      <c r="F35" s="963"/>
      <c r="G35" s="963"/>
      <c r="H35" s="963"/>
      <c r="I35" s="963"/>
    </row>
    <row r="36" spans="1:12" ht="31" customHeight="1">
      <c r="A36" s="41"/>
      <c r="B36" s="963"/>
      <c r="C36" s="963"/>
      <c r="D36" s="963"/>
      <c r="E36" s="963"/>
      <c r="F36" s="963"/>
      <c r="G36" s="963"/>
      <c r="H36" s="963"/>
      <c r="I36" s="963"/>
    </row>
    <row r="37" spans="1:12" ht="31" customHeight="1">
      <c r="A37" s="41"/>
      <c r="B37" s="963"/>
      <c r="C37" s="963"/>
      <c r="D37" s="963"/>
      <c r="E37" s="963"/>
      <c r="F37" s="963"/>
      <c r="G37" s="963"/>
      <c r="H37" s="963"/>
      <c r="I37" s="963"/>
    </row>
    <row r="38" spans="1:12" ht="31" customHeight="1">
      <c r="A38" s="41"/>
      <c r="B38" s="963"/>
      <c r="C38" s="963"/>
      <c r="D38" s="963"/>
      <c r="E38" s="963"/>
      <c r="F38" s="963"/>
      <c r="G38" s="963"/>
      <c r="H38" s="963"/>
      <c r="I38" s="963"/>
    </row>
    <row r="39" spans="1:12">
      <c r="A39" s="41"/>
      <c r="B39" s="963"/>
      <c r="C39" s="963"/>
      <c r="D39" s="963"/>
      <c r="E39" s="963"/>
      <c r="F39" s="963"/>
      <c r="G39" s="963"/>
      <c r="H39" s="963"/>
      <c r="I39" s="963"/>
    </row>
    <row r="40" spans="1:12">
      <c r="A40" s="41"/>
      <c r="B40" s="963"/>
      <c r="C40" s="963"/>
      <c r="D40" s="963"/>
      <c r="E40" s="963"/>
      <c r="F40" s="963"/>
      <c r="G40" s="963"/>
      <c r="H40" s="963"/>
      <c r="I40" s="963"/>
    </row>
  </sheetData>
  <mergeCells count="1">
    <mergeCell ref="A2:H2"/>
  </mergeCells>
  <phoneticPr fontId="0" type="noConversion"/>
  <pageMargins left="0.59" right="0.51" top="0.97" bottom="0.49" header="0.56999999999999995" footer="0.4921259845"/>
  <pageSetup paperSize="9" scale="80" orientation="portrait" horizontalDpi="4294967292" verticalDpi="4294967292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B968-00D5-FF49-BED7-966F05F962A4}">
  <sheetPr>
    <pageSetUpPr fitToPage="1"/>
  </sheetPr>
  <dimension ref="A1:K38"/>
  <sheetViews>
    <sheetView topLeftCell="A8" zoomScale="75" workbookViewId="0">
      <selection activeCell="A18" sqref="A18"/>
    </sheetView>
  </sheetViews>
  <sheetFormatPr baseColWidth="10" defaultColWidth="11.3984375" defaultRowHeight="13"/>
  <cols>
    <col min="1" max="1" width="10.59765625" style="2" customWidth="1"/>
    <col min="2" max="8" width="13.59765625" style="159" customWidth="1"/>
    <col min="9" max="9" width="8.796875" style="2" customWidth="1"/>
    <col min="10" max="16384" width="11.3984375" style="2"/>
  </cols>
  <sheetData>
    <row r="1" spans="1:10" s="1" customFormat="1" ht="14" customHeight="1">
      <c r="A1" s="718"/>
      <c r="B1" s="946"/>
      <c r="C1" s="946"/>
      <c r="D1" s="946"/>
      <c r="E1" s="946"/>
      <c r="F1" s="946"/>
      <c r="G1" s="946"/>
      <c r="H1" s="946"/>
    </row>
    <row r="2" spans="1:10" s="1" customFormat="1" ht="36" customHeight="1">
      <c r="A2" s="1700" t="s">
        <v>2180</v>
      </c>
      <c r="B2" s="1699"/>
      <c r="C2" s="1699"/>
      <c r="D2" s="1699"/>
      <c r="E2" s="1699"/>
      <c r="F2" s="1699"/>
      <c r="G2" s="1699"/>
      <c r="H2" s="265">
        <v>2006</v>
      </c>
    </row>
    <row r="3" spans="1:10" ht="27" customHeight="1">
      <c r="A3" s="113" t="s">
        <v>758</v>
      </c>
      <c r="B3" s="114" t="s">
        <v>2181</v>
      </c>
      <c r="C3" s="115" t="s">
        <v>161</v>
      </c>
      <c r="D3" s="114" t="s">
        <v>2035</v>
      </c>
      <c r="E3" s="115" t="s">
        <v>2182</v>
      </c>
      <c r="F3" s="114" t="s">
        <v>2192</v>
      </c>
      <c r="G3" s="115" t="s">
        <v>2183</v>
      </c>
      <c r="H3" s="114" t="s">
        <v>1951</v>
      </c>
    </row>
    <row r="4" spans="1:10" ht="15" customHeight="1">
      <c r="A4" s="248"/>
      <c r="B4" s="366" t="s">
        <v>2184</v>
      </c>
      <c r="C4" s="784" t="s">
        <v>185</v>
      </c>
      <c r="D4" s="117" t="s">
        <v>2193</v>
      </c>
      <c r="E4" s="118" t="s">
        <v>2185</v>
      </c>
      <c r="F4" s="117"/>
      <c r="G4" s="118"/>
      <c r="H4" s="117"/>
    </row>
    <row r="5" spans="1:10" ht="15" customHeight="1">
      <c r="A5" s="248"/>
      <c r="B5" s="117" t="s">
        <v>2186</v>
      </c>
      <c r="C5" s="118"/>
      <c r="D5" s="117"/>
      <c r="E5" s="784" t="s">
        <v>2194</v>
      </c>
      <c r="F5" s="366"/>
      <c r="G5" s="784"/>
      <c r="H5" s="366"/>
      <c r="J5" s="458"/>
    </row>
    <row r="6" spans="1:10" ht="21.75" customHeight="1">
      <c r="A6" s="314"/>
      <c r="B6" s="123" t="s">
        <v>2195</v>
      </c>
      <c r="C6" s="122"/>
      <c r="D6" s="123"/>
      <c r="E6" s="122"/>
      <c r="F6" s="123"/>
      <c r="G6" s="122"/>
      <c r="H6" s="123"/>
    </row>
    <row r="7" spans="1:10" ht="21" customHeight="1" thickBot="1">
      <c r="A7" s="367">
        <v>1996</v>
      </c>
      <c r="B7" s="637">
        <v>18184.040445464139</v>
      </c>
      <c r="C7" s="257">
        <v>10932.716294797674</v>
      </c>
      <c r="D7" s="637">
        <v>1268.9714576684796</v>
      </c>
      <c r="E7" s="257">
        <v>4540.3470588235296</v>
      </c>
      <c r="F7" s="637">
        <v>966.86547804090924</v>
      </c>
      <c r="G7" s="257">
        <v>2015.3489631466664</v>
      </c>
      <c r="H7" s="637">
        <v>37908.2896979414</v>
      </c>
    </row>
    <row r="8" spans="1:10" ht="20.25" customHeight="1" thickBot="1">
      <c r="A8" s="368">
        <v>1997</v>
      </c>
      <c r="B8" s="638">
        <v>18483.938030623332</v>
      </c>
      <c r="C8" s="546">
        <v>11172.859777209607</v>
      </c>
      <c r="D8" s="638">
        <v>1237.2489177234406</v>
      </c>
      <c r="E8" s="546">
        <v>4778.8981705882352</v>
      </c>
      <c r="F8" s="638">
        <v>938.77448458000003</v>
      </c>
      <c r="G8" s="546">
        <v>2057.9071603399998</v>
      </c>
      <c r="H8" s="638">
        <v>38669.626541064616</v>
      </c>
    </row>
    <row r="9" spans="1:10" ht="20.25" customHeight="1" thickBot="1">
      <c r="A9" s="368">
        <v>1998</v>
      </c>
      <c r="B9" s="638">
        <v>19029.318450073679</v>
      </c>
      <c r="C9" s="546">
        <v>11874.35810787395</v>
      </c>
      <c r="D9" s="638">
        <v>1356.5677703307178</v>
      </c>
      <c r="E9" s="546">
        <v>4913.3724305941168</v>
      </c>
      <c r="F9" s="638">
        <v>983.21470195428628</v>
      </c>
      <c r="G9" s="546">
        <v>2135.5628481599997</v>
      </c>
      <c r="H9" s="638">
        <v>40292.394308986753</v>
      </c>
    </row>
    <row r="10" spans="1:10" ht="20.25" customHeight="1" thickBot="1">
      <c r="A10" s="368">
        <v>1999</v>
      </c>
      <c r="B10" s="638">
        <v>19459.674308298851</v>
      </c>
      <c r="C10" s="546">
        <v>12357.690062899601</v>
      </c>
      <c r="D10" s="638">
        <v>1393.9774232153918</v>
      </c>
      <c r="E10" s="546">
        <v>5198.8475422014762</v>
      </c>
      <c r="F10" s="638">
        <v>1015.086034722207</v>
      </c>
      <c r="G10" s="546">
        <v>2160.2840630000001</v>
      </c>
      <c r="H10" s="638">
        <v>41585.55943433752</v>
      </c>
    </row>
    <row r="11" spans="1:10" ht="20.25" customHeight="1" thickBot="1">
      <c r="A11" s="368">
        <v>2000</v>
      </c>
      <c r="B11" s="638">
        <v>20309.111119965513</v>
      </c>
      <c r="C11" s="546">
        <v>12926.336575347925</v>
      </c>
      <c r="D11" s="638">
        <v>1430.1583748696057</v>
      </c>
      <c r="E11" s="546">
        <v>5475.438530920148</v>
      </c>
      <c r="F11" s="638">
        <v>1014.11623525604</v>
      </c>
      <c r="G11" s="546">
        <v>2210.1582759999997</v>
      </c>
      <c r="H11" s="638">
        <v>43365.319112359233</v>
      </c>
    </row>
    <row r="12" spans="1:10" ht="20.25" customHeight="1" thickBot="1">
      <c r="A12" s="368">
        <v>2001</v>
      </c>
      <c r="B12" s="638">
        <v>21805.054371000002</v>
      </c>
      <c r="C12" s="546">
        <v>13690.949264204983</v>
      </c>
      <c r="D12" s="638">
        <v>1471.1430430916139</v>
      </c>
      <c r="E12" s="546">
        <v>5829.5053846335832</v>
      </c>
      <c r="F12" s="638">
        <v>1062.7870063791461</v>
      </c>
      <c r="G12" s="546">
        <v>2270.0527489999999</v>
      </c>
      <c r="H12" s="638">
        <v>46129.491818309332</v>
      </c>
    </row>
    <row r="13" spans="1:10" ht="20.25" customHeight="1" thickBot="1">
      <c r="A13" s="368">
        <v>2002</v>
      </c>
      <c r="B13" s="638">
        <v>23011.654589862497</v>
      </c>
      <c r="C13" s="546">
        <v>14164.252550727681</v>
      </c>
      <c r="D13" s="638">
        <v>1526.2390168419893</v>
      </c>
      <c r="E13" s="546">
        <v>5899.2236182451925</v>
      </c>
      <c r="F13" s="638">
        <v>1052.5616069842113</v>
      </c>
      <c r="G13" s="546">
        <v>2327.5368271152074</v>
      </c>
      <c r="H13" s="638">
        <v>47981.46820977678</v>
      </c>
    </row>
    <row r="14" spans="1:10" ht="20.25" customHeight="1" thickBot="1">
      <c r="A14" s="368">
        <v>2003</v>
      </c>
      <c r="B14" s="638">
        <v>23857.767016314607</v>
      </c>
      <c r="C14" s="546">
        <v>14647.207027090521</v>
      </c>
      <c r="D14" s="638">
        <v>1546.5271226262025</v>
      </c>
      <c r="E14" s="546">
        <v>6306.7298112442477</v>
      </c>
      <c r="F14" s="638">
        <v>1122.7699346072109</v>
      </c>
      <c r="G14" s="546">
        <v>2399.5531361253825</v>
      </c>
      <c r="H14" s="638">
        <v>49880.554048008176</v>
      </c>
    </row>
    <row r="15" spans="1:10" ht="20.25" customHeight="1" thickBot="1">
      <c r="A15" s="368">
        <v>2004</v>
      </c>
      <c r="B15" s="638">
        <v>24584.753408516975</v>
      </c>
      <c r="C15" s="546">
        <v>15193.377809727141</v>
      </c>
      <c r="D15" s="638">
        <v>1704.7484965799663</v>
      </c>
      <c r="E15" s="546">
        <v>6531.3195717647059</v>
      </c>
      <c r="F15" s="638">
        <v>1122.7977613085018</v>
      </c>
      <c r="G15" s="546">
        <v>2510.2678083289275</v>
      </c>
      <c r="H15" s="638">
        <v>51647.264856226218</v>
      </c>
    </row>
    <row r="16" spans="1:10" ht="20.25" customHeight="1" thickBot="1">
      <c r="A16" s="1007">
        <v>2005</v>
      </c>
      <c r="B16" s="860">
        <v>24342.679773404998</v>
      </c>
      <c r="C16" s="632">
        <v>16202.451402570587</v>
      </c>
      <c r="D16" s="860">
        <v>1809.9095250833793</v>
      </c>
      <c r="E16" s="632">
        <v>6680.5273571330181</v>
      </c>
      <c r="F16" s="860">
        <v>1133.4662400245973</v>
      </c>
      <c r="G16" s="632">
        <v>2528.2832466786526</v>
      </c>
      <c r="H16" s="860">
        <v>52697.317544895224</v>
      </c>
    </row>
    <row r="17" spans="1:11" s="1022" customFormat="1" ht="30" customHeight="1" thickBot="1">
      <c r="A17" s="1008" t="s">
        <v>2196</v>
      </c>
      <c r="B17" s="1020">
        <v>25351.557813185977</v>
      </c>
      <c r="C17" s="1021">
        <v>16990.085240041506</v>
      </c>
      <c r="D17" s="1020">
        <v>1890.875990688502</v>
      </c>
      <c r="E17" s="1021">
        <v>6979.2744167256033</v>
      </c>
      <c r="F17" s="1020">
        <v>1146.5941541919399</v>
      </c>
      <c r="G17" s="1021">
        <v>2625.7491414620822</v>
      </c>
      <c r="H17" s="1020">
        <v>54984.136756295607</v>
      </c>
    </row>
    <row r="18" spans="1:11" ht="20" customHeight="1">
      <c r="A18" s="958" t="s">
        <v>1684</v>
      </c>
      <c r="B18" s="959"/>
      <c r="C18" s="959"/>
      <c r="D18" s="959"/>
      <c r="E18" s="959"/>
      <c r="F18" s="959"/>
      <c r="G18" s="959"/>
      <c r="H18" s="959"/>
    </row>
    <row r="19" spans="1:11" ht="12.75" customHeight="1">
      <c r="A19" s="960"/>
      <c r="B19" s="961"/>
      <c r="C19" s="961"/>
      <c r="D19" s="961"/>
      <c r="E19" s="961"/>
      <c r="F19" s="961"/>
      <c r="G19" s="961"/>
      <c r="H19" s="961"/>
    </row>
    <row r="20" spans="1:11" ht="12.75" customHeight="1">
      <c r="A20" s="960" t="s">
        <v>2187</v>
      </c>
      <c r="B20" s="961"/>
      <c r="C20" s="961"/>
      <c r="D20" s="961"/>
      <c r="E20" s="961"/>
      <c r="F20" s="961"/>
      <c r="G20" s="961"/>
      <c r="H20" s="961"/>
    </row>
    <row r="21" spans="1:11" ht="12.75" customHeight="1">
      <c r="A21" s="960" t="s">
        <v>2188</v>
      </c>
      <c r="B21" s="961"/>
      <c r="C21" s="961"/>
      <c r="D21" s="961"/>
      <c r="E21" s="961"/>
      <c r="F21" s="961"/>
      <c r="G21" s="961"/>
      <c r="H21" s="961"/>
    </row>
    <row r="22" spans="1:11" ht="12.75" customHeight="1">
      <c r="A22" s="960" t="s">
        <v>2189</v>
      </c>
      <c r="B22" s="961"/>
      <c r="C22" s="961"/>
      <c r="D22" s="961"/>
      <c r="E22" s="961"/>
      <c r="F22" s="961"/>
      <c r="G22" s="961"/>
      <c r="H22" s="961"/>
    </row>
    <row r="23" spans="1:11" ht="12.75" customHeight="1">
      <c r="A23" s="960" t="s">
        <v>2190</v>
      </c>
      <c r="B23" s="961"/>
      <c r="C23" s="961"/>
      <c r="D23" s="961"/>
      <c r="E23" s="961"/>
      <c r="F23" s="961"/>
      <c r="G23" s="961"/>
      <c r="H23" s="961"/>
    </row>
    <row r="24" spans="1:11" ht="12.75" customHeight="1">
      <c r="A24" s="1011" t="s">
        <v>2191</v>
      </c>
      <c r="B24" s="961"/>
      <c r="C24" s="961"/>
      <c r="D24" s="961"/>
      <c r="E24" s="961"/>
      <c r="F24" s="961"/>
      <c r="G24" s="961"/>
      <c r="H24" s="961"/>
    </row>
    <row r="25" spans="1:11" ht="12.75" customHeight="1">
      <c r="A25" s="960"/>
      <c r="B25" s="961"/>
      <c r="C25" s="961"/>
      <c r="D25" s="961"/>
      <c r="E25" s="961"/>
      <c r="F25" s="961"/>
      <c r="G25" s="961"/>
      <c r="H25" s="961"/>
    </row>
    <row r="26" spans="1:11" ht="12.75" customHeight="1">
      <c r="A26" s="960" t="s">
        <v>1470</v>
      </c>
      <c r="B26" s="961"/>
      <c r="C26" s="961"/>
      <c r="D26" s="961"/>
      <c r="E26" s="961"/>
      <c r="F26" s="961"/>
      <c r="G26" s="961"/>
      <c r="H26" s="961"/>
    </row>
    <row r="27" spans="1:11" ht="14.25" customHeight="1">
      <c r="A27" s="718"/>
      <c r="B27" s="963"/>
      <c r="C27" s="963"/>
      <c r="D27" s="963"/>
      <c r="E27" s="963"/>
      <c r="F27" s="963"/>
      <c r="G27" s="963"/>
      <c r="H27" s="963"/>
    </row>
    <row r="28" spans="1:11" ht="14.25" customHeight="1">
      <c r="A28" s="160"/>
      <c r="B28" s="963"/>
      <c r="C28" s="963"/>
      <c r="D28" s="963"/>
      <c r="E28" s="963"/>
      <c r="F28" s="963"/>
      <c r="G28" s="963"/>
      <c r="H28" s="963"/>
    </row>
    <row r="29" spans="1:11" ht="14.25" customHeight="1">
      <c r="A29" s="41" t="s">
        <v>1955</v>
      </c>
      <c r="B29" s="963"/>
      <c r="C29" s="963"/>
      <c r="D29" s="963"/>
      <c r="E29" s="963"/>
      <c r="F29" s="963"/>
      <c r="G29" s="963"/>
      <c r="H29" s="963"/>
    </row>
    <row r="30" spans="1:11" ht="18" customHeight="1">
      <c r="A30" s="41"/>
      <c r="B30" s="963"/>
      <c r="C30" s="963"/>
      <c r="D30" s="963"/>
      <c r="E30" s="963"/>
      <c r="F30" s="963"/>
      <c r="G30" s="963"/>
      <c r="H30" s="963"/>
    </row>
    <row r="31" spans="1:11" ht="18" customHeight="1">
      <c r="A31" s="41"/>
      <c r="B31" s="963"/>
      <c r="C31" s="963"/>
      <c r="D31" s="963"/>
      <c r="E31" s="963"/>
      <c r="F31" s="963"/>
      <c r="G31" s="963"/>
      <c r="H31" s="963"/>
      <c r="K31" s="160"/>
    </row>
    <row r="32" spans="1:11" ht="31" customHeight="1">
      <c r="A32" s="41"/>
      <c r="B32" s="963"/>
      <c r="C32" s="963"/>
      <c r="D32" s="963"/>
      <c r="E32" s="963"/>
      <c r="F32" s="963"/>
      <c r="G32" s="963"/>
      <c r="H32" s="963"/>
    </row>
    <row r="33" spans="1:8" ht="31" customHeight="1">
      <c r="A33" s="41"/>
      <c r="B33" s="963"/>
      <c r="C33" s="963"/>
      <c r="D33" s="963"/>
      <c r="E33" s="963"/>
      <c r="F33" s="963"/>
      <c r="G33" s="963"/>
      <c r="H33" s="963"/>
    </row>
    <row r="34" spans="1:8" ht="31" customHeight="1">
      <c r="A34" s="41"/>
      <c r="B34" s="963"/>
      <c r="C34" s="963"/>
      <c r="D34" s="963"/>
      <c r="E34" s="963"/>
      <c r="F34" s="963"/>
      <c r="G34" s="963"/>
      <c r="H34" s="963"/>
    </row>
    <row r="35" spans="1:8" ht="31" customHeight="1">
      <c r="A35" s="41"/>
      <c r="B35" s="963"/>
      <c r="C35" s="963"/>
      <c r="D35" s="963"/>
      <c r="E35" s="963"/>
      <c r="F35" s="963"/>
      <c r="G35" s="963"/>
      <c r="H35" s="963"/>
    </row>
    <row r="36" spans="1:8" ht="31" customHeight="1">
      <c r="A36" s="41"/>
      <c r="B36" s="963"/>
      <c r="C36" s="963"/>
      <c r="D36" s="963"/>
      <c r="E36" s="963"/>
      <c r="F36" s="963"/>
      <c r="G36" s="963"/>
      <c r="H36" s="963"/>
    </row>
    <row r="37" spans="1:8">
      <c r="A37" s="41"/>
      <c r="B37" s="963"/>
      <c r="C37" s="963"/>
      <c r="D37" s="963"/>
      <c r="E37" s="963"/>
      <c r="F37" s="963"/>
      <c r="G37" s="963"/>
      <c r="H37" s="963"/>
    </row>
    <row r="38" spans="1:8">
      <c r="A38" s="41"/>
      <c r="B38" s="963"/>
      <c r="C38" s="963"/>
      <c r="D38" s="963"/>
      <c r="E38" s="963"/>
      <c r="F38" s="963"/>
      <c r="G38" s="963"/>
      <c r="H38" s="963"/>
    </row>
  </sheetData>
  <mergeCells count="1">
    <mergeCell ref="A2:G2"/>
  </mergeCells>
  <phoneticPr fontId="0" type="noConversion"/>
  <pageMargins left="0.59" right="0.51" top="1.05" bottom="0.49" header="0.6" footer="0.4921259845"/>
  <pageSetup paperSize="9" scale="88" orientation="portrait" horizontalDpi="4294967292" verticalDpi="4294967292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E8EC-811C-9848-8648-4DBCE4061F89}">
  <sheetPr>
    <pageSetUpPr fitToPage="1"/>
  </sheetPr>
  <dimension ref="A1:H40"/>
  <sheetViews>
    <sheetView topLeftCell="A6" zoomScale="75" workbookViewId="0">
      <selection activeCell="B19" sqref="B19"/>
    </sheetView>
  </sheetViews>
  <sheetFormatPr baseColWidth="10" defaultColWidth="11.3984375" defaultRowHeight="13"/>
  <cols>
    <col min="1" max="1" width="11.796875" style="2" customWidth="1"/>
    <col min="2" max="5" width="16.19921875" style="159" customWidth="1"/>
    <col min="6" max="6" width="13.3984375" style="2" customWidth="1"/>
    <col min="7" max="7" width="15.59765625" style="2" customWidth="1"/>
    <col min="8" max="8" width="12.59765625" style="2" customWidth="1"/>
    <col min="9" max="16384" width="11.3984375" style="2"/>
  </cols>
  <sheetData>
    <row r="1" spans="1:8" s="1" customFormat="1" ht="14" customHeight="1">
      <c r="A1" s="718"/>
      <c r="B1" s="946"/>
      <c r="C1" s="946"/>
      <c r="D1" s="946"/>
      <c r="E1" s="946"/>
    </row>
    <row r="2" spans="1:8" s="1" customFormat="1" ht="39" customHeight="1">
      <c r="A2" s="1711" t="s">
        <v>2197</v>
      </c>
      <c r="B2" s="1698"/>
      <c r="C2" s="1698"/>
      <c r="D2" s="1698"/>
      <c r="E2" s="1698"/>
      <c r="F2" s="1698"/>
      <c r="G2" s="1698"/>
      <c r="H2" s="265">
        <v>2006</v>
      </c>
    </row>
    <row r="3" spans="1:8" ht="27" customHeight="1">
      <c r="A3" s="113" t="s">
        <v>758</v>
      </c>
      <c r="B3" s="114" t="s">
        <v>1471</v>
      </c>
      <c r="C3" s="115" t="s">
        <v>2198</v>
      </c>
      <c r="D3" s="114" t="s">
        <v>1455</v>
      </c>
      <c r="E3" s="115" t="s">
        <v>1951</v>
      </c>
      <c r="F3" s="114" t="s">
        <v>45</v>
      </c>
      <c r="G3" s="115" t="s">
        <v>2199</v>
      </c>
      <c r="H3" s="114" t="s">
        <v>45</v>
      </c>
    </row>
    <row r="4" spans="1:8" ht="18" customHeight="1">
      <c r="A4" s="248"/>
      <c r="B4" s="366"/>
      <c r="C4" s="784" t="s">
        <v>1618</v>
      </c>
      <c r="D4" s="117" t="s">
        <v>1619</v>
      </c>
      <c r="E4" s="118"/>
      <c r="F4" s="117" t="s">
        <v>46</v>
      </c>
      <c r="G4" s="118" t="s">
        <v>2200</v>
      </c>
      <c r="H4" s="117" t="s">
        <v>46</v>
      </c>
    </row>
    <row r="5" spans="1:8" ht="15" customHeight="1">
      <c r="A5" s="248"/>
      <c r="B5" s="117"/>
      <c r="C5" s="118"/>
      <c r="D5" s="117"/>
      <c r="E5" s="784"/>
      <c r="F5" s="117" t="s">
        <v>50</v>
      </c>
      <c r="G5" s="784"/>
      <c r="H5" s="117" t="s">
        <v>50</v>
      </c>
    </row>
    <row r="6" spans="1:8" ht="21.75" customHeight="1">
      <c r="A6" s="314"/>
      <c r="B6" s="123"/>
      <c r="C6" s="122"/>
      <c r="D6" s="123"/>
      <c r="E6" s="122"/>
      <c r="F6" s="123"/>
      <c r="G6" s="122"/>
      <c r="H6" s="123"/>
    </row>
    <row r="7" spans="1:8" ht="23.25" customHeight="1" thickBot="1">
      <c r="A7" s="367">
        <v>1996</v>
      </c>
      <c r="B7" s="637">
        <v>9402.673347426311</v>
      </c>
      <c r="C7" s="257">
        <v>2347.3352733385641</v>
      </c>
      <c r="D7" s="637">
        <v>26158.281077176533</v>
      </c>
      <c r="E7" s="257">
        <v>37908.289697941407</v>
      </c>
      <c r="F7" s="459">
        <v>4.8323025860493536E-2</v>
      </c>
      <c r="G7" s="257">
        <v>5335.1034823065866</v>
      </c>
      <c r="H7" s="459">
        <v>4.4699999999999997E-2</v>
      </c>
    </row>
    <row r="8" spans="1:8" ht="21" customHeight="1" thickBot="1">
      <c r="A8" s="368">
        <v>1997</v>
      </c>
      <c r="B8" s="638">
        <v>9654.0910198338697</v>
      </c>
      <c r="C8" s="546">
        <v>2440.1947971126083</v>
      </c>
      <c r="D8" s="638">
        <v>26575.34072411813</v>
      </c>
      <c r="E8" s="546">
        <v>38669.626541064608</v>
      </c>
      <c r="F8" s="461">
        <v>2.0083650546876167E-2</v>
      </c>
      <c r="G8" s="546">
        <v>5436.040373717623</v>
      </c>
      <c r="H8" s="461">
        <v>1.8919387739297834E-2</v>
      </c>
    </row>
    <row r="9" spans="1:8" ht="21" customHeight="1" thickBot="1">
      <c r="A9" s="368">
        <v>1998</v>
      </c>
      <c r="B9" s="638">
        <v>9984.746050771746</v>
      </c>
      <c r="C9" s="546">
        <v>2593.5652962861982</v>
      </c>
      <c r="D9" s="638">
        <v>27714.082961928805</v>
      </c>
      <c r="E9" s="546">
        <v>40292.394308986753</v>
      </c>
      <c r="F9" s="461">
        <v>4.1964919578389825E-2</v>
      </c>
      <c r="G9" s="546">
        <v>5649.6111981829717</v>
      </c>
      <c r="H9" s="461">
        <v>3.9287939342380389E-2</v>
      </c>
    </row>
    <row r="10" spans="1:8" ht="21" customHeight="1" thickBot="1">
      <c r="A10" s="368">
        <v>1999</v>
      </c>
      <c r="B10" s="638">
        <v>10656.904469976387</v>
      </c>
      <c r="C10" s="546">
        <v>2694.7311419763864</v>
      </c>
      <c r="D10" s="638">
        <v>28233.923822384764</v>
      </c>
      <c r="E10" s="546">
        <v>41585.559434337541</v>
      </c>
      <c r="F10" s="461">
        <v>3.2094521746064676E-2</v>
      </c>
      <c r="G10" s="546">
        <v>5802.5784442430486</v>
      </c>
      <c r="H10" s="461">
        <v>2.7075712061260811E-2</v>
      </c>
    </row>
    <row r="11" spans="1:8" ht="21" customHeight="1" thickBot="1">
      <c r="A11" s="368">
        <v>2000</v>
      </c>
      <c r="B11" s="638">
        <v>10991.927290144806</v>
      </c>
      <c r="C11" s="546">
        <v>2792.2657321448069</v>
      </c>
      <c r="D11" s="638">
        <v>29581.126090069618</v>
      </c>
      <c r="E11" s="546">
        <v>43365.319112359226</v>
      </c>
      <c r="F11" s="461">
        <v>4.2797540834622561E-2</v>
      </c>
      <c r="G11" s="546">
        <v>6015.4066396560347</v>
      </c>
      <c r="H11" s="461">
        <v>3.6678210808875976E-2</v>
      </c>
    </row>
    <row r="12" spans="1:8" ht="21" customHeight="1" thickBot="1">
      <c r="A12" s="368">
        <v>2001</v>
      </c>
      <c r="B12" s="638">
        <v>12353.64977059135</v>
      </c>
      <c r="C12" s="546">
        <v>2947.8544295913507</v>
      </c>
      <c r="D12" s="638">
        <v>30827.987618126626</v>
      </c>
      <c r="E12" s="546">
        <v>46129.491818309325</v>
      </c>
      <c r="F12" s="461">
        <v>6.3741551141089217E-2</v>
      </c>
      <c r="G12" s="546">
        <v>6353.6278152176264</v>
      </c>
      <c r="H12" s="461">
        <v>5.62258207669451E-2</v>
      </c>
    </row>
    <row r="13" spans="1:8" ht="21" customHeight="1" thickBot="1">
      <c r="A13" s="368">
        <v>2002</v>
      </c>
      <c r="B13" s="638">
        <v>13414.018758376647</v>
      </c>
      <c r="C13" s="546">
        <v>2947.2222346095036</v>
      </c>
      <c r="D13" s="638">
        <v>31620.227216790623</v>
      </c>
      <c r="E13" s="546">
        <v>47981.468209776773</v>
      </c>
      <c r="F13" s="461">
        <v>4.0147339987222162E-2</v>
      </c>
      <c r="G13" s="546">
        <v>6530.0721456682468</v>
      </c>
      <c r="H13" s="461">
        <v>2.7770643100626238E-2</v>
      </c>
    </row>
    <row r="14" spans="1:8" ht="21" customHeight="1" thickBot="1">
      <c r="A14" s="368">
        <v>2003</v>
      </c>
      <c r="B14" s="638">
        <v>14022.881426830974</v>
      </c>
      <c r="C14" s="546">
        <v>3116.2215426090725</v>
      </c>
      <c r="D14" s="638">
        <v>32741.45107856812</v>
      </c>
      <c r="E14" s="546">
        <v>49880.554048008169</v>
      </c>
      <c r="F14" s="461">
        <v>3.9579569135494604E-2</v>
      </c>
      <c r="G14" s="546">
        <v>6736.0176247277932</v>
      </c>
      <c r="H14" s="461">
        <v>3.1538009759380883E-2</v>
      </c>
    </row>
    <row r="15" spans="1:8" ht="21" customHeight="1" thickBot="1">
      <c r="A15" s="368">
        <v>2004</v>
      </c>
      <c r="B15" s="638">
        <v>14090.924532270164</v>
      </c>
      <c r="C15" s="546">
        <v>3302.0295907894733</v>
      </c>
      <c r="D15" s="638">
        <v>34254.310733166574</v>
      </c>
      <c r="E15" s="546">
        <v>51647.264856226211</v>
      </c>
      <c r="F15" s="461">
        <v>3.5418828879038695E-2</v>
      </c>
      <c r="G15" s="546">
        <v>6928.6945052913361</v>
      </c>
      <c r="H15" s="461">
        <v>2.8603975122664424E-2</v>
      </c>
    </row>
    <row r="16" spans="1:8" ht="21" customHeight="1" thickBot="1">
      <c r="A16" s="1007">
        <v>2005</v>
      </c>
      <c r="B16" s="860">
        <v>14383.922085288805</v>
      </c>
      <c r="C16" s="632">
        <v>3525.6319462755928</v>
      </c>
      <c r="D16" s="860">
        <v>34787.763513330836</v>
      </c>
      <c r="E16" s="632">
        <v>52697.317544895232</v>
      </c>
      <c r="F16" s="1023">
        <v>2.0331235189164791E-2</v>
      </c>
      <c r="G16" s="632">
        <v>7025.1334669858888</v>
      </c>
      <c r="H16" s="1023">
        <v>1.391877815090618E-2</v>
      </c>
    </row>
    <row r="17" spans="1:8" ht="26.25" customHeight="1" thickBot="1">
      <c r="A17" s="1024" t="s">
        <v>1620</v>
      </c>
      <c r="B17" s="956" t="s">
        <v>1412</v>
      </c>
      <c r="C17" s="1025" t="s">
        <v>1412</v>
      </c>
      <c r="D17" s="956" t="s">
        <v>1412</v>
      </c>
      <c r="E17" s="1025">
        <v>54984.136756295607</v>
      </c>
      <c r="F17" s="1026">
        <v>4.3395362761152523E-2</v>
      </c>
      <c r="G17" s="1025">
        <v>7275.3349314969337</v>
      </c>
      <c r="H17" s="1026">
        <v>3.5615190186328659E-2</v>
      </c>
    </row>
    <row r="18" spans="1:8" ht="26.25" customHeight="1" thickBot="1">
      <c r="A18" s="1024" t="s">
        <v>1621</v>
      </c>
      <c r="B18" s="956" t="s">
        <v>1412</v>
      </c>
      <c r="C18" s="1025" t="s">
        <v>1412</v>
      </c>
      <c r="D18" s="956" t="s">
        <v>1412</v>
      </c>
      <c r="E18" s="1025">
        <v>57119.451821221242</v>
      </c>
      <c r="F18" s="1026">
        <v>3.8835111195614877E-2</v>
      </c>
      <c r="G18" s="1025" t="s">
        <v>1412</v>
      </c>
      <c r="H18" s="1026" t="s">
        <v>1412</v>
      </c>
    </row>
    <row r="19" spans="1:8" ht="26.25" customHeight="1" thickBot="1">
      <c r="A19" s="1024" t="s">
        <v>1622</v>
      </c>
      <c r="B19" s="956" t="s">
        <v>1412</v>
      </c>
      <c r="C19" s="1025" t="s">
        <v>1412</v>
      </c>
      <c r="D19" s="956" t="s">
        <v>1412</v>
      </c>
      <c r="E19" s="1025">
        <v>59337.69208413094</v>
      </c>
      <c r="F19" s="1026">
        <v>3.8835111195614946E-2</v>
      </c>
      <c r="G19" s="1027" t="s">
        <v>1412</v>
      </c>
      <c r="H19" s="1028" t="s">
        <v>1412</v>
      </c>
    </row>
    <row r="20" spans="1:8" ht="20" customHeight="1">
      <c r="A20" s="958" t="s">
        <v>1684</v>
      </c>
      <c r="B20" s="959"/>
      <c r="C20" s="959"/>
      <c r="D20" s="959"/>
      <c r="E20" s="959"/>
      <c r="F20" s="959"/>
    </row>
    <row r="21" spans="1:8" ht="10.5" customHeight="1">
      <c r="A21" s="960"/>
      <c r="B21" s="961"/>
      <c r="C21" s="961"/>
      <c r="D21" s="961"/>
      <c r="E21" s="961"/>
    </row>
    <row r="22" spans="1:8" ht="12.75" customHeight="1">
      <c r="A22" s="960" t="s">
        <v>2201</v>
      </c>
      <c r="B22" s="961"/>
      <c r="C22" s="961"/>
      <c r="D22" s="961"/>
      <c r="E22" s="961"/>
    </row>
    <row r="23" spans="1:8" ht="12.75" customHeight="1">
      <c r="A23" s="960" t="s">
        <v>2202</v>
      </c>
      <c r="B23" s="961"/>
      <c r="C23" s="961"/>
      <c r="D23" s="961"/>
      <c r="E23" s="961"/>
      <c r="F23" s="961"/>
      <c r="G23" s="961"/>
    </row>
    <row r="24" spans="1:8" ht="12.75" customHeight="1">
      <c r="A24" s="960" t="s">
        <v>1615</v>
      </c>
      <c r="B24" s="961"/>
      <c r="C24" s="961"/>
      <c r="D24" s="961"/>
      <c r="E24" s="961"/>
      <c r="F24" s="961"/>
      <c r="G24" s="961"/>
    </row>
    <row r="25" spans="1:8" ht="12.75" customHeight="1">
      <c r="A25" s="960" t="s">
        <v>1616</v>
      </c>
      <c r="B25" s="961"/>
      <c r="C25" s="961"/>
      <c r="D25" s="961"/>
      <c r="E25" s="961"/>
      <c r="F25" s="961"/>
      <c r="G25" s="961"/>
    </row>
    <row r="26" spans="1:8" ht="12.75" customHeight="1">
      <c r="A26" s="1011" t="s">
        <v>1617</v>
      </c>
      <c r="B26" s="961"/>
      <c r="C26" s="961"/>
      <c r="D26" s="961"/>
      <c r="E26" s="961"/>
      <c r="F26" s="961"/>
      <c r="G26" s="961"/>
    </row>
    <row r="27" spans="1:8" ht="12.75" customHeight="1">
      <c r="A27" s="960"/>
      <c r="B27" s="961"/>
      <c r="C27" s="961"/>
      <c r="D27" s="961"/>
      <c r="E27" s="961"/>
      <c r="F27" s="961"/>
      <c r="G27" s="961"/>
    </row>
    <row r="28" spans="1:8" ht="12.75" customHeight="1">
      <c r="A28" s="960" t="s">
        <v>1685</v>
      </c>
      <c r="B28" s="961"/>
      <c r="C28" s="961"/>
      <c r="D28" s="961"/>
      <c r="E28" s="961"/>
    </row>
    <row r="29" spans="1:8" ht="15.75" customHeight="1">
      <c r="A29" s="718"/>
      <c r="B29" s="963"/>
      <c r="C29" s="963"/>
      <c r="D29" s="963"/>
      <c r="E29" s="963"/>
    </row>
    <row r="30" spans="1:8" ht="12" customHeight="1">
      <c r="A30" s="160"/>
      <c r="B30" s="963"/>
      <c r="C30" s="963"/>
      <c r="D30" s="963"/>
      <c r="E30" s="963"/>
    </row>
    <row r="31" spans="1:8" ht="15.75" customHeight="1">
      <c r="A31" s="41" t="s">
        <v>1955</v>
      </c>
      <c r="B31" s="963"/>
      <c r="C31" s="963"/>
      <c r="D31" s="963"/>
      <c r="E31" s="963"/>
    </row>
    <row r="32" spans="1:8" ht="31" customHeight="1">
      <c r="A32" s="41"/>
      <c r="B32" s="963"/>
      <c r="C32" s="963"/>
      <c r="D32" s="963"/>
      <c r="E32" s="963"/>
    </row>
    <row r="33" spans="1:8" ht="31" customHeight="1">
      <c r="A33" s="41"/>
      <c r="B33" s="963"/>
      <c r="C33" s="963"/>
      <c r="D33" s="963"/>
      <c r="E33" s="963"/>
      <c r="H33" s="160"/>
    </row>
    <row r="34" spans="1:8" ht="31" customHeight="1">
      <c r="A34" s="41"/>
      <c r="B34" s="963"/>
      <c r="C34" s="963"/>
      <c r="D34" s="963"/>
      <c r="E34" s="963"/>
    </row>
    <row r="35" spans="1:8" ht="31" customHeight="1">
      <c r="A35" s="41"/>
      <c r="B35" s="963"/>
      <c r="C35" s="963"/>
      <c r="D35" s="963"/>
      <c r="E35" s="963"/>
    </row>
    <row r="36" spans="1:8" ht="31" customHeight="1">
      <c r="A36" s="41"/>
      <c r="B36" s="963"/>
      <c r="C36" s="963"/>
      <c r="D36" s="963"/>
      <c r="E36" s="963"/>
    </row>
    <row r="37" spans="1:8" ht="31" customHeight="1">
      <c r="A37" s="41"/>
      <c r="B37" s="963"/>
      <c r="C37" s="963"/>
      <c r="D37" s="963"/>
      <c r="E37" s="963"/>
    </row>
    <row r="38" spans="1:8" ht="31" customHeight="1">
      <c r="A38" s="41"/>
      <c r="B38" s="963"/>
      <c r="C38" s="963"/>
      <c r="D38" s="963"/>
      <c r="E38" s="963"/>
    </row>
    <row r="39" spans="1:8">
      <c r="A39" s="41"/>
      <c r="B39" s="963"/>
      <c r="C39" s="963"/>
      <c r="D39" s="963"/>
      <c r="E39" s="963"/>
    </row>
    <row r="40" spans="1:8">
      <c r="A40" s="41"/>
      <c r="B40" s="963"/>
      <c r="C40" s="963"/>
      <c r="D40" s="963"/>
      <c r="E40" s="963"/>
    </row>
  </sheetData>
  <mergeCells count="1">
    <mergeCell ref="A2:G2"/>
  </mergeCells>
  <phoneticPr fontId="0" type="noConversion"/>
  <pageMargins left="0.59" right="0.61" top="0.98" bottom="0.49" header="0.55000000000000004" footer="0.4921259845"/>
  <pageSetup paperSize="9" scale="78" orientation="portrait" horizontalDpi="4294967292" verticalDpi="4294967292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3A49-AAC1-3043-B64A-3A327F5740AC}">
  <sheetPr>
    <pageSetUpPr fitToPage="1"/>
  </sheetPr>
  <dimension ref="A1:AG114"/>
  <sheetViews>
    <sheetView topLeftCell="K1" zoomScale="75" workbookViewId="0">
      <selection activeCell="B2" sqref="B2"/>
    </sheetView>
  </sheetViews>
  <sheetFormatPr baseColWidth="10" defaultColWidth="10.19921875" defaultRowHeight="13"/>
  <cols>
    <col min="1" max="1" width="3.796875" style="1382" customWidth="1"/>
    <col min="2" max="2" width="47.19921875" style="1382" customWidth="1"/>
    <col min="3" max="10" width="10.19921875" style="1382" customWidth="1"/>
    <col min="11" max="11" width="11.59765625" style="1382" customWidth="1"/>
    <col min="12" max="12" width="11" style="1382" customWidth="1"/>
    <col min="13" max="13" width="2.796875" style="1382" customWidth="1"/>
    <col min="14" max="14" width="9.796875" style="1382" customWidth="1"/>
    <col min="15" max="15" width="10.3984375" style="1382" customWidth="1"/>
    <col min="16" max="16" width="3" style="1382" customWidth="1"/>
    <col min="17" max="17" width="11.3984375" style="1382" customWidth="1"/>
    <col min="18" max="16384" width="10.19921875" style="1382"/>
  </cols>
  <sheetData>
    <row r="1" spans="1:33" ht="16">
      <c r="A1" s="1380" t="s">
        <v>1847</v>
      </c>
      <c r="B1" s="1381"/>
      <c r="C1" s="1381"/>
      <c r="D1" s="1381"/>
      <c r="E1" s="1381"/>
      <c r="F1" s="1381"/>
      <c r="G1" s="1381"/>
      <c r="H1" s="1381"/>
      <c r="I1" s="1381"/>
      <c r="J1" s="1381"/>
      <c r="K1" s="1381"/>
      <c r="L1" s="1381"/>
      <c r="M1" s="1381"/>
      <c r="N1" s="1381"/>
      <c r="O1" s="1381"/>
      <c r="P1" s="1381"/>
      <c r="U1" s="1383"/>
      <c r="AA1" s="1383"/>
    </row>
    <row r="2" spans="1:33" ht="14" thickBot="1">
      <c r="A2" s="1384"/>
      <c r="B2" s="1384"/>
      <c r="C2" s="1384"/>
      <c r="D2" s="1384"/>
      <c r="E2" s="1384"/>
      <c r="F2" s="1384"/>
      <c r="G2" s="1384"/>
      <c r="H2" s="1384"/>
      <c r="I2" s="1384"/>
      <c r="J2" s="1384"/>
      <c r="K2" s="1384"/>
      <c r="L2" s="1384"/>
      <c r="M2" s="1384"/>
      <c r="N2" s="1384"/>
      <c r="O2" s="1384"/>
      <c r="P2" s="1384"/>
      <c r="Q2" s="1385"/>
    </row>
    <row r="3" spans="1:33" s="1392" customFormat="1" ht="10.5" customHeight="1">
      <c r="A3" s="1386"/>
      <c r="B3" s="1386"/>
      <c r="C3" s="1387"/>
      <c r="D3" s="1386"/>
      <c r="E3" s="1387"/>
      <c r="F3" s="1386"/>
      <c r="G3" s="1387"/>
      <c r="H3" s="1386"/>
      <c r="I3" s="1387"/>
      <c r="J3" s="1386"/>
      <c r="K3" s="1387"/>
      <c r="L3" s="1386"/>
      <c r="M3" s="1388"/>
      <c r="N3" s="1389"/>
      <c r="O3" s="1390"/>
      <c r="P3" s="1391"/>
      <c r="Q3" s="1387"/>
      <c r="S3" s="1382"/>
      <c r="T3" s="1393"/>
      <c r="U3" s="1393"/>
      <c r="V3" s="1393"/>
      <c r="W3" s="1393"/>
      <c r="X3" s="1394"/>
      <c r="Y3" s="1394"/>
      <c r="Z3" s="1394"/>
      <c r="AA3" s="1394"/>
      <c r="AD3" s="1395"/>
      <c r="AE3" s="1395"/>
      <c r="AF3" s="1395"/>
      <c r="AG3" s="1395"/>
    </row>
    <row r="4" spans="1:33" ht="13.5" customHeight="1">
      <c r="A4" s="1396" t="s">
        <v>1157</v>
      </c>
      <c r="B4" s="1397"/>
      <c r="C4" s="1398">
        <v>1996</v>
      </c>
      <c r="D4" s="1399">
        <v>1997</v>
      </c>
      <c r="E4" s="1398">
        <v>1998</v>
      </c>
      <c r="F4" s="1399">
        <v>1999</v>
      </c>
      <c r="G4" s="1398">
        <v>2000</v>
      </c>
      <c r="H4" s="1399">
        <v>2001</v>
      </c>
      <c r="I4" s="1398">
        <v>2002</v>
      </c>
      <c r="J4" s="1399">
        <v>2003</v>
      </c>
      <c r="K4" s="1398">
        <v>2004</v>
      </c>
      <c r="L4" s="1399">
        <v>2005</v>
      </c>
      <c r="M4" s="1400"/>
      <c r="N4" s="1389" t="s">
        <v>45</v>
      </c>
      <c r="O4" s="1390" t="s">
        <v>1158</v>
      </c>
      <c r="P4" s="1391"/>
      <c r="Q4" s="1401" t="s">
        <v>1159</v>
      </c>
      <c r="T4" s="1393"/>
      <c r="U4" s="1393"/>
      <c r="V4" s="1393"/>
      <c r="W4" s="1393"/>
      <c r="X4" s="1402"/>
      <c r="Y4" s="1402"/>
      <c r="Z4" s="1402"/>
      <c r="AA4" s="1402"/>
      <c r="AD4" s="1395"/>
      <c r="AE4" s="1395"/>
      <c r="AF4" s="1395"/>
      <c r="AG4" s="1395"/>
    </row>
    <row r="5" spans="1:33" ht="15" customHeight="1">
      <c r="A5" s="1396" t="s">
        <v>1160</v>
      </c>
      <c r="B5" s="1403"/>
      <c r="C5" s="1404"/>
      <c r="D5" s="1405"/>
      <c r="E5" s="1404"/>
      <c r="F5" s="1405"/>
      <c r="G5" s="1404"/>
      <c r="H5" s="1405"/>
      <c r="I5" s="1404"/>
      <c r="J5" s="1405"/>
      <c r="K5" s="1404"/>
      <c r="L5" s="1405"/>
      <c r="M5" s="1406"/>
      <c r="N5" s="1389" t="s">
        <v>628</v>
      </c>
      <c r="O5" s="1390" t="s">
        <v>1161</v>
      </c>
      <c r="P5" s="1391"/>
      <c r="Q5" s="1401" t="s">
        <v>1855</v>
      </c>
      <c r="T5" s="1393"/>
      <c r="U5" s="1393"/>
      <c r="V5" s="1393"/>
      <c r="W5" s="1393"/>
      <c r="X5" s="1402"/>
      <c r="Y5" s="1402"/>
      <c r="Z5" s="1402"/>
      <c r="AA5" s="1402"/>
      <c r="AD5" s="1395"/>
      <c r="AE5" s="1395"/>
      <c r="AF5" s="1395"/>
      <c r="AG5" s="1395"/>
    </row>
    <row r="6" spans="1:33" ht="14.25" customHeight="1">
      <c r="A6" s="1407"/>
      <c r="B6" s="1407"/>
      <c r="C6" s="1408"/>
      <c r="D6" s="1409"/>
      <c r="E6" s="1408"/>
      <c r="F6" s="1409"/>
      <c r="G6" s="1408"/>
      <c r="H6" s="1409"/>
      <c r="I6" s="1408"/>
      <c r="J6" s="1409"/>
      <c r="K6" s="1408"/>
      <c r="L6" s="1409"/>
      <c r="M6" s="1410"/>
      <c r="N6" s="1411"/>
      <c r="O6" s="1412" t="s">
        <v>2400</v>
      </c>
      <c r="P6" s="1413"/>
      <c r="Q6" s="1408"/>
      <c r="T6" s="1393"/>
      <c r="U6" s="1393"/>
      <c r="V6" s="1393"/>
      <c r="W6" s="1393"/>
      <c r="X6" s="1414"/>
      <c r="Y6" s="1414"/>
      <c r="Z6" s="1414"/>
      <c r="AA6" s="1414"/>
      <c r="AD6" s="1414"/>
      <c r="AE6" s="1414"/>
      <c r="AF6" s="1414"/>
      <c r="AG6" s="1414"/>
    </row>
    <row r="7" spans="1:33">
      <c r="A7" s="1415"/>
      <c r="B7" s="1416"/>
      <c r="C7" s="1417"/>
      <c r="D7" s="1416"/>
      <c r="E7" s="1417"/>
      <c r="F7" s="1416"/>
      <c r="G7" s="1417"/>
      <c r="H7" s="1416"/>
      <c r="I7" s="1417"/>
      <c r="J7" s="1416"/>
      <c r="K7" s="1417"/>
      <c r="L7" s="1416"/>
      <c r="M7" s="1418"/>
      <c r="N7" s="1417"/>
      <c r="O7" s="1419" t="s">
        <v>629</v>
      </c>
      <c r="P7" s="1420"/>
      <c r="Q7" s="1417"/>
      <c r="T7" s="1393"/>
      <c r="U7" s="1393"/>
      <c r="V7" s="1393"/>
      <c r="W7" s="1393"/>
      <c r="X7" s="1402"/>
      <c r="Y7" s="1402"/>
      <c r="Z7" s="1402"/>
      <c r="AA7" s="1402"/>
      <c r="AD7" s="1395"/>
      <c r="AE7" s="1395"/>
      <c r="AF7" s="1395"/>
      <c r="AG7" s="1395"/>
    </row>
    <row r="8" spans="1:33" ht="18" customHeight="1" thickBot="1">
      <c r="A8" s="1421" t="s">
        <v>1168</v>
      </c>
      <c r="B8" s="1422"/>
      <c r="C8" s="1423">
        <v>6108.1158740877472</v>
      </c>
      <c r="D8" s="1424">
        <v>6057.9558227212619</v>
      </c>
      <c r="E8" s="1423">
        <v>6131.7435544855471</v>
      </c>
      <c r="F8" s="1424">
        <v>6416.6639279999999</v>
      </c>
      <c r="G8" s="1423">
        <v>6599.5077579999997</v>
      </c>
      <c r="H8" s="1424">
        <v>7802.4641389999997</v>
      </c>
      <c r="I8" s="1423">
        <v>8596.9416789999996</v>
      </c>
      <c r="J8" s="1424">
        <v>8949.1301402555946</v>
      </c>
      <c r="K8" s="1423">
        <v>8811.0582559999984</v>
      </c>
      <c r="L8" s="1424">
        <v>8885.1920379999992</v>
      </c>
      <c r="M8" s="1425"/>
      <c r="N8" s="1426">
        <v>8.4137205595613551E-3</v>
      </c>
      <c r="O8" s="1427">
        <v>4.251999821887531E-2</v>
      </c>
      <c r="P8" s="1428"/>
      <c r="Q8" s="1429">
        <v>9479.0195712473378</v>
      </c>
      <c r="T8" s="1393"/>
      <c r="U8" s="1393"/>
      <c r="V8" s="1393"/>
      <c r="W8" s="1393"/>
      <c r="AD8" s="1395"/>
      <c r="AE8" s="1395"/>
      <c r="AF8" s="1395"/>
      <c r="AG8" s="1395"/>
    </row>
    <row r="9" spans="1:33" ht="14" thickBot="1">
      <c r="A9" s="1430"/>
      <c r="B9" s="1431" t="s">
        <v>1848</v>
      </c>
      <c r="C9" s="1432">
        <v>129.23078991</v>
      </c>
      <c r="D9" s="1433">
        <v>117.49672023999999</v>
      </c>
      <c r="E9" s="1432">
        <v>116.89201141000001</v>
      </c>
      <c r="F9" s="1433">
        <v>126.03114400000001</v>
      </c>
      <c r="G9" s="1432">
        <v>145.00575000000003</v>
      </c>
      <c r="H9" s="1433">
        <v>164.3904</v>
      </c>
      <c r="I9" s="1432">
        <v>177.72408200000001</v>
      </c>
      <c r="J9" s="1433">
        <v>155.57770199999999</v>
      </c>
      <c r="K9" s="1432">
        <v>137.73953900000001</v>
      </c>
      <c r="L9" s="1433">
        <v>126.93680499999999</v>
      </c>
      <c r="M9" s="1434"/>
      <c r="N9" s="1435">
        <v>-7.8428707388079832E-2</v>
      </c>
      <c r="O9" s="1436">
        <v>-1.988077901443952E-3</v>
      </c>
      <c r="P9" s="1437"/>
      <c r="Q9" s="1438" t="s">
        <v>1412</v>
      </c>
      <c r="T9" s="1393"/>
      <c r="U9" s="1393"/>
      <c r="V9" s="1393"/>
      <c r="W9" s="1393"/>
      <c r="X9" s="1402"/>
      <c r="Y9" s="1402"/>
      <c r="Z9" s="1402"/>
      <c r="AA9" s="1402"/>
      <c r="AD9" s="1395"/>
      <c r="AE9" s="1395"/>
      <c r="AF9" s="1395"/>
      <c r="AG9" s="1395"/>
    </row>
    <row r="10" spans="1:33" ht="14" thickBot="1">
      <c r="A10" s="1431"/>
      <c r="B10" s="1431" t="s">
        <v>1849</v>
      </c>
      <c r="C10" s="1432">
        <v>4895.0076659724309</v>
      </c>
      <c r="D10" s="1433">
        <v>4830.7426606407189</v>
      </c>
      <c r="E10" s="1432">
        <v>4825.5195288525429</v>
      </c>
      <c r="F10" s="1433">
        <v>5091.7478220000003</v>
      </c>
      <c r="G10" s="1432">
        <v>5233.1441749999994</v>
      </c>
      <c r="H10" s="1433">
        <v>6202.5944609999997</v>
      </c>
      <c r="I10" s="1432">
        <v>6968.3599750000003</v>
      </c>
      <c r="J10" s="1433">
        <v>7403.9584928390786</v>
      </c>
      <c r="K10" s="1432">
        <v>7269.9361889999982</v>
      </c>
      <c r="L10" s="1433">
        <v>7553.4496549999994</v>
      </c>
      <c r="M10" s="1434"/>
      <c r="N10" s="1435">
        <v>3.8998068020043908E-2</v>
      </c>
      <c r="O10" s="1436">
        <v>4.9379172457012066E-2</v>
      </c>
      <c r="P10" s="1437"/>
      <c r="Q10" s="1438" t="s">
        <v>1412</v>
      </c>
      <c r="T10" s="1393"/>
      <c r="U10" s="1393"/>
      <c r="V10" s="1393"/>
      <c r="W10" s="1393"/>
      <c r="X10" s="1402"/>
      <c r="Y10" s="1402"/>
      <c r="Z10" s="1402"/>
      <c r="AA10" s="1402"/>
      <c r="AD10" s="1395"/>
      <c r="AE10" s="1395"/>
      <c r="AF10" s="1395"/>
      <c r="AG10" s="1395"/>
    </row>
    <row r="11" spans="1:33" ht="14" thickBot="1">
      <c r="A11" s="1431"/>
      <c r="B11" s="1431" t="s">
        <v>1850</v>
      </c>
      <c r="C11" s="1432">
        <v>1083.8774182053171</v>
      </c>
      <c r="D11" s="1433">
        <v>1109.716441840543</v>
      </c>
      <c r="E11" s="1432">
        <v>1189.3320142230043</v>
      </c>
      <c r="F11" s="1433">
        <v>1198.8849619999999</v>
      </c>
      <c r="G11" s="1432">
        <v>1221.3578329999998</v>
      </c>
      <c r="H11" s="1433">
        <v>1435.4792780000002</v>
      </c>
      <c r="I11" s="1432">
        <v>1450.8576219999998</v>
      </c>
      <c r="J11" s="1433">
        <v>1389.5939454165157</v>
      </c>
      <c r="K11" s="1432">
        <v>1403.3825280000001</v>
      </c>
      <c r="L11" s="1433">
        <v>1204.805578</v>
      </c>
      <c r="M11" s="1434"/>
      <c r="N11" s="1435">
        <v>-0.14149880452266828</v>
      </c>
      <c r="O11" s="1436">
        <v>1.1821932486555831E-2</v>
      </c>
      <c r="P11" s="1437"/>
      <c r="Q11" s="1438" t="s">
        <v>1412</v>
      </c>
      <c r="T11" s="1393"/>
      <c r="U11" s="1393"/>
      <c r="V11" s="1393"/>
      <c r="W11" s="1393"/>
      <c r="X11" s="1402"/>
      <c r="Y11" s="1402"/>
      <c r="Z11" s="1402"/>
      <c r="AA11" s="1402"/>
      <c r="AD11" s="1395"/>
      <c r="AE11" s="1395"/>
      <c r="AF11" s="1395"/>
      <c r="AG11" s="1395"/>
    </row>
    <row r="12" spans="1:33" s="1448" customFormat="1" ht="14" thickBot="1">
      <c r="A12" s="1431"/>
      <c r="B12" s="1439"/>
      <c r="C12" s="1440"/>
      <c r="D12" s="1441"/>
      <c r="E12" s="1440"/>
      <c r="F12" s="1441"/>
      <c r="G12" s="1440"/>
      <c r="H12" s="1441"/>
      <c r="I12" s="1440"/>
      <c r="J12" s="1441"/>
      <c r="K12" s="1440"/>
      <c r="L12" s="1441"/>
      <c r="M12" s="1442"/>
      <c r="N12" s="1443"/>
      <c r="O12" s="1444"/>
      <c r="P12" s="1445"/>
      <c r="Q12" s="1446"/>
      <c r="R12" s="1447"/>
    </row>
    <row r="13" spans="1:33" s="1448" customFormat="1" ht="15.75" customHeight="1" thickBot="1">
      <c r="A13" s="1430" t="s">
        <v>1169</v>
      </c>
      <c r="B13" s="1431"/>
      <c r="C13" s="1449">
        <v>2881.6</v>
      </c>
      <c r="D13" s="1450">
        <v>3011.4</v>
      </c>
      <c r="E13" s="1449">
        <v>3176.3677925723964</v>
      </c>
      <c r="F13" s="1450">
        <v>3314.4716839527723</v>
      </c>
      <c r="G13" s="1449">
        <v>3458.985264289614</v>
      </c>
      <c r="H13" s="1450">
        <v>3661.4400591827007</v>
      </c>
      <c r="I13" s="1449">
        <v>3701.6993999861515</v>
      </c>
      <c r="J13" s="1450">
        <v>3921.4728291844517</v>
      </c>
      <c r="K13" s="1449">
        <v>4031.6958660596374</v>
      </c>
      <c r="L13" s="1450">
        <v>4241.9367205643975</v>
      </c>
      <c r="M13" s="1451"/>
      <c r="N13" s="1452">
        <v>5.2147002524334241E-2</v>
      </c>
      <c r="O13" s="1453">
        <v>4.39001099973646E-2</v>
      </c>
      <c r="P13" s="1454"/>
      <c r="Q13" s="1455">
        <v>4463.1410054397356</v>
      </c>
    </row>
    <row r="14" spans="1:33" ht="14" thickBot="1">
      <c r="A14" s="1431"/>
      <c r="B14" s="1431" t="s">
        <v>1851</v>
      </c>
      <c r="C14" s="1432">
        <v>1132.4000000000001</v>
      </c>
      <c r="D14" s="1433">
        <v>1151.5</v>
      </c>
      <c r="E14" s="1432">
        <v>1283.9227999999998</v>
      </c>
      <c r="F14" s="1433">
        <v>1378.5406000000003</v>
      </c>
      <c r="G14" s="1432">
        <v>1422.4462000000001</v>
      </c>
      <c r="H14" s="1433">
        <v>1475.3187999999998</v>
      </c>
      <c r="I14" s="1432">
        <v>1413.5950692328543</v>
      </c>
      <c r="J14" s="1433">
        <v>1512.470256033693</v>
      </c>
      <c r="K14" s="1432">
        <v>1537.8133155193091</v>
      </c>
      <c r="L14" s="1433">
        <v>1654.441825486788</v>
      </c>
      <c r="M14" s="1434"/>
      <c r="N14" s="1435">
        <v>7.5840486481998148E-2</v>
      </c>
      <c r="O14" s="1436">
        <v>4.3024780578144073E-2</v>
      </c>
      <c r="P14" s="1437"/>
      <c r="Q14" s="1438" t="s">
        <v>1412</v>
      </c>
    </row>
    <row r="15" spans="1:33" ht="15" customHeight="1" thickBot="1">
      <c r="A15" s="1431"/>
      <c r="B15" s="1431" t="s">
        <v>1856</v>
      </c>
      <c r="C15" s="1432">
        <v>1712.7</v>
      </c>
      <c r="D15" s="1433">
        <v>1822.7</v>
      </c>
      <c r="E15" s="1432">
        <v>1857.0449925723965</v>
      </c>
      <c r="F15" s="1433">
        <v>1894.8310839527724</v>
      </c>
      <c r="G15" s="1432">
        <v>1993.5390642896139</v>
      </c>
      <c r="H15" s="1433">
        <v>2140.9212591827013</v>
      </c>
      <c r="I15" s="1432">
        <v>2241.2043307532972</v>
      </c>
      <c r="J15" s="1433">
        <v>2360.6025731507589</v>
      </c>
      <c r="K15" s="1432">
        <v>2445.7325505403282</v>
      </c>
      <c r="L15" s="1433">
        <v>2538.4798950776089</v>
      </c>
      <c r="M15" s="1434"/>
      <c r="N15" s="1435">
        <v>3.7922112340856851E-2</v>
      </c>
      <c r="O15" s="1436">
        <v>4.4691467965865428E-2</v>
      </c>
      <c r="P15" s="1437"/>
      <c r="Q15" s="1438" t="s">
        <v>1412</v>
      </c>
    </row>
    <row r="16" spans="1:33" ht="14" thickBot="1">
      <c r="A16" s="1431"/>
      <c r="B16" s="1431" t="s">
        <v>1852</v>
      </c>
      <c r="C16" s="1432">
        <v>36.5</v>
      </c>
      <c r="D16" s="1433">
        <v>37.200000000000003</v>
      </c>
      <c r="E16" s="1432">
        <v>35.4</v>
      </c>
      <c r="F16" s="1433">
        <v>41.1</v>
      </c>
      <c r="G16" s="1432">
        <v>43</v>
      </c>
      <c r="H16" s="1433">
        <v>45.2</v>
      </c>
      <c r="I16" s="1432">
        <v>46.9</v>
      </c>
      <c r="J16" s="1433">
        <v>48.4</v>
      </c>
      <c r="K16" s="1432">
        <v>48.15</v>
      </c>
      <c r="L16" s="1433">
        <v>49.015000000000001</v>
      </c>
      <c r="M16" s="1434"/>
      <c r="N16" s="1435">
        <v>1.7964693665628362E-2</v>
      </c>
      <c r="O16" s="1436">
        <v>3.3299544771943079E-2</v>
      </c>
      <c r="P16" s="1437"/>
      <c r="Q16" s="1438" t="s">
        <v>1412</v>
      </c>
    </row>
    <row r="17" spans="1:22" ht="14" thickBot="1">
      <c r="A17" s="1431"/>
      <c r="B17" s="1431"/>
      <c r="C17" s="1440"/>
      <c r="D17" s="1441"/>
      <c r="E17" s="1440"/>
      <c r="F17" s="1441"/>
      <c r="G17" s="1440"/>
      <c r="H17" s="1441"/>
      <c r="I17" s="1440"/>
      <c r="J17" s="1441"/>
      <c r="K17" s="1440"/>
      <c r="L17" s="1441"/>
      <c r="M17" s="1442"/>
      <c r="N17" s="1443"/>
      <c r="O17" s="1444"/>
      <c r="P17" s="1445"/>
      <c r="Q17" s="1446"/>
    </row>
    <row r="18" spans="1:22" ht="16" thickBot="1">
      <c r="A18" s="1430" t="s">
        <v>1857</v>
      </c>
      <c r="B18" s="1431"/>
      <c r="C18" s="1449">
        <v>623.1</v>
      </c>
      <c r="D18" s="1450">
        <v>-213.6</v>
      </c>
      <c r="E18" s="1449">
        <v>-306.39999999999998</v>
      </c>
      <c r="F18" s="1450">
        <v>-200.29999999999927</v>
      </c>
      <c r="G18" s="1449">
        <v>98.828987000000325</v>
      </c>
      <c r="H18" s="1450">
        <v>454.38000000000136</v>
      </c>
      <c r="I18" s="1449">
        <v>-588.16000000000054</v>
      </c>
      <c r="J18" s="1450">
        <v>-1266.4017009999975</v>
      </c>
      <c r="K18" s="1449">
        <v>-1468.84478399</v>
      </c>
      <c r="L18" s="1450">
        <v>-918.22178139000243</v>
      </c>
      <c r="M18" s="1451"/>
      <c r="N18" s="1452">
        <v>0.37486806543593665</v>
      </c>
      <c r="O18" s="1453" t="s">
        <v>1412</v>
      </c>
      <c r="P18" s="1454"/>
      <c r="Q18" s="1455">
        <v>-1469.758113155498</v>
      </c>
    </row>
    <row r="19" spans="1:22" ht="14" thickBot="1">
      <c r="A19" s="1431"/>
      <c r="B19" s="1456"/>
      <c r="C19" s="1440"/>
      <c r="D19" s="1441"/>
      <c r="E19" s="1457"/>
      <c r="F19" s="1458"/>
      <c r="G19" s="1457"/>
      <c r="H19" s="1458"/>
      <c r="I19" s="1457"/>
      <c r="J19" s="1458"/>
      <c r="K19" s="1457"/>
      <c r="L19" s="1458"/>
      <c r="M19" s="1459"/>
      <c r="N19" s="1460"/>
      <c r="O19" s="1461"/>
      <c r="P19" s="1462"/>
      <c r="Q19" s="1446"/>
    </row>
    <row r="20" spans="1:22" s="1448" customFormat="1" ht="14" thickBot="1">
      <c r="A20" s="1430" t="s">
        <v>1162</v>
      </c>
      <c r="B20" s="1431"/>
      <c r="C20" s="1449">
        <v>2760.27</v>
      </c>
      <c r="D20" s="1450">
        <v>3024.94</v>
      </c>
      <c r="E20" s="1449">
        <v>3270.2</v>
      </c>
      <c r="F20" s="1450">
        <v>3620.5</v>
      </c>
      <c r="G20" s="1449">
        <v>3725.7</v>
      </c>
      <c r="H20" s="1450">
        <v>3837.6</v>
      </c>
      <c r="I20" s="1455">
        <v>4062.6</v>
      </c>
      <c r="J20" s="1450">
        <v>4268.5</v>
      </c>
      <c r="K20" s="1455">
        <v>4550.2</v>
      </c>
      <c r="L20" s="1450">
        <v>4782.4252710000001</v>
      </c>
      <c r="M20" s="1451"/>
      <c r="N20" s="1452">
        <v>5.1036277746033143E-2</v>
      </c>
      <c r="O20" s="1453">
        <v>6.2972055447427566E-2</v>
      </c>
      <c r="P20" s="1454"/>
      <c r="Q20" s="1455">
        <v>5001.7695860950125</v>
      </c>
    </row>
    <row r="21" spans="1:22" s="1448" customFormat="1" ht="15.75" customHeight="1" thickBot="1">
      <c r="A21" s="1431" t="s">
        <v>1858</v>
      </c>
      <c r="B21" s="1431"/>
      <c r="C21" s="1463">
        <v>1815.57</v>
      </c>
      <c r="D21" s="1464">
        <v>2087.14</v>
      </c>
      <c r="E21" s="1463">
        <v>2263.1999999999998</v>
      </c>
      <c r="F21" s="1464">
        <v>2476.6</v>
      </c>
      <c r="G21" s="1463">
        <v>2532.8000000000002</v>
      </c>
      <c r="H21" s="1464">
        <v>2671.6</v>
      </c>
      <c r="I21" s="1463">
        <v>2848.4</v>
      </c>
      <c r="J21" s="1464">
        <v>2961.1</v>
      </c>
      <c r="K21" s="1463">
        <v>3025.3</v>
      </c>
      <c r="L21" s="1464">
        <v>3119.6250399999999</v>
      </c>
      <c r="M21" s="1465"/>
      <c r="N21" s="1466">
        <v>3.1178739298581837E-2</v>
      </c>
      <c r="O21" s="1467">
        <v>6.1991508958558095E-2</v>
      </c>
      <c r="P21" s="1468"/>
      <c r="Q21" s="1463">
        <v>3230.0145429999998</v>
      </c>
    </row>
    <row r="22" spans="1:22" s="1448" customFormat="1" ht="15.75" customHeight="1" thickBot="1">
      <c r="A22" s="1431" t="s">
        <v>1859</v>
      </c>
      <c r="B22" s="1431"/>
      <c r="C22" s="1463">
        <v>293</v>
      </c>
      <c r="D22" s="1464">
        <v>237.5</v>
      </c>
      <c r="E22" s="1463">
        <v>264.39999999999998</v>
      </c>
      <c r="F22" s="1464">
        <v>277.10000000000002</v>
      </c>
      <c r="G22" s="1463">
        <v>317</v>
      </c>
      <c r="H22" s="1464">
        <v>315</v>
      </c>
      <c r="I22" s="1463">
        <v>343.8</v>
      </c>
      <c r="J22" s="1464">
        <v>375.1</v>
      </c>
      <c r="K22" s="1463">
        <v>421.4</v>
      </c>
      <c r="L22" s="1464">
        <v>447.8</v>
      </c>
      <c r="M22" s="1465"/>
      <c r="N22" s="1466">
        <v>6.264831514000968E-2</v>
      </c>
      <c r="O22" s="1467">
        <v>4.8258750772663728E-2</v>
      </c>
      <c r="P22" s="1468"/>
      <c r="Q22" s="1469">
        <v>469.41026859599884</v>
      </c>
    </row>
    <row r="23" spans="1:22" ht="15.75" customHeight="1" thickBot="1">
      <c r="A23" s="1431" t="s">
        <v>620</v>
      </c>
      <c r="B23" s="1431"/>
      <c r="C23" s="1463">
        <v>203.5</v>
      </c>
      <c r="D23" s="1464">
        <v>228.6</v>
      </c>
      <c r="E23" s="1463">
        <v>266.2</v>
      </c>
      <c r="F23" s="1464">
        <v>375.1</v>
      </c>
      <c r="G23" s="1463">
        <v>378.5</v>
      </c>
      <c r="H23" s="1464">
        <v>314.89999999999998</v>
      </c>
      <c r="I23" s="1463">
        <v>319.7</v>
      </c>
      <c r="J23" s="1464">
        <v>367.7</v>
      </c>
      <c r="K23" s="1463">
        <v>381.7</v>
      </c>
      <c r="L23" s="1464">
        <v>412.4</v>
      </c>
      <c r="M23" s="1465"/>
      <c r="N23" s="1466">
        <v>8.0429656798532756E-2</v>
      </c>
      <c r="O23" s="1467">
        <v>8.1642653196329462E-2</v>
      </c>
      <c r="P23" s="1468"/>
      <c r="Q23" s="1469">
        <v>446.06943017816627</v>
      </c>
    </row>
    <row r="24" spans="1:22" ht="17.25" customHeight="1" thickBot="1">
      <c r="A24" s="1431" t="s">
        <v>621</v>
      </c>
      <c r="B24" s="1431"/>
      <c r="C24" s="1463">
        <v>448.2</v>
      </c>
      <c r="D24" s="1464">
        <v>471.7</v>
      </c>
      <c r="E24" s="1463">
        <v>476.4</v>
      </c>
      <c r="F24" s="1464">
        <v>491.7</v>
      </c>
      <c r="G24" s="1463">
        <v>497.4</v>
      </c>
      <c r="H24" s="1464">
        <v>536.1</v>
      </c>
      <c r="I24" s="1463">
        <v>550.70000000000005</v>
      </c>
      <c r="J24" s="1464">
        <v>564.6</v>
      </c>
      <c r="K24" s="1463">
        <v>721.8</v>
      </c>
      <c r="L24" s="1464">
        <v>802.60023099999989</v>
      </c>
      <c r="M24" s="1465"/>
      <c r="N24" s="1466">
        <v>0.11194268633970617</v>
      </c>
      <c r="O24" s="1467">
        <v>6.6876523638637719E-2</v>
      </c>
      <c r="P24" s="1468"/>
      <c r="Q24" s="1469">
        <v>856.27534432084747</v>
      </c>
    </row>
    <row r="25" spans="1:22" s="1448" customFormat="1" ht="14" thickBot="1">
      <c r="A25" s="1470"/>
      <c r="B25" s="1470"/>
      <c r="C25" s="1471"/>
      <c r="D25" s="1472"/>
      <c r="E25" s="1471"/>
      <c r="F25" s="1472"/>
      <c r="G25" s="1471"/>
      <c r="H25" s="1472"/>
      <c r="I25" s="1471"/>
      <c r="J25" s="1472"/>
      <c r="K25" s="1471"/>
      <c r="L25" s="1472"/>
      <c r="M25" s="1473"/>
      <c r="N25" s="1474"/>
      <c r="O25" s="1475"/>
      <c r="P25" s="1476"/>
      <c r="Q25" s="1477"/>
    </row>
    <row r="26" spans="1:22" ht="13.5" customHeight="1" thickBot="1">
      <c r="A26" s="1430" t="s">
        <v>919</v>
      </c>
      <c r="B26" s="1431"/>
      <c r="C26" s="1449">
        <v>25156.514125912257</v>
      </c>
      <c r="D26" s="1450">
        <v>26402.30417727874</v>
      </c>
      <c r="E26" s="1449">
        <v>27625.288652942058</v>
      </c>
      <c r="F26" s="1450">
        <v>28025.464388047221</v>
      </c>
      <c r="G26" s="1449">
        <v>29038.570984696478</v>
      </c>
      <c r="H26" s="1450">
        <v>29910.140160769479</v>
      </c>
      <c r="I26" s="1449">
        <v>31730.681165100021</v>
      </c>
      <c r="J26" s="1450">
        <v>33523.07665374413</v>
      </c>
      <c r="K26" s="1449">
        <v>35241.758689353803</v>
      </c>
      <c r="L26" s="1450">
        <v>35205.894287131232</v>
      </c>
      <c r="M26" s="1451"/>
      <c r="N26" s="1452">
        <v>-1.017667776988862E-3</v>
      </c>
      <c r="O26" s="1453">
        <v>3.8050123145256132E-2</v>
      </c>
      <c r="P26" s="1454"/>
      <c r="Q26" s="1455">
        <v>36994.023929947783</v>
      </c>
    </row>
    <row r="27" spans="1:22" ht="16.5" customHeight="1" thickBot="1">
      <c r="A27" s="1431" t="s">
        <v>1853</v>
      </c>
      <c r="B27" s="1431"/>
      <c r="C27" s="1463">
        <v>14197.53</v>
      </c>
      <c r="D27" s="1464">
        <v>14850.16</v>
      </c>
      <c r="E27" s="1463">
        <v>15432.1</v>
      </c>
      <c r="F27" s="1464">
        <v>15337.8</v>
      </c>
      <c r="G27" s="1463">
        <v>15974.171012999999</v>
      </c>
      <c r="H27" s="1464">
        <v>16460.62</v>
      </c>
      <c r="I27" s="1463">
        <v>17838.560000000001</v>
      </c>
      <c r="J27" s="1464">
        <v>19087.413701000001</v>
      </c>
      <c r="K27" s="1463">
        <v>20335.09678399</v>
      </c>
      <c r="L27" s="1464">
        <v>20746.024557220004</v>
      </c>
      <c r="M27" s="1465"/>
      <c r="N27" s="1466">
        <v>2.0207810053480157E-2</v>
      </c>
      <c r="O27" s="1467">
        <v>4.3043581012273346E-2</v>
      </c>
      <c r="P27" s="1468"/>
      <c r="Q27" s="1463">
        <v>21587.969001450001</v>
      </c>
    </row>
    <row r="28" spans="1:22" ht="15" customHeight="1" thickBot="1">
      <c r="A28" s="1431"/>
      <c r="B28" s="1456" t="s">
        <v>622</v>
      </c>
      <c r="C28" s="1457">
        <v>9219.6299999999992</v>
      </c>
      <c r="D28" s="1458">
        <v>9837.66</v>
      </c>
      <c r="E28" s="1457">
        <v>10341</v>
      </c>
      <c r="F28" s="1458">
        <v>10472.9</v>
      </c>
      <c r="G28" s="1457">
        <v>10813.888999999999</v>
      </c>
      <c r="H28" s="1458">
        <v>11283.12</v>
      </c>
      <c r="I28" s="1457">
        <v>12447.76</v>
      </c>
      <c r="J28" s="1458">
        <v>13798.607467</v>
      </c>
      <c r="K28" s="1457">
        <v>14954.286842000001</v>
      </c>
      <c r="L28" s="1458">
        <v>15323.051681830002</v>
      </c>
      <c r="M28" s="1459"/>
      <c r="N28" s="1460">
        <v>2.4659473482500305E-2</v>
      </c>
      <c r="O28" s="1461">
        <v>5.8070586575466709E-2</v>
      </c>
      <c r="P28" s="1462"/>
      <c r="Q28" s="1457">
        <v>16004.843842140001</v>
      </c>
    </row>
    <row r="29" spans="1:22" ht="15" customHeight="1" thickBot="1">
      <c r="A29" s="1431"/>
      <c r="B29" s="1456" t="s">
        <v>623</v>
      </c>
      <c r="C29" s="1457">
        <v>4337.5</v>
      </c>
      <c r="D29" s="1458">
        <v>4410.6000000000004</v>
      </c>
      <c r="E29" s="1457">
        <v>4453.3</v>
      </c>
      <c r="F29" s="1458">
        <v>3766.7</v>
      </c>
      <c r="G29" s="1457">
        <v>2917.3519609999998</v>
      </c>
      <c r="H29" s="1458">
        <v>1987</v>
      </c>
      <c r="I29" s="1457">
        <v>1958.4</v>
      </c>
      <c r="J29" s="1458">
        <v>1882.6076640000001</v>
      </c>
      <c r="K29" s="1457">
        <v>1358.7895999899999</v>
      </c>
      <c r="L29" s="1458">
        <v>1397.6693543900001</v>
      </c>
      <c r="M29" s="1459"/>
      <c r="N29" s="1460">
        <v>2.8613520739551035E-2</v>
      </c>
      <c r="O29" s="1461">
        <v>-0.11823742556291561</v>
      </c>
      <c r="P29" s="1462"/>
      <c r="Q29" s="1457">
        <v>1384.0624223099999</v>
      </c>
    </row>
    <row r="30" spans="1:22" ht="15" customHeight="1" thickBot="1">
      <c r="A30" s="1431"/>
      <c r="B30" s="1456" t="s">
        <v>624</v>
      </c>
      <c r="C30" s="1457">
        <v>640.4</v>
      </c>
      <c r="D30" s="1458">
        <v>601.9</v>
      </c>
      <c r="E30" s="1457">
        <v>637.79999999999995</v>
      </c>
      <c r="F30" s="1458">
        <v>1098.2</v>
      </c>
      <c r="G30" s="1457">
        <v>2242.9300519999997</v>
      </c>
      <c r="H30" s="1458">
        <v>3190.5</v>
      </c>
      <c r="I30" s="1457">
        <v>3432.4</v>
      </c>
      <c r="J30" s="1458">
        <v>3406.1985699999996</v>
      </c>
      <c r="K30" s="1457">
        <v>4022.0203419999989</v>
      </c>
      <c r="L30" s="1458">
        <v>4025.3035210000007</v>
      </c>
      <c r="M30" s="1459"/>
      <c r="N30" s="1460">
        <v>8.1630094351270444E-4</v>
      </c>
      <c r="O30" s="1461">
        <v>0.22660648558878438</v>
      </c>
      <c r="P30" s="1462"/>
      <c r="Q30" s="1457">
        <v>4199.0627370000002</v>
      </c>
    </row>
    <row r="31" spans="1:22" ht="15.75" customHeight="1" thickBot="1">
      <c r="A31" s="1431" t="s">
        <v>625</v>
      </c>
      <c r="B31" s="1431"/>
      <c r="C31" s="1463">
        <v>1770.8</v>
      </c>
      <c r="D31" s="1464">
        <v>1884.4</v>
      </c>
      <c r="E31" s="1463">
        <v>2155</v>
      </c>
      <c r="F31" s="1464">
        <v>2249.6</v>
      </c>
      <c r="G31" s="1463">
        <v>2343.1</v>
      </c>
      <c r="H31" s="1464">
        <v>2428.3000000000002</v>
      </c>
      <c r="I31" s="1463">
        <v>2541</v>
      </c>
      <c r="J31" s="1464">
        <v>2627.5</v>
      </c>
      <c r="K31" s="1463">
        <v>2868.2</v>
      </c>
      <c r="L31" s="1464">
        <v>3031.6779155400004</v>
      </c>
      <c r="M31" s="1465"/>
      <c r="N31" s="1466">
        <v>5.6996693236176066E-2</v>
      </c>
      <c r="O31" s="1467">
        <v>6.1563431524196854E-2</v>
      </c>
      <c r="P31" s="1468"/>
      <c r="Q31" s="1463">
        <v>3081.5039062299998</v>
      </c>
      <c r="S31" s="1402"/>
      <c r="T31" s="1402"/>
      <c r="U31" s="1402"/>
      <c r="V31" s="1402"/>
    </row>
    <row r="32" spans="1:22" ht="13.5" customHeight="1" thickBot="1">
      <c r="A32" s="1431"/>
      <c r="B32" s="1456" t="s">
        <v>1163</v>
      </c>
      <c r="C32" s="1478">
        <v>1678.5</v>
      </c>
      <c r="D32" s="1479">
        <v>1778</v>
      </c>
      <c r="E32" s="1478">
        <v>2097.1999999999998</v>
      </c>
      <c r="F32" s="1479">
        <v>2189.9</v>
      </c>
      <c r="G32" s="1478">
        <v>2288</v>
      </c>
      <c r="H32" s="1479">
        <v>2400.1999999999998</v>
      </c>
      <c r="I32" s="1478">
        <v>2502.83</v>
      </c>
      <c r="J32" s="1479">
        <v>2588.5</v>
      </c>
      <c r="K32" s="1478">
        <v>2832.3</v>
      </c>
      <c r="L32" s="1479">
        <v>2994.9866096700002</v>
      </c>
      <c r="M32" s="1480"/>
      <c r="N32" s="1481">
        <v>5.7439752028386915E-2</v>
      </c>
      <c r="O32" s="1482">
        <v>6.6452469863212071E-2</v>
      </c>
      <c r="P32" s="1483"/>
      <c r="Q32" s="1478">
        <v>3038.7113187199998</v>
      </c>
    </row>
    <row r="33" spans="1:28" ht="13.5" customHeight="1" thickBot="1">
      <c r="A33" s="1431"/>
      <c r="B33" s="1456" t="s">
        <v>1186</v>
      </c>
      <c r="C33" s="1478">
        <v>92.3</v>
      </c>
      <c r="D33" s="1479">
        <v>106.4</v>
      </c>
      <c r="E33" s="1478">
        <v>57.8</v>
      </c>
      <c r="F33" s="1479">
        <v>59.7</v>
      </c>
      <c r="G33" s="1478">
        <v>55.1</v>
      </c>
      <c r="H33" s="1479">
        <v>28.1</v>
      </c>
      <c r="I33" s="1478">
        <v>38.17</v>
      </c>
      <c r="J33" s="1479">
        <v>39</v>
      </c>
      <c r="K33" s="1478">
        <v>35.9</v>
      </c>
      <c r="L33" s="1479">
        <v>36.691305870000001</v>
      </c>
      <c r="M33" s="1480"/>
      <c r="N33" s="1481">
        <v>2.2041946239554466E-2</v>
      </c>
      <c r="O33" s="1482">
        <v>-9.7422282660938109E-2</v>
      </c>
      <c r="P33" s="1483"/>
      <c r="Q33" s="1478">
        <v>42.792587509999997</v>
      </c>
    </row>
    <row r="34" spans="1:28" ht="16.5" customHeight="1" thickBot="1">
      <c r="A34" s="1431" t="s">
        <v>626</v>
      </c>
      <c r="B34" s="1431"/>
      <c r="C34" s="1463">
        <v>9188.1841259122575</v>
      </c>
      <c r="D34" s="1464">
        <v>9667.7441772787388</v>
      </c>
      <c r="E34" s="1463">
        <v>10038.188652942059</v>
      </c>
      <c r="F34" s="1464">
        <v>10438.064388047225</v>
      </c>
      <c r="G34" s="1463">
        <v>10721.29997169648</v>
      </c>
      <c r="H34" s="1464">
        <v>11021.220160769482</v>
      </c>
      <c r="I34" s="1463">
        <v>11351.121165100019</v>
      </c>
      <c r="J34" s="1464">
        <v>11808.162952744129</v>
      </c>
      <c r="K34" s="1463">
        <v>12038.461905363803</v>
      </c>
      <c r="L34" s="1464">
        <v>11428.191814371226</v>
      </c>
      <c r="M34" s="1465"/>
      <c r="N34" s="1466">
        <v>-5.0693360646069552E-2</v>
      </c>
      <c r="O34" s="1467">
        <v>2.4536739923360473E-2</v>
      </c>
      <c r="P34" s="1468"/>
      <c r="Q34" s="1469">
        <v>12324.551022267786</v>
      </c>
      <c r="R34" s="1484"/>
    </row>
    <row r="35" spans="1:28" ht="12.75" customHeight="1" thickBot="1">
      <c r="A35" s="1431"/>
      <c r="B35" s="1431"/>
      <c r="C35" s="1440"/>
      <c r="D35" s="1441"/>
      <c r="E35" s="1440"/>
      <c r="F35" s="1441"/>
      <c r="G35" s="1440"/>
      <c r="H35" s="1441"/>
      <c r="I35" s="1440"/>
      <c r="J35" s="1441"/>
      <c r="K35" s="1440"/>
      <c r="L35" s="1441"/>
      <c r="M35" s="1442"/>
      <c r="N35" s="1443"/>
      <c r="O35" s="1444"/>
      <c r="P35" s="1445"/>
      <c r="Q35" s="1446"/>
    </row>
    <row r="36" spans="1:28" ht="16.5" customHeight="1" thickBot="1">
      <c r="A36" s="1430" t="s">
        <v>1181</v>
      </c>
      <c r="B36" s="1431"/>
      <c r="C36" s="1449">
        <v>378.7</v>
      </c>
      <c r="D36" s="1450">
        <v>386.6</v>
      </c>
      <c r="E36" s="1449">
        <v>395.2</v>
      </c>
      <c r="F36" s="1450">
        <v>408.8</v>
      </c>
      <c r="G36" s="1449">
        <v>443.72611837314082</v>
      </c>
      <c r="H36" s="1450">
        <v>463.46745935715603</v>
      </c>
      <c r="I36" s="1449">
        <v>477.70596569061348</v>
      </c>
      <c r="J36" s="1450">
        <v>484.77612582398501</v>
      </c>
      <c r="K36" s="1449">
        <v>481.39682880277388</v>
      </c>
      <c r="L36" s="1450">
        <v>500.09100958961278</v>
      </c>
      <c r="M36" s="1451"/>
      <c r="N36" s="1452">
        <v>3.8833203021571672E-2</v>
      </c>
      <c r="O36" s="1453">
        <v>3.1376145416930568E-2</v>
      </c>
      <c r="P36" s="1454"/>
      <c r="Q36" s="1455">
        <v>515.94077672123603</v>
      </c>
    </row>
    <row r="37" spans="1:28" ht="12.75" customHeight="1" thickBot="1">
      <c r="A37" s="1430"/>
      <c r="B37" s="1456"/>
      <c r="C37" s="1485"/>
      <c r="D37" s="1486"/>
      <c r="E37" s="1440"/>
      <c r="F37" s="1441"/>
      <c r="G37" s="1440"/>
      <c r="H37" s="1441"/>
      <c r="I37" s="1446"/>
      <c r="J37" s="1441"/>
      <c r="K37" s="1446"/>
      <c r="L37" s="1441"/>
      <c r="M37" s="1442"/>
      <c r="N37" s="1443"/>
      <c r="O37" s="1444"/>
      <c r="P37" s="1445"/>
      <c r="Q37" s="1487"/>
    </row>
    <row r="38" spans="1:28" ht="17.25" customHeight="1" thickBot="1">
      <c r="A38" s="1488" t="s">
        <v>1182</v>
      </c>
      <c r="B38" s="1489"/>
      <c r="C38" s="1490">
        <v>37908.300000000003</v>
      </c>
      <c r="D38" s="1491">
        <v>38669.599999999999</v>
      </c>
      <c r="E38" s="1490">
        <v>40292.400000000001</v>
      </c>
      <c r="F38" s="1491">
        <v>41585.599999999999</v>
      </c>
      <c r="G38" s="1490">
        <v>43365.319112359233</v>
      </c>
      <c r="H38" s="1491">
        <v>46129.491818309332</v>
      </c>
      <c r="I38" s="1490">
        <v>47981.46820977678</v>
      </c>
      <c r="J38" s="1491">
        <v>49880.554048008169</v>
      </c>
      <c r="K38" s="1490">
        <v>51647.264856226211</v>
      </c>
      <c r="L38" s="1491">
        <v>52697.317544895232</v>
      </c>
      <c r="M38" s="1492"/>
      <c r="N38" s="1493">
        <v>2.0331235189164687E-2</v>
      </c>
      <c r="O38" s="1494">
        <v>3.7277389088975266E-2</v>
      </c>
      <c r="P38" s="1495"/>
      <c r="Q38" s="1496">
        <v>54984.136756295607</v>
      </c>
    </row>
    <row r="39" spans="1:28" ht="14.25" customHeight="1">
      <c r="A39" s="1497" t="s">
        <v>1684</v>
      </c>
      <c r="B39" s="1497"/>
      <c r="C39" s="1498"/>
      <c r="D39" s="1498"/>
      <c r="E39" s="1498"/>
      <c r="F39" s="1498"/>
      <c r="G39" s="1498"/>
      <c r="H39" s="1498"/>
      <c r="I39" s="1498"/>
      <c r="J39" s="1498"/>
      <c r="K39" s="1381"/>
      <c r="L39" s="1381"/>
      <c r="M39" s="1381"/>
      <c r="N39" s="1498"/>
      <c r="O39" s="1498"/>
      <c r="P39" s="1498"/>
    </row>
    <row r="40" spans="1:28">
      <c r="A40" s="1381"/>
      <c r="B40" s="1498"/>
      <c r="C40" s="1381"/>
      <c r="D40" s="1498"/>
      <c r="E40" s="1381"/>
      <c r="F40" s="1381"/>
      <c r="G40" s="1381"/>
      <c r="H40" s="1381"/>
      <c r="I40" s="1381"/>
      <c r="J40" s="1381"/>
      <c r="K40" s="1381"/>
      <c r="L40" s="1381"/>
      <c r="M40" s="1381"/>
      <c r="N40" s="1498"/>
      <c r="O40" s="1381"/>
      <c r="P40" s="1381"/>
      <c r="Q40" s="1402"/>
      <c r="R40" s="1402"/>
      <c r="S40" s="1402"/>
      <c r="T40" s="1402"/>
      <c r="W40" s="1402"/>
      <c r="X40" s="1402"/>
      <c r="Y40" s="1402"/>
      <c r="Z40" s="1402"/>
      <c r="AA40" s="1393"/>
      <c r="AB40" s="1499"/>
    </row>
    <row r="41" spans="1:28">
      <c r="A41" s="1381" t="s">
        <v>1854</v>
      </c>
      <c r="B41" s="1498"/>
      <c r="C41" s="1381"/>
      <c r="D41" s="1498"/>
      <c r="E41" s="1381"/>
      <c r="F41" s="1381"/>
      <c r="G41" s="1381"/>
      <c r="H41" s="1381"/>
      <c r="I41" s="1381"/>
      <c r="J41" s="1381"/>
      <c r="K41" s="1381"/>
      <c r="L41" s="1381"/>
      <c r="M41" s="1381"/>
      <c r="N41" s="1498"/>
      <c r="O41" s="1381"/>
      <c r="P41" s="1381"/>
      <c r="Q41" s="1402"/>
      <c r="R41" s="1402"/>
      <c r="S41" s="1402"/>
      <c r="T41" s="1402"/>
      <c r="W41" s="1402"/>
      <c r="X41" s="1402"/>
      <c r="Y41" s="1402"/>
      <c r="Z41" s="1402"/>
      <c r="AA41" s="1393"/>
      <c r="AB41" s="1499"/>
    </row>
    <row r="42" spans="1:28">
      <c r="A42" s="1381"/>
      <c r="B42" s="1498"/>
      <c r="C42" s="1381"/>
      <c r="D42" s="1381"/>
      <c r="E42" s="1381"/>
      <c r="F42" s="1381"/>
      <c r="G42" s="1381"/>
      <c r="H42" s="1381"/>
      <c r="I42" s="1381"/>
      <c r="J42" s="1381"/>
      <c r="K42" s="1381"/>
      <c r="L42" s="1381"/>
      <c r="M42" s="1381"/>
      <c r="N42" s="1381"/>
      <c r="O42" s="1381"/>
      <c r="P42" s="1381"/>
    </row>
    <row r="43" spans="1:28">
      <c r="A43" s="1498"/>
      <c r="B43" s="1498"/>
      <c r="C43" s="1381"/>
      <c r="D43" s="1381"/>
      <c r="E43" s="1500"/>
      <c r="F43" s="1381"/>
      <c r="G43" s="1381"/>
      <c r="H43" s="1381"/>
      <c r="I43" s="1381"/>
      <c r="J43" s="1381"/>
      <c r="K43" s="1381"/>
      <c r="L43" s="1381"/>
      <c r="M43" s="1381"/>
      <c r="N43" s="1381"/>
      <c r="O43" s="1500"/>
      <c r="P43" s="1381"/>
    </row>
    <row r="44" spans="1:28">
      <c r="A44" s="1498" t="s">
        <v>1955</v>
      </c>
      <c r="B44" s="1498"/>
      <c r="C44" s="1381"/>
      <c r="D44" s="1381"/>
      <c r="E44" s="1381"/>
      <c r="F44" s="1381"/>
      <c r="G44" s="1381"/>
      <c r="H44" s="1381"/>
      <c r="I44" s="1381"/>
      <c r="J44" s="1381"/>
      <c r="K44" s="1381"/>
      <c r="L44" s="1381"/>
      <c r="M44" s="1381"/>
      <c r="N44" s="1381"/>
      <c r="O44" s="1381"/>
      <c r="P44" s="1381"/>
    </row>
    <row r="45" spans="1:28">
      <c r="A45" s="1498"/>
      <c r="B45" s="1498"/>
      <c r="C45" s="1381"/>
      <c r="D45" s="1381"/>
      <c r="E45" s="1381"/>
      <c r="F45" s="1381"/>
      <c r="G45" s="1381"/>
      <c r="H45" s="1381"/>
      <c r="I45" s="1381"/>
      <c r="J45" s="1381"/>
      <c r="K45" s="1381"/>
      <c r="L45" s="1381"/>
      <c r="M45" s="1381"/>
      <c r="N45" s="1381"/>
      <c r="O45" s="1381"/>
      <c r="P45" s="1381"/>
    </row>
    <row r="46" spans="1:28">
      <c r="A46" s="1498"/>
      <c r="B46" s="1498"/>
      <c r="C46" s="1381"/>
      <c r="D46" s="1381"/>
      <c r="E46" s="1381"/>
      <c r="F46" s="1381"/>
      <c r="G46" s="1381"/>
      <c r="H46" s="1381"/>
      <c r="I46" s="1381"/>
      <c r="J46" s="1381"/>
      <c r="K46" s="1381"/>
      <c r="L46" s="1381"/>
      <c r="M46" s="1381"/>
      <c r="N46" s="1381"/>
      <c r="O46" s="1381"/>
      <c r="P46" s="1381"/>
    </row>
    <row r="47" spans="1:28">
      <c r="A47" s="1498"/>
      <c r="B47" s="1498"/>
      <c r="C47" s="1381"/>
      <c r="D47" s="1381"/>
      <c r="E47" s="1381"/>
      <c r="F47" s="1381"/>
      <c r="G47" s="1381"/>
      <c r="H47" s="1381"/>
      <c r="I47" s="1381"/>
      <c r="J47" s="1381"/>
      <c r="K47" s="1381"/>
      <c r="L47" s="1381"/>
      <c r="M47" s="1381"/>
      <c r="N47" s="1381"/>
      <c r="O47" s="1381"/>
      <c r="P47" s="1381"/>
    </row>
    <row r="48" spans="1:28">
      <c r="A48" s="1498"/>
      <c r="B48" s="1498"/>
      <c r="C48" s="1381"/>
      <c r="D48" s="1381"/>
      <c r="E48" s="1381"/>
      <c r="F48" s="1381"/>
      <c r="G48" s="1381"/>
      <c r="H48" s="1381"/>
      <c r="I48" s="1381"/>
      <c r="J48" s="1381"/>
      <c r="K48" s="1381"/>
      <c r="L48" s="1381"/>
      <c r="M48" s="1381"/>
      <c r="N48" s="1381"/>
      <c r="O48" s="1381"/>
      <c r="P48" s="1381"/>
    </row>
    <row r="49" spans="1:16">
      <c r="A49" s="1498"/>
      <c r="B49" s="1381"/>
      <c r="C49" s="1381"/>
      <c r="D49" s="1381"/>
      <c r="E49" s="1381"/>
      <c r="F49" s="1381"/>
      <c r="G49" s="1381"/>
      <c r="H49" s="1381"/>
      <c r="I49" s="1381"/>
      <c r="J49" s="1381"/>
      <c r="K49" s="1381"/>
      <c r="L49" s="1381"/>
      <c r="M49" s="1381"/>
      <c r="N49" s="1381"/>
      <c r="O49" s="1381"/>
      <c r="P49" s="1381"/>
    </row>
    <row r="50" spans="1:16">
      <c r="A50" s="1498"/>
      <c r="B50" s="1381"/>
      <c r="C50" s="1381"/>
      <c r="D50" s="1381"/>
      <c r="E50" s="1381"/>
      <c r="F50" s="1381"/>
      <c r="G50" s="1381"/>
      <c r="H50" s="1381"/>
      <c r="I50" s="1381"/>
      <c r="J50" s="1381"/>
      <c r="K50" s="1381"/>
      <c r="L50" s="1381"/>
      <c r="M50" s="1381"/>
      <c r="N50" s="1381"/>
      <c r="O50" s="1381"/>
      <c r="P50" s="1381"/>
    </row>
    <row r="51" spans="1:16">
      <c r="A51" s="1381"/>
      <c r="B51" s="1381"/>
      <c r="C51" s="1381"/>
      <c r="D51" s="1381"/>
      <c r="E51" s="1381"/>
      <c r="F51" s="1381"/>
      <c r="G51" s="1381"/>
      <c r="H51" s="1381"/>
      <c r="I51" s="1381"/>
      <c r="J51" s="1381"/>
      <c r="K51" s="1381"/>
      <c r="L51" s="1381"/>
      <c r="M51" s="1381"/>
      <c r="N51" s="1381"/>
      <c r="O51" s="1381"/>
      <c r="P51" s="1381"/>
    </row>
    <row r="52" spans="1:16">
      <c r="A52" s="1381"/>
      <c r="B52" s="1381"/>
      <c r="C52" s="1381"/>
      <c r="D52" s="1381"/>
      <c r="E52" s="1381"/>
      <c r="F52" s="1381"/>
      <c r="G52" s="1381"/>
      <c r="H52" s="1381"/>
      <c r="I52" s="1381"/>
      <c r="J52" s="1381"/>
      <c r="K52" s="1381"/>
      <c r="L52" s="1381"/>
      <c r="M52" s="1381"/>
      <c r="N52" s="1381"/>
      <c r="O52" s="1381"/>
      <c r="P52" s="1381"/>
    </row>
    <row r="53" spans="1:16">
      <c r="A53" s="1381"/>
      <c r="B53" s="1498"/>
      <c r="C53" s="1381"/>
      <c r="D53" s="1381"/>
      <c r="E53" s="1381"/>
      <c r="F53" s="1381"/>
      <c r="G53" s="1381"/>
      <c r="H53" s="1381"/>
      <c r="I53" s="1381"/>
      <c r="J53" s="1381"/>
      <c r="K53" s="1381"/>
      <c r="L53" s="1381"/>
      <c r="M53" s="1381"/>
      <c r="N53" s="1381"/>
      <c r="O53" s="1381"/>
      <c r="P53" s="1381"/>
    </row>
    <row r="54" spans="1:16">
      <c r="A54" s="1381"/>
      <c r="B54" s="1498"/>
      <c r="C54" s="1381"/>
      <c r="D54" s="1381"/>
      <c r="E54" s="1381"/>
      <c r="F54" s="1381"/>
      <c r="G54" s="1381"/>
      <c r="H54" s="1381"/>
      <c r="I54" s="1381"/>
      <c r="J54" s="1381"/>
      <c r="K54" s="1381"/>
      <c r="L54" s="1381"/>
      <c r="M54" s="1381"/>
      <c r="N54" s="1381"/>
      <c r="O54" s="1381"/>
      <c r="P54" s="1381"/>
    </row>
    <row r="55" spans="1:16" ht="16">
      <c r="A55" s="1380"/>
      <c r="B55" s="1498"/>
      <c r="C55" s="1381"/>
      <c r="D55" s="1381"/>
      <c r="E55" s="1381"/>
      <c r="F55" s="1381"/>
      <c r="G55" s="1381"/>
      <c r="H55" s="1381"/>
      <c r="I55" s="1381"/>
      <c r="J55" s="1381"/>
      <c r="K55" s="1381"/>
      <c r="L55" s="1381"/>
      <c r="M55" s="1381"/>
      <c r="N55" s="1381"/>
      <c r="O55" s="1381"/>
      <c r="P55" s="1381"/>
    </row>
    <row r="56" spans="1:16">
      <c r="A56" s="1498"/>
      <c r="B56" s="1498"/>
      <c r="C56" s="1381"/>
      <c r="D56" s="1381"/>
      <c r="E56" s="1381"/>
      <c r="F56" s="1381"/>
      <c r="G56" s="1381"/>
      <c r="H56" s="1381"/>
      <c r="I56" s="1381"/>
      <c r="J56" s="1381"/>
      <c r="K56" s="1381"/>
      <c r="L56" s="1381"/>
      <c r="M56" s="1381"/>
      <c r="N56" s="1381"/>
      <c r="O56" s="1381"/>
      <c r="P56" s="1381"/>
    </row>
    <row r="57" spans="1:16">
      <c r="A57" s="1498"/>
      <c r="B57" s="1498"/>
      <c r="C57" s="1381"/>
      <c r="D57" s="1381"/>
      <c r="E57" s="1381"/>
      <c r="F57" s="1381"/>
      <c r="G57" s="1381"/>
      <c r="H57" s="1381"/>
      <c r="I57" s="1381"/>
      <c r="J57" s="1381"/>
      <c r="K57" s="1381"/>
      <c r="L57" s="1381"/>
      <c r="M57" s="1381"/>
      <c r="N57" s="1381"/>
      <c r="O57" s="1381"/>
      <c r="P57" s="1381"/>
    </row>
    <row r="58" spans="1:16">
      <c r="A58" s="1498"/>
      <c r="B58" s="1498"/>
      <c r="C58" s="1381"/>
      <c r="D58" s="1381"/>
      <c r="E58" s="1381"/>
      <c r="F58" s="1381"/>
      <c r="G58" s="1381"/>
      <c r="H58" s="1381"/>
      <c r="I58" s="1381"/>
      <c r="J58" s="1381"/>
      <c r="K58" s="1381"/>
      <c r="L58" s="1381"/>
      <c r="M58" s="1381"/>
      <c r="N58" s="1381"/>
      <c r="O58" s="1381"/>
      <c r="P58" s="1381"/>
    </row>
    <row r="59" spans="1:16">
      <c r="A59" s="1498"/>
      <c r="B59" s="1498"/>
      <c r="C59" s="1381"/>
      <c r="D59" s="1381"/>
      <c r="E59" s="1381"/>
      <c r="F59" s="1381"/>
      <c r="G59" s="1381"/>
      <c r="H59" s="1381"/>
      <c r="I59" s="1381"/>
      <c r="J59" s="1381"/>
      <c r="K59" s="1381"/>
      <c r="L59" s="1381"/>
      <c r="M59" s="1381"/>
      <c r="N59" s="1381"/>
      <c r="O59" s="1381"/>
      <c r="P59" s="1381"/>
    </row>
    <row r="60" spans="1:16">
      <c r="A60" s="1498"/>
      <c r="B60" s="1498"/>
      <c r="C60" s="1381"/>
      <c r="D60" s="1381"/>
      <c r="E60" s="1381"/>
      <c r="F60" s="1381"/>
      <c r="G60" s="1381"/>
      <c r="H60" s="1381"/>
      <c r="I60" s="1381"/>
      <c r="J60" s="1381"/>
      <c r="K60" s="1381"/>
      <c r="L60" s="1381"/>
      <c r="M60" s="1381"/>
      <c r="N60" s="1381"/>
      <c r="O60" s="1381"/>
      <c r="P60" s="1381"/>
    </row>
    <row r="61" spans="1:16">
      <c r="A61" s="1498"/>
      <c r="B61" s="1498"/>
      <c r="C61" s="1381"/>
      <c r="D61" s="1381"/>
      <c r="E61" s="1381"/>
      <c r="F61" s="1381"/>
      <c r="G61" s="1381"/>
      <c r="H61" s="1381"/>
      <c r="I61" s="1381"/>
      <c r="J61" s="1381"/>
      <c r="K61" s="1381"/>
      <c r="L61" s="1381"/>
      <c r="M61" s="1381"/>
      <c r="N61" s="1381"/>
      <c r="O61" s="1381"/>
      <c r="P61" s="1381"/>
    </row>
    <row r="62" spans="1:16">
      <c r="A62" s="1498"/>
      <c r="B62" s="1498"/>
      <c r="C62" s="1381"/>
      <c r="D62" s="1381"/>
      <c r="E62" s="1381"/>
      <c r="F62" s="1381"/>
      <c r="G62" s="1381"/>
      <c r="H62" s="1381"/>
      <c r="I62" s="1381"/>
      <c r="J62" s="1381"/>
      <c r="K62" s="1381"/>
      <c r="L62" s="1381"/>
      <c r="M62" s="1381"/>
      <c r="N62" s="1381"/>
      <c r="O62" s="1381"/>
      <c r="P62" s="1381"/>
    </row>
    <row r="63" spans="1:16">
      <c r="A63" s="1498"/>
      <c r="B63" s="1498"/>
      <c r="C63" s="1381"/>
      <c r="D63" s="1381"/>
      <c r="E63" s="1381"/>
      <c r="F63" s="1381"/>
      <c r="G63" s="1381"/>
      <c r="H63" s="1381"/>
      <c r="I63" s="1381"/>
      <c r="J63" s="1381"/>
      <c r="K63" s="1381"/>
      <c r="L63" s="1381"/>
      <c r="M63" s="1381"/>
      <c r="N63" s="1381"/>
      <c r="O63" s="1381"/>
      <c r="P63" s="1381"/>
    </row>
    <row r="64" spans="1:16">
      <c r="A64" s="1498"/>
      <c r="B64" s="1498"/>
      <c r="C64" s="1381"/>
      <c r="D64" s="1381"/>
      <c r="E64" s="1381"/>
      <c r="F64" s="1381"/>
      <c r="G64" s="1381"/>
      <c r="H64" s="1381"/>
      <c r="I64" s="1381"/>
      <c r="J64" s="1381"/>
      <c r="K64" s="1381"/>
      <c r="L64" s="1381"/>
      <c r="M64" s="1381"/>
      <c r="N64" s="1381"/>
      <c r="O64" s="1381"/>
      <c r="P64" s="1381"/>
    </row>
    <row r="65" spans="1:16">
      <c r="A65" s="1381"/>
      <c r="B65" s="1498"/>
      <c r="C65" s="1381"/>
      <c r="D65" s="1381"/>
      <c r="E65" s="1381"/>
      <c r="F65" s="1381"/>
      <c r="G65" s="1381"/>
      <c r="H65" s="1381"/>
      <c r="I65" s="1381"/>
      <c r="J65" s="1381"/>
      <c r="K65" s="1381"/>
      <c r="L65" s="1381"/>
      <c r="M65" s="1381"/>
      <c r="N65" s="1381"/>
      <c r="O65" s="1381"/>
      <c r="P65" s="1381"/>
    </row>
    <row r="66" spans="1:16">
      <c r="A66" s="1498"/>
      <c r="B66" s="1498"/>
      <c r="C66" s="1381"/>
      <c r="D66" s="1381"/>
      <c r="E66" s="1381"/>
      <c r="F66" s="1381"/>
      <c r="G66" s="1381"/>
      <c r="H66" s="1381"/>
      <c r="I66" s="1381"/>
      <c r="J66" s="1381"/>
      <c r="K66" s="1381"/>
      <c r="L66" s="1381"/>
      <c r="M66" s="1381"/>
      <c r="N66" s="1381"/>
      <c r="O66" s="1381"/>
      <c r="P66" s="1381"/>
    </row>
    <row r="67" spans="1:16">
      <c r="A67" s="1498"/>
      <c r="B67" s="1498"/>
      <c r="C67" s="1381"/>
      <c r="D67" s="1381"/>
      <c r="E67" s="1381"/>
      <c r="F67" s="1381"/>
      <c r="G67" s="1381"/>
      <c r="H67" s="1381"/>
      <c r="I67" s="1381"/>
      <c r="J67" s="1381"/>
      <c r="K67" s="1381"/>
      <c r="L67" s="1381"/>
      <c r="M67" s="1381"/>
      <c r="N67" s="1381"/>
      <c r="O67" s="1381"/>
      <c r="P67" s="1381"/>
    </row>
    <row r="68" spans="1:16">
      <c r="A68" s="1498"/>
      <c r="B68" s="1498"/>
      <c r="C68" s="1381"/>
      <c r="D68" s="1381"/>
      <c r="E68" s="1381"/>
      <c r="F68" s="1381"/>
      <c r="G68" s="1381"/>
      <c r="H68" s="1381"/>
      <c r="I68" s="1381"/>
      <c r="J68" s="1381"/>
      <c r="K68" s="1381"/>
      <c r="L68" s="1381"/>
      <c r="M68" s="1381"/>
      <c r="N68" s="1381"/>
      <c r="O68" s="1381"/>
      <c r="P68" s="1381"/>
    </row>
    <row r="69" spans="1:16">
      <c r="A69" s="1498"/>
      <c r="B69" s="1498"/>
      <c r="C69" s="1381"/>
      <c r="D69" s="1381"/>
      <c r="E69" s="1381"/>
      <c r="F69" s="1381"/>
      <c r="G69" s="1381"/>
      <c r="H69" s="1381"/>
      <c r="I69" s="1381"/>
      <c r="J69" s="1381"/>
      <c r="K69" s="1381"/>
      <c r="L69" s="1381"/>
      <c r="M69" s="1381"/>
      <c r="N69" s="1381"/>
      <c r="O69" s="1381"/>
      <c r="P69" s="1381"/>
    </row>
    <row r="70" spans="1:16">
      <c r="A70" s="1498"/>
      <c r="B70" s="1498"/>
      <c r="C70" s="1381"/>
      <c r="D70" s="1381"/>
      <c r="E70" s="1381"/>
      <c r="F70" s="1381"/>
      <c r="G70" s="1381"/>
      <c r="H70" s="1381"/>
      <c r="I70" s="1381"/>
      <c r="J70" s="1381"/>
      <c r="K70" s="1381"/>
      <c r="L70" s="1381"/>
      <c r="M70" s="1381"/>
      <c r="N70" s="1381"/>
      <c r="O70" s="1381"/>
      <c r="P70" s="1381"/>
    </row>
    <row r="71" spans="1:16">
      <c r="A71" s="1498"/>
      <c r="B71" s="1498"/>
      <c r="C71" s="1381"/>
      <c r="D71" s="1381"/>
      <c r="E71" s="1381"/>
      <c r="F71" s="1381"/>
      <c r="G71" s="1381"/>
      <c r="H71" s="1381"/>
      <c r="I71" s="1381"/>
      <c r="J71" s="1381"/>
      <c r="K71" s="1381"/>
      <c r="L71" s="1381"/>
      <c r="M71" s="1381"/>
      <c r="N71" s="1381"/>
      <c r="O71" s="1381"/>
      <c r="P71" s="1381"/>
    </row>
    <row r="72" spans="1:16">
      <c r="A72" s="1498"/>
      <c r="B72" s="1381"/>
      <c r="C72" s="1381"/>
      <c r="D72" s="1381"/>
      <c r="E72" s="1381"/>
      <c r="F72" s="1381"/>
      <c r="G72" s="1381"/>
      <c r="H72" s="1381"/>
      <c r="I72" s="1381"/>
      <c r="J72" s="1381"/>
      <c r="K72" s="1381"/>
      <c r="L72" s="1381"/>
      <c r="M72" s="1381"/>
      <c r="N72" s="1381"/>
      <c r="O72" s="1381"/>
      <c r="P72" s="1381"/>
    </row>
    <row r="73" spans="1:16">
      <c r="A73" s="1381"/>
      <c r="B73" s="1381"/>
      <c r="C73" s="1381"/>
      <c r="D73" s="1381"/>
      <c r="E73" s="1381"/>
      <c r="F73" s="1381"/>
      <c r="G73" s="1381"/>
      <c r="H73" s="1381"/>
      <c r="I73" s="1381"/>
      <c r="J73" s="1381"/>
      <c r="K73" s="1381"/>
      <c r="L73" s="1381"/>
      <c r="M73" s="1381"/>
      <c r="N73" s="1381"/>
      <c r="O73" s="1381"/>
      <c r="P73" s="1381"/>
    </row>
    <row r="74" spans="1:16">
      <c r="A74" s="1381"/>
      <c r="B74" s="1381"/>
      <c r="C74" s="1381"/>
      <c r="D74" s="1381"/>
      <c r="E74" s="1381"/>
      <c r="F74" s="1381"/>
      <c r="G74" s="1381"/>
      <c r="H74" s="1381"/>
      <c r="I74" s="1381"/>
      <c r="J74" s="1381"/>
      <c r="K74" s="1381"/>
      <c r="L74" s="1381"/>
      <c r="M74" s="1381"/>
      <c r="N74" s="1381"/>
      <c r="O74" s="1381"/>
      <c r="P74" s="1381"/>
    </row>
    <row r="75" spans="1:16">
      <c r="A75" s="1381"/>
      <c r="B75" s="1381"/>
      <c r="C75" s="1381"/>
      <c r="D75" s="1381"/>
      <c r="E75" s="1381"/>
      <c r="F75" s="1381"/>
      <c r="G75" s="1381"/>
      <c r="H75" s="1381"/>
      <c r="I75" s="1381"/>
      <c r="J75" s="1381"/>
      <c r="K75" s="1381"/>
      <c r="L75" s="1381"/>
      <c r="M75" s="1381"/>
      <c r="N75" s="1381"/>
      <c r="O75" s="1381"/>
      <c r="P75" s="1381"/>
    </row>
    <row r="76" spans="1:16">
      <c r="A76" s="1381"/>
      <c r="B76" s="1498"/>
      <c r="C76" s="1381"/>
      <c r="D76" s="1381"/>
      <c r="E76" s="1381"/>
      <c r="F76" s="1381"/>
      <c r="G76" s="1381"/>
      <c r="H76" s="1381"/>
      <c r="I76" s="1381"/>
      <c r="J76" s="1381"/>
      <c r="K76" s="1381"/>
      <c r="L76" s="1381"/>
      <c r="M76" s="1381"/>
      <c r="N76" s="1381"/>
      <c r="O76" s="1381"/>
      <c r="P76" s="1381"/>
    </row>
    <row r="77" spans="1:16">
      <c r="A77" s="1381"/>
      <c r="B77" s="1498"/>
      <c r="C77" s="1381"/>
      <c r="D77" s="1381"/>
      <c r="E77" s="1381"/>
      <c r="F77" s="1381"/>
      <c r="G77" s="1381"/>
      <c r="H77" s="1381"/>
      <c r="I77" s="1381"/>
      <c r="J77" s="1381"/>
      <c r="K77" s="1381"/>
      <c r="L77" s="1381"/>
      <c r="M77" s="1381"/>
      <c r="N77" s="1381"/>
      <c r="O77" s="1381"/>
      <c r="P77" s="1381"/>
    </row>
    <row r="78" spans="1:16">
      <c r="A78" s="1381"/>
      <c r="B78" s="1498"/>
      <c r="C78" s="1381"/>
      <c r="D78" s="1381"/>
      <c r="E78" s="1381"/>
      <c r="F78" s="1381"/>
      <c r="G78" s="1381"/>
      <c r="H78" s="1381"/>
      <c r="I78" s="1381"/>
      <c r="J78" s="1381"/>
      <c r="K78" s="1381"/>
      <c r="L78" s="1381"/>
      <c r="M78" s="1381"/>
      <c r="N78" s="1381"/>
      <c r="O78" s="1381"/>
      <c r="P78" s="1381"/>
    </row>
    <row r="79" spans="1:16">
      <c r="A79" s="1498"/>
      <c r="B79" s="1498"/>
      <c r="C79" s="1381"/>
      <c r="D79" s="1381"/>
      <c r="E79" s="1381"/>
      <c r="F79" s="1381"/>
      <c r="G79" s="1381"/>
      <c r="H79" s="1381"/>
      <c r="I79" s="1381"/>
      <c r="J79" s="1381"/>
      <c r="K79" s="1381"/>
      <c r="L79" s="1381"/>
      <c r="M79" s="1381"/>
      <c r="N79" s="1381"/>
      <c r="O79" s="1381"/>
      <c r="P79" s="1381"/>
    </row>
    <row r="80" spans="1:16">
      <c r="A80" s="1498"/>
      <c r="B80" s="1498"/>
      <c r="C80" s="1381"/>
      <c r="D80" s="1381"/>
      <c r="E80" s="1381"/>
      <c r="F80" s="1381"/>
      <c r="G80" s="1381"/>
      <c r="H80" s="1381"/>
      <c r="I80" s="1381"/>
      <c r="J80" s="1381"/>
      <c r="K80" s="1381"/>
      <c r="L80" s="1381"/>
      <c r="M80" s="1381"/>
      <c r="N80" s="1381"/>
      <c r="O80" s="1381"/>
      <c r="P80" s="1381"/>
    </row>
    <row r="81" spans="1:16">
      <c r="A81" s="1498"/>
      <c r="B81" s="1498"/>
      <c r="C81" s="1381"/>
      <c r="D81" s="1381"/>
      <c r="E81" s="1381"/>
      <c r="F81" s="1381"/>
      <c r="G81" s="1381"/>
      <c r="H81" s="1381"/>
      <c r="I81" s="1381"/>
      <c r="J81" s="1381"/>
      <c r="K81" s="1381"/>
      <c r="L81" s="1381"/>
      <c r="M81" s="1381"/>
      <c r="N81" s="1381"/>
      <c r="O81" s="1381"/>
      <c r="P81" s="1381"/>
    </row>
    <row r="82" spans="1:16">
      <c r="A82" s="1498"/>
      <c r="B82" s="1498"/>
      <c r="C82" s="1381"/>
      <c r="D82" s="1381"/>
      <c r="E82" s="1381"/>
      <c r="F82" s="1381"/>
      <c r="G82" s="1381"/>
      <c r="H82" s="1381"/>
      <c r="I82" s="1381"/>
      <c r="J82" s="1381"/>
      <c r="K82" s="1381"/>
      <c r="L82" s="1381"/>
      <c r="M82" s="1381"/>
      <c r="N82" s="1381"/>
      <c r="O82" s="1381"/>
      <c r="P82" s="1381"/>
    </row>
    <row r="83" spans="1:16">
      <c r="A83" s="1498"/>
      <c r="B83" s="1498"/>
      <c r="C83" s="1381"/>
      <c r="D83" s="1381"/>
      <c r="E83" s="1381"/>
      <c r="F83" s="1381"/>
      <c r="G83" s="1381"/>
      <c r="H83" s="1381"/>
      <c r="I83" s="1381"/>
      <c r="J83" s="1381"/>
      <c r="K83" s="1381"/>
      <c r="L83" s="1381"/>
      <c r="M83" s="1381"/>
      <c r="N83" s="1381"/>
      <c r="O83" s="1381"/>
      <c r="P83" s="1381"/>
    </row>
    <row r="84" spans="1:16">
      <c r="A84" s="1498"/>
      <c r="B84" s="1498"/>
      <c r="C84" s="1381"/>
      <c r="D84" s="1381"/>
      <c r="E84" s="1381"/>
      <c r="F84" s="1381"/>
      <c r="G84" s="1381"/>
      <c r="H84" s="1381"/>
      <c r="I84" s="1381"/>
      <c r="J84" s="1381"/>
      <c r="K84" s="1381"/>
      <c r="L84" s="1381"/>
      <c r="M84" s="1381"/>
      <c r="N84" s="1381"/>
      <c r="O84" s="1381"/>
      <c r="P84" s="1381"/>
    </row>
    <row r="85" spans="1:16" ht="16">
      <c r="A85" s="1380"/>
      <c r="B85" s="1498"/>
      <c r="C85" s="1381"/>
      <c r="D85" s="1381"/>
      <c r="E85" s="1381"/>
      <c r="F85" s="1381"/>
      <c r="G85" s="1381"/>
      <c r="H85" s="1381"/>
      <c r="I85" s="1381"/>
      <c r="J85" s="1381"/>
      <c r="K85" s="1381"/>
      <c r="L85" s="1381"/>
      <c r="M85" s="1381"/>
      <c r="N85" s="1381"/>
      <c r="O85" s="1381"/>
      <c r="P85" s="1381"/>
    </row>
    <row r="86" spans="1:16">
      <c r="A86" s="1498"/>
      <c r="B86" s="1498"/>
      <c r="C86" s="1381"/>
      <c r="D86" s="1381"/>
      <c r="E86" s="1381"/>
      <c r="F86" s="1381"/>
      <c r="G86" s="1381"/>
      <c r="H86" s="1381"/>
      <c r="I86" s="1381"/>
      <c r="J86" s="1381"/>
      <c r="K86" s="1381"/>
      <c r="L86" s="1381"/>
      <c r="M86" s="1381"/>
      <c r="N86" s="1381"/>
      <c r="O86" s="1381"/>
      <c r="P86" s="1381"/>
    </row>
    <row r="87" spans="1:16">
      <c r="A87" s="1381"/>
      <c r="B87" s="1498"/>
      <c r="C87" s="1381"/>
      <c r="D87" s="1381"/>
      <c r="E87" s="1381"/>
      <c r="F87" s="1381"/>
      <c r="G87" s="1381"/>
      <c r="H87" s="1381"/>
      <c r="I87" s="1381"/>
      <c r="J87" s="1381"/>
      <c r="K87" s="1381"/>
      <c r="L87" s="1381"/>
      <c r="M87" s="1381"/>
      <c r="N87" s="1381"/>
      <c r="O87" s="1381"/>
      <c r="P87" s="1381"/>
    </row>
    <row r="88" spans="1:16">
      <c r="A88" s="1498"/>
      <c r="B88" s="1498"/>
      <c r="C88" s="1381"/>
      <c r="D88" s="1381"/>
      <c r="E88" s="1381"/>
      <c r="F88" s="1381"/>
      <c r="G88" s="1381"/>
      <c r="H88" s="1381"/>
      <c r="I88" s="1381"/>
      <c r="J88" s="1381"/>
      <c r="K88" s="1381"/>
      <c r="L88" s="1381"/>
      <c r="M88" s="1381"/>
      <c r="N88" s="1381"/>
      <c r="O88" s="1381"/>
      <c r="P88" s="1381"/>
    </row>
    <row r="89" spans="1:16">
      <c r="A89" s="1498"/>
      <c r="B89" s="1498"/>
      <c r="C89" s="1381"/>
      <c r="D89" s="1381"/>
      <c r="E89" s="1381"/>
      <c r="F89" s="1381"/>
      <c r="G89" s="1381"/>
      <c r="H89" s="1381"/>
      <c r="I89" s="1381"/>
      <c r="J89" s="1381"/>
      <c r="K89" s="1381"/>
      <c r="L89" s="1381"/>
      <c r="M89" s="1381"/>
      <c r="N89" s="1381"/>
      <c r="O89" s="1381"/>
      <c r="P89" s="1381"/>
    </row>
    <row r="90" spans="1:16">
      <c r="A90" s="1498"/>
      <c r="B90" s="1498"/>
      <c r="C90" s="1381"/>
      <c r="D90" s="1381"/>
      <c r="E90" s="1381"/>
      <c r="F90" s="1381"/>
      <c r="G90" s="1381"/>
      <c r="H90" s="1381"/>
      <c r="I90" s="1381"/>
      <c r="J90" s="1381"/>
      <c r="K90" s="1381"/>
      <c r="L90" s="1381"/>
      <c r="M90" s="1381"/>
      <c r="N90" s="1381"/>
      <c r="O90" s="1381"/>
      <c r="P90" s="1381"/>
    </row>
    <row r="91" spans="1:16">
      <c r="A91" s="1498"/>
      <c r="B91" s="1498"/>
      <c r="C91" s="1381"/>
      <c r="D91" s="1381"/>
      <c r="E91" s="1381"/>
      <c r="F91" s="1381"/>
      <c r="G91" s="1381"/>
      <c r="H91" s="1381"/>
      <c r="I91" s="1381"/>
      <c r="J91" s="1381"/>
      <c r="K91" s="1381"/>
      <c r="L91" s="1381"/>
      <c r="M91" s="1381"/>
      <c r="N91" s="1381"/>
      <c r="O91" s="1381"/>
      <c r="P91" s="1381"/>
    </row>
    <row r="92" spans="1:16">
      <c r="A92" s="1381"/>
      <c r="B92" s="1381"/>
      <c r="C92" s="1381"/>
      <c r="D92" s="1381"/>
      <c r="E92" s="1381"/>
      <c r="F92" s="1381"/>
      <c r="G92" s="1381"/>
      <c r="H92" s="1381"/>
      <c r="I92" s="1381"/>
      <c r="J92" s="1381"/>
      <c r="K92" s="1381"/>
      <c r="L92" s="1381"/>
      <c r="M92" s="1381"/>
      <c r="N92" s="1381"/>
      <c r="O92" s="1381"/>
      <c r="P92" s="1381"/>
    </row>
    <row r="93" spans="1:16">
      <c r="A93" s="1381"/>
      <c r="B93" s="1381"/>
      <c r="C93" s="1381"/>
      <c r="D93" s="1381"/>
      <c r="E93" s="1381"/>
      <c r="F93" s="1381"/>
      <c r="G93" s="1381"/>
      <c r="H93" s="1381"/>
      <c r="I93" s="1381"/>
      <c r="J93" s="1381"/>
      <c r="K93" s="1381"/>
      <c r="L93" s="1381"/>
      <c r="M93" s="1381"/>
      <c r="N93" s="1381"/>
      <c r="O93" s="1381"/>
      <c r="P93" s="1381"/>
    </row>
    <row r="94" spans="1:16">
      <c r="A94" s="1381"/>
      <c r="B94" s="1381"/>
      <c r="C94" s="1381"/>
      <c r="D94" s="1381"/>
      <c r="E94" s="1381"/>
      <c r="F94" s="1381"/>
      <c r="G94" s="1381"/>
      <c r="H94" s="1381"/>
      <c r="I94" s="1381"/>
      <c r="J94" s="1381"/>
      <c r="K94" s="1381"/>
      <c r="L94" s="1381"/>
      <c r="M94" s="1381"/>
      <c r="N94" s="1381"/>
      <c r="O94" s="1381"/>
      <c r="P94" s="1381"/>
    </row>
    <row r="95" spans="1:16">
      <c r="A95" s="1381"/>
      <c r="B95" s="1381"/>
      <c r="C95" s="1381"/>
      <c r="D95" s="1381"/>
      <c r="E95" s="1381"/>
      <c r="F95" s="1381"/>
      <c r="G95" s="1381"/>
      <c r="H95" s="1381"/>
      <c r="I95" s="1381"/>
      <c r="J95" s="1381"/>
      <c r="K95" s="1381"/>
      <c r="L95" s="1381"/>
      <c r="M95" s="1381"/>
      <c r="N95" s="1381"/>
      <c r="O95" s="1381"/>
      <c r="P95" s="1381"/>
    </row>
    <row r="96" spans="1:16">
      <c r="A96" s="1381"/>
      <c r="B96" s="1381"/>
      <c r="C96" s="1381"/>
      <c r="D96" s="1381"/>
      <c r="E96" s="1381"/>
      <c r="F96" s="1381"/>
      <c r="G96" s="1381"/>
      <c r="H96" s="1381"/>
      <c r="I96" s="1381"/>
      <c r="J96" s="1381"/>
      <c r="K96" s="1381"/>
      <c r="L96" s="1381"/>
      <c r="M96" s="1381"/>
      <c r="N96" s="1381"/>
      <c r="O96" s="1381"/>
      <c r="P96" s="1381"/>
    </row>
    <row r="97" spans="1:16">
      <c r="A97" s="1381"/>
      <c r="B97" s="1381"/>
      <c r="C97" s="1381"/>
      <c r="D97" s="1381"/>
      <c r="E97" s="1381"/>
      <c r="F97" s="1381"/>
      <c r="G97" s="1381"/>
      <c r="H97" s="1381"/>
      <c r="I97" s="1381"/>
      <c r="J97" s="1381"/>
      <c r="K97" s="1381"/>
      <c r="L97" s="1381"/>
      <c r="M97" s="1381"/>
      <c r="N97" s="1381"/>
      <c r="O97" s="1381"/>
      <c r="P97" s="1381"/>
    </row>
    <row r="98" spans="1:16">
      <c r="A98" s="1381"/>
      <c r="B98" s="1381"/>
      <c r="C98" s="1381"/>
      <c r="D98" s="1381"/>
      <c r="E98" s="1381"/>
      <c r="F98" s="1381"/>
      <c r="G98" s="1381"/>
      <c r="H98" s="1381"/>
      <c r="I98" s="1381"/>
      <c r="J98" s="1381"/>
      <c r="K98" s="1381"/>
      <c r="L98" s="1381"/>
      <c r="M98" s="1381"/>
      <c r="N98" s="1381"/>
      <c r="O98" s="1381"/>
      <c r="P98" s="1381"/>
    </row>
    <row r="99" spans="1:16">
      <c r="A99" s="1381"/>
      <c r="B99" s="1381"/>
      <c r="C99" s="1381"/>
      <c r="D99" s="1381"/>
      <c r="E99" s="1381"/>
      <c r="F99" s="1381"/>
      <c r="G99" s="1381"/>
      <c r="H99" s="1381"/>
      <c r="I99" s="1381"/>
      <c r="J99" s="1381"/>
      <c r="K99" s="1381"/>
      <c r="L99" s="1381"/>
      <c r="M99" s="1381"/>
      <c r="N99" s="1381"/>
      <c r="O99" s="1381"/>
      <c r="P99" s="1381"/>
    </row>
    <row r="100" spans="1:16">
      <c r="A100" s="1381"/>
      <c r="B100" s="1381"/>
      <c r="C100" s="1381"/>
      <c r="D100" s="1381"/>
      <c r="E100" s="1381"/>
      <c r="F100" s="1381"/>
      <c r="G100" s="1381"/>
      <c r="H100" s="1381"/>
      <c r="I100" s="1381"/>
      <c r="J100" s="1381"/>
      <c r="K100" s="1381"/>
      <c r="L100" s="1381"/>
      <c r="M100" s="1381"/>
      <c r="N100" s="1381"/>
      <c r="O100" s="1381"/>
      <c r="P100" s="1381"/>
    </row>
    <row r="101" spans="1:16">
      <c r="A101" s="1381"/>
      <c r="B101" s="1381"/>
      <c r="C101" s="1381"/>
      <c r="D101" s="1381"/>
      <c r="E101" s="1381"/>
      <c r="F101" s="1381"/>
      <c r="G101" s="1381"/>
      <c r="H101" s="1381"/>
      <c r="I101" s="1381"/>
      <c r="J101" s="1381"/>
      <c r="K101" s="1381"/>
      <c r="L101" s="1381"/>
      <c r="M101" s="1381"/>
      <c r="N101" s="1381"/>
      <c r="O101" s="1381"/>
      <c r="P101" s="1381"/>
    </row>
    <row r="102" spans="1:16">
      <c r="A102" s="1381"/>
      <c r="B102" s="1381"/>
      <c r="C102" s="1381"/>
      <c r="D102" s="1381"/>
      <c r="E102" s="1381"/>
      <c r="F102" s="1381"/>
      <c r="G102" s="1381"/>
      <c r="H102" s="1381"/>
      <c r="I102" s="1381"/>
      <c r="J102" s="1381"/>
      <c r="K102" s="1381"/>
      <c r="L102" s="1381"/>
      <c r="M102" s="1381"/>
      <c r="N102" s="1381"/>
      <c r="O102" s="1381"/>
      <c r="P102" s="1381"/>
    </row>
    <row r="103" spans="1:16">
      <c r="A103" s="1381"/>
      <c r="B103" s="1381"/>
      <c r="C103" s="1381"/>
      <c r="D103" s="1381"/>
      <c r="E103" s="1381"/>
      <c r="F103" s="1381"/>
      <c r="G103" s="1381"/>
      <c r="H103" s="1381"/>
      <c r="I103" s="1381"/>
      <c r="J103" s="1381"/>
      <c r="K103" s="1381"/>
      <c r="L103" s="1381"/>
      <c r="M103" s="1381"/>
      <c r="N103" s="1381"/>
      <c r="O103" s="1381"/>
      <c r="P103" s="1381"/>
    </row>
    <row r="104" spans="1:16">
      <c r="A104" s="1381"/>
      <c r="B104" s="1381"/>
      <c r="C104" s="1381"/>
      <c r="D104" s="1381"/>
      <c r="E104" s="1381"/>
      <c r="F104" s="1381"/>
      <c r="G104" s="1381"/>
      <c r="H104" s="1381"/>
      <c r="I104" s="1381"/>
      <c r="J104" s="1381"/>
      <c r="K104" s="1381"/>
      <c r="L104" s="1381"/>
      <c r="M104" s="1381"/>
      <c r="N104" s="1381"/>
      <c r="O104" s="1381"/>
      <c r="P104" s="1381"/>
    </row>
    <row r="105" spans="1:16">
      <c r="A105" s="1381"/>
      <c r="B105" s="1381"/>
      <c r="C105" s="1381"/>
      <c r="D105" s="1381"/>
      <c r="E105" s="1381"/>
      <c r="F105" s="1381"/>
      <c r="G105" s="1381"/>
      <c r="H105" s="1381"/>
      <c r="I105" s="1381"/>
      <c r="J105" s="1381"/>
      <c r="K105" s="1381"/>
      <c r="L105" s="1381"/>
      <c r="M105" s="1381"/>
      <c r="N105" s="1381"/>
      <c r="O105" s="1381"/>
      <c r="P105" s="1381"/>
    </row>
    <row r="106" spans="1:16">
      <c r="A106" s="1381"/>
      <c r="B106" s="1381"/>
      <c r="C106" s="1381"/>
      <c r="D106" s="1381"/>
      <c r="E106" s="1381"/>
      <c r="F106" s="1381"/>
      <c r="G106" s="1381"/>
      <c r="H106" s="1381"/>
      <c r="I106" s="1381"/>
      <c r="J106" s="1381"/>
      <c r="K106" s="1381"/>
      <c r="L106" s="1381"/>
      <c r="M106" s="1381"/>
      <c r="N106" s="1381"/>
      <c r="O106" s="1381"/>
      <c r="P106" s="1381"/>
    </row>
    <row r="107" spans="1:16">
      <c r="A107" s="1381"/>
      <c r="B107" s="1381"/>
      <c r="C107" s="1381"/>
      <c r="D107" s="1381"/>
      <c r="E107" s="1381"/>
      <c r="F107" s="1381"/>
      <c r="G107" s="1381"/>
      <c r="H107" s="1381"/>
      <c r="I107" s="1381"/>
      <c r="J107" s="1381"/>
      <c r="K107" s="1381"/>
      <c r="L107" s="1381"/>
      <c r="M107" s="1381"/>
      <c r="N107" s="1381"/>
      <c r="O107" s="1381"/>
      <c r="P107" s="1381"/>
    </row>
    <row r="108" spans="1:16">
      <c r="A108" s="1381"/>
      <c r="B108" s="1381"/>
      <c r="C108" s="1381"/>
      <c r="D108" s="1381"/>
      <c r="E108" s="1381"/>
      <c r="F108" s="1381"/>
      <c r="G108" s="1381"/>
      <c r="H108" s="1381"/>
      <c r="I108" s="1381"/>
      <c r="J108" s="1381"/>
      <c r="K108" s="1381"/>
      <c r="L108" s="1381"/>
      <c r="M108" s="1381"/>
      <c r="N108" s="1381"/>
      <c r="O108" s="1381"/>
      <c r="P108" s="1381"/>
    </row>
    <row r="109" spans="1:16">
      <c r="A109" s="1381"/>
      <c r="B109" s="1381"/>
      <c r="C109" s="1381"/>
      <c r="D109" s="1381"/>
      <c r="E109" s="1381"/>
      <c r="F109" s="1381"/>
      <c r="G109" s="1381"/>
      <c r="H109" s="1381"/>
      <c r="I109" s="1381"/>
      <c r="J109" s="1381"/>
      <c r="K109" s="1381"/>
      <c r="L109" s="1381"/>
      <c r="M109" s="1381"/>
      <c r="N109" s="1381"/>
      <c r="O109" s="1381"/>
      <c r="P109" s="1381"/>
    </row>
    <row r="110" spans="1:16">
      <c r="A110" s="1381"/>
      <c r="B110" s="1381"/>
      <c r="C110" s="1381"/>
      <c r="D110" s="1381"/>
      <c r="E110" s="1381"/>
      <c r="F110" s="1381"/>
      <c r="G110" s="1381"/>
      <c r="H110" s="1381"/>
      <c r="I110" s="1381"/>
      <c r="J110" s="1381"/>
      <c r="K110" s="1381"/>
      <c r="L110" s="1381"/>
      <c r="M110" s="1381"/>
      <c r="N110" s="1381"/>
      <c r="O110" s="1381"/>
      <c r="P110" s="1381"/>
    </row>
    <row r="111" spans="1:16">
      <c r="A111" s="1381"/>
      <c r="B111" s="1381"/>
      <c r="C111" s="1381"/>
      <c r="D111" s="1381"/>
      <c r="E111" s="1381"/>
      <c r="F111" s="1381"/>
      <c r="G111" s="1381"/>
      <c r="H111" s="1381"/>
      <c r="I111" s="1381"/>
      <c r="J111" s="1381"/>
      <c r="K111" s="1381"/>
      <c r="L111" s="1381"/>
      <c r="M111" s="1381"/>
      <c r="N111" s="1381"/>
      <c r="O111" s="1381"/>
      <c r="P111" s="1381"/>
    </row>
    <row r="112" spans="1:16">
      <c r="A112" s="1381"/>
      <c r="B112" s="1381"/>
      <c r="C112" s="1381"/>
      <c r="D112" s="1381"/>
      <c r="E112" s="1381"/>
      <c r="F112" s="1381"/>
      <c r="G112" s="1381"/>
      <c r="H112" s="1381"/>
      <c r="I112" s="1381"/>
      <c r="J112" s="1381"/>
      <c r="K112" s="1381"/>
      <c r="L112" s="1381"/>
      <c r="M112" s="1381"/>
      <c r="N112" s="1381"/>
      <c r="O112" s="1381"/>
      <c r="P112" s="1381"/>
    </row>
    <row r="113" spans="1:16">
      <c r="A113" s="1381"/>
      <c r="B113" s="1381"/>
      <c r="C113" s="1381"/>
      <c r="D113" s="1381"/>
      <c r="E113" s="1381"/>
      <c r="F113" s="1381"/>
      <c r="G113" s="1381"/>
      <c r="H113" s="1381"/>
      <c r="I113" s="1381"/>
      <c r="J113" s="1381"/>
      <c r="K113" s="1381"/>
      <c r="L113" s="1381"/>
      <c r="M113" s="1381"/>
      <c r="N113" s="1381"/>
      <c r="O113" s="1381"/>
      <c r="P113" s="1381"/>
    </row>
    <row r="114" spans="1:16">
      <c r="A114" s="1381"/>
      <c r="B114" s="1381"/>
      <c r="C114" s="1381"/>
      <c r="D114" s="1381"/>
      <c r="E114" s="1381"/>
      <c r="F114" s="1381"/>
      <c r="G114" s="1381"/>
      <c r="H114" s="1381"/>
      <c r="I114" s="1381"/>
      <c r="J114" s="1381"/>
      <c r="K114" s="1381"/>
      <c r="L114" s="1381"/>
      <c r="M114" s="1381"/>
      <c r="N114" s="1381"/>
      <c r="O114" s="1381"/>
      <c r="P114" s="1381"/>
    </row>
  </sheetData>
  <phoneticPr fontId="75" type="noConversion"/>
  <pageMargins left="0.35" right="0.23" top="0.59055118110236227" bottom="0.35433070866141736" header="0.23622047244094491" footer="0.19685039370078741"/>
  <pageSetup paperSize="9" scale="74" orientation="landscape" cellComments="asDisplayed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32B6-A200-4641-8483-7706A976E88F}">
  <sheetPr>
    <pageSetUpPr fitToPage="1"/>
  </sheetPr>
  <dimension ref="A1:AH86"/>
  <sheetViews>
    <sheetView topLeftCell="A25" zoomScale="75" workbookViewId="0">
      <selection activeCell="A2" sqref="A2"/>
    </sheetView>
  </sheetViews>
  <sheetFormatPr baseColWidth="10" defaultColWidth="10.19921875" defaultRowHeight="13"/>
  <cols>
    <col min="1" max="1" width="3.796875" style="1107" customWidth="1"/>
    <col min="2" max="2" width="45" style="1107" customWidth="1"/>
    <col min="3" max="11" width="9.796875" style="1107" customWidth="1"/>
    <col min="12" max="12" width="10.3984375" style="1107" customWidth="1"/>
    <col min="13" max="13" width="3.19921875" style="1107" customWidth="1"/>
    <col min="14" max="14" width="11" style="1107" customWidth="1"/>
    <col min="15" max="15" width="11.3984375" style="1107" customWidth="1"/>
    <col min="16" max="16" width="3.19921875" style="1107" customWidth="1"/>
    <col min="17" max="17" width="11.796875" style="1107" customWidth="1"/>
    <col min="18" max="16384" width="10.19921875" style="1107"/>
  </cols>
  <sheetData>
    <row r="1" spans="1:34" ht="16">
      <c r="A1" s="1105" t="s">
        <v>1156</v>
      </c>
      <c r="B1" s="1106"/>
      <c r="C1" s="1106"/>
      <c r="D1" s="1106"/>
      <c r="E1" s="1106"/>
      <c r="F1" s="1106"/>
      <c r="G1" s="1106"/>
      <c r="H1" s="1106"/>
      <c r="I1" s="1106"/>
      <c r="J1" s="1106"/>
      <c r="K1" s="1106"/>
      <c r="L1" s="1106"/>
      <c r="M1" s="1106"/>
      <c r="N1" s="1106"/>
      <c r="O1" s="1106"/>
      <c r="P1" s="1106"/>
      <c r="U1" s="1108"/>
      <c r="AA1" s="1108"/>
    </row>
    <row r="2" spans="1:34" ht="14" thickBot="1">
      <c r="A2" s="1109"/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10"/>
    </row>
    <row r="3" spans="1:34" s="1119" customFormat="1" ht="10.5" customHeight="1">
      <c r="A3" s="1111"/>
      <c r="B3" s="1111"/>
      <c r="C3" s="1112"/>
      <c r="D3" s="1111"/>
      <c r="E3" s="1112"/>
      <c r="F3" s="1111"/>
      <c r="G3" s="1112"/>
      <c r="H3" s="1111"/>
      <c r="I3" s="1112"/>
      <c r="J3" s="1111"/>
      <c r="K3" s="1112"/>
      <c r="L3" s="1111"/>
      <c r="M3" s="1113"/>
      <c r="N3" s="1114"/>
      <c r="O3" s="1115"/>
      <c r="P3" s="1116"/>
      <c r="Q3" s="1112"/>
      <c r="R3" s="1107"/>
      <c r="S3" s="1117"/>
      <c r="T3" s="1117"/>
      <c r="U3" s="1117"/>
      <c r="V3" s="1117"/>
      <c r="W3" s="1118"/>
      <c r="X3" s="1118"/>
      <c r="Y3" s="1118"/>
      <c r="Z3" s="1118"/>
      <c r="AC3" s="1120"/>
      <c r="AD3" s="1120"/>
      <c r="AE3" s="1120"/>
      <c r="AF3" s="1120"/>
    </row>
    <row r="4" spans="1:34" ht="13.5" customHeight="1">
      <c r="A4" s="1121" t="s">
        <v>1157</v>
      </c>
      <c r="B4" s="1122"/>
      <c r="C4" s="1123">
        <v>1996</v>
      </c>
      <c r="D4" s="1124">
        <v>1997</v>
      </c>
      <c r="E4" s="1123">
        <v>1998</v>
      </c>
      <c r="F4" s="1124">
        <v>1999</v>
      </c>
      <c r="G4" s="1123">
        <v>2000</v>
      </c>
      <c r="H4" s="1124">
        <v>2001</v>
      </c>
      <c r="I4" s="1123">
        <v>2002</v>
      </c>
      <c r="J4" s="1124">
        <v>2003</v>
      </c>
      <c r="K4" s="1123">
        <v>2004</v>
      </c>
      <c r="L4" s="1124">
        <v>2005</v>
      </c>
      <c r="M4" s="1125"/>
      <c r="N4" s="1114" t="s">
        <v>45</v>
      </c>
      <c r="O4" s="1115" t="s">
        <v>1158</v>
      </c>
      <c r="P4" s="1116"/>
      <c r="Q4" s="1126" t="s">
        <v>1159</v>
      </c>
      <c r="S4" s="1117"/>
      <c r="T4" s="1117"/>
      <c r="U4" s="1117"/>
      <c r="V4" s="1117"/>
      <c r="W4" s="1127"/>
      <c r="X4" s="1127"/>
      <c r="Y4" s="1127"/>
      <c r="Z4" s="1127"/>
      <c r="AC4" s="1120"/>
      <c r="AD4" s="1120"/>
      <c r="AE4" s="1120"/>
      <c r="AF4" s="1120"/>
    </row>
    <row r="5" spans="1:34" ht="15.75" customHeight="1">
      <c r="A5" s="1121" t="s">
        <v>1160</v>
      </c>
      <c r="B5" s="1128"/>
      <c r="C5" s="1129"/>
      <c r="D5" s="1130"/>
      <c r="E5" s="1129"/>
      <c r="F5" s="1130"/>
      <c r="G5" s="1129"/>
      <c r="H5" s="1130"/>
      <c r="I5" s="1129"/>
      <c r="J5" s="1130"/>
      <c r="K5" s="1129"/>
      <c r="L5" s="1130"/>
      <c r="M5" s="1131"/>
      <c r="N5" s="1114" t="s">
        <v>628</v>
      </c>
      <c r="O5" s="1115" t="s">
        <v>1161</v>
      </c>
      <c r="P5" s="1116"/>
      <c r="Q5" s="1126" t="s">
        <v>1167</v>
      </c>
      <c r="S5" s="1117"/>
      <c r="T5" s="1117"/>
      <c r="U5" s="1117"/>
      <c r="V5" s="1117"/>
      <c r="W5" s="1127"/>
      <c r="X5" s="1127"/>
      <c r="Y5" s="1127"/>
      <c r="Z5" s="1127"/>
      <c r="AC5" s="1120"/>
      <c r="AD5" s="1120"/>
      <c r="AE5" s="1120"/>
      <c r="AF5" s="1120"/>
    </row>
    <row r="6" spans="1:34" ht="14.25" customHeight="1">
      <c r="A6" s="1132"/>
      <c r="B6" s="1132"/>
      <c r="C6" s="1133"/>
      <c r="D6" s="1134"/>
      <c r="E6" s="1133"/>
      <c r="F6" s="1134"/>
      <c r="G6" s="1133"/>
      <c r="H6" s="1134"/>
      <c r="I6" s="1133"/>
      <c r="J6" s="1134"/>
      <c r="K6" s="1133"/>
      <c r="L6" s="1134"/>
      <c r="M6" s="1135"/>
      <c r="N6" s="1136"/>
      <c r="O6" s="1137" t="s">
        <v>2400</v>
      </c>
      <c r="P6" s="1138"/>
      <c r="Q6" s="1133"/>
      <c r="S6" s="1117"/>
      <c r="T6" s="1117"/>
      <c r="U6" s="1117"/>
      <c r="V6" s="1117"/>
      <c r="W6" s="1139"/>
      <c r="X6" s="1139"/>
      <c r="Y6" s="1139"/>
      <c r="Z6" s="1139"/>
      <c r="AC6" s="1139"/>
      <c r="AD6" s="1139"/>
      <c r="AE6" s="1139"/>
      <c r="AF6" s="1139"/>
    </row>
    <row r="7" spans="1:34">
      <c r="A7" s="1140"/>
      <c r="B7" s="1141"/>
      <c r="C7" s="1142"/>
      <c r="D7" s="1141"/>
      <c r="E7" s="1142"/>
      <c r="F7" s="1141"/>
      <c r="G7" s="1142"/>
      <c r="H7" s="1141"/>
      <c r="I7" s="1142"/>
      <c r="J7" s="1141"/>
      <c r="K7" s="1142"/>
      <c r="L7" s="1141"/>
      <c r="M7" s="1143"/>
      <c r="N7" s="1142"/>
      <c r="O7" s="1144" t="s">
        <v>629</v>
      </c>
      <c r="P7" s="1145"/>
      <c r="Q7" s="1142"/>
      <c r="S7" s="1117"/>
      <c r="T7" s="1117"/>
      <c r="U7" s="1117"/>
      <c r="V7" s="1117"/>
      <c r="W7" s="1127"/>
      <c r="X7" s="1127"/>
      <c r="Y7" s="1127"/>
      <c r="Z7" s="1127"/>
      <c r="AC7" s="1120"/>
      <c r="AD7" s="1120"/>
      <c r="AE7" s="1120"/>
      <c r="AF7" s="1120"/>
    </row>
    <row r="8" spans="1:34" ht="18" customHeight="1" thickBot="1">
      <c r="A8" s="1146" t="s">
        <v>1168</v>
      </c>
      <c r="B8" s="1147"/>
      <c r="C8" s="1148">
        <v>6108.1158740877472</v>
      </c>
      <c r="D8" s="1149">
        <v>6057.9558227212619</v>
      </c>
      <c r="E8" s="1148">
        <v>6131.7435544855471</v>
      </c>
      <c r="F8" s="1149">
        <v>6416.6639279999999</v>
      </c>
      <c r="G8" s="1148">
        <v>6599.5077579999997</v>
      </c>
      <c r="H8" s="1149">
        <v>7802.4641389999997</v>
      </c>
      <c r="I8" s="1148">
        <v>8596.9416789999996</v>
      </c>
      <c r="J8" s="1149">
        <v>8949.1301402555946</v>
      </c>
      <c r="K8" s="1148">
        <v>8811.0582559999984</v>
      </c>
      <c r="L8" s="1149">
        <v>8885.1920379999992</v>
      </c>
      <c r="M8" s="1150"/>
      <c r="N8" s="1151">
        <v>8.4137205595613551E-3</v>
      </c>
      <c r="O8" s="1152">
        <v>4.251999821887531E-2</v>
      </c>
      <c r="P8" s="1153"/>
      <c r="Q8" s="1154">
        <v>9479.0195712473378</v>
      </c>
      <c r="S8" s="1117"/>
      <c r="T8" s="1117"/>
      <c r="U8" s="1117"/>
      <c r="V8" s="1117"/>
      <c r="AC8" s="1120"/>
      <c r="AD8" s="1120"/>
      <c r="AE8" s="1120"/>
      <c r="AF8" s="1120"/>
    </row>
    <row r="9" spans="1:34" s="1164" customFormat="1" ht="14" thickBot="1">
      <c r="A9" s="1155"/>
      <c r="B9" s="1156"/>
      <c r="C9" s="1157"/>
      <c r="D9" s="1158"/>
      <c r="E9" s="1157"/>
      <c r="F9" s="1158"/>
      <c r="G9" s="1157"/>
      <c r="H9" s="1158"/>
      <c r="I9" s="1157"/>
      <c r="J9" s="1158"/>
      <c r="K9" s="1157"/>
      <c r="L9" s="1158"/>
      <c r="M9" s="1159"/>
      <c r="N9" s="1160"/>
      <c r="O9" s="1161"/>
      <c r="P9" s="1162"/>
      <c r="Q9" s="1163"/>
    </row>
    <row r="10" spans="1:34" s="1164" customFormat="1" ht="16.5" customHeight="1" thickBot="1">
      <c r="A10" s="1165" t="s">
        <v>1169</v>
      </c>
      <c r="B10" s="1155"/>
      <c r="C10" s="1166">
        <v>2881.6</v>
      </c>
      <c r="D10" s="1167">
        <v>3011.4</v>
      </c>
      <c r="E10" s="1166">
        <v>3176.3677925723964</v>
      </c>
      <c r="F10" s="1167">
        <v>3314.4716839527723</v>
      </c>
      <c r="G10" s="1166">
        <v>3458.985264289614</v>
      </c>
      <c r="H10" s="1167">
        <v>3661.4400591827007</v>
      </c>
      <c r="I10" s="1166">
        <v>3701.6993999861515</v>
      </c>
      <c r="J10" s="1167">
        <v>3921.4728291844517</v>
      </c>
      <c r="K10" s="1166">
        <v>4031.6958660596374</v>
      </c>
      <c r="L10" s="1167">
        <v>4241.9367205643975</v>
      </c>
      <c r="M10" s="1168"/>
      <c r="N10" s="1169">
        <v>5.2147002524334241E-2</v>
      </c>
      <c r="O10" s="1170">
        <v>4.39001099973646E-2</v>
      </c>
      <c r="P10" s="1171"/>
      <c r="Q10" s="1172">
        <v>4463.1410054397356</v>
      </c>
    </row>
    <row r="11" spans="1:34" ht="14" thickBot="1">
      <c r="A11" s="1155"/>
      <c r="B11" s="1173"/>
      <c r="C11" s="1157"/>
      <c r="D11" s="1158"/>
      <c r="E11" s="1157"/>
      <c r="F11" s="1158"/>
      <c r="G11" s="1157"/>
      <c r="H11" s="1158"/>
      <c r="I11" s="1157"/>
      <c r="J11" s="1158"/>
      <c r="K11" s="1157"/>
      <c r="L11" s="1158"/>
      <c r="M11" s="1159"/>
      <c r="N11" s="1160"/>
      <c r="O11" s="1161"/>
      <c r="P11" s="1162"/>
      <c r="Q11" s="1163"/>
    </row>
    <row r="12" spans="1:34" s="1164" customFormat="1" ht="14" thickBot="1">
      <c r="A12" s="1165" t="s">
        <v>1162</v>
      </c>
      <c r="B12" s="1155"/>
      <c r="C12" s="1166">
        <v>944.7</v>
      </c>
      <c r="D12" s="1167">
        <v>937.8</v>
      </c>
      <c r="E12" s="1166">
        <v>1007</v>
      </c>
      <c r="F12" s="1167">
        <v>1143.9000000000001</v>
      </c>
      <c r="G12" s="1166">
        <v>1192.9000000000001</v>
      </c>
      <c r="H12" s="1167">
        <v>1166</v>
      </c>
      <c r="I12" s="1166">
        <v>1214.2</v>
      </c>
      <c r="J12" s="1167">
        <v>1307.4000000000001</v>
      </c>
      <c r="K12" s="1166">
        <v>1524.9</v>
      </c>
      <c r="L12" s="1167">
        <v>1662.8002309999999</v>
      </c>
      <c r="M12" s="1168"/>
      <c r="N12" s="1169">
        <v>9.0432310971211294E-2</v>
      </c>
      <c r="O12" s="1170">
        <v>6.4836444780444147E-2</v>
      </c>
      <c r="P12" s="1171"/>
      <c r="Q12" s="1172">
        <v>1771.7550430950128</v>
      </c>
    </row>
    <row r="13" spans="1:34" s="1164" customFormat="1" ht="15.75" customHeight="1" thickBot="1">
      <c r="A13" s="1174" t="s">
        <v>1170</v>
      </c>
      <c r="B13" s="1155"/>
      <c r="C13" s="1175">
        <v>293</v>
      </c>
      <c r="D13" s="1176">
        <v>237.5</v>
      </c>
      <c r="E13" s="1175">
        <v>264.39999999999998</v>
      </c>
      <c r="F13" s="1176">
        <v>277.10000000000002</v>
      </c>
      <c r="G13" s="1175">
        <v>317</v>
      </c>
      <c r="H13" s="1176">
        <v>315</v>
      </c>
      <c r="I13" s="1175">
        <v>343.8</v>
      </c>
      <c r="J13" s="1176">
        <v>375.1</v>
      </c>
      <c r="K13" s="1175">
        <v>421.4</v>
      </c>
      <c r="L13" s="1176">
        <v>447.8</v>
      </c>
      <c r="M13" s="1177"/>
      <c r="N13" s="1178">
        <v>6.264831514000968E-2</v>
      </c>
      <c r="O13" s="1179">
        <v>4.8258750772663728E-2</v>
      </c>
      <c r="P13" s="1180"/>
      <c r="Q13" s="1181">
        <v>469.41026859599884</v>
      </c>
      <c r="R13" s="1182"/>
      <c r="S13" s="1182"/>
      <c r="T13" s="1182"/>
      <c r="U13" s="1182"/>
      <c r="V13" s="1182"/>
      <c r="W13" s="1182"/>
      <c r="X13" s="1182"/>
      <c r="Y13" s="1182"/>
      <c r="Z13" s="1182"/>
      <c r="AA13" s="1182"/>
      <c r="AB13" s="1182"/>
      <c r="AC13" s="1182"/>
      <c r="AD13" s="1182"/>
      <c r="AE13" s="1182"/>
      <c r="AF13" s="1182"/>
      <c r="AG13" s="1182"/>
      <c r="AH13" s="1182"/>
    </row>
    <row r="14" spans="1:34" ht="15" customHeight="1" thickBot="1">
      <c r="A14" s="1174" t="s">
        <v>1171</v>
      </c>
      <c r="B14" s="1155"/>
      <c r="C14" s="1175">
        <v>203.5</v>
      </c>
      <c r="D14" s="1176">
        <v>228.6</v>
      </c>
      <c r="E14" s="1175">
        <v>266.2</v>
      </c>
      <c r="F14" s="1176">
        <v>375.1</v>
      </c>
      <c r="G14" s="1175">
        <v>378.5</v>
      </c>
      <c r="H14" s="1176">
        <v>314.89999999999998</v>
      </c>
      <c r="I14" s="1175">
        <v>319.7</v>
      </c>
      <c r="J14" s="1176">
        <v>367.7</v>
      </c>
      <c r="K14" s="1175">
        <v>381.7</v>
      </c>
      <c r="L14" s="1176">
        <v>412.4</v>
      </c>
      <c r="M14" s="1177"/>
      <c r="N14" s="1178">
        <v>8.0429656798532756E-2</v>
      </c>
      <c r="O14" s="1179">
        <v>8.1642653196329462E-2</v>
      </c>
      <c r="P14" s="1180"/>
      <c r="Q14" s="1181">
        <v>446.06943017816627</v>
      </c>
      <c r="R14" s="1182"/>
      <c r="S14" s="1182"/>
      <c r="T14" s="1182"/>
      <c r="U14" s="1182"/>
      <c r="V14" s="1182"/>
      <c r="W14" s="1182"/>
      <c r="X14" s="1182"/>
      <c r="Y14" s="1182"/>
      <c r="Z14" s="1182"/>
      <c r="AA14" s="1182"/>
      <c r="AB14" s="1182"/>
      <c r="AC14" s="1182"/>
      <c r="AD14" s="1182"/>
      <c r="AE14" s="1182"/>
      <c r="AF14" s="1182"/>
      <c r="AG14" s="1182"/>
      <c r="AH14" s="1182"/>
    </row>
    <row r="15" spans="1:34" ht="15" customHeight="1" thickBot="1">
      <c r="A15" s="1174" t="s">
        <v>1172</v>
      </c>
      <c r="B15" s="1155"/>
      <c r="C15" s="1175">
        <v>448.2</v>
      </c>
      <c r="D15" s="1176">
        <v>471.7</v>
      </c>
      <c r="E15" s="1175">
        <v>476.4</v>
      </c>
      <c r="F15" s="1176">
        <v>491.7</v>
      </c>
      <c r="G15" s="1175">
        <v>497.4</v>
      </c>
      <c r="H15" s="1176">
        <v>536.1</v>
      </c>
      <c r="I15" s="1175">
        <v>550.70000000000005</v>
      </c>
      <c r="J15" s="1176">
        <v>564.6</v>
      </c>
      <c r="K15" s="1175">
        <v>721.8</v>
      </c>
      <c r="L15" s="1176">
        <v>802.60023099999989</v>
      </c>
      <c r="M15" s="1177"/>
      <c r="N15" s="1178">
        <v>0.11194268633970617</v>
      </c>
      <c r="O15" s="1179">
        <v>6.6876523638637719E-2</v>
      </c>
      <c r="P15" s="1180"/>
      <c r="Q15" s="1181">
        <v>856.27534432084747</v>
      </c>
      <c r="R15" s="1182"/>
      <c r="S15" s="1182"/>
      <c r="T15" s="1182"/>
      <c r="U15" s="1182"/>
      <c r="V15" s="1182"/>
      <c r="W15" s="1182"/>
      <c r="X15" s="1182"/>
      <c r="Y15" s="1182"/>
      <c r="Z15" s="1182"/>
      <c r="AA15" s="1182"/>
      <c r="AB15" s="1182"/>
      <c r="AC15" s="1182"/>
      <c r="AD15" s="1182"/>
      <c r="AE15" s="1182"/>
      <c r="AF15" s="1182"/>
      <c r="AG15" s="1182"/>
      <c r="AH15" s="1182"/>
    </row>
    <row r="16" spans="1:34" s="1164" customFormat="1" ht="14" thickBot="1">
      <c r="A16" s="1183"/>
      <c r="B16" s="1183"/>
      <c r="C16" s="1184"/>
      <c r="D16" s="1185"/>
      <c r="E16" s="1184"/>
      <c r="F16" s="1185"/>
      <c r="G16" s="1184"/>
      <c r="H16" s="1185"/>
      <c r="I16" s="1184"/>
      <c r="J16" s="1185"/>
      <c r="K16" s="1184"/>
      <c r="L16" s="1185"/>
      <c r="M16" s="1186"/>
      <c r="N16" s="1187"/>
      <c r="O16" s="1188"/>
      <c r="P16" s="1189"/>
      <c r="Q16" s="1190"/>
    </row>
    <row r="17" spans="1:17" s="1192" customFormat="1" ht="16.5" customHeight="1" thickBot="1">
      <c r="A17" s="1191" t="s">
        <v>1173</v>
      </c>
      <c r="B17" s="1191"/>
      <c r="C17" s="1166">
        <v>16873.599999999999</v>
      </c>
      <c r="D17" s="1167">
        <v>17009.099999999999</v>
      </c>
      <c r="E17" s="1166">
        <v>17841.5</v>
      </c>
      <c r="F17" s="1167">
        <v>18231.2</v>
      </c>
      <c r="G17" s="1166">
        <v>19316.223118000002</v>
      </c>
      <c r="H17" s="1167">
        <v>20344.518999999997</v>
      </c>
      <c r="I17" s="1166">
        <v>20951.55</v>
      </c>
      <c r="J17" s="1167">
        <v>21678.133227000002</v>
      </c>
      <c r="K17" s="1166">
        <v>22971.142229620003</v>
      </c>
      <c r="L17" s="1167">
        <v>24341.551358520002</v>
      </c>
      <c r="M17" s="1168"/>
      <c r="N17" s="1169">
        <v>5.9657857463131903E-2</v>
      </c>
      <c r="O17" s="1170">
        <v>4.1555168177175972E-2</v>
      </c>
      <c r="P17" s="1171"/>
      <c r="Q17" s="1166">
        <v>24619.755745440005</v>
      </c>
    </row>
    <row r="18" spans="1:17" ht="14" thickBot="1">
      <c r="A18" s="1155"/>
      <c r="B18" s="1174" t="s">
        <v>1163</v>
      </c>
      <c r="C18" s="1175">
        <v>12459</v>
      </c>
      <c r="D18" s="1176">
        <v>13138.5</v>
      </c>
      <c r="E18" s="1175">
        <v>14024.1</v>
      </c>
      <c r="F18" s="1176">
        <v>14620.5</v>
      </c>
      <c r="G18" s="1175">
        <v>15478.308999999999</v>
      </c>
      <c r="H18" s="1176">
        <v>16386.458999999999</v>
      </c>
      <c r="I18" s="1175">
        <v>17095.580000000002</v>
      </c>
      <c r="J18" s="1176">
        <v>17924.119704000001</v>
      </c>
      <c r="K18" s="1175">
        <v>19139.808546</v>
      </c>
      <c r="L18" s="1176">
        <v>20347.706646750001</v>
      </c>
      <c r="M18" s="1177"/>
      <c r="N18" s="1178">
        <v>6.3109204976997457E-2</v>
      </c>
      <c r="O18" s="1179">
        <v>5.6015404708685601E-2</v>
      </c>
      <c r="P18" s="1180"/>
      <c r="Q18" s="1175">
        <v>20602.626921510004</v>
      </c>
    </row>
    <row r="19" spans="1:17" ht="15" customHeight="1" thickBot="1">
      <c r="A19" s="1155"/>
      <c r="B19" s="1173" t="s">
        <v>1174</v>
      </c>
      <c r="C19" s="1193">
        <v>1678.5</v>
      </c>
      <c r="D19" s="1194">
        <v>1778</v>
      </c>
      <c r="E19" s="1193">
        <v>2097.1999999999998</v>
      </c>
      <c r="F19" s="1194">
        <v>2189.9</v>
      </c>
      <c r="G19" s="1193">
        <v>2288</v>
      </c>
      <c r="H19" s="1194">
        <v>2400.1999999999998</v>
      </c>
      <c r="I19" s="1193">
        <v>2502.83</v>
      </c>
      <c r="J19" s="1194">
        <v>2588.5</v>
      </c>
      <c r="K19" s="1193">
        <v>2832.3</v>
      </c>
      <c r="L19" s="1194">
        <v>2994.9866096700002</v>
      </c>
      <c r="M19" s="1195"/>
      <c r="N19" s="1196">
        <v>5.7439752028386915E-2</v>
      </c>
      <c r="O19" s="1197">
        <v>6.6452469863212071E-2</v>
      </c>
      <c r="P19" s="1198"/>
      <c r="Q19" s="1193">
        <v>3038.7113187199998</v>
      </c>
    </row>
    <row r="20" spans="1:17" s="1164" customFormat="1" ht="16.5" customHeight="1" thickBot="1">
      <c r="A20" s="1155"/>
      <c r="B20" s="1173" t="s">
        <v>1175</v>
      </c>
      <c r="C20" s="1199">
        <v>1815.57</v>
      </c>
      <c r="D20" s="1200">
        <v>2087.14</v>
      </c>
      <c r="E20" s="1199">
        <v>2263.1999999999998</v>
      </c>
      <c r="F20" s="1200">
        <v>2476.6</v>
      </c>
      <c r="G20" s="1199">
        <v>2532.8000000000002</v>
      </c>
      <c r="H20" s="1200">
        <v>2671.6</v>
      </c>
      <c r="I20" s="1199">
        <v>2848.4</v>
      </c>
      <c r="J20" s="1200">
        <v>2961.1</v>
      </c>
      <c r="K20" s="1199">
        <v>3025.3</v>
      </c>
      <c r="L20" s="1200">
        <v>3119.6250399999999</v>
      </c>
      <c r="M20" s="1201"/>
      <c r="N20" s="1202">
        <v>3.1178739298581837E-2</v>
      </c>
      <c r="O20" s="1203">
        <v>6.1991508958558095E-2</v>
      </c>
      <c r="P20" s="1204"/>
      <c r="Q20" s="1199">
        <v>3230.0145429999998</v>
      </c>
    </row>
    <row r="21" spans="1:17" ht="17.25" customHeight="1" thickBot="1">
      <c r="A21" s="1155"/>
      <c r="B21" s="1174" t="s">
        <v>1176</v>
      </c>
      <c r="C21" s="1175">
        <v>3901.9</v>
      </c>
      <c r="D21" s="1176">
        <v>3394.7</v>
      </c>
      <c r="E21" s="1175">
        <v>3357.3</v>
      </c>
      <c r="F21" s="1176">
        <v>2846.8</v>
      </c>
      <c r="G21" s="1175">
        <v>2254.1563019999999</v>
      </c>
      <c r="H21" s="1176">
        <v>1604.76</v>
      </c>
      <c r="I21" s="1175">
        <v>1460.47</v>
      </c>
      <c r="J21" s="1176">
        <v>1393.5729260000001</v>
      </c>
      <c r="K21" s="1175">
        <v>1076.3591796200001</v>
      </c>
      <c r="L21" s="1176">
        <v>1181.10792477</v>
      </c>
      <c r="M21" s="1177"/>
      <c r="N21" s="1178">
        <v>9.731764928783404E-2</v>
      </c>
      <c r="O21" s="1179">
        <v>-0.12434137921766286</v>
      </c>
      <c r="P21" s="1180"/>
      <c r="Q21" s="1175">
        <v>1126.0691719299998</v>
      </c>
    </row>
    <row r="22" spans="1:17" ht="15" customHeight="1" thickBot="1">
      <c r="A22" s="1155"/>
      <c r="B22" s="1173" t="s">
        <v>1177</v>
      </c>
      <c r="C22" s="1193">
        <v>92.3</v>
      </c>
      <c r="D22" s="1194">
        <v>106.4</v>
      </c>
      <c r="E22" s="1193">
        <v>57.8</v>
      </c>
      <c r="F22" s="1194">
        <v>59.7</v>
      </c>
      <c r="G22" s="1193">
        <v>55.1</v>
      </c>
      <c r="H22" s="1194">
        <v>28.1</v>
      </c>
      <c r="I22" s="1193">
        <v>38.17</v>
      </c>
      <c r="J22" s="1194">
        <v>39</v>
      </c>
      <c r="K22" s="1193">
        <v>35.9</v>
      </c>
      <c r="L22" s="1194">
        <v>36.691305870000001</v>
      </c>
      <c r="M22" s="1195"/>
      <c r="N22" s="1196">
        <v>2.2041946239554466E-2</v>
      </c>
      <c r="O22" s="1197">
        <v>-9.7422282660938109E-2</v>
      </c>
      <c r="P22" s="1198"/>
      <c r="Q22" s="1193">
        <v>42.792587509999997</v>
      </c>
    </row>
    <row r="23" spans="1:17" ht="16.5" customHeight="1" thickBot="1">
      <c r="A23" s="1155"/>
      <c r="B23" s="1174" t="s">
        <v>1178</v>
      </c>
      <c r="C23" s="1175">
        <v>512.70000000000005</v>
      </c>
      <c r="D23" s="1176">
        <v>475.9</v>
      </c>
      <c r="E23" s="1175">
        <v>460.1</v>
      </c>
      <c r="F23" s="1176">
        <v>763.9</v>
      </c>
      <c r="G23" s="1175">
        <v>1583.757816</v>
      </c>
      <c r="H23" s="1176">
        <v>2353.3000000000002</v>
      </c>
      <c r="I23" s="1175">
        <v>2395.5</v>
      </c>
      <c r="J23" s="1176">
        <v>2360.4405969999998</v>
      </c>
      <c r="K23" s="1175">
        <v>2754.9745040000003</v>
      </c>
      <c r="L23" s="1176">
        <v>2812.7367870000003</v>
      </c>
      <c r="M23" s="1205"/>
      <c r="N23" s="1206">
        <v>2.0966539950236784E-2</v>
      </c>
      <c r="O23" s="1207">
        <v>0.20820503640695898</v>
      </c>
      <c r="P23" s="1208"/>
      <c r="Q23" s="1175">
        <v>2891.0596519999999</v>
      </c>
    </row>
    <row r="24" spans="1:17" ht="13.5" customHeight="1" thickBot="1">
      <c r="A24" s="1155"/>
      <c r="B24" s="1173"/>
      <c r="C24" s="1199"/>
      <c r="D24" s="1200"/>
      <c r="E24" s="1199"/>
      <c r="F24" s="1200"/>
      <c r="G24" s="1199"/>
      <c r="H24" s="1200"/>
      <c r="I24" s="1199"/>
      <c r="J24" s="1200"/>
      <c r="K24" s="1199"/>
      <c r="L24" s="1200"/>
      <c r="M24" s="1201"/>
      <c r="N24" s="1202"/>
      <c r="O24" s="1203"/>
      <c r="P24" s="1204"/>
      <c r="Q24" s="1199"/>
    </row>
    <row r="25" spans="1:17" ht="17.25" customHeight="1" thickBot="1">
      <c r="A25" s="1165" t="s">
        <v>1179</v>
      </c>
      <c r="B25" s="1173"/>
      <c r="C25" s="1166">
        <v>1533.4</v>
      </c>
      <c r="D25" s="1167">
        <v>1599</v>
      </c>
      <c r="E25" s="1166">
        <v>1702.4</v>
      </c>
      <c r="F25" s="1167">
        <v>1632.5</v>
      </c>
      <c r="G25" s="1166">
        <v>1632.6768820000002</v>
      </c>
      <c r="H25" s="1167">
        <v>1670.33</v>
      </c>
      <c r="I25" s="1166">
        <v>1688.25</v>
      </c>
      <c r="J25" s="1167">
        <v>1731.4787729999994</v>
      </c>
      <c r="K25" s="1166">
        <v>1788.6097703800008</v>
      </c>
      <c r="L25" s="1167">
        <v>1637.5543728499972</v>
      </c>
      <c r="M25" s="1201"/>
      <c r="N25" s="1169">
        <v>-8.4454082735951341E-2</v>
      </c>
      <c r="O25" s="1170">
        <v>7.3285455996578985E-3</v>
      </c>
      <c r="P25" s="1204"/>
      <c r="Q25" s="1172">
        <v>1809.9735920844964</v>
      </c>
    </row>
    <row r="26" spans="1:17" ht="13.5" customHeight="1" thickBot="1">
      <c r="A26" s="1155"/>
      <c r="B26" s="1174" t="s">
        <v>1164</v>
      </c>
      <c r="C26" s="1175">
        <v>72.599999999999739</v>
      </c>
      <c r="D26" s="1176">
        <v>80.999999999998636</v>
      </c>
      <c r="E26" s="1175">
        <v>106.80000000000098</v>
      </c>
      <c r="F26" s="1176">
        <v>50.400000000001</v>
      </c>
      <c r="G26" s="1175">
        <v>32.676882000000205</v>
      </c>
      <c r="H26" s="1176">
        <v>42.130000000000337</v>
      </c>
      <c r="I26" s="1175">
        <v>72.150000000000091</v>
      </c>
      <c r="J26" s="1176">
        <v>58.37477299999955</v>
      </c>
      <c r="K26" s="1175">
        <v>57.557770380000875</v>
      </c>
      <c r="L26" s="1176">
        <v>-94.35827220000283</v>
      </c>
      <c r="M26" s="1177"/>
      <c r="N26" s="1178">
        <v>-2.6393663544824997</v>
      </c>
      <c r="O26" s="1179">
        <v>-2.0295543126416167</v>
      </c>
      <c r="P26" s="1180"/>
      <c r="Q26" s="1181">
        <v>59.5</v>
      </c>
    </row>
    <row r="27" spans="1:17" ht="13.5" customHeight="1" thickBot="1">
      <c r="A27" s="1155"/>
      <c r="B27" s="1174" t="s">
        <v>1165</v>
      </c>
      <c r="C27" s="1175">
        <v>1460.8</v>
      </c>
      <c r="D27" s="1176">
        <v>1518</v>
      </c>
      <c r="E27" s="1175">
        <v>1595.6</v>
      </c>
      <c r="F27" s="1176">
        <v>1582.1</v>
      </c>
      <c r="G27" s="1175">
        <v>1600</v>
      </c>
      <c r="H27" s="1176">
        <v>1628.2</v>
      </c>
      <c r="I27" s="1175">
        <v>1616.1</v>
      </c>
      <c r="J27" s="1176">
        <v>1673.1039999999998</v>
      </c>
      <c r="K27" s="1175">
        <v>1731.0519999999999</v>
      </c>
      <c r="L27" s="1176">
        <v>1731.91264505</v>
      </c>
      <c r="M27" s="1177"/>
      <c r="N27" s="1178">
        <v>4.9718035622281498E-4</v>
      </c>
      <c r="O27" s="1179">
        <v>1.9095830582111617E-2</v>
      </c>
      <c r="P27" s="1180"/>
      <c r="Q27" s="1181">
        <v>1750.4735920844964</v>
      </c>
    </row>
    <row r="28" spans="1:17" ht="13.5" customHeight="1" thickBot="1">
      <c r="A28" s="1155"/>
      <c r="B28" s="1173"/>
      <c r="C28" s="1199"/>
      <c r="D28" s="1200"/>
      <c r="E28" s="1199"/>
      <c r="F28" s="1200"/>
      <c r="G28" s="1199"/>
      <c r="H28" s="1200"/>
      <c r="I28" s="1199"/>
      <c r="J28" s="1200"/>
      <c r="K28" s="1199"/>
      <c r="L28" s="1200"/>
      <c r="M28" s="1201"/>
      <c r="N28" s="1202"/>
      <c r="O28" s="1203"/>
      <c r="P28" s="1204"/>
      <c r="Q28" s="1199"/>
    </row>
    <row r="29" spans="1:17" ht="16.5" customHeight="1" thickBot="1">
      <c r="A29" s="1165" t="s">
        <v>1180</v>
      </c>
      <c r="B29" s="1155"/>
      <c r="C29" s="1166">
        <v>9188.1841259122539</v>
      </c>
      <c r="D29" s="1167">
        <v>9667.7441772787352</v>
      </c>
      <c r="E29" s="1166">
        <v>10038.188652942059</v>
      </c>
      <c r="F29" s="1167">
        <v>10438.064388047223</v>
      </c>
      <c r="G29" s="1166">
        <v>10721.299971696475</v>
      </c>
      <c r="H29" s="1167">
        <v>11021.271160769484</v>
      </c>
      <c r="I29" s="1166">
        <v>11351.121165100019</v>
      </c>
      <c r="J29" s="1167">
        <v>11808.162952744133</v>
      </c>
      <c r="K29" s="1166">
        <v>12038.4619053638</v>
      </c>
      <c r="L29" s="1167">
        <v>11428.191814371223</v>
      </c>
      <c r="M29" s="1209"/>
      <c r="N29" s="1169">
        <v>-5.0693360646069552E-2</v>
      </c>
      <c r="O29" s="1170">
        <v>2.4536739923360473E-2</v>
      </c>
      <c r="P29" s="1210"/>
      <c r="Q29" s="1172">
        <v>12324.551022267786</v>
      </c>
    </row>
    <row r="30" spans="1:17" ht="12.75" customHeight="1" thickBot="1">
      <c r="A30" s="1155"/>
      <c r="B30" s="1155"/>
      <c r="C30" s="1157"/>
      <c r="D30" s="1158"/>
      <c r="E30" s="1157"/>
      <c r="F30" s="1158"/>
      <c r="G30" s="1157"/>
      <c r="H30" s="1158"/>
      <c r="I30" s="1157"/>
      <c r="J30" s="1158"/>
      <c r="K30" s="1157"/>
      <c r="L30" s="1158"/>
      <c r="M30" s="1159"/>
      <c r="N30" s="1160"/>
      <c r="O30" s="1161"/>
      <c r="P30" s="1162"/>
      <c r="Q30" s="1157"/>
    </row>
    <row r="31" spans="1:17" ht="16.5" customHeight="1" thickBot="1">
      <c r="A31" s="1165" t="s">
        <v>1181</v>
      </c>
      <c r="B31" s="1155"/>
      <c r="C31" s="1166">
        <v>378.7</v>
      </c>
      <c r="D31" s="1167">
        <v>386.6</v>
      </c>
      <c r="E31" s="1166">
        <v>395.2</v>
      </c>
      <c r="F31" s="1167">
        <v>408.8</v>
      </c>
      <c r="G31" s="1166">
        <v>443.72611837314082</v>
      </c>
      <c r="H31" s="1167">
        <v>463.46745935715603</v>
      </c>
      <c r="I31" s="1166">
        <v>477.70596569061348</v>
      </c>
      <c r="J31" s="1167">
        <v>484.77612582398501</v>
      </c>
      <c r="K31" s="1166">
        <v>481.39682880277388</v>
      </c>
      <c r="L31" s="1167">
        <v>500.09100958961278</v>
      </c>
      <c r="M31" s="1168"/>
      <c r="N31" s="1169">
        <v>3.8833203021571672E-2</v>
      </c>
      <c r="O31" s="1170">
        <v>3.1376145416930568E-2</v>
      </c>
      <c r="P31" s="1171"/>
      <c r="Q31" s="1172">
        <v>515.94077672123603</v>
      </c>
    </row>
    <row r="32" spans="1:17" ht="12.75" customHeight="1" thickBot="1">
      <c r="A32" s="1165"/>
      <c r="B32" s="1173"/>
      <c r="C32" s="1211"/>
      <c r="D32" s="1212"/>
      <c r="E32" s="1157"/>
      <c r="F32" s="1158"/>
      <c r="G32" s="1157"/>
      <c r="H32" s="1158"/>
      <c r="I32" s="1157"/>
      <c r="J32" s="1158"/>
      <c r="K32" s="1157"/>
      <c r="L32" s="1158"/>
      <c r="M32" s="1159"/>
      <c r="N32" s="1160"/>
      <c r="O32" s="1161"/>
      <c r="P32" s="1162"/>
      <c r="Q32" s="1213"/>
    </row>
    <row r="33" spans="1:28" ht="17.25" customHeight="1" thickBot="1">
      <c r="A33" s="1214" t="s">
        <v>1182</v>
      </c>
      <c r="B33" s="1215"/>
      <c r="C33" s="1216">
        <v>37908.300000000003</v>
      </c>
      <c r="D33" s="1217">
        <v>38669.599999999999</v>
      </c>
      <c r="E33" s="1216">
        <v>40292.400000000001</v>
      </c>
      <c r="F33" s="1217">
        <v>41585.599999999999</v>
      </c>
      <c r="G33" s="1216">
        <v>43365.319112359233</v>
      </c>
      <c r="H33" s="1217">
        <v>46129.491818309332</v>
      </c>
      <c r="I33" s="1216">
        <v>47981.46820977678</v>
      </c>
      <c r="J33" s="1217">
        <v>49880.554048008169</v>
      </c>
      <c r="K33" s="1216">
        <v>51647.264856226211</v>
      </c>
      <c r="L33" s="1217">
        <v>52697.317544895232</v>
      </c>
      <c r="M33" s="1218"/>
      <c r="N33" s="1219">
        <v>2.0331235189164687E-2</v>
      </c>
      <c r="O33" s="1220">
        <v>3.7277389088975266E-2</v>
      </c>
      <c r="P33" s="1221"/>
      <c r="Q33" s="1222">
        <v>54984.136756295607</v>
      </c>
    </row>
    <row r="34" spans="1:28" ht="14.25" customHeight="1">
      <c r="A34" s="1223" t="s">
        <v>1684</v>
      </c>
      <c r="B34" s="1223"/>
      <c r="C34" s="1224"/>
      <c r="D34" s="1224"/>
      <c r="E34" s="1224"/>
      <c r="F34" s="1224"/>
      <c r="G34" s="1224"/>
      <c r="H34" s="1224"/>
      <c r="I34" s="1224"/>
      <c r="J34" s="1224"/>
      <c r="K34" s="1224"/>
      <c r="L34" s="1106"/>
      <c r="M34" s="1106"/>
      <c r="N34" s="1106"/>
      <c r="O34" s="1224"/>
      <c r="P34" s="1224"/>
    </row>
    <row r="35" spans="1:28">
      <c r="A35" s="1225"/>
      <c r="B35" s="1223"/>
      <c r="C35" s="1106"/>
      <c r="D35" s="1224"/>
      <c r="E35" s="1106"/>
      <c r="F35" s="1106"/>
      <c r="G35" s="1106"/>
      <c r="H35" s="1106"/>
      <c r="I35" s="1106"/>
      <c r="J35" s="1106"/>
      <c r="K35" s="1106"/>
      <c r="L35" s="1106"/>
      <c r="M35" s="1106"/>
      <c r="N35" s="1106"/>
      <c r="O35" s="1224"/>
      <c r="P35" s="1106"/>
      <c r="Q35" s="1127"/>
      <c r="R35" s="1127"/>
      <c r="S35" s="1127"/>
      <c r="T35" s="1127"/>
      <c r="W35" s="1127"/>
      <c r="X35" s="1127"/>
      <c r="Y35" s="1127"/>
      <c r="Z35" s="1127"/>
      <c r="AA35" s="1117"/>
      <c r="AB35" s="1226"/>
    </row>
    <row r="36" spans="1:28">
      <c r="A36" s="1223" t="s">
        <v>1166</v>
      </c>
      <c r="B36" s="1223"/>
      <c r="Q36" s="1127"/>
      <c r="R36" s="1127"/>
      <c r="S36" s="1127"/>
      <c r="T36" s="1127"/>
    </row>
    <row r="37" spans="1:28">
      <c r="A37" s="1223"/>
      <c r="B37" s="1223"/>
    </row>
    <row r="38" spans="1:28">
      <c r="A38" s="1223"/>
      <c r="B38" s="1223"/>
      <c r="E38" s="1127"/>
      <c r="P38" s="1127"/>
    </row>
    <row r="39" spans="1:28">
      <c r="A39" s="1223" t="s">
        <v>1955</v>
      </c>
      <c r="B39" s="1223"/>
    </row>
    <row r="40" spans="1:28">
      <c r="A40" s="1227"/>
      <c r="B40" s="1227"/>
    </row>
    <row r="41" spans="1:28">
      <c r="A41" s="1227"/>
      <c r="B41" s="1227"/>
    </row>
    <row r="42" spans="1:28">
      <c r="A42" s="1227"/>
      <c r="B42" s="1227"/>
    </row>
    <row r="43" spans="1:28">
      <c r="A43" s="1227"/>
      <c r="B43" s="1227"/>
    </row>
    <row r="44" spans="1:28">
      <c r="A44" s="1227"/>
    </row>
    <row r="45" spans="1:28">
      <c r="A45" s="1227"/>
    </row>
    <row r="48" spans="1:28">
      <c r="B48" s="1227"/>
    </row>
    <row r="49" spans="1:2">
      <c r="B49" s="1227"/>
    </row>
    <row r="50" spans="1:2" ht="16">
      <c r="A50" s="1228"/>
      <c r="B50" s="1227"/>
    </row>
    <row r="51" spans="1:2">
      <c r="A51" s="1227"/>
      <c r="B51" s="1227"/>
    </row>
    <row r="52" spans="1:2">
      <c r="A52" s="1227"/>
      <c r="B52" s="1227"/>
    </row>
    <row r="53" spans="1:2">
      <c r="A53" s="1227"/>
      <c r="B53" s="1227"/>
    </row>
    <row r="54" spans="1:2">
      <c r="A54" s="1227"/>
      <c r="B54" s="1227"/>
    </row>
    <row r="55" spans="1:2">
      <c r="A55" s="1227"/>
      <c r="B55" s="1227"/>
    </row>
    <row r="56" spans="1:2">
      <c r="A56" s="1227"/>
      <c r="B56" s="1227"/>
    </row>
    <row r="57" spans="1:2">
      <c r="A57" s="1227"/>
      <c r="B57" s="1227"/>
    </row>
    <row r="58" spans="1:2">
      <c r="A58" s="1227"/>
      <c r="B58" s="1227"/>
    </row>
    <row r="59" spans="1:2">
      <c r="A59" s="1227"/>
      <c r="B59" s="1227"/>
    </row>
    <row r="60" spans="1:2">
      <c r="B60" s="1227"/>
    </row>
    <row r="61" spans="1:2">
      <c r="A61" s="1227"/>
      <c r="B61" s="1227"/>
    </row>
    <row r="62" spans="1:2">
      <c r="A62" s="1227"/>
      <c r="B62" s="1227"/>
    </row>
    <row r="63" spans="1:2">
      <c r="A63" s="1227"/>
      <c r="B63" s="1227"/>
    </row>
    <row r="64" spans="1:2">
      <c r="A64" s="1227"/>
      <c r="B64" s="1227"/>
    </row>
    <row r="65" spans="1:2">
      <c r="A65" s="1227"/>
      <c r="B65" s="1227"/>
    </row>
    <row r="66" spans="1:2">
      <c r="A66" s="1227"/>
      <c r="B66" s="1227"/>
    </row>
    <row r="67" spans="1:2">
      <c r="A67" s="1227"/>
    </row>
    <row r="71" spans="1:2">
      <c r="B71" s="1227"/>
    </row>
    <row r="72" spans="1:2">
      <c r="B72" s="1227"/>
    </row>
    <row r="73" spans="1:2">
      <c r="B73" s="1227"/>
    </row>
    <row r="74" spans="1:2">
      <c r="A74" s="1227"/>
      <c r="B74" s="1227"/>
    </row>
    <row r="75" spans="1:2">
      <c r="A75" s="1227"/>
      <c r="B75" s="1227"/>
    </row>
    <row r="76" spans="1:2">
      <c r="A76" s="1227"/>
      <c r="B76" s="1227"/>
    </row>
    <row r="77" spans="1:2">
      <c r="A77" s="1227"/>
      <c r="B77" s="1227"/>
    </row>
    <row r="78" spans="1:2">
      <c r="A78" s="1227"/>
      <c r="B78" s="1227"/>
    </row>
    <row r="79" spans="1:2">
      <c r="A79" s="1227"/>
      <c r="B79" s="1227"/>
    </row>
    <row r="80" spans="1:2" ht="16">
      <c r="A80" s="1228"/>
      <c r="B80" s="1227"/>
    </row>
    <row r="81" spans="1:2">
      <c r="A81" s="1227"/>
      <c r="B81" s="1227"/>
    </row>
    <row r="82" spans="1:2">
      <c r="B82" s="1227"/>
    </row>
    <row r="83" spans="1:2">
      <c r="A83" s="1227"/>
      <c r="B83" s="1227"/>
    </row>
    <row r="84" spans="1:2">
      <c r="A84" s="1227"/>
      <c r="B84" s="1227"/>
    </row>
    <row r="85" spans="1:2">
      <c r="A85" s="1227"/>
      <c r="B85" s="1227"/>
    </row>
    <row r="86" spans="1:2">
      <c r="A86" s="1227"/>
      <c r="B86" s="1227"/>
    </row>
  </sheetData>
  <phoneticPr fontId="75" type="noConversion"/>
  <pageMargins left="0.28000000000000003" right="0.35433070866141736" top="0.59055118110236227" bottom="0.35433070866141736" header="0.23622047244094491" footer="0.19685039370078741"/>
  <pageSetup paperSize="9" scale="76" orientation="landscape" cellComments="asDisplayed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D2D0-2424-6E4C-A205-7562AF8882FD}">
  <dimension ref="A1:S108"/>
  <sheetViews>
    <sheetView topLeftCell="E1" zoomScale="75" workbookViewId="0">
      <selection activeCell="S14" sqref="S14"/>
    </sheetView>
  </sheetViews>
  <sheetFormatPr baseColWidth="10" defaultColWidth="10.19921875" defaultRowHeight="13"/>
  <cols>
    <col min="1" max="1" width="3.796875" style="1231" customWidth="1"/>
    <col min="2" max="2" width="3" style="1231" customWidth="1"/>
    <col min="3" max="3" width="49.3984375" style="1231" customWidth="1"/>
    <col min="4" max="12" width="10.19921875" style="1231" customWidth="1"/>
    <col min="13" max="13" width="9.19921875" style="1231" customWidth="1"/>
    <col min="14" max="14" width="2.796875" style="1231" customWidth="1"/>
    <col min="15" max="15" width="10.796875" style="1231" customWidth="1"/>
    <col min="16" max="16" width="10.59765625" style="1231" customWidth="1"/>
    <col min="17" max="17" width="2.796875" style="1231" customWidth="1"/>
    <col min="18" max="18" width="11.19921875" style="1231" customWidth="1"/>
    <col min="19" max="16384" width="10.19921875" style="1231"/>
  </cols>
  <sheetData>
    <row r="1" spans="1:19" ht="16">
      <c r="A1" s="1229"/>
      <c r="B1" s="1230" t="s">
        <v>1183</v>
      </c>
      <c r="C1" s="1229"/>
      <c r="D1" s="1229"/>
      <c r="E1" s="1229"/>
      <c r="F1" s="1229"/>
      <c r="G1" s="1229"/>
      <c r="H1" s="1229"/>
      <c r="I1" s="1229"/>
      <c r="J1" s="1229"/>
      <c r="K1" s="1229"/>
      <c r="L1" s="1229"/>
      <c r="M1" s="1229"/>
      <c r="N1" s="1229"/>
      <c r="O1" s="1229"/>
      <c r="P1" s="1229"/>
      <c r="Q1" s="1229"/>
    </row>
    <row r="2" spans="1:19" ht="14.25" customHeight="1" thickBot="1">
      <c r="A2" s="1229"/>
      <c r="B2" s="1232"/>
      <c r="C2" s="1232"/>
      <c r="D2" s="1232"/>
      <c r="E2" s="1232"/>
      <c r="F2" s="1232"/>
      <c r="G2" s="1232"/>
      <c r="H2" s="1232"/>
      <c r="I2" s="1232"/>
      <c r="J2" s="1232"/>
      <c r="K2" s="1232"/>
      <c r="L2" s="1232"/>
      <c r="M2" s="1232"/>
      <c r="N2" s="1232"/>
      <c r="O2" s="1232"/>
      <c r="P2" s="1232"/>
      <c r="Q2" s="1232"/>
    </row>
    <row r="3" spans="1:19" ht="13.5" customHeight="1">
      <c r="A3" s="1229"/>
      <c r="B3" s="1233"/>
      <c r="C3" s="1233"/>
      <c r="D3" s="1234"/>
      <c r="E3" s="1233"/>
      <c r="F3" s="1234"/>
      <c r="G3" s="1233"/>
      <c r="H3" s="1234"/>
      <c r="I3" s="1235"/>
      <c r="J3" s="1236"/>
      <c r="K3" s="1235"/>
      <c r="L3" s="1236"/>
      <c r="M3" s="1235"/>
      <c r="N3" s="1237"/>
      <c r="O3" s="1236" t="s">
        <v>45</v>
      </c>
      <c r="P3" s="1238" t="s">
        <v>1184</v>
      </c>
      <c r="Q3" s="1239"/>
      <c r="R3" s="1240" t="s">
        <v>1159</v>
      </c>
    </row>
    <row r="4" spans="1:19" ht="15.75" customHeight="1">
      <c r="A4" s="1229"/>
      <c r="B4" s="1241" t="s">
        <v>1830</v>
      </c>
      <c r="C4" s="1242"/>
      <c r="D4" s="1243">
        <v>1996</v>
      </c>
      <c r="E4" s="1244">
        <v>1997</v>
      </c>
      <c r="F4" s="1243">
        <v>1998</v>
      </c>
      <c r="G4" s="1244">
        <v>1999</v>
      </c>
      <c r="H4" s="1243">
        <v>2000</v>
      </c>
      <c r="I4" s="1244">
        <v>2001</v>
      </c>
      <c r="J4" s="1243">
        <v>2002</v>
      </c>
      <c r="K4" s="1244">
        <v>2003</v>
      </c>
      <c r="L4" s="1243">
        <v>2004</v>
      </c>
      <c r="M4" s="1244">
        <v>2005</v>
      </c>
      <c r="N4" s="1245"/>
      <c r="O4" s="1236" t="s">
        <v>628</v>
      </c>
      <c r="P4" s="1246" t="s">
        <v>1161</v>
      </c>
      <c r="Q4" s="1247"/>
      <c r="R4" s="1248" t="s">
        <v>1831</v>
      </c>
    </row>
    <row r="5" spans="1:19" ht="9.75" customHeight="1">
      <c r="A5" s="1229"/>
      <c r="B5" s="1241"/>
      <c r="C5" s="1242"/>
      <c r="D5" s="1249"/>
      <c r="E5" s="1250"/>
      <c r="F5" s="1249"/>
      <c r="G5" s="1250"/>
      <c r="H5" s="1249"/>
      <c r="I5" s="1251"/>
      <c r="J5" s="1252"/>
      <c r="K5" s="1251"/>
      <c r="L5" s="1252"/>
      <c r="M5" s="1251"/>
      <c r="N5" s="1253"/>
      <c r="O5" s="1252"/>
      <c r="P5" s="1246" t="s">
        <v>2400</v>
      </c>
      <c r="Q5" s="1247"/>
      <c r="R5" s="1249"/>
    </row>
    <row r="6" spans="1:19" ht="9.75" customHeight="1">
      <c r="A6" s="1229"/>
      <c r="B6" s="1254"/>
      <c r="C6" s="1255"/>
      <c r="D6" s="1256"/>
      <c r="E6" s="1257"/>
      <c r="F6" s="1256"/>
      <c r="G6" s="1257"/>
      <c r="H6" s="1256"/>
      <c r="I6" s="1258"/>
      <c r="J6" s="1259"/>
      <c r="K6" s="1258"/>
      <c r="L6" s="1259"/>
      <c r="M6" s="1258"/>
      <c r="N6" s="1260"/>
      <c r="O6" s="1259"/>
      <c r="P6" s="1261" t="s">
        <v>629</v>
      </c>
      <c r="Q6" s="1262"/>
      <c r="R6" s="1256"/>
    </row>
    <row r="7" spans="1:19" ht="17.25" customHeight="1" thickBot="1">
      <c r="A7" s="1714" t="s">
        <v>1185</v>
      </c>
      <c r="B7" s="1263" t="s">
        <v>1832</v>
      </c>
      <c r="C7" s="1264"/>
      <c r="D7" s="1265">
        <v>15102.8</v>
      </c>
      <c r="E7" s="1266">
        <v>15124.7</v>
      </c>
      <c r="F7" s="1265">
        <v>15686.5</v>
      </c>
      <c r="G7" s="1266">
        <v>15981.6</v>
      </c>
      <c r="H7" s="1265">
        <v>16973.123118</v>
      </c>
      <c r="I7" s="1266">
        <v>17916.27</v>
      </c>
      <c r="J7" s="1265">
        <v>18410.55</v>
      </c>
      <c r="K7" s="1266">
        <v>19050.633227000002</v>
      </c>
      <c r="L7" s="1265">
        <v>20102.942229619999</v>
      </c>
      <c r="M7" s="1266">
        <v>21309.873442980002</v>
      </c>
      <c r="N7" s="1267"/>
      <c r="O7" s="1268">
        <v>6.0037540752700957E-2</v>
      </c>
      <c r="P7" s="1269">
        <v>3.8995606319429221E-2</v>
      </c>
      <c r="Q7" s="1270"/>
      <c r="R7" s="1265">
        <v>21538.251839210003</v>
      </c>
    </row>
    <row r="8" spans="1:19" ht="14" thickBot="1">
      <c r="A8" s="1715"/>
      <c r="B8" s="1271"/>
      <c r="C8" s="1272" t="s">
        <v>1163</v>
      </c>
      <c r="D8" s="1273">
        <v>10780.5</v>
      </c>
      <c r="E8" s="1274">
        <v>11360.5</v>
      </c>
      <c r="F8" s="1273">
        <v>11926.9</v>
      </c>
      <c r="G8" s="1274">
        <v>12430.6</v>
      </c>
      <c r="H8" s="1273">
        <v>13190.308999999999</v>
      </c>
      <c r="I8" s="1274">
        <v>13986.27</v>
      </c>
      <c r="J8" s="1273">
        <v>14592.75</v>
      </c>
      <c r="K8" s="1274">
        <v>15335.619704000001</v>
      </c>
      <c r="L8" s="1273">
        <v>16307.508545999999</v>
      </c>
      <c r="M8" s="1274">
        <v>17352.720037080002</v>
      </c>
      <c r="N8" s="1275"/>
      <c r="O8" s="1276">
        <v>6.4093879707723955E-2</v>
      </c>
      <c r="P8" s="1277">
        <v>5.4313701956354432E-2</v>
      </c>
      <c r="Q8" s="1278"/>
      <c r="R8" s="1273">
        <v>17563.915602790003</v>
      </c>
    </row>
    <row r="9" spans="1:19" ht="14" thickBot="1">
      <c r="A9" s="1715"/>
      <c r="B9" s="1271"/>
      <c r="C9" s="1272" t="s">
        <v>1186</v>
      </c>
      <c r="D9" s="1273">
        <v>3809.6</v>
      </c>
      <c r="E9" s="1274">
        <v>3288.3</v>
      </c>
      <c r="F9" s="1273">
        <v>3299.5</v>
      </c>
      <c r="G9" s="1274">
        <v>2787.1</v>
      </c>
      <c r="H9" s="1273">
        <v>2199.056302</v>
      </c>
      <c r="I9" s="1274">
        <v>1576.7</v>
      </c>
      <c r="J9" s="1273">
        <v>1422.3</v>
      </c>
      <c r="K9" s="1274">
        <v>1354.5729260000001</v>
      </c>
      <c r="L9" s="1273">
        <v>1040.45917962</v>
      </c>
      <c r="M9" s="1274">
        <v>1144.4166189</v>
      </c>
      <c r="N9" s="1275"/>
      <c r="O9" s="1276">
        <v>9.991496189016047E-2</v>
      </c>
      <c r="P9" s="1277">
        <v>-0.12508231020833771</v>
      </c>
      <c r="Q9" s="1278"/>
      <c r="R9" s="1273">
        <v>1083.2765844199998</v>
      </c>
    </row>
    <row r="10" spans="1:19" ht="14" thickBot="1">
      <c r="A10" s="1715"/>
      <c r="B10" s="1271"/>
      <c r="C10" s="1272" t="s">
        <v>1187</v>
      </c>
      <c r="D10" s="1273">
        <v>512.70000000000005</v>
      </c>
      <c r="E10" s="1274">
        <v>475.9</v>
      </c>
      <c r="F10" s="1273">
        <v>460.1</v>
      </c>
      <c r="G10" s="1274">
        <v>763.9</v>
      </c>
      <c r="H10" s="1273">
        <v>1583.757816</v>
      </c>
      <c r="I10" s="1274">
        <v>2353.3000000000002</v>
      </c>
      <c r="J10" s="1273">
        <v>2395.5</v>
      </c>
      <c r="K10" s="1274">
        <v>2360.4405969999998</v>
      </c>
      <c r="L10" s="1273">
        <v>2754.9745040000003</v>
      </c>
      <c r="M10" s="1274">
        <v>2812.7367870000003</v>
      </c>
      <c r="N10" s="1275"/>
      <c r="O10" s="1276">
        <v>2.0966539950236784E-2</v>
      </c>
      <c r="P10" s="1277">
        <v>0.20820503640695898</v>
      </c>
      <c r="Q10" s="1278"/>
      <c r="R10" s="1273">
        <v>2891.0596519999999</v>
      </c>
    </row>
    <row r="11" spans="1:19" ht="7.5" customHeight="1" thickBot="1">
      <c r="A11" s="1715"/>
      <c r="B11" s="1271"/>
      <c r="C11" s="1271"/>
      <c r="D11" s="1279"/>
      <c r="E11" s="1280"/>
      <c r="F11" s="1279"/>
      <c r="G11" s="1280"/>
      <c r="H11" s="1279"/>
      <c r="I11" s="1280"/>
      <c r="J11" s="1279"/>
      <c r="K11" s="1280"/>
      <c r="L11" s="1279"/>
      <c r="M11" s="1280"/>
      <c r="N11" s="1281"/>
      <c r="O11" s="1282"/>
      <c r="P11" s="1283"/>
      <c r="Q11" s="1284"/>
      <c r="R11" s="1285"/>
    </row>
    <row r="12" spans="1:19" ht="16.5" customHeight="1" thickBot="1">
      <c r="A12" s="1715"/>
      <c r="B12" s="1286" t="s">
        <v>1833</v>
      </c>
      <c r="C12" s="1271"/>
      <c r="D12" s="1287">
        <v>72.599999999999739</v>
      </c>
      <c r="E12" s="1288">
        <v>80.999999999998636</v>
      </c>
      <c r="F12" s="1287">
        <v>106.80000000000098</v>
      </c>
      <c r="G12" s="1288">
        <v>50.400000000001</v>
      </c>
      <c r="H12" s="1287">
        <v>32.676882000000205</v>
      </c>
      <c r="I12" s="1288">
        <v>42.130000000000337</v>
      </c>
      <c r="J12" s="1287">
        <v>72.150000000000091</v>
      </c>
      <c r="K12" s="1288">
        <v>58.37477299999955</v>
      </c>
      <c r="L12" s="1287">
        <v>57.557770380000875</v>
      </c>
      <c r="M12" s="1288">
        <v>-94.35827220000283</v>
      </c>
      <c r="N12" s="1289"/>
      <c r="O12" s="1290">
        <v>-2.6393663544824997</v>
      </c>
      <c r="P12" s="1291">
        <v>-2.0295543126416167</v>
      </c>
      <c r="Q12" s="1292"/>
      <c r="R12" s="1293">
        <v>59.5</v>
      </c>
      <c r="S12" s="1292"/>
    </row>
    <row r="13" spans="1:19" ht="9" customHeight="1" thickBot="1">
      <c r="A13" s="1715"/>
      <c r="B13" s="1271"/>
      <c r="C13" s="1271"/>
      <c r="D13" s="1279"/>
      <c r="E13" s="1280"/>
      <c r="F13" s="1279"/>
      <c r="G13" s="1280"/>
      <c r="H13" s="1279"/>
      <c r="I13" s="1280"/>
      <c r="J13" s="1279"/>
      <c r="K13" s="1280"/>
      <c r="L13" s="1279"/>
      <c r="M13" s="1280"/>
      <c r="N13" s="1281"/>
      <c r="O13" s="1282"/>
      <c r="P13" s="1283"/>
      <c r="Q13" s="1284"/>
      <c r="R13" s="1285"/>
      <c r="S13" s="1294"/>
    </row>
    <row r="14" spans="1:19" ht="16.5" customHeight="1" thickBot="1">
      <c r="A14" s="1715"/>
      <c r="B14" s="1286" t="s">
        <v>1834</v>
      </c>
      <c r="C14" s="1271"/>
      <c r="D14" s="1287">
        <v>15175.4</v>
      </c>
      <c r="E14" s="1288">
        <v>15205.7</v>
      </c>
      <c r="F14" s="1287">
        <v>15793.3</v>
      </c>
      <c r="G14" s="1288">
        <v>16032</v>
      </c>
      <c r="H14" s="1287">
        <v>17005.8</v>
      </c>
      <c r="I14" s="1288">
        <v>17958.400000000001</v>
      </c>
      <c r="J14" s="1287">
        <v>18482.7</v>
      </c>
      <c r="K14" s="1288">
        <v>19109.008000000002</v>
      </c>
      <c r="L14" s="1287">
        <v>20160.5</v>
      </c>
      <c r="M14" s="1288">
        <v>21215.51517078</v>
      </c>
      <c r="N14" s="1289"/>
      <c r="O14" s="1290">
        <v>5.2330803838198436E-2</v>
      </c>
      <c r="P14" s="1291">
        <v>3.7930226053542349E-2</v>
      </c>
      <c r="Q14" s="1292"/>
      <c r="R14" s="1293">
        <v>21597.751839210003</v>
      </c>
      <c r="S14" s="1292"/>
    </row>
    <row r="15" spans="1:19" ht="8.25" customHeight="1" thickBot="1">
      <c r="A15" s="1715"/>
      <c r="B15" s="1271"/>
      <c r="C15" s="1271"/>
      <c r="D15" s="1279"/>
      <c r="E15" s="1280"/>
      <c r="F15" s="1279"/>
      <c r="G15" s="1280"/>
      <c r="H15" s="1279"/>
      <c r="I15" s="1280"/>
      <c r="J15" s="1279"/>
      <c r="K15" s="1280"/>
      <c r="L15" s="1279"/>
      <c r="M15" s="1280"/>
      <c r="N15" s="1281"/>
      <c r="O15" s="1282"/>
      <c r="P15" s="1283"/>
      <c r="Q15" s="1284"/>
      <c r="R15" s="1285"/>
      <c r="S15" s="1294"/>
    </row>
    <row r="16" spans="1:19" ht="16.5" customHeight="1" thickBot="1">
      <c r="A16" s="1715"/>
      <c r="B16" s="1286" t="s">
        <v>1835</v>
      </c>
      <c r="C16" s="1271"/>
      <c r="D16" s="1287">
        <v>1460.8</v>
      </c>
      <c r="E16" s="1288">
        <v>1518</v>
      </c>
      <c r="F16" s="1287">
        <v>1595.6</v>
      </c>
      <c r="G16" s="1288">
        <v>1582.1</v>
      </c>
      <c r="H16" s="1287">
        <v>1600</v>
      </c>
      <c r="I16" s="1288">
        <v>1628.2</v>
      </c>
      <c r="J16" s="1287">
        <v>1616.1</v>
      </c>
      <c r="K16" s="1288">
        <v>1673.1039999999998</v>
      </c>
      <c r="L16" s="1287">
        <v>1731.0519999999999</v>
      </c>
      <c r="M16" s="1288">
        <v>1731.91264505</v>
      </c>
      <c r="N16" s="1289"/>
      <c r="O16" s="1290">
        <v>4.9718035622281498E-4</v>
      </c>
      <c r="P16" s="1291">
        <v>1.9095830582111617E-2</v>
      </c>
      <c r="Q16" s="1292"/>
      <c r="R16" s="1293">
        <v>1750.4735920844964</v>
      </c>
      <c r="S16" s="1292"/>
    </row>
    <row r="17" spans="1:18" ht="8.25" customHeight="1" thickBot="1">
      <c r="A17" s="1715"/>
      <c r="B17" s="1271"/>
      <c r="C17" s="1271"/>
      <c r="D17" s="1295"/>
      <c r="E17" s="1271"/>
      <c r="F17" s="1295"/>
      <c r="G17" s="1271"/>
      <c r="H17" s="1295"/>
      <c r="I17" s="1271"/>
      <c r="J17" s="1295"/>
      <c r="K17" s="1271"/>
      <c r="L17" s="1295"/>
      <c r="M17" s="1271"/>
      <c r="N17" s="1296"/>
      <c r="O17" s="1282"/>
      <c r="P17" s="1283"/>
      <c r="Q17" s="1284"/>
      <c r="R17" s="1285"/>
    </row>
    <row r="18" spans="1:18" ht="16.5" customHeight="1" thickBot="1">
      <c r="A18" s="1715"/>
      <c r="B18" s="1286" t="s">
        <v>1836</v>
      </c>
      <c r="C18" s="1271"/>
      <c r="D18" s="1287">
        <v>16636.2</v>
      </c>
      <c r="E18" s="1288">
        <v>16723.7</v>
      </c>
      <c r="F18" s="1287">
        <v>17388.900000000001</v>
      </c>
      <c r="G18" s="1288">
        <v>17614.099999999999</v>
      </c>
      <c r="H18" s="1287">
        <v>18605.8</v>
      </c>
      <c r="I18" s="1288">
        <v>19586.599999999999</v>
      </c>
      <c r="J18" s="1287">
        <v>20098.8</v>
      </c>
      <c r="K18" s="1288">
        <v>20782.112000000001</v>
      </c>
      <c r="L18" s="1287">
        <v>21891.552</v>
      </c>
      <c r="M18" s="1288">
        <v>22947.42781583</v>
      </c>
      <c r="N18" s="1297"/>
      <c r="O18" s="1290">
        <v>4.8232113275020527E-2</v>
      </c>
      <c r="P18" s="1291">
        <v>3.6382298577620764E-2</v>
      </c>
      <c r="Q18" s="1289"/>
      <c r="R18" s="1293">
        <v>23348.225431294501</v>
      </c>
    </row>
    <row r="19" spans="1:18" ht="14" thickBot="1">
      <c r="A19" s="1715"/>
      <c r="B19" s="1271"/>
      <c r="C19" s="1272" t="s">
        <v>1163</v>
      </c>
      <c r="D19" s="1273">
        <v>11739.7</v>
      </c>
      <c r="E19" s="1274">
        <v>12260.3</v>
      </c>
      <c r="F19" s="1273">
        <v>12798.7</v>
      </c>
      <c r="G19" s="1274">
        <v>13282.2</v>
      </c>
      <c r="H19" s="1273">
        <v>14059.1</v>
      </c>
      <c r="I19" s="1274">
        <v>14886.7</v>
      </c>
      <c r="J19" s="1273">
        <v>15483.3</v>
      </c>
      <c r="K19" s="1274">
        <v>16304.208000000002</v>
      </c>
      <c r="L19" s="1273">
        <v>17379.804</v>
      </c>
      <c r="M19" s="1274">
        <v>18272.676915579999</v>
      </c>
      <c r="N19" s="1275"/>
      <c r="O19" s="1276">
        <v>5.1374164839833592E-2</v>
      </c>
      <c r="P19" s="1277">
        <v>5.0387304583355164E-2</v>
      </c>
      <c r="Q19" s="1278"/>
      <c r="R19" s="1298">
        <v>18554.133309202785</v>
      </c>
    </row>
    <row r="20" spans="1:18" ht="14" thickBot="1">
      <c r="A20" s="1715"/>
      <c r="B20" s="1271"/>
      <c r="C20" s="1272" t="s">
        <v>1186</v>
      </c>
      <c r="D20" s="1273">
        <v>4375.2</v>
      </c>
      <c r="E20" s="1274">
        <v>3892.3</v>
      </c>
      <c r="F20" s="1273">
        <v>4038.2</v>
      </c>
      <c r="G20" s="1274">
        <v>3415.2</v>
      </c>
      <c r="H20" s="1273">
        <v>2646.1</v>
      </c>
      <c r="I20" s="1274">
        <v>1875.9</v>
      </c>
      <c r="J20" s="1273">
        <v>1740.9</v>
      </c>
      <c r="K20" s="1274">
        <v>1645.404</v>
      </c>
      <c r="L20" s="1273">
        <v>1205.748</v>
      </c>
      <c r="M20" s="1274">
        <v>1392.2470854699995</v>
      </c>
      <c r="N20" s="1275"/>
      <c r="O20" s="1276">
        <v>0.15467501125442418</v>
      </c>
      <c r="P20" s="1277">
        <v>-0.1194652707855266</v>
      </c>
      <c r="Q20" s="1278"/>
      <c r="R20" s="1298">
        <v>1334.5041448544428</v>
      </c>
    </row>
    <row r="21" spans="1:18" ht="14" thickBot="1">
      <c r="A21" s="1715"/>
      <c r="B21" s="1271"/>
      <c r="C21" s="1272" t="s">
        <v>1187</v>
      </c>
      <c r="D21" s="1273">
        <v>521.29999999999995</v>
      </c>
      <c r="E21" s="1274">
        <v>571.1</v>
      </c>
      <c r="F21" s="1273">
        <v>552</v>
      </c>
      <c r="G21" s="1274">
        <v>916.7</v>
      </c>
      <c r="H21" s="1273">
        <v>1900.6</v>
      </c>
      <c r="I21" s="1274">
        <v>2824</v>
      </c>
      <c r="J21" s="1273">
        <v>2874.6</v>
      </c>
      <c r="K21" s="1274">
        <v>2832.5</v>
      </c>
      <c r="L21" s="1273">
        <v>3306</v>
      </c>
      <c r="M21" s="1274">
        <v>3282.5038147800005</v>
      </c>
      <c r="N21" s="1275"/>
      <c r="O21" s="1276">
        <v>-7.1071340653355852E-3</v>
      </c>
      <c r="P21" s="1277">
        <v>0.22684821381082476</v>
      </c>
      <c r="Q21" s="1278"/>
      <c r="R21" s="1298">
        <v>3459.5879772372714</v>
      </c>
    </row>
    <row r="22" spans="1:18" ht="14" thickBot="1">
      <c r="A22" s="1715"/>
      <c r="B22" s="1271"/>
      <c r="C22" s="1272"/>
      <c r="D22" s="1299"/>
      <c r="E22" s="1300"/>
      <c r="F22" s="1299"/>
      <c r="G22" s="1300"/>
      <c r="H22" s="1299"/>
      <c r="I22" s="1300"/>
      <c r="J22" s="1299"/>
      <c r="K22" s="1300"/>
      <c r="L22" s="1299"/>
      <c r="M22" s="1300"/>
      <c r="N22" s="1301"/>
      <c r="O22" s="1302"/>
      <c r="P22" s="1303"/>
      <c r="Q22" s="1304"/>
      <c r="R22" s="1305"/>
    </row>
    <row r="23" spans="1:18" ht="17.25" customHeight="1" thickBot="1">
      <c r="A23" s="1715"/>
      <c r="B23" s="1286" t="s">
        <v>1837</v>
      </c>
      <c r="C23" s="1271"/>
      <c r="D23" s="1287">
        <v>1770.8</v>
      </c>
      <c r="E23" s="1288">
        <v>1884.4</v>
      </c>
      <c r="F23" s="1287">
        <v>2155</v>
      </c>
      <c r="G23" s="1288">
        <v>2249.6</v>
      </c>
      <c r="H23" s="1287">
        <v>2343.1</v>
      </c>
      <c r="I23" s="1288">
        <v>2428.2489999999998</v>
      </c>
      <c r="J23" s="1287">
        <v>2541</v>
      </c>
      <c r="K23" s="1288">
        <v>2627.5</v>
      </c>
      <c r="L23" s="1287">
        <v>2868.2</v>
      </c>
      <c r="M23" s="1288">
        <v>3031.6779155400004</v>
      </c>
      <c r="N23" s="1297"/>
      <c r="O23" s="1290">
        <v>5.6996693236176066E-2</v>
      </c>
      <c r="P23" s="1291">
        <v>6.1563431524196854E-2</v>
      </c>
      <c r="Q23" s="1289"/>
      <c r="R23" s="1287">
        <v>3081.5039062299998</v>
      </c>
    </row>
    <row r="24" spans="1:18" ht="14" thickBot="1">
      <c r="A24" s="1715"/>
      <c r="B24" s="1271"/>
      <c r="C24" s="1272" t="s">
        <v>1163</v>
      </c>
      <c r="D24" s="1273">
        <v>1678.5</v>
      </c>
      <c r="E24" s="1274">
        <v>1778</v>
      </c>
      <c r="F24" s="1273">
        <v>2097.1999999999998</v>
      </c>
      <c r="G24" s="1274">
        <v>2189.9</v>
      </c>
      <c r="H24" s="1273">
        <v>2288</v>
      </c>
      <c r="I24" s="1274">
        <v>2400.1889999999999</v>
      </c>
      <c r="J24" s="1273">
        <v>2502.83</v>
      </c>
      <c r="K24" s="1274">
        <v>2588.5</v>
      </c>
      <c r="L24" s="1273">
        <v>2832.3</v>
      </c>
      <c r="M24" s="1274">
        <v>2994.9866096700002</v>
      </c>
      <c r="N24" s="1275"/>
      <c r="O24" s="1276">
        <v>5.7439752028386915E-2</v>
      </c>
      <c r="P24" s="1277">
        <v>6.6452469863212071E-2</v>
      </c>
      <c r="Q24" s="1278"/>
      <c r="R24" s="1273">
        <v>3038.7113187199998</v>
      </c>
    </row>
    <row r="25" spans="1:18" ht="14" thickBot="1">
      <c r="A25" s="1715"/>
      <c r="B25" s="1271"/>
      <c r="C25" s="1272" t="s">
        <v>1186</v>
      </c>
      <c r="D25" s="1273">
        <v>92.3</v>
      </c>
      <c r="E25" s="1274">
        <v>106.4</v>
      </c>
      <c r="F25" s="1273">
        <v>57.8</v>
      </c>
      <c r="G25" s="1274">
        <v>59.7</v>
      </c>
      <c r="H25" s="1273">
        <v>55.1</v>
      </c>
      <c r="I25" s="1274">
        <v>28.06</v>
      </c>
      <c r="J25" s="1273">
        <v>38.17</v>
      </c>
      <c r="K25" s="1274">
        <v>39</v>
      </c>
      <c r="L25" s="1273">
        <v>35.9</v>
      </c>
      <c r="M25" s="1274">
        <v>36.691305870000001</v>
      </c>
      <c r="N25" s="1275"/>
      <c r="O25" s="1276">
        <v>2.2041946239554466E-2</v>
      </c>
      <c r="P25" s="1277">
        <v>-9.7422282660938109E-2</v>
      </c>
      <c r="Q25" s="1278"/>
      <c r="R25" s="1273">
        <v>42.792587509999997</v>
      </c>
    </row>
    <row r="26" spans="1:18" ht="14" thickBot="1">
      <c r="A26" s="1715"/>
      <c r="B26" s="1271"/>
      <c r="C26" s="1272" t="s">
        <v>1187</v>
      </c>
      <c r="D26" s="1273">
        <v>0</v>
      </c>
      <c r="E26" s="1274">
        <v>0</v>
      </c>
      <c r="F26" s="1273">
        <v>0</v>
      </c>
      <c r="G26" s="1274">
        <v>0</v>
      </c>
      <c r="H26" s="1273">
        <v>0</v>
      </c>
      <c r="I26" s="1274">
        <v>0</v>
      </c>
      <c r="J26" s="1273">
        <v>0</v>
      </c>
      <c r="K26" s="1274">
        <v>0</v>
      </c>
      <c r="L26" s="1273">
        <v>0</v>
      </c>
      <c r="M26" s="1274">
        <v>0</v>
      </c>
      <c r="N26" s="1275"/>
      <c r="O26" s="1276" t="s">
        <v>1412</v>
      </c>
      <c r="P26" s="1277" t="s">
        <v>1412</v>
      </c>
      <c r="Q26" s="1278"/>
      <c r="R26" s="1273">
        <v>0</v>
      </c>
    </row>
    <row r="27" spans="1:18" ht="14" thickBot="1">
      <c r="A27" s="1715"/>
      <c r="B27" s="1271"/>
      <c r="C27" s="1272"/>
      <c r="D27" s="1299"/>
      <c r="E27" s="1300"/>
      <c r="F27" s="1299"/>
      <c r="G27" s="1300"/>
      <c r="H27" s="1299"/>
      <c r="I27" s="1300"/>
      <c r="J27" s="1299"/>
      <c r="K27" s="1300"/>
      <c r="L27" s="1299"/>
      <c r="M27" s="1300"/>
      <c r="N27" s="1301"/>
      <c r="O27" s="1302"/>
      <c r="P27" s="1303"/>
      <c r="Q27" s="1304"/>
      <c r="R27" s="1305"/>
    </row>
    <row r="28" spans="1:18" ht="17.25" customHeight="1" thickBot="1">
      <c r="A28" s="1715"/>
      <c r="B28" s="1286" t="s">
        <v>1838</v>
      </c>
      <c r="C28" s="1271"/>
      <c r="D28" s="1306">
        <v>18407</v>
      </c>
      <c r="E28" s="1307">
        <v>18608.099999999999</v>
      </c>
      <c r="F28" s="1306">
        <v>19543.900000000001</v>
      </c>
      <c r="G28" s="1307">
        <v>19863.7</v>
      </c>
      <c r="H28" s="1306">
        <v>20948.900000000001</v>
      </c>
      <c r="I28" s="1307">
        <v>22014.849000000002</v>
      </c>
      <c r="J28" s="1306">
        <v>22639.8</v>
      </c>
      <c r="K28" s="1307">
        <v>23409.612000000001</v>
      </c>
      <c r="L28" s="1306">
        <v>24759.752</v>
      </c>
      <c r="M28" s="1307">
        <v>25979.10573137</v>
      </c>
      <c r="N28" s="1308"/>
      <c r="O28" s="1309">
        <v>4.9247412953489889E-2</v>
      </c>
      <c r="P28" s="1310">
        <v>3.9026916581090809E-2</v>
      </c>
      <c r="Q28" s="1311"/>
      <c r="R28" s="1312">
        <v>26429.729337524499</v>
      </c>
    </row>
    <row r="29" spans="1:18" ht="14" thickBot="1">
      <c r="A29" s="1715"/>
      <c r="B29" s="1271"/>
      <c r="C29" s="1272" t="s">
        <v>1163</v>
      </c>
      <c r="D29" s="1313">
        <v>13418.2</v>
      </c>
      <c r="E29" s="1314">
        <v>14038.3</v>
      </c>
      <c r="F29" s="1313">
        <v>14895.9</v>
      </c>
      <c r="G29" s="1314">
        <v>15472.1</v>
      </c>
      <c r="H29" s="1313">
        <v>16347.1</v>
      </c>
      <c r="I29" s="1314">
        <v>17286.888999999999</v>
      </c>
      <c r="J29" s="1313">
        <v>17986.13</v>
      </c>
      <c r="K29" s="1314">
        <v>18892.708000000002</v>
      </c>
      <c r="L29" s="1313">
        <v>20212.103999999999</v>
      </c>
      <c r="M29" s="1314">
        <v>21267.663525249998</v>
      </c>
      <c r="N29" s="1315"/>
      <c r="O29" s="1316">
        <v>5.2224128930367542E-2</v>
      </c>
      <c r="P29" s="1317">
        <v>5.2507157171907126E-2</v>
      </c>
      <c r="Q29" s="1318"/>
      <c r="R29" s="1319">
        <v>21592.844627922786</v>
      </c>
    </row>
    <row r="30" spans="1:18" ht="14" thickBot="1">
      <c r="A30" s="1715"/>
      <c r="B30" s="1271"/>
      <c r="C30" s="1272" t="s">
        <v>1186</v>
      </c>
      <c r="D30" s="1313">
        <v>4467.5</v>
      </c>
      <c r="E30" s="1314">
        <v>3998.7</v>
      </c>
      <c r="F30" s="1313">
        <v>4096</v>
      </c>
      <c r="G30" s="1314">
        <v>3474.9</v>
      </c>
      <c r="H30" s="1313">
        <v>2701.2</v>
      </c>
      <c r="I30" s="1314">
        <v>1903.96</v>
      </c>
      <c r="J30" s="1313">
        <v>1779.07</v>
      </c>
      <c r="K30" s="1314">
        <v>1684.404</v>
      </c>
      <c r="L30" s="1313">
        <v>1241.6480000000001</v>
      </c>
      <c r="M30" s="1314">
        <v>1428.9383913399995</v>
      </c>
      <c r="N30" s="1315"/>
      <c r="O30" s="1316">
        <v>0.15084016673002276</v>
      </c>
      <c r="P30" s="1317">
        <v>-0.1189626355814174</v>
      </c>
      <c r="Q30" s="1318"/>
      <c r="R30" s="1319">
        <v>1377.2967323644427</v>
      </c>
    </row>
    <row r="31" spans="1:18">
      <c r="A31" s="1715"/>
      <c r="B31" s="1320"/>
      <c r="C31" s="1321" t="s">
        <v>1187</v>
      </c>
      <c r="D31" s="1322">
        <v>521.29999999999995</v>
      </c>
      <c r="E31" s="1323">
        <v>571.1</v>
      </c>
      <c r="F31" s="1322">
        <v>552</v>
      </c>
      <c r="G31" s="1323">
        <v>916.7</v>
      </c>
      <c r="H31" s="1322">
        <v>1900.6</v>
      </c>
      <c r="I31" s="1323">
        <v>2824</v>
      </c>
      <c r="J31" s="1322">
        <v>2874.6</v>
      </c>
      <c r="K31" s="1323">
        <v>2832.5</v>
      </c>
      <c r="L31" s="1322">
        <v>3306</v>
      </c>
      <c r="M31" s="1323">
        <v>3282.5038147800005</v>
      </c>
      <c r="N31" s="1324"/>
      <c r="O31" s="1325">
        <v>-7.1071340653355852E-3</v>
      </c>
      <c r="P31" s="1326">
        <v>0.22684821381082476</v>
      </c>
      <c r="Q31" s="1327"/>
      <c r="R31" s="1328">
        <v>3459.5879772372714</v>
      </c>
    </row>
    <row r="32" spans="1:18" ht="8.25" customHeight="1">
      <c r="A32" s="1229"/>
      <c r="B32" s="1329"/>
      <c r="C32" s="1330"/>
      <c r="D32" s="1331"/>
      <c r="E32" s="1331"/>
      <c r="F32" s="1331"/>
      <c r="G32" s="1331"/>
      <c r="H32" s="1331"/>
      <c r="I32" s="1332"/>
      <c r="J32" s="1332"/>
      <c r="K32" s="1332"/>
      <c r="L32" s="1332"/>
      <c r="M32" s="1332"/>
      <c r="N32" s="1332"/>
      <c r="O32" s="1333"/>
      <c r="P32" s="1334"/>
      <c r="Q32" s="1333"/>
      <c r="R32" s="1335"/>
    </row>
    <row r="33" spans="1:18" ht="8.25" customHeight="1">
      <c r="A33" s="1229"/>
      <c r="B33" s="1336"/>
      <c r="C33" s="1337"/>
      <c r="D33" s="1338"/>
      <c r="E33" s="1338"/>
      <c r="F33" s="1338"/>
      <c r="G33" s="1338"/>
      <c r="H33" s="1338"/>
      <c r="I33" s="1339"/>
      <c r="J33" s="1339"/>
      <c r="K33" s="1339"/>
      <c r="L33" s="1339"/>
      <c r="M33" s="1339"/>
      <c r="N33" s="1339"/>
      <c r="O33" s="1340"/>
      <c r="P33" s="1341"/>
      <c r="Q33" s="1340"/>
      <c r="R33" s="1342"/>
    </row>
    <row r="34" spans="1:18" ht="15.75" customHeight="1" thickBot="1">
      <c r="A34" s="1712" t="s">
        <v>919</v>
      </c>
      <c r="B34" s="1263" t="s">
        <v>1839</v>
      </c>
      <c r="C34" s="1264"/>
      <c r="D34" s="1265">
        <v>16013.1</v>
      </c>
      <c r="E34" s="1266">
        <v>16937.3</v>
      </c>
      <c r="F34" s="1265">
        <v>17695.3</v>
      </c>
      <c r="G34" s="1266">
        <v>17814.400000000001</v>
      </c>
      <c r="H34" s="1265">
        <v>18506.971013000002</v>
      </c>
      <c r="I34" s="1266">
        <v>19132.22</v>
      </c>
      <c r="J34" s="1265">
        <v>20686.96</v>
      </c>
      <c r="K34" s="1266">
        <v>22048.513701</v>
      </c>
      <c r="L34" s="1265">
        <v>23360.39678399</v>
      </c>
      <c r="M34" s="1266">
        <v>23865.649597220003</v>
      </c>
      <c r="N34" s="1267"/>
      <c r="O34" s="1268">
        <v>2.1628605793899691E-2</v>
      </c>
      <c r="P34" s="1269">
        <v>4.5334577062559944E-2</v>
      </c>
      <c r="Q34" s="1270"/>
      <c r="R34" s="1265">
        <v>24817.983544449999</v>
      </c>
    </row>
    <row r="35" spans="1:18" ht="15.75" customHeight="1" thickBot="1">
      <c r="A35" s="1713"/>
      <c r="B35" s="1271"/>
      <c r="C35" s="1272" t="s">
        <v>1840</v>
      </c>
      <c r="D35" s="1273">
        <v>11035.2</v>
      </c>
      <c r="E35" s="1274">
        <v>11924.8</v>
      </c>
      <c r="F35" s="1273">
        <v>12604.2</v>
      </c>
      <c r="G35" s="1274">
        <v>12949.5</v>
      </c>
      <c r="H35" s="1273">
        <v>13346.689</v>
      </c>
      <c r="I35" s="1274">
        <v>13954.72</v>
      </c>
      <c r="J35" s="1273">
        <v>15296.16</v>
      </c>
      <c r="K35" s="1274">
        <v>16759.707467</v>
      </c>
      <c r="L35" s="1273">
        <v>17979.586842000001</v>
      </c>
      <c r="M35" s="1274">
        <v>18442.676721830001</v>
      </c>
      <c r="N35" s="1275"/>
      <c r="O35" s="1276">
        <v>2.5756424989045401E-2</v>
      </c>
      <c r="P35" s="1277">
        <v>5.87237079751044E-2</v>
      </c>
      <c r="Q35" s="1278"/>
      <c r="R35" s="1273">
        <v>19234.85838514</v>
      </c>
    </row>
    <row r="36" spans="1:18" ht="14" thickBot="1">
      <c r="A36" s="1713"/>
      <c r="B36" s="1271"/>
      <c r="C36" s="1272" t="s">
        <v>1186</v>
      </c>
      <c r="D36" s="1273">
        <v>4337.5</v>
      </c>
      <c r="E36" s="1274">
        <v>4410.6000000000004</v>
      </c>
      <c r="F36" s="1273">
        <v>4453.3</v>
      </c>
      <c r="G36" s="1274">
        <v>3766.7</v>
      </c>
      <c r="H36" s="1273">
        <v>2917.3519609999998</v>
      </c>
      <c r="I36" s="1274">
        <v>1987</v>
      </c>
      <c r="J36" s="1273">
        <v>1958.4</v>
      </c>
      <c r="K36" s="1274">
        <v>1882.6076640000001</v>
      </c>
      <c r="L36" s="1273">
        <v>1358.7895999899999</v>
      </c>
      <c r="M36" s="1274">
        <v>1397.6693543900001</v>
      </c>
      <c r="N36" s="1275"/>
      <c r="O36" s="1276">
        <v>2.8613520739551035E-2</v>
      </c>
      <c r="P36" s="1277">
        <v>-0.11823742556291561</v>
      </c>
      <c r="Q36" s="1278"/>
      <c r="R36" s="1273">
        <v>1384.0624223099999</v>
      </c>
    </row>
    <row r="37" spans="1:18" ht="14" thickBot="1">
      <c r="A37" s="1713"/>
      <c r="B37" s="1271"/>
      <c r="C37" s="1272" t="s">
        <v>1187</v>
      </c>
      <c r="D37" s="1273">
        <v>640.4</v>
      </c>
      <c r="E37" s="1274">
        <v>601.9</v>
      </c>
      <c r="F37" s="1273">
        <v>637.79999999999995</v>
      </c>
      <c r="G37" s="1274">
        <v>1098.2</v>
      </c>
      <c r="H37" s="1273">
        <v>2242.9300519999997</v>
      </c>
      <c r="I37" s="1274">
        <v>3190.5</v>
      </c>
      <c r="J37" s="1273">
        <v>3432.4</v>
      </c>
      <c r="K37" s="1274">
        <v>3406.1985699999996</v>
      </c>
      <c r="L37" s="1273">
        <v>4022.0203419999989</v>
      </c>
      <c r="M37" s="1274">
        <v>4025.3035210000007</v>
      </c>
      <c r="N37" s="1275"/>
      <c r="O37" s="1276">
        <v>8.1630094351270444E-4</v>
      </c>
      <c r="P37" s="1277">
        <v>0.22660648558878438</v>
      </c>
      <c r="Q37" s="1278"/>
      <c r="R37" s="1273">
        <v>4199.0627370000002</v>
      </c>
    </row>
    <row r="38" spans="1:18" ht="9.75" customHeight="1" thickBot="1">
      <c r="A38" s="1713"/>
      <c r="B38" s="1271"/>
      <c r="C38" s="1272"/>
      <c r="D38" s="1273"/>
      <c r="E38" s="1274"/>
      <c r="F38" s="1273"/>
      <c r="G38" s="1274"/>
      <c r="H38" s="1273"/>
      <c r="I38" s="1274"/>
      <c r="J38" s="1273"/>
      <c r="K38" s="1274"/>
      <c r="L38" s="1273"/>
      <c r="M38" s="1274"/>
      <c r="N38" s="1275"/>
      <c r="O38" s="1276"/>
      <c r="P38" s="1277"/>
      <c r="Q38" s="1278"/>
      <c r="R38" s="1343"/>
    </row>
    <row r="39" spans="1:18" ht="17.25" customHeight="1" thickBot="1">
      <c r="A39" s="1713"/>
      <c r="B39" s="1286" t="s">
        <v>1837</v>
      </c>
      <c r="C39" s="1271"/>
      <c r="D39" s="1287">
        <v>1770.8</v>
      </c>
      <c r="E39" s="1288">
        <v>1884.4</v>
      </c>
      <c r="F39" s="1287">
        <v>2155</v>
      </c>
      <c r="G39" s="1288">
        <v>2249.6</v>
      </c>
      <c r="H39" s="1287">
        <v>2343.1</v>
      </c>
      <c r="I39" s="1288">
        <v>2428.2489999999998</v>
      </c>
      <c r="J39" s="1287">
        <v>2541</v>
      </c>
      <c r="K39" s="1288">
        <v>2627.5</v>
      </c>
      <c r="L39" s="1287">
        <v>2868.2</v>
      </c>
      <c r="M39" s="1288">
        <v>3031.6779155400004</v>
      </c>
      <c r="N39" s="1297"/>
      <c r="O39" s="1290">
        <v>5.6996693236176066E-2</v>
      </c>
      <c r="P39" s="1291">
        <v>6.1563431524196854E-2</v>
      </c>
      <c r="Q39" s="1289"/>
      <c r="R39" s="1287">
        <v>3081.5039062299998</v>
      </c>
    </row>
    <row r="40" spans="1:18" ht="14" thickBot="1">
      <c r="A40" s="1713"/>
      <c r="B40" s="1271"/>
      <c r="C40" s="1272" t="s">
        <v>1163</v>
      </c>
      <c r="D40" s="1273">
        <v>1678.5</v>
      </c>
      <c r="E40" s="1274">
        <v>1778</v>
      </c>
      <c r="F40" s="1273">
        <v>2097.1999999999998</v>
      </c>
      <c r="G40" s="1274">
        <v>2189.9</v>
      </c>
      <c r="H40" s="1273">
        <v>2288</v>
      </c>
      <c r="I40" s="1274">
        <v>2400.1889999999999</v>
      </c>
      <c r="J40" s="1273">
        <v>2502.83</v>
      </c>
      <c r="K40" s="1274">
        <v>2588.5</v>
      </c>
      <c r="L40" s="1273">
        <v>2832.3</v>
      </c>
      <c r="M40" s="1274">
        <v>2994.9866096700002</v>
      </c>
      <c r="N40" s="1275"/>
      <c r="O40" s="1276">
        <v>5.7439752028386915E-2</v>
      </c>
      <c r="P40" s="1277">
        <v>6.6452469863212071E-2</v>
      </c>
      <c r="Q40" s="1278"/>
      <c r="R40" s="1273">
        <v>3038.7113187199998</v>
      </c>
    </row>
    <row r="41" spans="1:18" ht="14" thickBot="1">
      <c r="A41" s="1713"/>
      <c r="B41" s="1271"/>
      <c r="C41" s="1272" t="s">
        <v>1186</v>
      </c>
      <c r="D41" s="1273">
        <v>92.3</v>
      </c>
      <c r="E41" s="1274">
        <v>106.4</v>
      </c>
      <c r="F41" s="1273">
        <v>57.8</v>
      </c>
      <c r="G41" s="1274">
        <v>59.7</v>
      </c>
      <c r="H41" s="1273">
        <v>55.1</v>
      </c>
      <c r="I41" s="1274">
        <v>28.06</v>
      </c>
      <c r="J41" s="1273">
        <v>38.17</v>
      </c>
      <c r="K41" s="1274">
        <v>39</v>
      </c>
      <c r="L41" s="1273">
        <v>35.9</v>
      </c>
      <c r="M41" s="1274">
        <v>36.691305870000001</v>
      </c>
      <c r="N41" s="1275"/>
      <c r="O41" s="1276">
        <v>2.2041946239554466E-2</v>
      </c>
      <c r="P41" s="1277">
        <v>-9.7422282660938109E-2</v>
      </c>
      <c r="Q41" s="1278"/>
      <c r="R41" s="1273">
        <v>42.792587509999997</v>
      </c>
    </row>
    <row r="42" spans="1:18" ht="14" thickBot="1">
      <c r="A42" s="1713"/>
      <c r="B42" s="1271"/>
      <c r="C42" s="1272" t="s">
        <v>1187</v>
      </c>
      <c r="D42" s="1273">
        <v>0</v>
      </c>
      <c r="E42" s="1274">
        <v>0</v>
      </c>
      <c r="F42" s="1273">
        <v>0</v>
      </c>
      <c r="G42" s="1274">
        <v>0</v>
      </c>
      <c r="H42" s="1273">
        <v>0</v>
      </c>
      <c r="I42" s="1274">
        <v>0</v>
      </c>
      <c r="J42" s="1273">
        <v>0</v>
      </c>
      <c r="K42" s="1274">
        <v>0</v>
      </c>
      <c r="L42" s="1273">
        <v>0</v>
      </c>
      <c r="M42" s="1274">
        <v>0</v>
      </c>
      <c r="N42" s="1275"/>
      <c r="O42" s="1276" t="s">
        <v>1412</v>
      </c>
      <c r="P42" s="1277" t="s">
        <v>1412</v>
      </c>
      <c r="Q42" s="1278"/>
      <c r="R42" s="1273">
        <v>0</v>
      </c>
    </row>
    <row r="43" spans="1:18" ht="14" thickBot="1">
      <c r="A43" s="1344"/>
      <c r="B43" s="1271"/>
      <c r="C43" s="1271"/>
      <c r="D43" s="1279"/>
      <c r="E43" s="1280"/>
      <c r="F43" s="1279"/>
      <c r="G43" s="1280"/>
      <c r="H43" s="1279"/>
      <c r="I43" s="1280"/>
      <c r="J43" s="1279"/>
      <c r="K43" s="1280"/>
      <c r="L43" s="1279"/>
      <c r="M43" s="1280"/>
      <c r="N43" s="1281"/>
      <c r="O43" s="1282"/>
      <c r="P43" s="1283"/>
      <c r="Q43" s="1284"/>
      <c r="R43" s="1345"/>
    </row>
    <row r="44" spans="1:18" ht="17.25" customHeight="1" thickBot="1">
      <c r="A44" s="1344"/>
      <c r="B44" s="1286" t="s">
        <v>1841</v>
      </c>
      <c r="C44" s="1271"/>
      <c r="D44" s="1306">
        <v>17783.900000000001</v>
      </c>
      <c r="E44" s="1307">
        <v>18821.7</v>
      </c>
      <c r="F44" s="1306">
        <v>19850.3</v>
      </c>
      <c r="G44" s="1307">
        <v>20064</v>
      </c>
      <c r="H44" s="1306">
        <v>20850.071013000001</v>
      </c>
      <c r="I44" s="1307">
        <v>21560.469000000001</v>
      </c>
      <c r="J44" s="1306">
        <v>23227.96</v>
      </c>
      <c r="K44" s="1307">
        <v>24676.013701</v>
      </c>
      <c r="L44" s="1306">
        <v>26228.59678399</v>
      </c>
      <c r="M44" s="1307">
        <v>26897.327512760003</v>
      </c>
      <c r="N44" s="1308"/>
      <c r="O44" s="1309">
        <v>2.5496244967942561E-2</v>
      </c>
      <c r="P44" s="1310">
        <v>4.7043392312829724E-2</v>
      </c>
      <c r="Q44" s="1311"/>
      <c r="R44" s="1346">
        <v>27899.487450679997</v>
      </c>
    </row>
    <row r="45" spans="1:18" ht="14" thickBot="1">
      <c r="A45" s="1344"/>
      <c r="B45" s="1271"/>
      <c r="C45" s="1272" t="s">
        <v>1163</v>
      </c>
      <c r="D45" s="1313">
        <v>12713.7</v>
      </c>
      <c r="E45" s="1314">
        <v>13702.8</v>
      </c>
      <c r="F45" s="1313">
        <v>14701.4</v>
      </c>
      <c r="G45" s="1314">
        <v>15139.4</v>
      </c>
      <c r="H45" s="1313">
        <v>15634.689</v>
      </c>
      <c r="I45" s="1314">
        <v>16354.909</v>
      </c>
      <c r="J45" s="1313">
        <v>17798.990000000002</v>
      </c>
      <c r="K45" s="1314">
        <v>19348.207467</v>
      </c>
      <c r="L45" s="1313">
        <v>20811.886842</v>
      </c>
      <c r="M45" s="1314">
        <v>21437.6633315</v>
      </c>
      <c r="N45" s="1315"/>
      <c r="O45" s="1316">
        <v>3.0068224676156552E-2</v>
      </c>
      <c r="P45" s="1317">
        <v>5.9770242643374383E-2</v>
      </c>
      <c r="Q45" s="1318"/>
      <c r="R45" s="1347">
        <v>22273.569703860001</v>
      </c>
    </row>
    <row r="46" spans="1:18" ht="14" thickBot="1">
      <c r="A46" s="1344"/>
      <c r="B46" s="1271"/>
      <c r="C46" s="1272" t="s">
        <v>1186</v>
      </c>
      <c r="D46" s="1313">
        <v>4429.8</v>
      </c>
      <c r="E46" s="1314">
        <v>4517</v>
      </c>
      <c r="F46" s="1313">
        <v>4511.1000000000004</v>
      </c>
      <c r="G46" s="1314">
        <v>3826.4</v>
      </c>
      <c r="H46" s="1313">
        <v>2972.4519609999998</v>
      </c>
      <c r="I46" s="1314">
        <v>2015.06</v>
      </c>
      <c r="J46" s="1313">
        <v>1996.57</v>
      </c>
      <c r="K46" s="1314">
        <v>1921.6076640000001</v>
      </c>
      <c r="L46" s="1313">
        <v>1394.68959999</v>
      </c>
      <c r="M46" s="1314">
        <v>1434.36066026</v>
      </c>
      <c r="N46" s="1315"/>
      <c r="O46" s="1316">
        <v>2.8444365162172636E-2</v>
      </c>
      <c r="P46" s="1317">
        <v>-0.11776145657490533</v>
      </c>
      <c r="Q46" s="1318"/>
      <c r="R46" s="1347">
        <v>1426.8550098199999</v>
      </c>
    </row>
    <row r="47" spans="1:18">
      <c r="A47" s="1344"/>
      <c r="B47" s="1320"/>
      <c r="C47" s="1321" t="s">
        <v>1187</v>
      </c>
      <c r="D47" s="1322">
        <v>640.4</v>
      </c>
      <c r="E47" s="1323">
        <v>601.9</v>
      </c>
      <c r="F47" s="1322">
        <v>637.79999999999995</v>
      </c>
      <c r="G47" s="1323">
        <v>1098.2</v>
      </c>
      <c r="H47" s="1322">
        <v>2242.9300519999997</v>
      </c>
      <c r="I47" s="1323">
        <v>3190.5</v>
      </c>
      <c r="J47" s="1322">
        <v>3432.4</v>
      </c>
      <c r="K47" s="1323">
        <v>3406.1985699999996</v>
      </c>
      <c r="L47" s="1322">
        <v>4022.0203419999989</v>
      </c>
      <c r="M47" s="1323">
        <v>4025.3035210000007</v>
      </c>
      <c r="N47" s="1324"/>
      <c r="O47" s="1325">
        <v>8.1630094351270444E-4</v>
      </c>
      <c r="P47" s="1326">
        <v>0.22660648558878438</v>
      </c>
      <c r="Q47" s="1327"/>
      <c r="R47" s="1348">
        <v>4199.0627370000002</v>
      </c>
    </row>
    <row r="48" spans="1:18" ht="8.25" customHeight="1">
      <c r="A48" s="1349"/>
      <c r="B48" s="1329"/>
      <c r="C48" s="1330"/>
      <c r="D48" s="1332"/>
      <c r="E48" s="1332"/>
      <c r="F48" s="1332"/>
      <c r="G48" s="1332"/>
      <c r="H48" s="1332"/>
      <c r="I48" s="1332"/>
      <c r="J48" s="1332"/>
      <c r="K48" s="1332"/>
      <c r="L48" s="1332"/>
      <c r="M48" s="1332"/>
      <c r="N48" s="1332"/>
      <c r="O48" s="1333"/>
      <c r="P48" s="1333"/>
      <c r="Q48" s="1333"/>
      <c r="R48" s="1350"/>
    </row>
    <row r="49" spans="1:18" ht="8.25" customHeight="1">
      <c r="A49" s="1229"/>
      <c r="B49" s="1336"/>
      <c r="C49" s="1336"/>
      <c r="D49" s="1351"/>
      <c r="E49" s="1351"/>
      <c r="F49" s="1351"/>
      <c r="G49" s="1351"/>
      <c r="H49" s="1351"/>
      <c r="I49" s="1352"/>
      <c r="J49" s="1352"/>
      <c r="K49" s="1352"/>
      <c r="L49" s="1352"/>
      <c r="M49" s="1352"/>
      <c r="N49" s="1352"/>
      <c r="O49" s="1353"/>
      <c r="P49" s="1354"/>
      <c r="Q49" s="1353"/>
      <c r="R49" s="1355"/>
    </row>
    <row r="50" spans="1:18" ht="17.25" customHeight="1" thickBot="1">
      <c r="A50" s="1229"/>
      <c r="B50" s="1263" t="s">
        <v>1842</v>
      </c>
      <c r="C50" s="1264"/>
      <c r="D50" s="1356">
        <v>623.1</v>
      </c>
      <c r="E50" s="1357">
        <v>-213.60000000000218</v>
      </c>
      <c r="F50" s="1356">
        <v>-306.39999999999782</v>
      </c>
      <c r="G50" s="1357">
        <v>-200.29999999999927</v>
      </c>
      <c r="H50" s="1356">
        <v>98.828986999997142</v>
      </c>
      <c r="I50" s="1357">
        <v>454.38000000000102</v>
      </c>
      <c r="J50" s="1356">
        <v>-588.16000000000349</v>
      </c>
      <c r="K50" s="1357">
        <v>-1266.4017009999989</v>
      </c>
      <c r="L50" s="1356">
        <v>-1468.84478399</v>
      </c>
      <c r="M50" s="1357">
        <v>-918.22178139000243</v>
      </c>
      <c r="N50" s="1358"/>
      <c r="O50" s="1359">
        <v>-0.37486806543593665</v>
      </c>
      <c r="P50" s="1360" t="s">
        <v>1412</v>
      </c>
      <c r="Q50" s="1361"/>
      <c r="R50" s="1362">
        <v>-1469.758113155498</v>
      </c>
    </row>
    <row r="51" spans="1:18" ht="14" thickBot="1">
      <c r="A51" s="1229"/>
      <c r="B51" s="1271"/>
      <c r="C51" s="1272" t="s">
        <v>1163</v>
      </c>
      <c r="D51" s="1287">
        <v>704.5</v>
      </c>
      <c r="E51" s="1288">
        <v>335.5</v>
      </c>
      <c r="F51" s="1287">
        <v>194.5</v>
      </c>
      <c r="G51" s="1288">
        <v>332.70000000000073</v>
      </c>
      <c r="H51" s="1287">
        <v>712.41100000000006</v>
      </c>
      <c r="I51" s="1288">
        <v>931.98000000000138</v>
      </c>
      <c r="J51" s="1287">
        <v>187.13999999999942</v>
      </c>
      <c r="K51" s="1288">
        <v>-455.49946699999782</v>
      </c>
      <c r="L51" s="1287">
        <v>-599.78284200000053</v>
      </c>
      <c r="M51" s="1288">
        <v>-169.99980625000171</v>
      </c>
      <c r="N51" s="1297"/>
      <c r="O51" s="1290">
        <v>-0.71656440573869973</v>
      </c>
      <c r="P51" s="1291" t="s">
        <v>1412</v>
      </c>
      <c r="Q51" s="1289"/>
      <c r="R51" s="1293">
        <v>-680.72507593721457</v>
      </c>
    </row>
    <row r="52" spans="1:18" ht="14" thickBot="1">
      <c r="A52" s="1229"/>
      <c r="B52" s="1271"/>
      <c r="C52" s="1272" t="s">
        <v>1186</v>
      </c>
      <c r="D52" s="1287">
        <v>37.699999999999818</v>
      </c>
      <c r="E52" s="1288">
        <v>-518.29999999999995</v>
      </c>
      <c r="F52" s="1287">
        <v>-415.1</v>
      </c>
      <c r="G52" s="1288">
        <v>-351.5</v>
      </c>
      <c r="H52" s="1287">
        <v>-271.25196099999994</v>
      </c>
      <c r="I52" s="1288">
        <v>-111.1</v>
      </c>
      <c r="J52" s="1287">
        <v>-217.5</v>
      </c>
      <c r="K52" s="1288">
        <v>-237.20366400000012</v>
      </c>
      <c r="L52" s="1287">
        <v>-153.0415999899999</v>
      </c>
      <c r="M52" s="1288">
        <v>-5.4222689200005334</v>
      </c>
      <c r="N52" s="1297"/>
      <c r="O52" s="1290">
        <v>-0.96456996711773246</v>
      </c>
      <c r="P52" s="1291" t="s">
        <v>1412</v>
      </c>
      <c r="Q52" s="1289"/>
      <c r="R52" s="1293">
        <v>-49.558277455557118</v>
      </c>
    </row>
    <row r="53" spans="1:18">
      <c r="A53" s="1229"/>
      <c r="B53" s="1320"/>
      <c r="C53" s="1321" t="s">
        <v>1187</v>
      </c>
      <c r="D53" s="1363">
        <v>-119.1</v>
      </c>
      <c r="E53" s="1364">
        <v>-30.8</v>
      </c>
      <c r="F53" s="1363">
        <v>-85.8</v>
      </c>
      <c r="G53" s="1364">
        <v>-181.5</v>
      </c>
      <c r="H53" s="1363">
        <v>-342.3300519999998</v>
      </c>
      <c r="I53" s="1364">
        <v>-366.5</v>
      </c>
      <c r="J53" s="1363">
        <v>-557.79999999999995</v>
      </c>
      <c r="K53" s="1364">
        <v>-573.69856999999956</v>
      </c>
      <c r="L53" s="1363">
        <v>-716.02034199999889</v>
      </c>
      <c r="M53" s="1364">
        <v>-742.79970622000019</v>
      </c>
      <c r="N53" s="1365"/>
      <c r="O53" s="1366">
        <v>3.7400284110924442E-2</v>
      </c>
      <c r="P53" s="1367" t="s">
        <v>1412</v>
      </c>
      <c r="Q53" s="1368"/>
      <c r="R53" s="1369">
        <v>-739.47475976272881</v>
      </c>
    </row>
    <row r="54" spans="1:18" ht="11.25" customHeight="1" thickBot="1">
      <c r="A54" s="1229"/>
      <c r="B54" s="1232"/>
      <c r="C54" s="1232"/>
      <c r="D54" s="1370"/>
      <c r="E54" s="1370"/>
      <c r="F54" s="1370"/>
      <c r="G54" s="1370"/>
      <c r="H54" s="1370"/>
      <c r="I54" s="1371"/>
      <c r="J54" s="1371"/>
      <c r="K54" s="1371"/>
      <c r="L54" s="1371"/>
      <c r="M54" s="1371"/>
      <c r="N54" s="1371"/>
      <c r="O54" s="1232"/>
      <c r="P54" s="1370"/>
      <c r="Q54" s="1370"/>
      <c r="R54" s="1370"/>
    </row>
    <row r="55" spans="1:18" ht="13.5" customHeight="1">
      <c r="A55" s="1229"/>
      <c r="B55" s="1372" t="s">
        <v>1684</v>
      </c>
      <c r="C55" s="1229"/>
      <c r="D55" s="1229"/>
      <c r="E55" s="1229"/>
      <c r="F55" s="1229"/>
      <c r="G55" s="1229"/>
      <c r="H55" s="1229"/>
      <c r="I55" s="1229"/>
      <c r="J55" s="1229"/>
      <c r="K55" s="1229"/>
      <c r="L55" s="1229"/>
      <c r="M55" s="1229"/>
      <c r="N55" s="1229"/>
      <c r="O55" s="1229"/>
      <c r="P55" s="1229"/>
      <c r="Q55" s="1229"/>
      <c r="R55" s="1229"/>
    </row>
    <row r="56" spans="1:18" ht="14.25" customHeight="1">
      <c r="A56" s="1229"/>
      <c r="B56" s="1229"/>
      <c r="C56" s="1229"/>
      <c r="D56" s="1229"/>
      <c r="E56" s="1229"/>
      <c r="F56" s="1229"/>
      <c r="G56" s="1229"/>
      <c r="H56" s="1229"/>
      <c r="I56" s="1229"/>
      <c r="J56" s="1229"/>
      <c r="K56" s="1229"/>
      <c r="L56" s="1229"/>
      <c r="M56" s="1229"/>
      <c r="N56" s="1229"/>
      <c r="O56" s="1229"/>
      <c r="P56" s="1229"/>
      <c r="Q56" s="1229"/>
    </row>
    <row r="57" spans="1:18" ht="12.75" customHeight="1">
      <c r="A57" s="1229"/>
      <c r="B57" s="1229"/>
      <c r="C57" s="1229"/>
      <c r="D57" s="1229"/>
      <c r="E57" s="1229"/>
      <c r="F57" s="1229"/>
      <c r="G57" s="1229"/>
      <c r="H57" s="1229"/>
      <c r="I57" s="1229"/>
      <c r="J57" s="1229"/>
      <c r="K57" s="1229"/>
      <c r="L57" s="1229"/>
      <c r="M57" s="1229"/>
      <c r="N57" s="1229"/>
      <c r="O57" s="1229"/>
      <c r="P57" s="1229"/>
      <c r="Q57" s="1229"/>
    </row>
    <row r="58" spans="1:18">
      <c r="A58" s="1229"/>
      <c r="B58" s="1229"/>
      <c r="C58" s="1229"/>
      <c r="D58" s="1229"/>
      <c r="E58" s="1229"/>
      <c r="F58" s="1229"/>
      <c r="G58" s="1229"/>
      <c r="H58" s="1229"/>
      <c r="I58" s="1229"/>
      <c r="J58" s="1229"/>
      <c r="K58" s="1229"/>
      <c r="L58" s="1229"/>
      <c r="M58" s="1229"/>
      <c r="N58" s="1229"/>
      <c r="O58" s="1229"/>
      <c r="P58" s="1229"/>
      <c r="Q58" s="1229"/>
    </row>
    <row r="59" spans="1:18">
      <c r="A59" s="1229"/>
      <c r="B59" s="1373" t="s">
        <v>1188</v>
      </c>
      <c r="C59" s="1374"/>
      <c r="D59" s="1229"/>
      <c r="E59" s="1229"/>
      <c r="F59" s="1229"/>
      <c r="G59" s="1229"/>
      <c r="H59" s="1229"/>
      <c r="I59" s="1229"/>
      <c r="J59" s="1229"/>
      <c r="K59" s="1229"/>
      <c r="L59" s="1229"/>
      <c r="M59" s="1229"/>
      <c r="N59" s="1229"/>
      <c r="O59" s="1229"/>
      <c r="P59" s="1229"/>
      <c r="Q59" s="1229"/>
    </row>
    <row r="60" spans="1:18">
      <c r="A60" s="1229"/>
      <c r="B60" s="1336" t="s">
        <v>1189</v>
      </c>
      <c r="C60" s="1336"/>
      <c r="D60" s="1229"/>
      <c r="E60" s="1229"/>
      <c r="F60" s="1229"/>
      <c r="G60" s="1229"/>
      <c r="H60" s="1229"/>
      <c r="I60" s="1229"/>
      <c r="J60" s="1229"/>
      <c r="K60" s="1229"/>
      <c r="L60" s="1229"/>
      <c r="M60" s="1229"/>
      <c r="N60" s="1229"/>
      <c r="O60" s="1229"/>
      <c r="P60" s="1229"/>
      <c r="Q60" s="1229"/>
    </row>
    <row r="61" spans="1:18">
      <c r="A61" s="1229"/>
      <c r="B61" s="1336" t="s">
        <v>1190</v>
      </c>
      <c r="C61" s="1336"/>
      <c r="D61" s="1229"/>
      <c r="E61" s="1229"/>
      <c r="F61" s="1229"/>
      <c r="G61" s="1229"/>
      <c r="H61" s="1229"/>
      <c r="I61" s="1229"/>
      <c r="J61" s="1229"/>
      <c r="K61" s="1229"/>
      <c r="L61" s="1229"/>
      <c r="M61" s="1229"/>
      <c r="N61" s="1229"/>
      <c r="O61" s="1229"/>
      <c r="P61" s="1229"/>
      <c r="Q61" s="1229"/>
    </row>
    <row r="62" spans="1:18">
      <c r="A62" s="1229"/>
      <c r="B62" s="1336" t="s">
        <v>1794</v>
      </c>
      <c r="C62" s="1336"/>
      <c r="D62" s="1229"/>
      <c r="E62" s="1229"/>
      <c r="F62" s="1229"/>
      <c r="G62" s="1229"/>
      <c r="H62" s="1229"/>
      <c r="I62" s="1229"/>
      <c r="J62" s="1229"/>
      <c r="K62" s="1229"/>
      <c r="L62" s="1229"/>
      <c r="M62" s="1229"/>
      <c r="N62" s="1229"/>
      <c r="O62" s="1229"/>
      <c r="P62" s="1229"/>
      <c r="Q62" s="1229"/>
    </row>
    <row r="63" spans="1:18">
      <c r="A63" s="1229"/>
      <c r="B63" s="1336" t="s">
        <v>1795</v>
      </c>
      <c r="C63" s="1229"/>
      <c r="D63" s="1229"/>
      <c r="E63" s="1229"/>
      <c r="F63" s="1229"/>
      <c r="G63" s="1229"/>
      <c r="H63" s="1229"/>
      <c r="I63" s="1229"/>
      <c r="J63" s="1229"/>
      <c r="K63" s="1229"/>
      <c r="L63" s="1229"/>
      <c r="M63" s="1229"/>
      <c r="N63" s="1229"/>
      <c r="O63" s="1229"/>
      <c r="P63" s="1229"/>
      <c r="Q63" s="1229"/>
    </row>
    <row r="64" spans="1:18">
      <c r="A64" s="1229"/>
      <c r="B64" s="1336" t="s">
        <v>1796</v>
      </c>
      <c r="C64" s="1229"/>
      <c r="D64" s="1229"/>
      <c r="E64" s="1229"/>
      <c r="F64" s="1229"/>
      <c r="G64" s="1229"/>
      <c r="H64" s="1229"/>
      <c r="I64" s="1229"/>
      <c r="J64" s="1229"/>
      <c r="K64" s="1229"/>
      <c r="L64" s="1229"/>
      <c r="M64" s="1229"/>
      <c r="N64" s="1229"/>
      <c r="O64" s="1229"/>
      <c r="P64" s="1229"/>
      <c r="Q64" s="1229"/>
    </row>
    <row r="65" spans="1:17">
      <c r="A65" s="1229"/>
      <c r="B65" s="1336" t="s">
        <v>1797</v>
      </c>
      <c r="C65" s="1336"/>
      <c r="D65" s="1229"/>
      <c r="E65" s="1229"/>
      <c r="F65" s="1229"/>
      <c r="G65" s="1229"/>
      <c r="H65" s="1229"/>
      <c r="I65" s="1229"/>
      <c r="J65" s="1229"/>
      <c r="K65" s="1229"/>
      <c r="L65" s="1229"/>
      <c r="M65" s="1229"/>
      <c r="N65" s="1229"/>
      <c r="O65" s="1229"/>
      <c r="P65" s="1229"/>
      <c r="Q65" s="1229"/>
    </row>
    <row r="66" spans="1:17">
      <c r="A66" s="1229"/>
      <c r="B66" s="1375" t="s">
        <v>1798</v>
      </c>
      <c r="C66" s="1336"/>
      <c r="D66" s="1229"/>
      <c r="E66" s="1229"/>
      <c r="F66" s="1229"/>
      <c r="G66" s="1229"/>
      <c r="H66" s="1229"/>
      <c r="I66" s="1229"/>
      <c r="J66" s="1229"/>
      <c r="K66" s="1229"/>
      <c r="L66" s="1229"/>
      <c r="M66" s="1229"/>
      <c r="N66" s="1229"/>
      <c r="O66" s="1229"/>
      <c r="P66" s="1229"/>
      <c r="Q66" s="1229"/>
    </row>
    <row r="67" spans="1:17">
      <c r="A67" s="1229"/>
      <c r="B67" s="1375" t="s">
        <v>1799</v>
      </c>
      <c r="C67" s="1336"/>
      <c r="D67" s="1229"/>
      <c r="E67" s="1229"/>
      <c r="F67" s="1229"/>
      <c r="G67" s="1229"/>
      <c r="H67" s="1229"/>
      <c r="I67" s="1229"/>
      <c r="J67" s="1229"/>
      <c r="K67" s="1229"/>
      <c r="L67" s="1229"/>
      <c r="M67" s="1229"/>
      <c r="N67" s="1229"/>
      <c r="O67" s="1229"/>
      <c r="P67" s="1229"/>
      <c r="Q67" s="1229"/>
    </row>
    <row r="68" spans="1:17">
      <c r="A68" s="1229"/>
      <c r="B68" s="1375" t="s">
        <v>1800</v>
      </c>
      <c r="C68" s="1376"/>
      <c r="D68" s="1229"/>
      <c r="E68" s="1229"/>
      <c r="F68" s="1229"/>
      <c r="G68" s="1229"/>
      <c r="H68" s="1229"/>
      <c r="I68" s="1229"/>
      <c r="J68" s="1229"/>
      <c r="K68" s="1229"/>
      <c r="L68" s="1229"/>
      <c r="M68" s="1229"/>
      <c r="N68" s="1229"/>
      <c r="O68" s="1229"/>
      <c r="P68" s="1229"/>
      <c r="Q68" s="1229"/>
    </row>
    <row r="69" spans="1:17">
      <c r="A69" s="1229"/>
      <c r="B69" s="1336" t="s">
        <v>1801</v>
      </c>
      <c r="C69" s="1336"/>
      <c r="D69" s="1229"/>
      <c r="E69" s="1229"/>
      <c r="F69" s="1229"/>
      <c r="G69" s="1229"/>
      <c r="H69" s="1229"/>
      <c r="I69" s="1229"/>
      <c r="J69" s="1229"/>
      <c r="K69" s="1229"/>
      <c r="L69" s="1229"/>
      <c r="M69" s="1229"/>
      <c r="N69" s="1229"/>
      <c r="O69" s="1229"/>
      <c r="P69" s="1229"/>
      <c r="Q69" s="1229"/>
    </row>
    <row r="70" spans="1:17">
      <c r="A70" s="1229"/>
      <c r="B70" s="1336" t="s">
        <v>1802</v>
      </c>
      <c r="C70" s="1336"/>
      <c r="D70" s="1229"/>
      <c r="E70" s="1229"/>
      <c r="F70" s="1229"/>
      <c r="G70" s="1229"/>
      <c r="H70" s="1229"/>
      <c r="I70" s="1229"/>
      <c r="J70" s="1229"/>
      <c r="K70" s="1229"/>
      <c r="L70" s="1229"/>
      <c r="M70" s="1229"/>
      <c r="N70" s="1229"/>
      <c r="O70" s="1229"/>
      <c r="P70" s="1229"/>
      <c r="Q70" s="1229"/>
    </row>
    <row r="71" spans="1:17">
      <c r="A71" s="1229"/>
      <c r="B71" s="1336" t="s">
        <v>1803</v>
      </c>
      <c r="C71" s="1376"/>
      <c r="D71" s="1229"/>
      <c r="E71" s="1229"/>
      <c r="F71" s="1229"/>
      <c r="G71" s="1229"/>
      <c r="H71" s="1229"/>
      <c r="I71" s="1229"/>
      <c r="J71" s="1229"/>
      <c r="K71" s="1229"/>
      <c r="L71" s="1229"/>
      <c r="M71" s="1229"/>
      <c r="N71" s="1229"/>
      <c r="O71" s="1229"/>
      <c r="P71" s="1229"/>
      <c r="Q71" s="1229"/>
    </row>
    <row r="72" spans="1:17">
      <c r="A72" s="1229"/>
      <c r="B72" s="1229" t="s">
        <v>1804</v>
      </c>
      <c r="C72" s="1377"/>
      <c r="D72" s="1229"/>
      <c r="E72" s="1229"/>
      <c r="F72" s="1229"/>
      <c r="G72" s="1229"/>
      <c r="H72" s="1229"/>
      <c r="I72" s="1229"/>
      <c r="J72" s="1229"/>
      <c r="K72" s="1229"/>
      <c r="L72" s="1229"/>
      <c r="M72" s="1229"/>
      <c r="N72" s="1229"/>
      <c r="O72" s="1229"/>
      <c r="P72" s="1229"/>
      <c r="Q72" s="1229"/>
    </row>
    <row r="73" spans="1:17">
      <c r="A73" s="1229"/>
      <c r="B73" s="1229" t="s">
        <v>1805</v>
      </c>
      <c r="C73" s="1377"/>
      <c r="D73" s="1229"/>
      <c r="E73" s="1229"/>
      <c r="F73" s="1229"/>
      <c r="G73" s="1229"/>
      <c r="H73" s="1229"/>
      <c r="I73" s="1229"/>
      <c r="J73" s="1229"/>
      <c r="K73" s="1229"/>
      <c r="L73" s="1229"/>
      <c r="M73" s="1229"/>
      <c r="N73" s="1229"/>
      <c r="O73" s="1229"/>
      <c r="P73" s="1229"/>
      <c r="Q73" s="1229"/>
    </row>
    <row r="74" spans="1:17">
      <c r="A74" s="1229"/>
      <c r="B74" s="1229" t="s">
        <v>1806</v>
      </c>
      <c r="C74" s="1336"/>
      <c r="D74" s="1229"/>
      <c r="E74" s="1229"/>
      <c r="F74" s="1229"/>
      <c r="G74" s="1229"/>
      <c r="H74" s="1229"/>
      <c r="I74" s="1229"/>
      <c r="J74" s="1229"/>
      <c r="K74" s="1229"/>
      <c r="L74" s="1229"/>
      <c r="M74" s="1229"/>
      <c r="N74" s="1229"/>
      <c r="O74" s="1229"/>
      <c r="P74" s="1229"/>
      <c r="Q74" s="1229"/>
    </row>
    <row r="75" spans="1:17">
      <c r="A75" s="1229"/>
      <c r="B75" s="1229" t="s">
        <v>1807</v>
      </c>
      <c r="C75" s="1336"/>
      <c r="D75" s="1229"/>
      <c r="E75" s="1229"/>
      <c r="F75" s="1229"/>
      <c r="G75" s="1229"/>
      <c r="H75" s="1229"/>
      <c r="I75" s="1229"/>
      <c r="J75" s="1229"/>
      <c r="K75" s="1229"/>
      <c r="L75" s="1229"/>
      <c r="M75" s="1229"/>
      <c r="N75" s="1229"/>
      <c r="O75" s="1229"/>
      <c r="P75" s="1229"/>
      <c r="Q75" s="1229"/>
    </row>
    <row r="76" spans="1:17" ht="15">
      <c r="A76" s="1229"/>
      <c r="B76" s="1375" t="s">
        <v>1843</v>
      </c>
      <c r="C76" s="1229"/>
      <c r="D76" s="1229"/>
      <c r="E76" s="1229"/>
      <c r="F76" s="1229"/>
      <c r="G76" s="1229"/>
      <c r="H76" s="1229"/>
      <c r="I76" s="1229"/>
      <c r="J76" s="1229"/>
      <c r="K76" s="1229"/>
      <c r="L76" s="1229"/>
      <c r="M76" s="1229"/>
      <c r="N76" s="1229"/>
      <c r="O76" s="1229"/>
      <c r="P76" s="1229"/>
      <c r="Q76" s="1229"/>
    </row>
    <row r="77" spans="1:17">
      <c r="A77" s="1229"/>
      <c r="B77" s="1375" t="s">
        <v>1808</v>
      </c>
      <c r="C77" s="1336"/>
      <c r="D77" s="1229"/>
      <c r="E77" s="1229"/>
      <c r="F77" s="1229"/>
      <c r="G77" s="1229"/>
      <c r="H77" s="1229"/>
      <c r="I77" s="1229"/>
      <c r="J77" s="1229"/>
      <c r="K77" s="1229"/>
      <c r="L77" s="1229"/>
      <c r="M77" s="1229"/>
      <c r="N77" s="1229"/>
      <c r="O77" s="1229"/>
      <c r="P77" s="1229"/>
      <c r="Q77" s="1229"/>
    </row>
    <row r="78" spans="1:17">
      <c r="A78" s="1229"/>
      <c r="B78" s="1336" t="s">
        <v>1809</v>
      </c>
      <c r="C78" s="1336"/>
      <c r="D78" s="1229"/>
      <c r="E78" s="1229"/>
      <c r="F78" s="1229"/>
      <c r="G78" s="1229"/>
      <c r="H78" s="1229"/>
      <c r="I78" s="1229"/>
      <c r="J78" s="1229"/>
      <c r="K78" s="1229"/>
      <c r="L78" s="1229"/>
      <c r="M78" s="1229"/>
      <c r="N78" s="1229"/>
      <c r="O78" s="1229"/>
      <c r="P78" s="1229"/>
      <c r="Q78" s="1229"/>
    </row>
    <row r="79" spans="1:17">
      <c r="A79" s="1229"/>
      <c r="B79" s="1375" t="s">
        <v>1810</v>
      </c>
      <c r="C79" s="1336"/>
      <c r="D79" s="1229"/>
      <c r="E79" s="1229"/>
      <c r="F79" s="1229"/>
      <c r="G79" s="1229"/>
      <c r="H79" s="1229"/>
      <c r="I79" s="1229"/>
      <c r="J79" s="1229"/>
      <c r="K79" s="1229"/>
      <c r="L79" s="1229"/>
      <c r="M79" s="1229"/>
      <c r="N79" s="1229"/>
      <c r="O79" s="1229"/>
      <c r="P79" s="1229"/>
      <c r="Q79" s="1229"/>
    </row>
    <row r="80" spans="1:17">
      <c r="A80" s="1229"/>
      <c r="B80" s="1375" t="s">
        <v>1844</v>
      </c>
      <c r="C80" s="1336"/>
      <c r="D80" s="1229"/>
      <c r="E80" s="1229"/>
      <c r="F80" s="1229"/>
      <c r="G80" s="1229"/>
      <c r="H80" s="1229"/>
      <c r="I80" s="1229"/>
      <c r="J80" s="1229"/>
      <c r="K80" s="1229"/>
      <c r="L80" s="1229"/>
      <c r="M80" s="1229"/>
      <c r="N80" s="1229"/>
      <c r="O80" s="1229"/>
      <c r="P80" s="1229"/>
      <c r="Q80" s="1229"/>
    </row>
    <row r="81" spans="1:17">
      <c r="A81" s="1229"/>
      <c r="B81" s="1229"/>
      <c r="C81" s="1229"/>
      <c r="D81" s="1229"/>
      <c r="E81" s="1229"/>
      <c r="F81" s="1229"/>
      <c r="G81" s="1229"/>
      <c r="H81" s="1229"/>
      <c r="I81" s="1229"/>
      <c r="J81" s="1229"/>
      <c r="K81" s="1229"/>
      <c r="L81" s="1229"/>
      <c r="M81" s="1229"/>
      <c r="N81" s="1229"/>
      <c r="O81" s="1229"/>
      <c r="P81" s="1229"/>
      <c r="Q81" s="1229"/>
    </row>
    <row r="82" spans="1:17">
      <c r="A82" s="1229"/>
      <c r="B82" s="1229"/>
      <c r="C82" s="1229"/>
      <c r="D82" s="1229"/>
      <c r="E82" s="1229"/>
      <c r="F82" s="1229"/>
      <c r="G82" s="1229"/>
      <c r="H82" s="1229"/>
      <c r="I82" s="1229"/>
      <c r="J82" s="1229"/>
      <c r="K82" s="1229"/>
      <c r="L82" s="1229"/>
      <c r="M82" s="1229"/>
      <c r="N82" s="1229"/>
      <c r="O82" s="1229"/>
      <c r="P82" s="1229"/>
      <c r="Q82" s="1229"/>
    </row>
    <row r="83" spans="1:17">
      <c r="A83" s="1229"/>
      <c r="B83" s="1373" t="s">
        <v>1811</v>
      </c>
      <c r="C83" s="1229"/>
      <c r="D83" s="1229"/>
      <c r="E83" s="1229"/>
      <c r="F83" s="1229"/>
      <c r="G83" s="1229"/>
      <c r="H83" s="1229"/>
      <c r="I83" s="1229"/>
      <c r="J83" s="1229"/>
      <c r="K83" s="1229"/>
      <c r="L83" s="1229"/>
      <c r="M83" s="1229"/>
      <c r="N83" s="1229"/>
      <c r="O83" s="1229"/>
      <c r="P83" s="1229"/>
      <c r="Q83" s="1229"/>
    </row>
    <row r="84" spans="1:17">
      <c r="A84" s="1229"/>
      <c r="B84" s="1229" t="s">
        <v>1812</v>
      </c>
      <c r="C84" s="1229"/>
      <c r="D84" s="1229"/>
      <c r="E84" s="1229"/>
      <c r="F84" s="1229"/>
      <c r="G84" s="1229"/>
      <c r="H84" s="1229"/>
      <c r="I84" s="1229"/>
      <c r="J84" s="1229"/>
      <c r="K84" s="1229"/>
      <c r="L84" s="1229"/>
      <c r="M84" s="1229"/>
      <c r="N84" s="1229"/>
      <c r="O84" s="1229"/>
      <c r="P84" s="1229"/>
      <c r="Q84" s="1229"/>
    </row>
    <row r="85" spans="1:17">
      <c r="A85" s="1229"/>
      <c r="B85" s="1229" t="s">
        <v>1813</v>
      </c>
      <c r="C85" s="1229"/>
      <c r="D85" s="1229"/>
      <c r="E85" s="1229"/>
      <c r="F85" s="1229"/>
      <c r="G85" s="1229"/>
      <c r="H85" s="1229"/>
      <c r="I85" s="1229"/>
      <c r="J85" s="1229"/>
      <c r="K85" s="1229"/>
      <c r="L85" s="1229"/>
      <c r="M85" s="1229"/>
      <c r="N85" s="1229"/>
      <c r="O85" s="1229"/>
      <c r="P85" s="1229"/>
      <c r="Q85" s="1229"/>
    </row>
    <row r="86" spans="1:17">
      <c r="A86" s="1229"/>
      <c r="B86" s="1336" t="s">
        <v>1814</v>
      </c>
      <c r="C86" s="1229"/>
      <c r="D86" s="1229"/>
      <c r="E86" s="1229"/>
      <c r="F86" s="1229"/>
      <c r="G86" s="1229"/>
      <c r="H86" s="1229"/>
      <c r="I86" s="1229"/>
      <c r="J86" s="1229"/>
      <c r="K86" s="1229"/>
      <c r="L86" s="1229"/>
      <c r="M86" s="1229"/>
      <c r="N86" s="1229"/>
      <c r="O86" s="1229"/>
      <c r="P86" s="1229"/>
      <c r="Q86" s="1229"/>
    </row>
    <row r="87" spans="1:17">
      <c r="B87" s="1336" t="s">
        <v>1815</v>
      </c>
    </row>
    <row r="88" spans="1:17">
      <c r="B88" s="1375" t="s">
        <v>1845</v>
      </c>
    </row>
    <row r="91" spans="1:17" ht="16.5" customHeight="1">
      <c r="A91" s="1229"/>
      <c r="B91" s="1378" t="s">
        <v>1816</v>
      </c>
      <c r="C91" s="1349"/>
      <c r="D91" s="1229"/>
      <c r="E91" s="1229"/>
      <c r="F91" s="1229"/>
      <c r="G91" s="1229"/>
      <c r="H91" s="1229"/>
      <c r="I91" s="1229"/>
      <c r="J91" s="1229"/>
      <c r="K91" s="1229"/>
      <c r="L91" s="1229"/>
      <c r="M91" s="1229"/>
      <c r="N91" s="1229"/>
      <c r="O91" s="1229"/>
      <c r="P91" s="1229"/>
      <c r="Q91" s="1229"/>
    </row>
    <row r="92" spans="1:17">
      <c r="A92" s="1229"/>
      <c r="B92" s="1375" t="s">
        <v>1817</v>
      </c>
      <c r="C92" s="1229"/>
      <c r="D92" s="1229"/>
      <c r="E92" s="1229"/>
      <c r="F92" s="1229"/>
      <c r="G92" s="1229"/>
      <c r="H92" s="1229"/>
      <c r="I92" s="1229"/>
      <c r="J92" s="1229"/>
      <c r="K92" s="1229"/>
      <c r="L92" s="1229"/>
      <c r="M92" s="1229"/>
      <c r="N92" s="1229"/>
      <c r="O92" s="1229"/>
      <c r="P92" s="1229"/>
      <c r="Q92" s="1229"/>
    </row>
    <row r="93" spans="1:17">
      <c r="A93" s="1229"/>
      <c r="B93" s="1229" t="s">
        <v>1818</v>
      </c>
      <c r="C93" s="1229"/>
      <c r="D93" s="1229"/>
      <c r="E93" s="1229"/>
      <c r="F93" s="1229"/>
      <c r="G93" s="1229"/>
      <c r="H93" s="1229"/>
      <c r="I93" s="1229"/>
      <c r="J93" s="1229"/>
      <c r="K93" s="1229"/>
      <c r="L93" s="1229"/>
      <c r="M93" s="1229"/>
      <c r="N93" s="1229"/>
      <c r="O93" s="1229"/>
      <c r="P93" s="1229"/>
      <c r="Q93" s="1229"/>
    </row>
    <row r="94" spans="1:17">
      <c r="A94" s="1229"/>
      <c r="B94" s="1229" t="s">
        <v>1819</v>
      </c>
      <c r="C94" s="1229"/>
      <c r="D94" s="1229"/>
      <c r="E94" s="1229"/>
      <c r="F94" s="1229"/>
      <c r="G94" s="1229"/>
      <c r="H94" s="1229"/>
      <c r="I94" s="1229"/>
      <c r="J94" s="1229"/>
      <c r="K94" s="1229"/>
      <c r="L94" s="1229"/>
      <c r="M94" s="1229"/>
      <c r="N94" s="1229"/>
      <c r="O94" s="1229"/>
      <c r="P94" s="1229"/>
      <c r="Q94" s="1229"/>
    </row>
    <row r="95" spans="1:17">
      <c r="A95" s="1229"/>
      <c r="B95" s="1229" t="s">
        <v>1820</v>
      </c>
      <c r="C95" s="1229"/>
      <c r="D95" s="1229"/>
      <c r="E95" s="1229"/>
      <c r="F95" s="1229"/>
      <c r="G95" s="1229"/>
      <c r="H95" s="1229"/>
      <c r="I95" s="1229"/>
      <c r="J95" s="1229"/>
      <c r="K95" s="1229"/>
      <c r="L95" s="1229"/>
      <c r="M95" s="1229"/>
      <c r="N95" s="1229"/>
      <c r="O95" s="1229"/>
      <c r="P95" s="1229"/>
      <c r="Q95" s="1229"/>
    </row>
    <row r="96" spans="1:17">
      <c r="A96" s="1229"/>
      <c r="B96" s="1229" t="s">
        <v>1821</v>
      </c>
      <c r="C96" s="1229"/>
      <c r="D96" s="1229"/>
      <c r="E96" s="1229"/>
      <c r="F96" s="1229"/>
      <c r="G96" s="1229"/>
      <c r="H96" s="1229"/>
      <c r="I96" s="1229"/>
      <c r="J96" s="1229"/>
      <c r="K96" s="1229"/>
      <c r="L96" s="1229"/>
      <c r="M96" s="1229"/>
      <c r="N96" s="1229"/>
      <c r="O96" s="1229"/>
      <c r="P96" s="1229"/>
      <c r="Q96" s="1229"/>
    </row>
    <row r="97" spans="1:17">
      <c r="A97" s="1229"/>
      <c r="B97" s="1229" t="s">
        <v>1822</v>
      </c>
      <c r="C97" s="1229"/>
      <c r="D97" s="1229"/>
      <c r="E97" s="1229"/>
      <c r="F97" s="1229"/>
      <c r="G97" s="1229"/>
      <c r="H97" s="1229"/>
      <c r="I97" s="1229"/>
      <c r="J97" s="1229"/>
      <c r="K97" s="1229"/>
      <c r="L97" s="1229"/>
      <c r="M97" s="1229"/>
      <c r="N97" s="1229"/>
      <c r="O97" s="1229"/>
      <c r="P97" s="1229"/>
      <c r="Q97" s="1229"/>
    </row>
    <row r="98" spans="1:17">
      <c r="A98" s="1229"/>
      <c r="B98" s="1229" t="s">
        <v>1823</v>
      </c>
      <c r="C98" s="1229"/>
      <c r="D98" s="1229"/>
      <c r="E98" s="1229"/>
      <c r="F98" s="1229"/>
      <c r="G98" s="1229"/>
      <c r="H98" s="1229"/>
      <c r="I98" s="1229"/>
      <c r="J98" s="1229"/>
      <c r="K98" s="1229"/>
      <c r="L98" s="1229"/>
      <c r="M98" s="1229"/>
      <c r="N98" s="1229"/>
      <c r="O98" s="1229"/>
      <c r="P98" s="1229"/>
      <c r="Q98" s="1229"/>
    </row>
    <row r="99" spans="1:17">
      <c r="A99" s="1229"/>
      <c r="B99" s="1229" t="s">
        <v>1824</v>
      </c>
      <c r="C99" s="1229"/>
      <c r="D99" s="1229"/>
      <c r="E99" s="1229"/>
      <c r="F99" s="1229"/>
      <c r="G99" s="1229"/>
      <c r="H99" s="1229"/>
      <c r="I99" s="1229"/>
      <c r="J99" s="1229"/>
      <c r="K99" s="1229"/>
      <c r="L99" s="1229"/>
      <c r="M99" s="1229"/>
      <c r="N99" s="1229"/>
      <c r="O99" s="1229"/>
      <c r="P99" s="1229"/>
      <c r="Q99" s="1229"/>
    </row>
    <row r="100" spans="1:17">
      <c r="A100" s="1229"/>
      <c r="B100" s="1229" t="s">
        <v>1825</v>
      </c>
      <c r="C100" s="1229"/>
      <c r="D100" s="1229"/>
      <c r="E100" s="1229"/>
      <c r="F100" s="1229"/>
      <c r="G100" s="1229"/>
      <c r="H100" s="1229"/>
      <c r="I100" s="1229"/>
      <c r="J100" s="1229"/>
      <c r="K100" s="1229"/>
      <c r="L100" s="1229"/>
      <c r="M100" s="1229"/>
      <c r="N100" s="1229"/>
      <c r="O100" s="1229"/>
      <c r="P100" s="1229"/>
      <c r="Q100" s="1229"/>
    </row>
    <row r="101" spans="1:17">
      <c r="A101" s="1229"/>
      <c r="B101" s="1229" t="s">
        <v>1826</v>
      </c>
      <c r="C101" s="1229"/>
      <c r="D101" s="1229"/>
      <c r="E101" s="1229"/>
      <c r="F101" s="1229"/>
      <c r="G101" s="1229"/>
      <c r="H101" s="1229"/>
      <c r="I101" s="1229"/>
      <c r="J101" s="1229"/>
      <c r="K101" s="1229"/>
      <c r="L101" s="1229"/>
      <c r="M101" s="1229"/>
      <c r="N101" s="1229"/>
      <c r="O101" s="1229"/>
      <c r="P101" s="1229"/>
      <c r="Q101" s="1229"/>
    </row>
    <row r="102" spans="1:17">
      <c r="A102" s="1229"/>
      <c r="B102" s="1375" t="s">
        <v>1827</v>
      </c>
      <c r="C102" s="1229"/>
      <c r="D102" s="1229"/>
      <c r="E102" s="1229"/>
      <c r="F102" s="1229"/>
      <c r="G102" s="1229"/>
      <c r="H102" s="1229"/>
      <c r="I102" s="1229"/>
      <c r="J102" s="1229"/>
      <c r="K102" s="1229"/>
      <c r="L102" s="1229"/>
      <c r="M102" s="1229"/>
      <c r="N102" s="1229"/>
      <c r="O102" s="1229"/>
      <c r="P102" s="1229"/>
      <c r="Q102" s="1229"/>
    </row>
    <row r="103" spans="1:17">
      <c r="A103" s="1229"/>
      <c r="B103" s="1375" t="s">
        <v>1828</v>
      </c>
      <c r="C103" s="1229"/>
      <c r="D103" s="1229"/>
      <c r="E103" s="1229"/>
      <c r="F103" s="1229"/>
      <c r="G103" s="1229"/>
      <c r="H103" s="1229"/>
      <c r="I103" s="1229"/>
      <c r="J103" s="1229"/>
      <c r="K103" s="1229"/>
      <c r="L103" s="1229"/>
      <c r="M103" s="1229"/>
      <c r="N103" s="1229"/>
      <c r="O103" s="1229"/>
      <c r="P103" s="1229"/>
      <c r="Q103" s="1229"/>
    </row>
    <row r="104" spans="1:17" ht="13.5" customHeight="1">
      <c r="A104" s="1229"/>
      <c r="B104" s="1229" t="s">
        <v>1829</v>
      </c>
      <c r="C104" s="1229"/>
      <c r="D104" s="1229"/>
      <c r="E104" s="1229"/>
      <c r="F104" s="1229"/>
      <c r="G104" s="1229"/>
      <c r="H104" s="1229"/>
      <c r="I104" s="1229"/>
      <c r="J104" s="1229"/>
      <c r="K104" s="1229"/>
      <c r="L104" s="1229"/>
      <c r="M104" s="1229"/>
      <c r="N104" s="1229"/>
      <c r="O104" s="1229"/>
      <c r="P104" s="1229"/>
      <c r="Q104" s="1229"/>
    </row>
    <row r="105" spans="1:17" ht="12.75" customHeight="1">
      <c r="A105" s="1229"/>
      <c r="B105" s="1375" t="s">
        <v>1846</v>
      </c>
      <c r="C105" s="1229"/>
      <c r="D105" s="1229"/>
      <c r="E105" s="1229"/>
      <c r="F105" s="1229"/>
      <c r="G105" s="1229"/>
      <c r="H105" s="1229"/>
      <c r="I105" s="1229"/>
      <c r="J105" s="1229"/>
      <c r="K105" s="1229"/>
      <c r="L105" s="1229"/>
      <c r="M105" s="1229"/>
      <c r="N105" s="1229"/>
      <c r="O105" s="1229"/>
      <c r="P105" s="1229"/>
      <c r="Q105" s="1229"/>
    </row>
    <row r="108" spans="1:17">
      <c r="A108" s="1229"/>
      <c r="B108" s="1229" t="s">
        <v>1955</v>
      </c>
      <c r="C108" s="1379"/>
      <c r="D108" s="1229"/>
      <c r="E108" s="1229"/>
      <c r="F108" s="1229"/>
      <c r="G108" s="1229"/>
      <c r="H108" s="1229"/>
      <c r="I108" s="1229"/>
      <c r="J108" s="1229"/>
      <c r="K108" s="1229"/>
      <c r="L108" s="1229"/>
      <c r="M108" s="1229"/>
      <c r="N108" s="1229"/>
      <c r="O108" s="1229"/>
      <c r="P108" s="1229"/>
      <c r="Q108" s="1229"/>
    </row>
  </sheetData>
  <mergeCells count="2">
    <mergeCell ref="A34:A42"/>
    <mergeCell ref="A7:A31"/>
  </mergeCells>
  <phoneticPr fontId="75" type="noConversion"/>
  <pageMargins left="0.4" right="0.46" top="0.47" bottom="0.33" header="0.25" footer="0.14000000000000001"/>
  <pageSetup paperSize="9" scale="67" orientation="landscape"/>
  <headerFooter alignWithMargins="0">
    <oddFooter>&amp;R&amp;8&amp;P/&amp;N</oddFooter>
  </headerFooter>
  <rowBreaks count="1" manualBreakCount="1">
    <brk id="58" max="16383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39AC-4D24-374F-8122-87FBCFF58D15}">
  <sheetPr>
    <pageSetUpPr fitToPage="1"/>
  </sheetPr>
  <dimension ref="A1:V52"/>
  <sheetViews>
    <sheetView zoomScale="75" workbookViewId="0">
      <selection activeCell="A36" sqref="A36"/>
    </sheetView>
  </sheetViews>
  <sheetFormatPr baseColWidth="10" defaultColWidth="11.3984375" defaultRowHeight="13"/>
  <cols>
    <col min="1" max="1" width="8.19921875" style="2" customWidth="1"/>
    <col min="2" max="3" width="11" style="159" customWidth="1"/>
    <col min="4" max="4" width="10.59765625" style="159" customWidth="1"/>
    <col min="5" max="8" width="11" style="159" customWidth="1"/>
    <col min="9" max="9" width="10.19921875" style="97" customWidth="1"/>
    <col min="10" max="10" width="9.796875" style="159" customWidth="1"/>
    <col min="11" max="11" width="11" style="159" customWidth="1"/>
    <col min="12" max="12" width="11.3984375" style="2"/>
    <col min="13" max="13" width="8.796875" style="2" hidden="1" customWidth="1"/>
    <col min="14" max="22" width="9.796875" style="159" hidden="1" customWidth="1"/>
    <col min="23" max="16384" width="11.3984375" style="2"/>
  </cols>
  <sheetData>
    <row r="1" spans="1:22" s="1" customFormat="1" ht="14" customHeight="1">
      <c r="A1" s="718"/>
      <c r="B1" s="946"/>
      <c r="C1" s="946"/>
      <c r="D1" s="946"/>
      <c r="E1" s="946"/>
      <c r="F1" s="946"/>
      <c r="G1" s="946"/>
      <c r="H1" s="946"/>
      <c r="I1" s="1029"/>
      <c r="J1" s="946"/>
      <c r="K1" s="946"/>
      <c r="N1" s="139"/>
      <c r="O1" s="139"/>
      <c r="P1" s="139"/>
      <c r="Q1" s="139"/>
      <c r="R1" s="139"/>
      <c r="S1" s="139"/>
      <c r="T1" s="139"/>
      <c r="U1" s="139"/>
      <c r="V1" s="139"/>
    </row>
    <row r="2" spans="1:22" s="1" customFormat="1" ht="27" customHeight="1">
      <c r="A2" s="748" t="s">
        <v>1660</v>
      </c>
      <c r="B2" s="946"/>
      <c r="C2" s="946"/>
      <c r="D2" s="946"/>
      <c r="E2" s="946"/>
      <c r="F2" s="946"/>
      <c r="G2" s="946"/>
      <c r="H2" s="946"/>
      <c r="I2" s="1029"/>
      <c r="J2" s="946"/>
      <c r="K2" s="265">
        <v>2006</v>
      </c>
      <c r="M2" s="112" t="s">
        <v>1623</v>
      </c>
      <c r="N2" s="139"/>
      <c r="O2" s="139"/>
      <c r="P2" s="139"/>
      <c r="Q2" s="139"/>
      <c r="R2" s="139"/>
      <c r="S2" s="139"/>
      <c r="T2" s="139"/>
      <c r="U2" s="139"/>
      <c r="V2" s="139"/>
    </row>
    <row r="3" spans="1:22" ht="27" customHeight="1">
      <c r="A3" s="113" t="s">
        <v>41</v>
      </c>
      <c r="B3" s="114" t="s">
        <v>205</v>
      </c>
      <c r="C3" s="115" t="s">
        <v>1624</v>
      </c>
      <c r="D3" s="114" t="s">
        <v>1624</v>
      </c>
      <c r="E3" s="115" t="s">
        <v>1951</v>
      </c>
      <c r="F3" s="114" t="s">
        <v>1625</v>
      </c>
      <c r="G3" s="115" t="s">
        <v>1661</v>
      </c>
      <c r="H3" s="114" t="s">
        <v>1549</v>
      </c>
      <c r="I3" s="170" t="s">
        <v>1626</v>
      </c>
      <c r="J3" s="114" t="s">
        <v>1627</v>
      </c>
      <c r="K3" s="115" t="s">
        <v>1661</v>
      </c>
      <c r="M3" s="113" t="s">
        <v>41</v>
      </c>
      <c r="N3" s="114" t="s">
        <v>205</v>
      </c>
      <c r="O3" s="115" t="s">
        <v>1624</v>
      </c>
      <c r="P3" s="114" t="s">
        <v>1624</v>
      </c>
      <c r="Q3" s="115" t="s">
        <v>1951</v>
      </c>
      <c r="R3" s="114" t="s">
        <v>45</v>
      </c>
      <c r="S3" s="115" t="s">
        <v>1628</v>
      </c>
      <c r="T3" s="114" t="s">
        <v>1549</v>
      </c>
      <c r="U3" s="115" t="s">
        <v>45</v>
      </c>
      <c r="V3" s="114" t="s">
        <v>1627</v>
      </c>
    </row>
    <row r="4" spans="1:22" ht="15" customHeight="1">
      <c r="A4" s="248"/>
      <c r="B4" s="366" t="s">
        <v>1629</v>
      </c>
      <c r="C4" s="118" t="s">
        <v>1630</v>
      </c>
      <c r="D4" s="117" t="s">
        <v>1631</v>
      </c>
      <c r="E4" s="784" t="s">
        <v>1632</v>
      </c>
      <c r="F4" s="117" t="s">
        <v>1662</v>
      </c>
      <c r="G4" s="118" t="s">
        <v>46</v>
      </c>
      <c r="H4" s="117" t="s">
        <v>1633</v>
      </c>
      <c r="I4" s="116" t="s">
        <v>1634</v>
      </c>
      <c r="J4" s="117" t="s">
        <v>1635</v>
      </c>
      <c r="K4" s="118" t="s">
        <v>46</v>
      </c>
      <c r="M4" s="248"/>
      <c r="N4" s="366" t="s">
        <v>1629</v>
      </c>
      <c r="O4" s="118" t="s">
        <v>1630</v>
      </c>
      <c r="P4" s="117" t="s">
        <v>1631</v>
      </c>
      <c r="Q4" s="784" t="s">
        <v>1632</v>
      </c>
      <c r="R4" s="117" t="s">
        <v>46</v>
      </c>
      <c r="S4" s="118" t="s">
        <v>1663</v>
      </c>
      <c r="T4" s="117" t="s">
        <v>1633</v>
      </c>
      <c r="U4" s="118" t="s">
        <v>46</v>
      </c>
      <c r="V4" s="117" t="s">
        <v>1635</v>
      </c>
    </row>
    <row r="5" spans="1:22" ht="15" hidden="1" customHeight="1">
      <c r="A5" s="248"/>
      <c r="B5" s="366"/>
      <c r="C5" s="784" t="s">
        <v>1636</v>
      </c>
      <c r="D5" s="366"/>
      <c r="E5" s="784"/>
      <c r="F5" s="117"/>
      <c r="G5" s="784"/>
      <c r="H5" s="117" t="s">
        <v>1637</v>
      </c>
      <c r="I5" s="1030"/>
      <c r="J5" s="366"/>
      <c r="K5" s="118"/>
      <c r="M5" s="248"/>
      <c r="N5" s="366"/>
      <c r="O5" s="118" t="s">
        <v>1636</v>
      </c>
      <c r="P5" s="117"/>
      <c r="Q5" s="784"/>
      <c r="R5" s="117"/>
      <c r="S5" s="118"/>
      <c r="T5" s="117" t="s">
        <v>1637</v>
      </c>
      <c r="U5" s="118"/>
      <c r="V5" s="117"/>
    </row>
    <row r="6" spans="1:22" ht="15" customHeight="1">
      <c r="A6" s="248"/>
      <c r="B6" s="366" t="s">
        <v>1638</v>
      </c>
      <c r="C6" s="784" t="s">
        <v>1639</v>
      </c>
      <c r="D6" s="366" t="s">
        <v>1640</v>
      </c>
      <c r="E6" s="784" t="s">
        <v>1641</v>
      </c>
      <c r="F6" s="366"/>
      <c r="G6" s="784" t="s">
        <v>50</v>
      </c>
      <c r="H6" s="366" t="s">
        <v>1664</v>
      </c>
      <c r="I6" s="1030" t="s">
        <v>1665</v>
      </c>
      <c r="J6" s="366" t="s">
        <v>1666</v>
      </c>
      <c r="K6" s="784" t="s">
        <v>50</v>
      </c>
      <c r="M6" s="248"/>
      <c r="N6" s="366" t="s">
        <v>1638</v>
      </c>
      <c r="O6" s="784" t="s">
        <v>1639</v>
      </c>
      <c r="P6" s="366" t="s">
        <v>1642</v>
      </c>
      <c r="Q6" s="784" t="s">
        <v>1641</v>
      </c>
      <c r="R6" s="366" t="s">
        <v>50</v>
      </c>
      <c r="S6" s="784"/>
      <c r="T6" s="117" t="s">
        <v>1643</v>
      </c>
      <c r="U6" s="784" t="s">
        <v>50</v>
      </c>
      <c r="V6" s="117" t="s">
        <v>1663</v>
      </c>
    </row>
    <row r="7" spans="1:22" ht="27" customHeight="1">
      <c r="A7" s="248"/>
      <c r="B7" s="366" t="s">
        <v>1667</v>
      </c>
      <c r="C7" s="784" t="s">
        <v>1668</v>
      </c>
      <c r="D7" s="366" t="s">
        <v>1669</v>
      </c>
      <c r="E7" s="784" t="s">
        <v>1670</v>
      </c>
      <c r="F7" s="366"/>
      <c r="G7" s="784"/>
      <c r="H7" s="366"/>
      <c r="I7" s="1030"/>
      <c r="J7" s="366"/>
      <c r="K7" s="784"/>
      <c r="M7" s="314"/>
      <c r="N7" s="123" t="s">
        <v>751</v>
      </c>
      <c r="O7" s="122" t="s">
        <v>1644</v>
      </c>
      <c r="P7" s="123" t="s">
        <v>1645</v>
      </c>
      <c r="Q7" s="122" t="s">
        <v>1646</v>
      </c>
      <c r="R7" s="123" t="s">
        <v>94</v>
      </c>
      <c r="S7" s="122"/>
      <c r="T7" s="123"/>
      <c r="U7" s="122" t="s">
        <v>94</v>
      </c>
      <c r="V7" s="123"/>
    </row>
    <row r="8" spans="1:22" ht="30" customHeight="1" thickBot="1">
      <c r="A8" s="952" t="s">
        <v>51</v>
      </c>
      <c r="B8" s="270">
        <v>1306603</v>
      </c>
      <c r="C8" s="271">
        <v>875</v>
      </c>
      <c r="D8" s="270">
        <v>2146</v>
      </c>
      <c r="E8" s="271">
        <v>3021</v>
      </c>
      <c r="F8" s="1031">
        <v>2.3121024519306936</v>
      </c>
      <c r="G8" s="369">
        <v>5.5008375416671917E-3</v>
      </c>
      <c r="H8" s="270">
        <v>221</v>
      </c>
      <c r="I8" s="1032">
        <v>2</v>
      </c>
      <c r="J8" s="1031">
        <v>1.6914089436500603</v>
      </c>
      <c r="K8" s="369">
        <v>2.8045517879695669E-3</v>
      </c>
      <c r="M8" s="952" t="s">
        <v>51</v>
      </c>
      <c r="N8" s="270">
        <v>1209530</v>
      </c>
      <c r="O8" s="271">
        <v>875</v>
      </c>
      <c r="P8" s="270">
        <v>1726</v>
      </c>
      <c r="Q8" s="271">
        <v>2601</v>
      </c>
      <c r="R8" s="953"/>
      <c r="S8" s="271">
        <f t="shared" ref="S8:S34" si="0">N8/Q8</f>
        <v>465.02499038831218</v>
      </c>
      <c r="T8" s="270">
        <v>223</v>
      </c>
      <c r="U8" s="628"/>
      <c r="V8" s="270">
        <f t="shared" ref="V8:V34" si="1">N8/T8</f>
        <v>5423.9013452914796</v>
      </c>
    </row>
    <row r="9" spans="1:22" ht="18" customHeight="1" thickBot="1">
      <c r="A9" s="368" t="s">
        <v>52</v>
      </c>
      <c r="B9" s="147">
        <v>966743</v>
      </c>
      <c r="C9" s="204">
        <v>618</v>
      </c>
      <c r="D9" s="147">
        <v>1442</v>
      </c>
      <c r="E9" s="204">
        <v>2060</v>
      </c>
      <c r="F9" s="1031">
        <v>2.1308662178055595</v>
      </c>
      <c r="G9" s="369">
        <v>7.074127931266494E-3</v>
      </c>
      <c r="H9" s="147">
        <v>187</v>
      </c>
      <c r="I9" s="1032">
        <v>2</v>
      </c>
      <c r="J9" s="1031">
        <v>1.9343300132506778</v>
      </c>
      <c r="K9" s="369">
        <v>2.9851192032656515E-2</v>
      </c>
      <c r="M9" s="368" t="s">
        <v>52</v>
      </c>
      <c r="N9" s="147">
        <v>949795</v>
      </c>
      <c r="O9" s="204">
        <v>581</v>
      </c>
      <c r="P9" s="147">
        <v>1249</v>
      </c>
      <c r="Q9" s="204">
        <v>1830</v>
      </c>
      <c r="R9" s="638"/>
      <c r="S9" s="204">
        <f t="shared" si="0"/>
        <v>519.01366120218574</v>
      </c>
      <c r="T9" s="147">
        <v>172</v>
      </c>
      <c r="U9" s="546"/>
      <c r="V9" s="147">
        <f t="shared" si="1"/>
        <v>5522.0639534883721</v>
      </c>
    </row>
    <row r="10" spans="1:22" ht="18" customHeight="1" thickBot="1">
      <c r="A10" s="368" t="s">
        <v>53</v>
      </c>
      <c r="B10" s="147">
        <v>358257</v>
      </c>
      <c r="C10" s="204">
        <v>197</v>
      </c>
      <c r="D10" s="147">
        <v>337</v>
      </c>
      <c r="E10" s="204">
        <v>534</v>
      </c>
      <c r="F10" s="1031">
        <v>1.4905500799705238</v>
      </c>
      <c r="G10" s="369">
        <v>-1.2500857074872807E-2</v>
      </c>
      <c r="H10" s="147">
        <v>34</v>
      </c>
      <c r="I10" s="1032">
        <v>1</v>
      </c>
      <c r="J10" s="1031">
        <v>0.94903937676025862</v>
      </c>
      <c r="K10" s="369">
        <v>5.5112321601531677E-2</v>
      </c>
      <c r="M10" s="368" t="s">
        <v>53</v>
      </c>
      <c r="N10" s="147">
        <v>343180</v>
      </c>
      <c r="O10" s="204">
        <v>203</v>
      </c>
      <c r="P10" s="147">
        <v>282</v>
      </c>
      <c r="Q10" s="204">
        <v>485</v>
      </c>
      <c r="R10" s="638"/>
      <c r="S10" s="204">
        <f t="shared" si="0"/>
        <v>707.58762886597935</v>
      </c>
      <c r="T10" s="147">
        <v>34</v>
      </c>
      <c r="U10" s="546"/>
      <c r="V10" s="147">
        <f t="shared" si="1"/>
        <v>10093.529411764706</v>
      </c>
    </row>
    <row r="11" spans="1:22" ht="18" customHeight="1" thickBot="1">
      <c r="A11" s="368" t="s">
        <v>54</v>
      </c>
      <c r="B11" s="147">
        <v>34575</v>
      </c>
      <c r="C11" s="204">
        <v>18</v>
      </c>
      <c r="D11" s="147">
        <v>23</v>
      </c>
      <c r="E11" s="204">
        <v>41</v>
      </c>
      <c r="F11" s="1031">
        <v>1.185827910339841</v>
      </c>
      <c r="G11" s="369">
        <v>-4.4388168625670299E-2</v>
      </c>
      <c r="H11" s="147">
        <v>2</v>
      </c>
      <c r="I11" s="1032">
        <v>1</v>
      </c>
      <c r="J11" s="1031">
        <v>0.57845263919016632</v>
      </c>
      <c r="K11" s="369">
        <v>2.2270426608821392E-3</v>
      </c>
      <c r="M11" s="368" t="s">
        <v>54</v>
      </c>
      <c r="N11" s="147">
        <v>34560</v>
      </c>
      <c r="O11" s="204">
        <v>21</v>
      </c>
      <c r="P11" s="147">
        <v>22</v>
      </c>
      <c r="Q11" s="204">
        <v>43</v>
      </c>
      <c r="R11" s="638"/>
      <c r="S11" s="204">
        <f t="shared" si="0"/>
        <v>803.72093023255809</v>
      </c>
      <c r="T11" s="147">
        <v>2</v>
      </c>
      <c r="U11" s="546"/>
      <c r="V11" s="147">
        <f t="shared" si="1"/>
        <v>17280</v>
      </c>
    </row>
    <row r="12" spans="1:22" ht="18" customHeight="1" thickBot="1">
      <c r="A12" s="368" t="s">
        <v>55</v>
      </c>
      <c r="B12" s="147">
        <v>138160</v>
      </c>
      <c r="C12" s="204">
        <v>81</v>
      </c>
      <c r="D12" s="147">
        <v>106</v>
      </c>
      <c r="E12" s="204">
        <v>187</v>
      </c>
      <c r="F12" s="1031">
        <v>1.3535031847133756</v>
      </c>
      <c r="G12" s="369">
        <v>3.2208749955520588E-2</v>
      </c>
      <c r="H12" s="147">
        <v>12</v>
      </c>
      <c r="I12" s="1032">
        <v>1</v>
      </c>
      <c r="J12" s="1031">
        <v>0.86855819339895768</v>
      </c>
      <c r="K12" s="369">
        <v>-1.1949913144180813E-2</v>
      </c>
      <c r="M12" s="368" t="s">
        <v>55</v>
      </c>
      <c r="N12" s="147">
        <v>126680</v>
      </c>
      <c r="O12" s="204">
        <v>65</v>
      </c>
      <c r="P12" s="147">
        <v>66</v>
      </c>
      <c r="Q12" s="204">
        <v>131</v>
      </c>
      <c r="R12" s="638"/>
      <c r="S12" s="204">
        <f t="shared" si="0"/>
        <v>967.02290076335873</v>
      </c>
      <c r="T12" s="147">
        <v>11</v>
      </c>
      <c r="U12" s="546"/>
      <c r="V12" s="147">
        <f t="shared" si="1"/>
        <v>11516.363636363636</v>
      </c>
    </row>
    <row r="13" spans="1:22" ht="18" customHeight="1" thickBot="1">
      <c r="A13" s="368" t="s">
        <v>56</v>
      </c>
      <c r="B13" s="147">
        <v>33405</v>
      </c>
      <c r="C13" s="204">
        <v>22</v>
      </c>
      <c r="D13" s="147">
        <v>17</v>
      </c>
      <c r="E13" s="204">
        <v>39</v>
      </c>
      <c r="F13" s="1031">
        <v>1.1674898967220475</v>
      </c>
      <c r="G13" s="369">
        <v>-9.7889537494387779E-3</v>
      </c>
      <c r="H13" s="147">
        <v>4</v>
      </c>
      <c r="I13" s="1032">
        <v>1</v>
      </c>
      <c r="J13" s="1031">
        <v>1.197425535099536</v>
      </c>
      <c r="K13" s="369">
        <v>0.32028139500074837</v>
      </c>
      <c r="M13" s="368" t="s">
        <v>56</v>
      </c>
      <c r="N13" s="147">
        <v>31952</v>
      </c>
      <c r="O13" s="204">
        <v>19</v>
      </c>
      <c r="P13" s="147">
        <v>13</v>
      </c>
      <c r="Q13" s="204">
        <v>32</v>
      </c>
      <c r="R13" s="638"/>
      <c r="S13" s="204">
        <f t="shared" si="0"/>
        <v>998.5</v>
      </c>
      <c r="T13" s="147">
        <v>2</v>
      </c>
      <c r="U13" s="546"/>
      <c r="V13" s="147">
        <f t="shared" si="1"/>
        <v>15976</v>
      </c>
    </row>
    <row r="14" spans="1:22" ht="18" customHeight="1" thickBot="1">
      <c r="A14" s="368" t="s">
        <v>57</v>
      </c>
      <c r="B14" s="147">
        <v>39374</v>
      </c>
      <c r="C14" s="204">
        <v>16</v>
      </c>
      <c r="D14" s="147">
        <v>29</v>
      </c>
      <c r="E14" s="204">
        <v>45</v>
      </c>
      <c r="F14" s="1031">
        <v>1.1428861685376137</v>
      </c>
      <c r="G14" s="369">
        <v>-2.8695828851968086E-2</v>
      </c>
      <c r="H14" s="147">
        <v>2</v>
      </c>
      <c r="I14" s="1032">
        <v>1</v>
      </c>
      <c r="J14" s="1031">
        <v>0.50794940823893941</v>
      </c>
      <c r="K14" s="369">
        <v>-7.1112917153451916E-3</v>
      </c>
      <c r="M14" s="368" t="s">
        <v>57</v>
      </c>
      <c r="N14" s="147">
        <v>36549</v>
      </c>
      <c r="O14" s="204">
        <v>16</v>
      </c>
      <c r="P14" s="147">
        <v>20</v>
      </c>
      <c r="Q14" s="204">
        <v>36</v>
      </c>
      <c r="R14" s="638"/>
      <c r="S14" s="204">
        <f t="shared" si="0"/>
        <v>1015.25</v>
      </c>
      <c r="T14" s="147">
        <v>2</v>
      </c>
      <c r="U14" s="546"/>
      <c r="V14" s="147">
        <f t="shared" si="1"/>
        <v>18274.5</v>
      </c>
    </row>
    <row r="15" spans="1:22" ht="18" customHeight="1" thickBot="1">
      <c r="A15" s="368" t="s">
        <v>58</v>
      </c>
      <c r="B15" s="147">
        <v>38001</v>
      </c>
      <c r="C15" s="204">
        <v>28</v>
      </c>
      <c r="D15" s="147">
        <v>27</v>
      </c>
      <c r="E15" s="204">
        <v>55</v>
      </c>
      <c r="F15" s="1031">
        <v>1.4473303334122787</v>
      </c>
      <c r="G15" s="369">
        <v>-4.9303602718258732E-2</v>
      </c>
      <c r="H15" s="147">
        <v>2</v>
      </c>
      <c r="I15" s="1032">
        <v>1</v>
      </c>
      <c r="J15" s="1031">
        <v>0.5263019394226468</v>
      </c>
      <c r="K15" s="369">
        <v>2.5525644061998864E-3</v>
      </c>
      <c r="M15" s="368" t="s">
        <v>58</v>
      </c>
      <c r="N15" s="147">
        <v>38305</v>
      </c>
      <c r="O15" s="204">
        <v>25</v>
      </c>
      <c r="P15" s="147">
        <v>22</v>
      </c>
      <c r="Q15" s="204">
        <v>47</v>
      </c>
      <c r="R15" s="638"/>
      <c r="S15" s="204">
        <f t="shared" si="0"/>
        <v>815</v>
      </c>
      <c r="T15" s="147">
        <v>3</v>
      </c>
      <c r="U15" s="546"/>
      <c r="V15" s="147">
        <f t="shared" si="1"/>
        <v>12768.333333333334</v>
      </c>
    </row>
    <row r="16" spans="1:22" ht="18" customHeight="1" thickBot="1">
      <c r="A16" s="368" t="s">
        <v>59</v>
      </c>
      <c r="B16" s="147">
        <v>107352</v>
      </c>
      <c r="C16" s="204">
        <v>65</v>
      </c>
      <c r="D16" s="147">
        <v>130</v>
      </c>
      <c r="E16" s="204">
        <v>195</v>
      </c>
      <c r="F16" s="1031">
        <v>1.8164542812430136</v>
      </c>
      <c r="G16" s="369">
        <v>-9.333780460541008E-3</v>
      </c>
      <c r="H16" s="147">
        <v>13</v>
      </c>
      <c r="I16" s="1032">
        <v>1</v>
      </c>
      <c r="J16" s="1031">
        <v>1.2109695208286757</v>
      </c>
      <c r="K16" s="369">
        <v>-8.0095653284788071E-2</v>
      </c>
      <c r="M16" s="368" t="s">
        <v>59</v>
      </c>
      <c r="N16" s="147">
        <v>97049</v>
      </c>
      <c r="O16" s="204">
        <v>53</v>
      </c>
      <c r="P16" s="147">
        <v>102</v>
      </c>
      <c r="Q16" s="204">
        <v>155</v>
      </c>
      <c r="R16" s="638"/>
      <c r="S16" s="204">
        <f t="shared" si="0"/>
        <v>626.12258064516129</v>
      </c>
      <c r="T16" s="147">
        <v>14</v>
      </c>
      <c r="U16" s="546"/>
      <c r="V16" s="147">
        <f t="shared" si="1"/>
        <v>6932.0714285714284</v>
      </c>
    </row>
    <row r="17" spans="1:22" ht="18" customHeight="1" thickBot="1">
      <c r="A17" s="368" t="s">
        <v>60</v>
      </c>
      <c r="B17" s="147">
        <v>259775</v>
      </c>
      <c r="C17" s="204">
        <v>127</v>
      </c>
      <c r="D17" s="147">
        <v>275</v>
      </c>
      <c r="E17" s="204">
        <v>402</v>
      </c>
      <c r="F17" s="1031">
        <v>1.5474930228081993</v>
      </c>
      <c r="G17" s="369">
        <v>8.4838331444596626E-3</v>
      </c>
      <c r="H17" s="147">
        <v>65</v>
      </c>
      <c r="I17" s="1032">
        <v>2</v>
      </c>
      <c r="J17" s="1031">
        <v>2.5021653353863922</v>
      </c>
      <c r="K17" s="369">
        <v>-1.237248580502337E-3</v>
      </c>
      <c r="M17" s="368" t="s">
        <v>60</v>
      </c>
      <c r="N17" s="147">
        <v>235151</v>
      </c>
      <c r="O17" s="204">
        <v>112</v>
      </c>
      <c r="P17" s="147">
        <v>225</v>
      </c>
      <c r="Q17" s="204">
        <v>337</v>
      </c>
      <c r="R17" s="638"/>
      <c r="S17" s="204">
        <f t="shared" si="0"/>
        <v>697.77744807121667</v>
      </c>
      <c r="T17" s="147">
        <v>71</v>
      </c>
      <c r="U17" s="546"/>
      <c r="V17" s="147">
        <f t="shared" si="1"/>
        <v>3311.9859154929577</v>
      </c>
    </row>
    <row r="18" spans="1:22" ht="18" customHeight="1" thickBot="1">
      <c r="A18" s="368" t="s">
        <v>61</v>
      </c>
      <c r="B18" s="147">
        <v>247562</v>
      </c>
      <c r="C18" s="204">
        <v>161</v>
      </c>
      <c r="D18" s="147">
        <v>247</v>
      </c>
      <c r="E18" s="204">
        <v>408</v>
      </c>
      <c r="F18" s="1031">
        <v>1.6480719981257221</v>
      </c>
      <c r="G18" s="369">
        <v>1.2014599207290422E-2</v>
      </c>
      <c r="H18" s="147">
        <v>26</v>
      </c>
      <c r="I18" s="1032">
        <v>1</v>
      </c>
      <c r="J18" s="1031">
        <v>1.0502419595899208</v>
      </c>
      <c r="K18" s="369">
        <v>-2.8679684281109896E-3</v>
      </c>
      <c r="M18" s="368" t="s">
        <v>61</v>
      </c>
      <c r="N18" s="147">
        <v>241747</v>
      </c>
      <c r="O18" s="204">
        <v>158</v>
      </c>
      <c r="P18" s="147">
        <v>210</v>
      </c>
      <c r="Q18" s="204">
        <v>368</v>
      </c>
      <c r="R18" s="638"/>
      <c r="S18" s="204">
        <f t="shared" si="0"/>
        <v>656.92119565217388</v>
      </c>
      <c r="T18" s="147">
        <v>28</v>
      </c>
      <c r="U18" s="546"/>
      <c r="V18" s="147">
        <f t="shared" si="1"/>
        <v>8633.8214285714294</v>
      </c>
    </row>
    <row r="19" spans="1:22" ht="18" customHeight="1" thickBot="1">
      <c r="A19" s="368" t="s">
        <v>62</v>
      </c>
      <c r="B19" s="147">
        <v>190324</v>
      </c>
      <c r="C19" s="204">
        <v>130</v>
      </c>
      <c r="D19" s="147">
        <v>595</v>
      </c>
      <c r="E19" s="204">
        <v>725</v>
      </c>
      <c r="F19" s="1031">
        <v>3.8092936256068599</v>
      </c>
      <c r="G19" s="369">
        <v>1.6537213233373427E-2</v>
      </c>
      <c r="H19" s="147">
        <v>69</v>
      </c>
      <c r="I19" s="1032">
        <v>3</v>
      </c>
      <c r="J19" s="1031">
        <v>3.6253966919568734</v>
      </c>
      <c r="K19" s="369">
        <v>-1.3187737001864597E-2</v>
      </c>
      <c r="M19" s="368" t="s">
        <v>62</v>
      </c>
      <c r="N19" s="147">
        <v>192347</v>
      </c>
      <c r="O19" s="204">
        <v>118</v>
      </c>
      <c r="P19" s="147">
        <v>556</v>
      </c>
      <c r="Q19" s="204">
        <v>674</v>
      </c>
      <c r="R19" s="638"/>
      <c r="S19" s="204">
        <f t="shared" si="0"/>
        <v>285.38130563798222</v>
      </c>
      <c r="T19" s="147">
        <v>70</v>
      </c>
      <c r="U19" s="546"/>
      <c r="V19" s="147">
        <f t="shared" si="1"/>
        <v>2747.8142857142857</v>
      </c>
    </row>
    <row r="20" spans="1:22" ht="18" customHeight="1" thickBot="1">
      <c r="A20" s="368" t="s">
        <v>63</v>
      </c>
      <c r="B20" s="147">
        <v>265829</v>
      </c>
      <c r="C20" s="204">
        <v>165</v>
      </c>
      <c r="D20" s="147">
        <v>368</v>
      </c>
      <c r="E20" s="204">
        <v>533</v>
      </c>
      <c r="F20" s="1031">
        <v>2.0050483581550544</v>
      </c>
      <c r="G20" s="369">
        <v>1.8549172097407585E-2</v>
      </c>
      <c r="H20" s="147">
        <v>40</v>
      </c>
      <c r="I20" s="1032">
        <v>1</v>
      </c>
      <c r="J20" s="1031">
        <v>1.5047267228180523</v>
      </c>
      <c r="K20" s="369">
        <v>2.114613684081279E-2</v>
      </c>
      <c r="M20" s="368" t="s">
        <v>63</v>
      </c>
      <c r="N20" s="147">
        <v>255485</v>
      </c>
      <c r="O20" s="204">
        <v>164</v>
      </c>
      <c r="P20" s="147">
        <v>306</v>
      </c>
      <c r="Q20" s="204">
        <v>470</v>
      </c>
      <c r="R20" s="638"/>
      <c r="S20" s="204">
        <f t="shared" si="0"/>
        <v>543.58510638297878</v>
      </c>
      <c r="T20" s="147">
        <v>36</v>
      </c>
      <c r="U20" s="546"/>
      <c r="V20" s="147">
        <f t="shared" si="1"/>
        <v>7096.8055555555557</v>
      </c>
    </row>
    <row r="21" spans="1:22" ht="18" customHeight="1" thickBot="1">
      <c r="A21" s="368" t="s">
        <v>64</v>
      </c>
      <c r="B21" s="147">
        <v>74335</v>
      </c>
      <c r="C21" s="204">
        <v>59</v>
      </c>
      <c r="D21" s="147">
        <v>89</v>
      </c>
      <c r="E21" s="204">
        <v>148</v>
      </c>
      <c r="F21" s="1031">
        <v>1.9909867491760274</v>
      </c>
      <c r="G21" s="369">
        <v>1.0712150013222121E-2</v>
      </c>
      <c r="H21" s="147">
        <v>13</v>
      </c>
      <c r="I21" s="1032">
        <v>2</v>
      </c>
      <c r="J21" s="1031">
        <v>1.7488397121140782</v>
      </c>
      <c r="K21" s="369">
        <v>-2.9461222842537271E-3</v>
      </c>
      <c r="M21" s="368" t="s">
        <v>64</v>
      </c>
      <c r="N21" s="147">
        <v>73115</v>
      </c>
      <c r="O21" s="204">
        <v>55</v>
      </c>
      <c r="P21" s="147">
        <v>81</v>
      </c>
      <c r="Q21" s="204">
        <v>136</v>
      </c>
      <c r="R21" s="638"/>
      <c r="S21" s="204">
        <f t="shared" si="0"/>
        <v>537.61029411764707</v>
      </c>
      <c r="T21" s="147">
        <v>14</v>
      </c>
      <c r="U21" s="546"/>
      <c r="V21" s="147">
        <f t="shared" si="1"/>
        <v>5222.5</v>
      </c>
    </row>
    <row r="22" spans="1:22" ht="18" customHeight="1" thickBot="1">
      <c r="A22" s="368" t="s">
        <v>65</v>
      </c>
      <c r="B22" s="147">
        <v>52280</v>
      </c>
      <c r="C22" s="204">
        <v>39</v>
      </c>
      <c r="D22" s="147">
        <v>59</v>
      </c>
      <c r="E22" s="204">
        <v>98</v>
      </c>
      <c r="F22" s="1031">
        <v>1.8745218056618209</v>
      </c>
      <c r="G22" s="369">
        <v>9.1596531497067035E-2</v>
      </c>
      <c r="H22" s="147">
        <v>6</v>
      </c>
      <c r="I22" s="1032">
        <v>1</v>
      </c>
      <c r="J22" s="1031">
        <v>1.1476664116296862</v>
      </c>
      <c r="K22" s="369">
        <v>0.20298393267023718</v>
      </c>
      <c r="M22" s="368" t="s">
        <v>65</v>
      </c>
      <c r="N22" s="147">
        <v>53390</v>
      </c>
      <c r="O22" s="204">
        <v>44</v>
      </c>
      <c r="P22" s="147">
        <v>36</v>
      </c>
      <c r="Q22" s="204">
        <v>80</v>
      </c>
      <c r="R22" s="638"/>
      <c r="S22" s="204">
        <f t="shared" si="0"/>
        <v>667.375</v>
      </c>
      <c r="T22" s="147">
        <v>4</v>
      </c>
      <c r="U22" s="546"/>
      <c r="V22" s="147">
        <f t="shared" si="1"/>
        <v>13347.5</v>
      </c>
    </row>
    <row r="23" spans="1:22" ht="18" customHeight="1" thickBot="1">
      <c r="A23" s="368" t="s">
        <v>66</v>
      </c>
      <c r="B23" s="147">
        <v>15140</v>
      </c>
      <c r="C23" s="204">
        <v>6</v>
      </c>
      <c r="D23" s="147">
        <v>12</v>
      </c>
      <c r="E23" s="204">
        <v>18</v>
      </c>
      <c r="F23" s="1031">
        <v>1.1889035667107002</v>
      </c>
      <c r="G23" s="369">
        <v>-1.0105680317040844E-2</v>
      </c>
      <c r="H23" s="147">
        <v>1</v>
      </c>
      <c r="I23" s="1032">
        <v>1</v>
      </c>
      <c r="J23" s="1031">
        <v>0.66050198150594452</v>
      </c>
      <c r="K23" s="369">
        <v>-1.0105680317040955E-2</v>
      </c>
      <c r="M23" s="368" t="s">
        <v>66</v>
      </c>
      <c r="N23" s="147">
        <v>14520</v>
      </c>
      <c r="O23" s="204">
        <v>8</v>
      </c>
      <c r="P23" s="147">
        <v>7</v>
      </c>
      <c r="Q23" s="204">
        <v>15</v>
      </c>
      <c r="R23" s="638"/>
      <c r="S23" s="204">
        <f t="shared" si="0"/>
        <v>968</v>
      </c>
      <c r="T23" s="147">
        <v>1</v>
      </c>
      <c r="U23" s="546"/>
      <c r="V23" s="147">
        <f t="shared" si="1"/>
        <v>14520</v>
      </c>
    </row>
    <row r="24" spans="1:22" ht="18" customHeight="1" thickBot="1">
      <c r="A24" s="368" t="s">
        <v>67</v>
      </c>
      <c r="B24" s="147">
        <v>463020</v>
      </c>
      <c r="C24" s="204">
        <v>286</v>
      </c>
      <c r="D24" s="147">
        <v>471</v>
      </c>
      <c r="E24" s="204">
        <v>757</v>
      </c>
      <c r="F24" s="1031">
        <v>1.6349185780311866</v>
      </c>
      <c r="G24" s="369">
        <v>1.8326711122162775E-2</v>
      </c>
      <c r="H24" s="147">
        <v>49</v>
      </c>
      <c r="I24" s="1032">
        <v>1</v>
      </c>
      <c r="J24" s="1031">
        <v>1.0582696211826703</v>
      </c>
      <c r="K24" s="369">
        <v>1.6196789555526614E-2</v>
      </c>
      <c r="M24" s="368" t="s">
        <v>67</v>
      </c>
      <c r="N24" s="147">
        <v>445797</v>
      </c>
      <c r="O24" s="204">
        <v>300</v>
      </c>
      <c r="P24" s="147">
        <v>370</v>
      </c>
      <c r="Q24" s="204">
        <v>670</v>
      </c>
      <c r="R24" s="638"/>
      <c r="S24" s="204">
        <f t="shared" si="0"/>
        <v>665.36865671641795</v>
      </c>
      <c r="T24" s="147">
        <v>49</v>
      </c>
      <c r="U24" s="546"/>
      <c r="V24" s="147">
        <f t="shared" si="1"/>
        <v>9097.8979591836742</v>
      </c>
    </row>
    <row r="25" spans="1:22" ht="18" customHeight="1" thickBot="1">
      <c r="A25" s="368" t="s">
        <v>68</v>
      </c>
      <c r="B25" s="147">
        <v>191441</v>
      </c>
      <c r="C25" s="204">
        <v>137</v>
      </c>
      <c r="D25" s="147">
        <v>198</v>
      </c>
      <c r="E25" s="204">
        <v>335</v>
      </c>
      <c r="F25" s="1031">
        <v>1.7498863879733182</v>
      </c>
      <c r="G25" s="369">
        <v>-3.7261417853219347E-3</v>
      </c>
      <c r="H25" s="147">
        <v>39</v>
      </c>
      <c r="I25" s="1032">
        <v>2</v>
      </c>
      <c r="J25" s="1031">
        <v>2.0371811680883405</v>
      </c>
      <c r="K25" s="369">
        <v>5.3261205167014269E-2</v>
      </c>
      <c r="M25" s="368" t="s">
        <v>68</v>
      </c>
      <c r="N25" s="147">
        <v>187572</v>
      </c>
      <c r="O25" s="204">
        <v>146</v>
      </c>
      <c r="P25" s="147">
        <v>178</v>
      </c>
      <c r="Q25" s="204">
        <v>324</v>
      </c>
      <c r="R25" s="638"/>
      <c r="S25" s="204">
        <f t="shared" si="0"/>
        <v>578.92592592592598</v>
      </c>
      <c r="T25" s="147">
        <v>36</v>
      </c>
      <c r="U25" s="546"/>
      <c r="V25" s="147">
        <f t="shared" si="1"/>
        <v>5210.333333333333</v>
      </c>
    </row>
    <row r="26" spans="1:22" ht="18" customHeight="1" thickBot="1">
      <c r="A26" s="368" t="s">
        <v>69</v>
      </c>
      <c r="B26" s="147">
        <v>572719</v>
      </c>
      <c r="C26" s="204">
        <v>280</v>
      </c>
      <c r="D26" s="147">
        <v>585</v>
      </c>
      <c r="E26" s="204">
        <v>865</v>
      </c>
      <c r="F26" s="1031">
        <v>1.5103392763292296</v>
      </c>
      <c r="G26" s="369">
        <v>1.9961719692118685E-3</v>
      </c>
      <c r="H26" s="147">
        <v>109</v>
      </c>
      <c r="I26" s="1032">
        <v>2</v>
      </c>
      <c r="J26" s="1031">
        <v>1.9032020938715148</v>
      </c>
      <c r="K26" s="369">
        <v>-9.5875988049984873E-3</v>
      </c>
      <c r="M26" s="368" t="s">
        <v>69</v>
      </c>
      <c r="N26" s="147">
        <v>536746</v>
      </c>
      <c r="O26" s="204">
        <v>281</v>
      </c>
      <c r="P26" s="147">
        <v>454</v>
      </c>
      <c r="Q26" s="204">
        <v>735</v>
      </c>
      <c r="R26" s="638"/>
      <c r="S26" s="204">
        <f t="shared" si="0"/>
        <v>730.26666666666665</v>
      </c>
      <c r="T26" s="147">
        <v>108</v>
      </c>
      <c r="U26" s="546"/>
      <c r="V26" s="147">
        <f t="shared" si="1"/>
        <v>4969.8703703703704</v>
      </c>
    </row>
    <row r="27" spans="1:22" ht="18" customHeight="1" thickBot="1">
      <c r="A27" s="368" t="s">
        <v>70</v>
      </c>
      <c r="B27" s="147">
        <v>235922</v>
      </c>
      <c r="C27" s="204">
        <v>132</v>
      </c>
      <c r="D27" s="147">
        <v>185</v>
      </c>
      <c r="E27" s="204">
        <v>317</v>
      </c>
      <c r="F27" s="1031">
        <v>1.3436644314646367</v>
      </c>
      <c r="G27" s="369">
        <v>1.7623604905455448E-2</v>
      </c>
      <c r="H27" s="147">
        <v>23</v>
      </c>
      <c r="I27" s="1032">
        <v>1</v>
      </c>
      <c r="J27" s="1031">
        <v>0.97489848339705487</v>
      </c>
      <c r="K27" s="369">
        <v>3.7030536286646321E-2</v>
      </c>
      <c r="M27" s="368" t="s">
        <v>70</v>
      </c>
      <c r="N27" s="147">
        <v>226619</v>
      </c>
      <c r="O27" s="204">
        <v>144</v>
      </c>
      <c r="P27" s="147">
        <v>138</v>
      </c>
      <c r="Q27" s="204">
        <v>282</v>
      </c>
      <c r="R27" s="638"/>
      <c r="S27" s="204">
        <f t="shared" si="0"/>
        <v>803.61347517730496</v>
      </c>
      <c r="T27" s="147">
        <v>23</v>
      </c>
      <c r="U27" s="546"/>
      <c r="V27" s="147">
        <f t="shared" si="1"/>
        <v>9853</v>
      </c>
    </row>
    <row r="28" spans="1:22" ht="18" customHeight="1" thickBot="1">
      <c r="A28" s="368" t="s">
        <v>71</v>
      </c>
      <c r="B28" s="147">
        <v>324837</v>
      </c>
      <c r="C28" s="204">
        <v>177</v>
      </c>
      <c r="D28" s="147">
        <v>487</v>
      </c>
      <c r="E28" s="204">
        <v>664</v>
      </c>
      <c r="F28" s="1031">
        <v>2.0441021189088682</v>
      </c>
      <c r="G28" s="369">
        <v>1.4633708930504419E-2</v>
      </c>
      <c r="H28" s="147">
        <v>178</v>
      </c>
      <c r="I28" s="1032">
        <v>3</v>
      </c>
      <c r="J28" s="1031">
        <v>5.4796713428581096</v>
      </c>
      <c r="K28" s="369">
        <v>8.7135569971574789E-3</v>
      </c>
      <c r="M28" s="368" t="s">
        <v>71</v>
      </c>
      <c r="N28" s="147">
        <v>303836</v>
      </c>
      <c r="O28" s="204">
        <v>193</v>
      </c>
      <c r="P28" s="147">
        <v>384</v>
      </c>
      <c r="Q28" s="204">
        <v>577</v>
      </c>
      <c r="R28" s="638"/>
      <c r="S28" s="204">
        <f t="shared" si="0"/>
        <v>526.57885615251303</v>
      </c>
      <c r="T28" s="147">
        <v>171</v>
      </c>
      <c r="U28" s="546"/>
      <c r="V28" s="147">
        <f t="shared" si="1"/>
        <v>1776.8187134502923</v>
      </c>
    </row>
    <row r="29" spans="1:22" ht="18" customHeight="1" thickBot="1">
      <c r="A29" s="368" t="s">
        <v>72</v>
      </c>
      <c r="B29" s="147">
        <v>671432</v>
      </c>
      <c r="C29" s="204">
        <v>420</v>
      </c>
      <c r="D29" s="147">
        <v>1235</v>
      </c>
      <c r="E29" s="204">
        <v>1655</v>
      </c>
      <c r="F29" s="1031">
        <v>2.4648810303947384</v>
      </c>
      <c r="G29" s="369">
        <v>1.0205379924534075E-2</v>
      </c>
      <c r="H29" s="147">
        <v>240</v>
      </c>
      <c r="I29" s="1032">
        <v>3</v>
      </c>
      <c r="J29" s="1031">
        <v>3.5744498325965997</v>
      </c>
      <c r="K29" s="369">
        <v>-1.5869420156505387E-2</v>
      </c>
      <c r="M29" s="368" t="s">
        <v>72</v>
      </c>
      <c r="N29" s="147">
        <v>623912</v>
      </c>
      <c r="O29" s="204">
        <v>474</v>
      </c>
      <c r="P29" s="147">
        <v>999</v>
      </c>
      <c r="Q29" s="204">
        <v>1473</v>
      </c>
      <c r="R29" s="638"/>
      <c r="S29" s="204">
        <f t="shared" si="0"/>
        <v>423.56551255940258</v>
      </c>
      <c r="T29" s="147">
        <v>234</v>
      </c>
      <c r="U29" s="546"/>
      <c r="V29" s="147">
        <f t="shared" si="1"/>
        <v>2666.2905982905982</v>
      </c>
    </row>
    <row r="30" spans="1:22" ht="18" customHeight="1" thickBot="1">
      <c r="A30" s="368" t="s">
        <v>73</v>
      </c>
      <c r="B30" s="147">
        <v>293304</v>
      </c>
      <c r="C30" s="204">
        <v>172</v>
      </c>
      <c r="D30" s="147">
        <v>342</v>
      </c>
      <c r="E30" s="204">
        <v>514</v>
      </c>
      <c r="F30" s="1031">
        <v>1.7524479720699342</v>
      </c>
      <c r="G30" s="369">
        <v>-3.1807386846918195E-3</v>
      </c>
      <c r="H30" s="147">
        <v>110</v>
      </c>
      <c r="I30" s="1032">
        <v>2</v>
      </c>
      <c r="J30" s="1031">
        <v>3.7503750375037503</v>
      </c>
      <c r="K30" s="369">
        <v>-1.2877424106046864E-2</v>
      </c>
      <c r="M30" s="368" t="s">
        <v>73</v>
      </c>
      <c r="N30" s="147">
        <v>271444</v>
      </c>
      <c r="O30" s="204">
        <v>172</v>
      </c>
      <c r="P30" s="147">
        <v>274</v>
      </c>
      <c r="Q30" s="204">
        <v>446</v>
      </c>
      <c r="R30" s="638"/>
      <c r="S30" s="204">
        <f t="shared" si="0"/>
        <v>608.61883408071753</v>
      </c>
      <c r="T30" s="147">
        <v>105</v>
      </c>
      <c r="U30" s="546"/>
      <c r="V30" s="147">
        <f t="shared" si="1"/>
        <v>2585.1809523809525</v>
      </c>
    </row>
    <row r="31" spans="1:22" ht="18" customHeight="1" thickBot="1">
      <c r="A31" s="368" t="s">
        <v>74</v>
      </c>
      <c r="B31" s="147">
        <v>169407</v>
      </c>
      <c r="C31" s="204">
        <v>92</v>
      </c>
      <c r="D31" s="147">
        <v>260</v>
      </c>
      <c r="E31" s="204">
        <v>352</v>
      </c>
      <c r="F31" s="1031">
        <v>2.0778362169213787</v>
      </c>
      <c r="G31" s="369">
        <v>-1.4867002129143936E-2</v>
      </c>
      <c r="H31" s="147">
        <v>57</v>
      </c>
      <c r="I31" s="1032">
        <v>3</v>
      </c>
      <c r="J31" s="1031">
        <v>3.3646779649010963</v>
      </c>
      <c r="K31" s="369">
        <v>-8.7363568211462628E-4</v>
      </c>
      <c r="M31" s="368" t="s">
        <v>74</v>
      </c>
      <c r="N31" s="147">
        <v>166096</v>
      </c>
      <c r="O31" s="204">
        <v>119</v>
      </c>
      <c r="P31" s="147">
        <v>198</v>
      </c>
      <c r="Q31" s="204">
        <v>317</v>
      </c>
      <c r="R31" s="638"/>
      <c r="S31" s="204">
        <f t="shared" si="0"/>
        <v>523.96214511041012</v>
      </c>
      <c r="T31" s="147">
        <v>54</v>
      </c>
      <c r="U31" s="546"/>
      <c r="V31" s="147">
        <f t="shared" si="1"/>
        <v>3075.8518518518517</v>
      </c>
    </row>
    <row r="32" spans="1:22" ht="18" customHeight="1" thickBot="1">
      <c r="A32" s="368" t="s">
        <v>75</v>
      </c>
      <c r="B32" s="147">
        <v>439785</v>
      </c>
      <c r="C32" s="204">
        <v>251</v>
      </c>
      <c r="D32" s="147">
        <v>1198</v>
      </c>
      <c r="E32" s="204">
        <v>1449</v>
      </c>
      <c r="F32" s="1031">
        <v>3.2947917732528396</v>
      </c>
      <c r="G32" s="369">
        <v>1.3255100951659049E-3</v>
      </c>
      <c r="H32" s="147">
        <v>171</v>
      </c>
      <c r="I32" s="1032">
        <v>3</v>
      </c>
      <c r="J32" s="1031">
        <v>3.8882635833418604</v>
      </c>
      <c r="K32" s="369">
        <v>-1.12567036432909E-3</v>
      </c>
      <c r="M32" s="368" t="s">
        <v>75</v>
      </c>
      <c r="N32" s="147">
        <v>404080</v>
      </c>
      <c r="O32" s="204">
        <v>235</v>
      </c>
      <c r="P32" s="147">
        <v>1022</v>
      </c>
      <c r="Q32" s="204">
        <v>1257</v>
      </c>
      <c r="R32" s="638"/>
      <c r="S32" s="204">
        <f t="shared" si="0"/>
        <v>321.46380270485281</v>
      </c>
      <c r="T32" s="147">
        <v>170</v>
      </c>
      <c r="U32" s="546"/>
      <c r="V32" s="147">
        <f t="shared" si="1"/>
        <v>2376.9411764705883</v>
      </c>
    </row>
    <row r="33" spans="1:22" ht="18" customHeight="1" thickBot="1">
      <c r="A33" s="368" t="s">
        <v>76</v>
      </c>
      <c r="B33" s="147">
        <v>68027</v>
      </c>
      <c r="C33" s="204">
        <v>40</v>
      </c>
      <c r="D33" s="147">
        <v>75</v>
      </c>
      <c r="E33" s="204">
        <v>115</v>
      </c>
      <c r="F33" s="1031">
        <v>1.6905052405662457</v>
      </c>
      <c r="G33" s="369">
        <v>3.4071394810513134E-2</v>
      </c>
      <c r="H33" s="147">
        <v>19</v>
      </c>
      <c r="I33" s="1032">
        <v>2</v>
      </c>
      <c r="J33" s="1031">
        <v>2.793008658326841</v>
      </c>
      <c r="K33" s="369">
        <v>-1.8963058785481657E-3</v>
      </c>
      <c r="M33" s="368" t="s">
        <v>76</v>
      </c>
      <c r="N33" s="147">
        <v>67281</v>
      </c>
      <c r="O33" s="204">
        <v>41</v>
      </c>
      <c r="P33" s="147">
        <v>60</v>
      </c>
      <c r="Q33" s="204">
        <v>101</v>
      </c>
      <c r="R33" s="638"/>
      <c r="S33" s="204">
        <f t="shared" si="0"/>
        <v>666.14851485148517</v>
      </c>
      <c r="T33" s="147">
        <v>17</v>
      </c>
      <c r="U33" s="546"/>
      <c r="V33" s="147">
        <f t="shared" si="1"/>
        <v>3957.705882352941</v>
      </c>
    </row>
    <row r="34" spans="1:22" ht="30" customHeight="1" thickBot="1">
      <c r="A34" s="370" t="s">
        <v>1944</v>
      </c>
      <c r="B34" s="282">
        <v>7557609</v>
      </c>
      <c r="C34" s="283">
        <v>4594</v>
      </c>
      <c r="D34" s="282">
        <v>10938</v>
      </c>
      <c r="E34" s="283">
        <v>15532</v>
      </c>
      <c r="F34" s="1033">
        <v>2.0551473356189769</v>
      </c>
      <c r="G34" s="371">
        <v>6.7383417389490496E-3</v>
      </c>
      <c r="H34" s="282">
        <v>1692</v>
      </c>
      <c r="I34" s="1034" t="s">
        <v>1412</v>
      </c>
      <c r="J34" s="1033">
        <v>2.2388033040608479</v>
      </c>
      <c r="K34" s="371">
        <v>4.415937715487761E-3</v>
      </c>
      <c r="M34" s="1035" t="s">
        <v>1951</v>
      </c>
      <c r="N34" s="505">
        <f>SUM(N8:N33)</f>
        <v>7166738</v>
      </c>
      <c r="O34" s="1036">
        <f>SUM(O8:O33)</f>
        <v>4622</v>
      </c>
      <c r="P34" s="505">
        <f>SUM(P8:P33)</f>
        <v>9000</v>
      </c>
      <c r="Q34" s="1036">
        <f>SUM(Q8:Q33)</f>
        <v>13622</v>
      </c>
      <c r="R34" s="863"/>
      <c r="S34" s="1036">
        <f t="shared" si="0"/>
        <v>526.11496109235065</v>
      </c>
      <c r="T34" s="505">
        <f>SUM(T8:T33)</f>
        <v>1654</v>
      </c>
      <c r="U34" s="864"/>
      <c r="V34" s="505">
        <f t="shared" si="1"/>
        <v>4332.9733978234581</v>
      </c>
    </row>
    <row r="35" spans="1:22" ht="20" customHeight="1">
      <c r="A35" s="958" t="s">
        <v>1647</v>
      </c>
      <c r="B35" s="959"/>
      <c r="C35" s="959"/>
      <c r="D35" s="959"/>
      <c r="E35" s="959"/>
      <c r="F35" s="959"/>
      <c r="G35" s="959"/>
      <c r="H35" s="959"/>
      <c r="I35" s="1037"/>
      <c r="J35" s="959"/>
      <c r="K35" s="959"/>
      <c r="M35" s="1038" t="s">
        <v>1648</v>
      </c>
      <c r="N35" s="1039"/>
      <c r="O35" s="1039"/>
      <c r="P35" s="1039"/>
      <c r="Q35" s="1039"/>
      <c r="R35" s="1039"/>
      <c r="S35" s="1039"/>
      <c r="T35" s="1039"/>
      <c r="U35" s="1039"/>
      <c r="V35" s="1039"/>
    </row>
    <row r="36" spans="1:22" ht="10.5" customHeight="1">
      <c r="A36" s="960"/>
      <c r="B36" s="961"/>
      <c r="C36" s="961"/>
      <c r="D36" s="961"/>
      <c r="E36" s="961"/>
      <c r="F36" s="961"/>
      <c r="G36" s="961"/>
      <c r="H36" s="961"/>
      <c r="I36" s="1040"/>
      <c r="J36" s="961"/>
      <c r="K36" s="961"/>
      <c r="M36" s="238"/>
      <c r="N36" s="1041"/>
      <c r="O36" s="1041"/>
      <c r="P36" s="1041"/>
      <c r="Q36" s="1041"/>
      <c r="R36" s="1041"/>
      <c r="S36" s="1041"/>
      <c r="T36" s="1041"/>
      <c r="U36" s="1041"/>
      <c r="V36" s="1041"/>
    </row>
    <row r="37" spans="1:22" ht="12" customHeight="1">
      <c r="A37" s="960" t="s">
        <v>1649</v>
      </c>
      <c r="B37" s="961"/>
      <c r="C37" s="961"/>
      <c r="D37" s="961"/>
      <c r="E37" s="961"/>
      <c r="F37" s="961"/>
      <c r="G37" s="961"/>
      <c r="H37" s="961"/>
      <c r="I37" s="1040"/>
      <c r="J37" s="961"/>
      <c r="K37" s="961"/>
      <c r="M37" s="2" t="s">
        <v>1650</v>
      </c>
      <c r="N37" s="1041"/>
      <c r="O37" s="1041"/>
      <c r="P37" s="1041"/>
      <c r="Q37" s="1041"/>
      <c r="R37" s="1041"/>
      <c r="S37" s="1041"/>
      <c r="T37" s="1041"/>
      <c r="U37" s="1041"/>
      <c r="V37" s="1041"/>
    </row>
    <row r="38" spans="1:22" ht="12" customHeight="1">
      <c r="A38" s="960" t="s">
        <v>1651</v>
      </c>
      <c r="B38" s="961"/>
      <c r="C38" s="961"/>
      <c r="D38" s="961"/>
      <c r="E38" s="961"/>
      <c r="F38" s="961"/>
      <c r="G38" s="961"/>
      <c r="H38" s="961"/>
      <c r="I38" s="1040"/>
      <c r="J38" s="961"/>
      <c r="K38" s="961"/>
      <c r="N38" s="1041"/>
      <c r="O38" s="1041"/>
      <c r="P38" s="1041"/>
      <c r="Q38" s="1041"/>
      <c r="R38" s="1041"/>
      <c r="S38" s="1041"/>
      <c r="T38" s="1041"/>
      <c r="U38" s="1041"/>
      <c r="V38" s="1041"/>
    </row>
    <row r="39" spans="1:22" ht="12" customHeight="1">
      <c r="A39" s="960" t="s">
        <v>1652</v>
      </c>
      <c r="B39" s="961"/>
      <c r="C39" s="961"/>
      <c r="D39" s="961"/>
      <c r="E39" s="961"/>
      <c r="F39" s="961"/>
      <c r="G39" s="961"/>
      <c r="H39" s="961"/>
      <c r="I39" s="1040"/>
      <c r="J39" s="961"/>
      <c r="K39" s="961"/>
      <c r="N39" s="1041"/>
      <c r="O39" s="1041"/>
      <c r="P39" s="1041"/>
      <c r="Q39" s="1041"/>
      <c r="R39" s="1041"/>
      <c r="S39" s="1041"/>
      <c r="T39" s="1041"/>
      <c r="U39" s="1041"/>
      <c r="V39" s="1041"/>
    </row>
    <row r="40" spans="1:22" ht="12" customHeight="1">
      <c r="A40" s="960" t="s">
        <v>1653</v>
      </c>
      <c r="B40" s="961"/>
      <c r="C40" s="961"/>
      <c r="D40" s="961"/>
      <c r="E40" s="961"/>
      <c r="F40" s="961"/>
      <c r="G40" s="961"/>
      <c r="H40" s="961"/>
      <c r="I40" s="1040"/>
      <c r="J40" s="961"/>
      <c r="K40" s="961"/>
      <c r="M40" s="2" t="s">
        <v>1650</v>
      </c>
      <c r="N40" s="1041"/>
      <c r="O40" s="1041"/>
      <c r="P40" s="1041"/>
      <c r="Q40" s="1041"/>
      <c r="R40" s="1041"/>
      <c r="S40" s="1041"/>
      <c r="T40" s="1041"/>
      <c r="U40" s="1041"/>
      <c r="V40" s="1041"/>
    </row>
    <row r="41" spans="1:22" ht="12" customHeight="1">
      <c r="A41" s="960" t="s">
        <v>1654</v>
      </c>
      <c r="B41" s="961"/>
      <c r="C41" s="961"/>
      <c r="D41" s="961"/>
      <c r="E41" s="961"/>
      <c r="F41" s="961"/>
      <c r="G41" s="961"/>
      <c r="H41" s="961"/>
      <c r="I41" s="1040"/>
      <c r="J41" s="961"/>
      <c r="K41" s="961"/>
      <c r="N41" s="1041"/>
      <c r="O41" s="1041"/>
      <c r="P41" s="1041"/>
      <c r="Q41" s="1041"/>
      <c r="R41" s="1041"/>
      <c r="S41" s="1041"/>
      <c r="T41" s="1041"/>
      <c r="U41" s="1041"/>
      <c r="V41" s="1041"/>
    </row>
    <row r="42" spans="1:22" ht="12" customHeight="1">
      <c r="A42" s="960" t="s">
        <v>1655</v>
      </c>
      <c r="B42" s="961"/>
      <c r="C42" s="961"/>
      <c r="D42" s="961"/>
      <c r="E42" s="961"/>
      <c r="F42" s="961"/>
      <c r="G42" s="961"/>
      <c r="H42" s="961"/>
      <c r="I42" s="1040"/>
      <c r="J42" s="961"/>
      <c r="K42" s="961"/>
      <c r="N42" s="1041"/>
      <c r="O42" s="1041"/>
      <c r="P42" s="1041"/>
      <c r="Q42" s="1041"/>
      <c r="R42" s="1041"/>
      <c r="S42" s="1041"/>
      <c r="T42" s="1041"/>
      <c r="U42" s="1041"/>
      <c r="V42" s="1041"/>
    </row>
    <row r="43" spans="1:22" ht="12" customHeight="1">
      <c r="A43" s="960" t="s">
        <v>1656</v>
      </c>
      <c r="B43" s="961"/>
      <c r="C43" s="961"/>
      <c r="D43" s="961"/>
      <c r="E43" s="961"/>
      <c r="F43" s="961"/>
      <c r="G43" s="961"/>
      <c r="H43" s="961"/>
      <c r="I43" s="1040"/>
      <c r="J43" s="961"/>
      <c r="K43" s="961"/>
      <c r="N43" s="1041"/>
      <c r="O43" s="1041"/>
      <c r="P43" s="1041"/>
      <c r="Q43" s="1041"/>
      <c r="R43" s="1041"/>
      <c r="S43" s="1041"/>
      <c r="T43" s="1041"/>
      <c r="U43" s="1041"/>
      <c r="V43" s="1041"/>
    </row>
    <row r="44" spans="1:22" ht="12" customHeight="1">
      <c r="A44" s="960" t="s">
        <v>1657</v>
      </c>
      <c r="B44" s="961"/>
      <c r="C44" s="961"/>
      <c r="D44" s="961"/>
      <c r="E44" s="961"/>
      <c r="F44" s="961"/>
      <c r="G44" s="961"/>
      <c r="H44" s="961"/>
      <c r="I44" s="1040"/>
      <c r="J44" s="961"/>
      <c r="K44" s="961"/>
      <c r="N44" s="1041"/>
      <c r="O44" s="1041"/>
      <c r="P44" s="1041"/>
      <c r="Q44" s="1041"/>
      <c r="R44" s="1041"/>
      <c r="S44" s="1041"/>
      <c r="T44" s="1041"/>
      <c r="U44" s="1041"/>
      <c r="V44" s="1041"/>
    </row>
    <row r="45" spans="1:22" ht="12" customHeight="1">
      <c r="A45" s="960" t="s">
        <v>1658</v>
      </c>
      <c r="B45" s="961"/>
      <c r="C45" s="961"/>
      <c r="D45" s="961"/>
      <c r="E45" s="961"/>
      <c r="F45" s="961"/>
      <c r="G45" s="961"/>
      <c r="H45" s="961"/>
      <c r="I45" s="1040"/>
      <c r="J45" s="961"/>
      <c r="K45" s="961"/>
      <c r="N45" s="1041"/>
      <c r="O45" s="1041"/>
      <c r="P45" s="1041"/>
      <c r="Q45" s="1041"/>
      <c r="R45" s="1041"/>
      <c r="S45" s="1041"/>
      <c r="T45" s="1041"/>
      <c r="U45" s="1041"/>
      <c r="V45" s="1041"/>
    </row>
    <row r="46" spans="1:22" ht="12" customHeight="1">
      <c r="A46" s="1011" t="s">
        <v>1659</v>
      </c>
      <c r="B46" s="961"/>
      <c r="C46" s="961"/>
      <c r="D46" s="961"/>
      <c r="E46" s="961"/>
      <c r="F46" s="961"/>
      <c r="G46" s="961"/>
      <c r="H46" s="961"/>
      <c r="I46" s="1040"/>
      <c r="J46" s="961"/>
      <c r="K46" s="961"/>
      <c r="N46" s="1041"/>
      <c r="O46" s="1041"/>
      <c r="P46" s="1041"/>
      <c r="Q46" s="1041"/>
      <c r="R46" s="1041"/>
      <c r="S46" s="1041"/>
      <c r="T46" s="1041"/>
      <c r="U46" s="1041"/>
      <c r="V46" s="1041"/>
    </row>
    <row r="47" spans="1:22" ht="12" customHeight="1">
      <c r="A47" s="960"/>
      <c r="B47" s="961"/>
      <c r="C47" s="961"/>
      <c r="D47" s="961"/>
      <c r="E47" s="961"/>
      <c r="F47" s="961"/>
      <c r="G47" s="961"/>
      <c r="H47" s="961"/>
      <c r="I47" s="1040"/>
      <c r="J47" s="961"/>
      <c r="K47" s="961"/>
      <c r="N47" s="1041"/>
      <c r="O47" s="1041"/>
      <c r="P47" s="1041"/>
      <c r="Q47" s="1041"/>
      <c r="R47" s="1041"/>
      <c r="S47" s="1041"/>
      <c r="T47" s="1041"/>
      <c r="U47" s="1041"/>
      <c r="V47" s="1041"/>
    </row>
    <row r="48" spans="1:22" ht="12" customHeight="1">
      <c r="A48" s="960"/>
      <c r="B48" s="961"/>
      <c r="C48" s="961"/>
      <c r="D48" s="961"/>
      <c r="E48" s="961"/>
      <c r="F48" s="961"/>
      <c r="G48" s="961"/>
      <c r="H48" s="961"/>
      <c r="I48" s="1040"/>
      <c r="J48" s="961"/>
      <c r="K48" s="961"/>
      <c r="N48" s="1041"/>
      <c r="O48" s="1041"/>
      <c r="P48" s="1041"/>
      <c r="Q48" s="1041"/>
      <c r="R48" s="1041"/>
      <c r="S48" s="1041"/>
      <c r="T48" s="1041"/>
      <c r="U48" s="1041"/>
      <c r="V48" s="1041"/>
    </row>
    <row r="49" spans="1:22" ht="12" customHeight="1">
      <c r="A49" s="960" t="s">
        <v>1955</v>
      </c>
      <c r="B49" s="961"/>
      <c r="C49" s="961"/>
      <c r="D49" s="961"/>
      <c r="E49" s="961"/>
      <c r="F49" s="961"/>
      <c r="G49" s="961"/>
      <c r="H49" s="961"/>
      <c r="I49" s="1040"/>
      <c r="J49" s="961"/>
      <c r="K49" s="961"/>
      <c r="N49" s="1041"/>
      <c r="O49" s="1041"/>
      <c r="P49" s="1041"/>
      <c r="Q49" s="1041"/>
      <c r="R49" s="1041"/>
      <c r="S49" s="1041"/>
      <c r="T49" s="1041"/>
      <c r="U49" s="1041"/>
      <c r="V49" s="1041"/>
    </row>
    <row r="50" spans="1:22" ht="12" customHeight="1">
      <c r="A50" s="960"/>
      <c r="B50" s="961"/>
      <c r="C50" s="961"/>
      <c r="D50" s="961"/>
      <c r="E50" s="961"/>
      <c r="F50" s="961"/>
      <c r="G50" s="961"/>
      <c r="H50" s="961"/>
      <c r="I50" s="1040"/>
      <c r="J50" s="961"/>
      <c r="K50" s="961"/>
      <c r="N50" s="1041"/>
      <c r="O50" s="1041"/>
      <c r="P50" s="1041"/>
      <c r="Q50" s="1041"/>
      <c r="R50" s="1041"/>
      <c r="S50" s="1041"/>
      <c r="T50" s="1041"/>
      <c r="U50" s="1041"/>
      <c r="V50" s="1041"/>
    </row>
    <row r="51" spans="1:22" ht="12" customHeight="1">
      <c r="A51" s="1011"/>
      <c r="B51" s="1012"/>
      <c r="C51" s="1012"/>
      <c r="D51" s="1012"/>
      <c r="E51" s="1012"/>
      <c r="F51" s="1012"/>
      <c r="G51" s="1012"/>
      <c r="H51" s="1012"/>
      <c r="I51" s="1042"/>
      <c r="J51" s="1012"/>
      <c r="K51" s="1012"/>
      <c r="N51" s="1041"/>
      <c r="O51" s="1041"/>
      <c r="P51" s="1041"/>
      <c r="Q51" s="1041"/>
      <c r="R51" s="1041"/>
      <c r="S51" s="1041"/>
      <c r="T51" s="1041"/>
      <c r="U51" s="1041"/>
      <c r="V51" s="1041"/>
    </row>
    <row r="52" spans="1:22">
      <c r="A52" s="207"/>
      <c r="B52" s="1044"/>
      <c r="C52" s="1044"/>
      <c r="D52" s="1044"/>
      <c r="E52" s="1044"/>
      <c r="F52" s="1044"/>
      <c r="G52" s="1044"/>
      <c r="H52" s="1044"/>
      <c r="I52" s="917"/>
      <c r="J52" s="1044"/>
      <c r="K52" s="1044"/>
    </row>
  </sheetData>
  <phoneticPr fontId="0" type="noConversion"/>
  <pageMargins left="0.48" right="0.47" top="1" bottom="0.49" header="0.48" footer="0.4921259845"/>
  <pageSetup paperSize="9" scale="82" orientation="portrait" horizontalDpi="4294967292" verticalDpi="4294967292"/>
  <headerFooter alignWithMargins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B734-DD9E-D244-BC1B-BC9004812063}">
  <sheetPr>
    <pageSetUpPr fitToPage="1"/>
  </sheetPr>
  <dimension ref="A1:N37"/>
  <sheetViews>
    <sheetView topLeftCell="A8" zoomScale="75" workbookViewId="0">
      <selection activeCell="A19" sqref="A19"/>
    </sheetView>
  </sheetViews>
  <sheetFormatPr baseColWidth="10" defaultColWidth="11.3984375" defaultRowHeight="13"/>
  <cols>
    <col min="1" max="1" width="11.796875" style="2" customWidth="1"/>
    <col min="2" max="8" width="11.796875" style="159" customWidth="1"/>
    <col min="9" max="9" width="12.19921875" style="159" customWidth="1"/>
    <col min="10" max="10" width="7.19921875" style="2" customWidth="1"/>
    <col min="11" max="16384" width="11.3984375" style="2"/>
  </cols>
  <sheetData>
    <row r="1" spans="1:9" s="1" customFormat="1" ht="14" customHeight="1">
      <c r="A1" s="718"/>
      <c r="B1" s="946"/>
      <c r="C1" s="946"/>
      <c r="D1" s="946"/>
      <c r="E1" s="946"/>
      <c r="F1" s="946"/>
      <c r="G1" s="946"/>
      <c r="H1" s="946"/>
      <c r="I1" s="946"/>
    </row>
    <row r="2" spans="1:9" s="1" customFormat="1" ht="42.75" customHeight="1">
      <c r="A2" s="1700" t="s">
        <v>1671</v>
      </c>
      <c r="B2" s="1699"/>
      <c r="C2" s="1699"/>
      <c r="D2" s="1699"/>
      <c r="E2" s="1699"/>
      <c r="F2" s="1699"/>
      <c r="G2" s="1699"/>
      <c r="H2" s="1699"/>
      <c r="I2" s="265">
        <v>2006</v>
      </c>
    </row>
    <row r="3" spans="1:9" ht="27" customHeight="1">
      <c r="A3" s="113" t="s">
        <v>758</v>
      </c>
      <c r="B3" s="114" t="s">
        <v>205</v>
      </c>
      <c r="C3" s="115" t="s">
        <v>45</v>
      </c>
      <c r="D3" s="114" t="s">
        <v>1549</v>
      </c>
      <c r="E3" s="115" t="s">
        <v>1672</v>
      </c>
      <c r="F3" s="114" t="s">
        <v>1679</v>
      </c>
      <c r="G3" s="115" t="s">
        <v>1549</v>
      </c>
      <c r="H3" s="114" t="s">
        <v>1673</v>
      </c>
      <c r="I3" s="115" t="s">
        <v>1679</v>
      </c>
    </row>
    <row r="4" spans="1:9" ht="17.25" customHeight="1">
      <c r="A4" s="248"/>
      <c r="B4" s="366" t="s">
        <v>1629</v>
      </c>
      <c r="C4" s="784" t="s">
        <v>46</v>
      </c>
      <c r="D4" s="117" t="s">
        <v>1680</v>
      </c>
      <c r="E4" s="118" t="s">
        <v>1681</v>
      </c>
      <c r="F4" s="117" t="s">
        <v>46</v>
      </c>
      <c r="G4" s="118" t="s">
        <v>1633</v>
      </c>
      <c r="H4" s="117" t="s">
        <v>1674</v>
      </c>
      <c r="I4" s="118" t="s">
        <v>46</v>
      </c>
    </row>
    <row r="5" spans="1:9" ht="18.75" customHeight="1">
      <c r="A5" s="248"/>
      <c r="B5" s="366" t="s">
        <v>1638</v>
      </c>
      <c r="C5" s="784" t="s">
        <v>50</v>
      </c>
      <c r="D5" s="366"/>
      <c r="E5" s="784"/>
      <c r="F5" s="366" t="s">
        <v>50</v>
      </c>
      <c r="G5" s="118" t="s">
        <v>1682</v>
      </c>
      <c r="H5" s="366" t="s">
        <v>1683</v>
      </c>
      <c r="I5" s="118" t="s">
        <v>50</v>
      </c>
    </row>
    <row r="6" spans="1:9" ht="21" customHeight="1">
      <c r="A6" s="314"/>
      <c r="B6" s="123" t="s">
        <v>1667</v>
      </c>
      <c r="C6" s="122"/>
      <c r="D6" s="123"/>
      <c r="E6" s="122"/>
      <c r="F6" s="123"/>
      <c r="G6" s="122"/>
      <c r="H6" s="123"/>
      <c r="I6" s="122"/>
    </row>
    <row r="7" spans="1:9" ht="21.75" customHeight="1" thickBot="1">
      <c r="A7" s="367">
        <v>1996</v>
      </c>
      <c r="B7" s="145">
        <v>7105446</v>
      </c>
      <c r="C7" s="146">
        <v>3.459706242723432E-3</v>
      </c>
      <c r="D7" s="145">
        <v>12711</v>
      </c>
      <c r="E7" s="1045">
        <v>1.7889095209505499</v>
      </c>
      <c r="F7" s="459">
        <v>2.7595951533686547E-2</v>
      </c>
      <c r="G7" s="198">
        <v>1649</v>
      </c>
      <c r="H7" s="1046">
        <v>2.3207550940503947</v>
      </c>
      <c r="I7" s="146">
        <v>1.4104900491136441E-3</v>
      </c>
    </row>
    <row r="8" spans="1:9" ht="18" customHeight="1" thickBot="1">
      <c r="A8" s="368">
        <v>1997</v>
      </c>
      <c r="B8" s="147">
        <v>7113565</v>
      </c>
      <c r="C8" s="148">
        <v>1.142644670017899E-3</v>
      </c>
      <c r="D8" s="147">
        <v>13038</v>
      </c>
      <c r="E8" s="1047">
        <v>1.8328362782936545</v>
      </c>
      <c r="F8" s="461">
        <v>2.4555046987375651E-2</v>
      </c>
      <c r="G8" s="204">
        <v>1651</v>
      </c>
      <c r="H8" s="1031">
        <v>2.3209178520193463</v>
      </c>
      <c r="I8" s="148">
        <v>7.0131471161527514E-5</v>
      </c>
    </row>
    <row r="9" spans="1:9" ht="18" customHeight="1" thickBot="1">
      <c r="A9" s="368">
        <v>1998</v>
      </c>
      <c r="B9" s="147">
        <v>7131888</v>
      </c>
      <c r="C9" s="148">
        <v>2.5757830286220764E-3</v>
      </c>
      <c r="D9" s="147">
        <v>13357</v>
      </c>
      <c r="E9" s="1047">
        <v>1.8728561076674226</v>
      </c>
      <c r="F9" s="461">
        <v>2.1834917743458249E-2</v>
      </c>
      <c r="G9" s="204">
        <v>1653</v>
      </c>
      <c r="H9" s="1031">
        <v>2.3177593366581193</v>
      </c>
      <c r="I9" s="148">
        <v>-1.3608906314710456E-3</v>
      </c>
    </row>
    <row r="10" spans="1:9" ht="18" customHeight="1" thickBot="1">
      <c r="A10" s="368">
        <v>1999</v>
      </c>
      <c r="B10" s="147">
        <v>7166738</v>
      </c>
      <c r="C10" s="148">
        <v>4.8865041066264644E-3</v>
      </c>
      <c r="D10" s="147">
        <v>13622</v>
      </c>
      <c r="E10" s="1047">
        <v>1.9007252671996662</v>
      </c>
      <c r="F10" s="461">
        <v>1.4880566327625466E-2</v>
      </c>
      <c r="G10" s="204">
        <v>1654</v>
      </c>
      <c r="H10" s="1031">
        <v>2.3078840052475758</v>
      </c>
      <c r="I10" s="148">
        <v>-4.260723386743992E-3</v>
      </c>
    </row>
    <row r="11" spans="1:9" ht="18" customHeight="1" thickBot="1">
      <c r="A11" s="368">
        <v>2000</v>
      </c>
      <c r="B11" s="147">
        <v>7209042</v>
      </c>
      <c r="C11" s="148">
        <v>5.9028249672305588E-3</v>
      </c>
      <c r="D11" s="147">
        <v>13935</v>
      </c>
      <c r="E11" s="1047">
        <v>1.9329891544535323</v>
      </c>
      <c r="F11" s="461">
        <v>1.6974513787255674E-2</v>
      </c>
      <c r="G11" s="204">
        <v>1664</v>
      </c>
      <c r="H11" s="1031">
        <v>2.3082123810625603</v>
      </c>
      <c r="I11" s="148">
        <v>1.4228436708174641E-4</v>
      </c>
    </row>
    <row r="12" spans="1:9" ht="18" customHeight="1" thickBot="1">
      <c r="A12" s="368">
        <v>2001</v>
      </c>
      <c r="B12" s="147">
        <v>7260339</v>
      </c>
      <c r="C12" s="148">
        <v>7.1156472663080617E-3</v>
      </c>
      <c r="D12" s="147">
        <v>14178</v>
      </c>
      <c r="E12" s="1047">
        <v>1.952801377456342</v>
      </c>
      <c r="F12" s="461">
        <v>1.0249526210306614E-2</v>
      </c>
      <c r="G12" s="204">
        <v>1653</v>
      </c>
      <c r="H12" s="1031">
        <v>2.2767531929294211</v>
      </c>
      <c r="I12" s="148">
        <v>-1.362924330154458E-2</v>
      </c>
    </row>
    <row r="13" spans="1:9" ht="18" customHeight="1" thickBot="1">
      <c r="A13" s="368">
        <v>2002</v>
      </c>
      <c r="B13" s="147">
        <v>7347770</v>
      </c>
      <c r="C13" s="148">
        <v>1.2042275160980775E-2</v>
      </c>
      <c r="D13" s="147">
        <v>14408</v>
      </c>
      <c r="E13" s="1047">
        <v>1.9608670385708864</v>
      </c>
      <c r="F13" s="461">
        <v>4.1303028601149538E-3</v>
      </c>
      <c r="G13" s="204">
        <v>1648</v>
      </c>
      <c r="H13" s="1031">
        <v>2.2428573567218355</v>
      </c>
      <c r="I13" s="148">
        <v>-1.4887795617395394E-2</v>
      </c>
    </row>
    <row r="14" spans="1:9" ht="18" customHeight="1" thickBot="1">
      <c r="A14" s="368">
        <v>2003</v>
      </c>
      <c r="B14" s="147">
        <v>7405051</v>
      </c>
      <c r="C14" s="148">
        <v>7.7956985588824908E-3</v>
      </c>
      <c r="D14" s="147">
        <v>14879</v>
      </c>
      <c r="E14" s="1047">
        <v>2.0093041898023394</v>
      </c>
      <c r="F14" s="461">
        <v>2.4701904962793897E-2</v>
      </c>
      <c r="G14" s="204">
        <v>1653</v>
      </c>
      <c r="H14" s="1031">
        <v>2.2322601154266191</v>
      </c>
      <c r="I14" s="148">
        <v>-4.7248842033830174E-3</v>
      </c>
    </row>
    <row r="15" spans="1:9" ht="18" customHeight="1" thickBot="1">
      <c r="A15" s="368">
        <v>2004</v>
      </c>
      <c r="B15" s="147">
        <v>7454112</v>
      </c>
      <c r="C15" s="148">
        <v>6.6253426208678374E-3</v>
      </c>
      <c r="D15" s="147">
        <v>15199</v>
      </c>
      <c r="E15" s="1047">
        <v>2.03900880480465</v>
      </c>
      <c r="F15" s="461">
        <v>1.4783533102189272E-2</v>
      </c>
      <c r="G15" s="204">
        <v>1656</v>
      </c>
      <c r="H15" s="1031">
        <v>2.2215925921155999</v>
      </c>
      <c r="I15" s="148">
        <v>-4.7787994048267279E-3</v>
      </c>
    </row>
    <row r="16" spans="1:9" ht="18" customHeight="1" thickBot="1">
      <c r="A16" s="368">
        <v>2005</v>
      </c>
      <c r="B16" s="147">
        <v>7501255</v>
      </c>
      <c r="C16" s="148">
        <v>6.3244287180015402E-3</v>
      </c>
      <c r="D16" s="147">
        <v>15313</v>
      </c>
      <c r="E16" s="1047">
        <v>2.0413917404487649</v>
      </c>
      <c r="F16" s="461">
        <v>1.1686735429978778E-3</v>
      </c>
      <c r="G16" s="204">
        <v>1672</v>
      </c>
      <c r="H16" s="1031">
        <v>2.2289603539674361</v>
      </c>
      <c r="I16" s="148">
        <v>3.3164324899102038E-3</v>
      </c>
    </row>
    <row r="17" spans="1:14" ht="30" customHeight="1" thickBot="1">
      <c r="A17" s="370">
        <v>2006</v>
      </c>
      <c r="B17" s="282">
        <v>7557609</v>
      </c>
      <c r="C17" s="910">
        <v>7.5126095566675488E-3</v>
      </c>
      <c r="D17" s="282">
        <v>15532</v>
      </c>
      <c r="E17" s="1048">
        <v>2.0551473356189769</v>
      </c>
      <c r="F17" s="462">
        <v>6.7383417389490496E-3</v>
      </c>
      <c r="G17" s="283">
        <v>1692</v>
      </c>
      <c r="H17" s="1049">
        <v>2.2388033040608479</v>
      </c>
      <c r="I17" s="910">
        <v>4.415937715487761E-3</v>
      </c>
    </row>
    <row r="18" spans="1:14" ht="20" customHeight="1">
      <c r="A18" s="958" t="s">
        <v>1647</v>
      </c>
      <c r="B18" s="959"/>
      <c r="C18" s="959"/>
      <c r="D18" s="959"/>
      <c r="E18" s="959"/>
      <c r="F18" s="959"/>
      <c r="G18" s="959"/>
      <c r="H18" s="959"/>
      <c r="I18" s="959"/>
    </row>
    <row r="19" spans="1:14" ht="17.25" customHeight="1">
      <c r="A19" s="960"/>
      <c r="B19" s="961"/>
      <c r="C19" s="961"/>
      <c r="D19" s="961"/>
      <c r="E19" s="961"/>
      <c r="F19" s="961"/>
      <c r="G19" s="961"/>
      <c r="H19" s="961"/>
      <c r="I19" s="961"/>
    </row>
    <row r="20" spans="1:14" ht="12" customHeight="1">
      <c r="A20" s="960" t="s">
        <v>1675</v>
      </c>
      <c r="B20" s="961"/>
      <c r="C20" s="961"/>
      <c r="D20" s="961"/>
      <c r="E20" s="961"/>
      <c r="F20" s="961"/>
      <c r="G20" s="961"/>
      <c r="H20" s="961"/>
      <c r="I20" s="961"/>
    </row>
    <row r="21" spans="1:14" ht="12" customHeight="1">
      <c r="A21" s="41" t="s">
        <v>1676</v>
      </c>
      <c r="B21" s="961"/>
      <c r="C21" s="961"/>
      <c r="D21" s="961"/>
      <c r="E21" s="961"/>
      <c r="F21" s="961"/>
      <c r="G21" s="961"/>
      <c r="H21" s="961"/>
      <c r="I21" s="961"/>
    </row>
    <row r="22" spans="1:14" ht="12" customHeight="1">
      <c r="A22" s="41" t="s">
        <v>1677</v>
      </c>
      <c r="B22" s="961"/>
      <c r="C22" s="961"/>
      <c r="D22" s="961"/>
      <c r="E22" s="961"/>
      <c r="F22" s="961"/>
      <c r="G22" s="961"/>
      <c r="H22" s="961"/>
      <c r="I22" s="961"/>
    </row>
    <row r="23" spans="1:14" ht="12" customHeight="1">
      <c r="A23" s="41" t="s">
        <v>1678</v>
      </c>
      <c r="B23" s="961"/>
      <c r="C23" s="961"/>
      <c r="D23" s="961"/>
      <c r="E23" s="961"/>
      <c r="F23" s="961"/>
      <c r="G23" s="961"/>
      <c r="H23" s="961"/>
      <c r="I23" s="961"/>
    </row>
    <row r="24" spans="1:14" ht="15" customHeight="1">
      <c r="A24" s="160"/>
      <c r="B24" s="963"/>
      <c r="C24" s="963"/>
      <c r="D24" s="963"/>
      <c r="E24" s="963"/>
      <c r="F24" s="963"/>
      <c r="G24" s="963"/>
      <c r="H24" s="963"/>
      <c r="I24" s="963"/>
    </row>
    <row r="25" spans="1:14" ht="15" customHeight="1">
      <c r="A25" s="4"/>
      <c r="B25" s="1013"/>
      <c r="C25" s="1013"/>
      <c r="D25" s="1013"/>
      <c r="E25" s="1013"/>
      <c r="F25" s="1013"/>
      <c r="G25" s="1013"/>
      <c r="H25" s="1013"/>
      <c r="I25" s="1013"/>
      <c r="J25" s="4"/>
      <c r="K25" s="4"/>
      <c r="L25" s="4"/>
      <c r="M25" s="4"/>
      <c r="N25" s="4"/>
    </row>
    <row r="26" spans="1:14" ht="15" customHeight="1">
      <c r="A26" s="4" t="s">
        <v>1955</v>
      </c>
      <c r="B26" s="1013"/>
      <c r="C26" s="1013"/>
      <c r="D26" s="1013"/>
      <c r="E26" s="1013"/>
      <c r="F26" s="1013"/>
      <c r="G26" s="1013"/>
      <c r="H26" s="1013"/>
      <c r="I26" s="1013"/>
      <c r="J26" s="4"/>
      <c r="K26" s="4"/>
      <c r="L26" s="1014"/>
      <c r="M26" s="4"/>
      <c r="N26" s="4"/>
    </row>
    <row r="27" spans="1:14" ht="31" customHeight="1">
      <c r="A27" s="4"/>
      <c r="B27" s="1013"/>
      <c r="C27" s="1013"/>
      <c r="D27" s="1013"/>
      <c r="E27" s="1013"/>
      <c r="F27" s="1013"/>
      <c r="G27" s="1013"/>
      <c r="H27" s="1013"/>
      <c r="I27" s="1013"/>
      <c r="J27" s="4"/>
      <c r="K27" s="4"/>
      <c r="L27" s="4"/>
      <c r="M27" s="4"/>
      <c r="N27" s="4"/>
    </row>
    <row r="28" spans="1:14" ht="31" customHeight="1">
      <c r="A28" s="4"/>
      <c r="B28" s="1013"/>
      <c r="C28" s="1013"/>
      <c r="D28" s="1013"/>
      <c r="E28" s="1013"/>
      <c r="F28" s="1013"/>
      <c r="G28" s="1013"/>
      <c r="H28" s="1013"/>
      <c r="I28" s="1013"/>
      <c r="J28" s="4"/>
      <c r="K28" s="4"/>
      <c r="L28" s="4"/>
      <c r="M28" s="4"/>
      <c r="N28" s="4"/>
    </row>
    <row r="29" spans="1:14" ht="31" customHeight="1">
      <c r="A29" s="4"/>
      <c r="B29" s="1013"/>
      <c r="C29" s="1013"/>
      <c r="D29" s="1013"/>
      <c r="E29" s="1013"/>
      <c r="F29" s="1013"/>
      <c r="G29" s="1013"/>
      <c r="H29" s="1013"/>
      <c r="I29" s="1013"/>
      <c r="J29" s="4"/>
      <c r="K29" s="4"/>
      <c r="L29" s="4"/>
      <c r="M29" s="4"/>
      <c r="N29" s="4"/>
    </row>
    <row r="30" spans="1:14" ht="31" customHeight="1">
      <c r="A30" s="4"/>
      <c r="B30" s="1013"/>
      <c r="C30" s="1013"/>
      <c r="D30" s="1013"/>
      <c r="E30" s="1013"/>
      <c r="F30" s="1013"/>
      <c r="G30" s="1013"/>
      <c r="H30" s="1013"/>
      <c r="I30" s="1013"/>
      <c r="J30" s="4"/>
      <c r="K30" s="4"/>
      <c r="L30" s="4"/>
      <c r="M30" s="4"/>
      <c r="N30" s="4"/>
    </row>
    <row r="31" spans="1:14" ht="31" customHeight="1">
      <c r="A31" s="4"/>
      <c r="B31" s="1013"/>
      <c r="C31" s="1013"/>
      <c r="D31" s="1013"/>
      <c r="E31" s="1013"/>
      <c r="F31" s="1013"/>
      <c r="G31" s="1013"/>
      <c r="H31" s="1013"/>
      <c r="I31" s="1013"/>
      <c r="J31" s="4"/>
      <c r="K31" s="4"/>
      <c r="L31" s="4"/>
      <c r="M31" s="4"/>
      <c r="N31" s="4"/>
    </row>
    <row r="32" spans="1:14" ht="18" customHeight="1">
      <c r="A32" s="4"/>
      <c r="B32" s="1013"/>
      <c r="C32" s="1013"/>
      <c r="D32" s="1013"/>
      <c r="E32" s="1013"/>
      <c r="F32" s="1013"/>
      <c r="G32" s="1013"/>
      <c r="H32" s="1013"/>
      <c r="I32" s="1013"/>
      <c r="J32" s="4"/>
      <c r="K32" s="4"/>
      <c r="L32" s="4"/>
      <c r="M32" s="4"/>
      <c r="N32" s="4"/>
    </row>
    <row r="33" spans="1:14">
      <c r="A33" s="4"/>
      <c r="B33" s="1013"/>
      <c r="C33" s="1013"/>
      <c r="D33" s="1013"/>
      <c r="E33" s="1013"/>
      <c r="F33" s="1013"/>
      <c r="G33" s="1013"/>
      <c r="H33" s="1013"/>
      <c r="I33" s="1013"/>
      <c r="J33" s="4"/>
      <c r="K33" s="4"/>
      <c r="L33" s="4"/>
      <c r="M33" s="4"/>
      <c r="N33" s="4"/>
    </row>
    <row r="34" spans="1:14">
      <c r="A34" s="4"/>
      <c r="B34" s="1013"/>
      <c r="C34" s="1013"/>
      <c r="D34" s="1013"/>
      <c r="E34" s="1013"/>
      <c r="F34" s="1013"/>
      <c r="G34" s="1013"/>
      <c r="H34" s="1013"/>
      <c r="I34" s="1013"/>
      <c r="J34" s="4"/>
      <c r="K34" s="4"/>
      <c r="L34" s="4"/>
      <c r="M34" s="4"/>
      <c r="N34" s="4"/>
    </row>
    <row r="35" spans="1:14">
      <c r="A35" s="4"/>
      <c r="B35" s="1013"/>
      <c r="C35" s="1013"/>
      <c r="D35" s="1013"/>
      <c r="E35" s="1013"/>
      <c r="F35" s="1013"/>
      <c r="G35" s="1013"/>
      <c r="H35" s="1013"/>
      <c r="I35" s="1013"/>
      <c r="J35" s="4"/>
      <c r="K35" s="4"/>
      <c r="L35" s="4"/>
      <c r="M35" s="4"/>
      <c r="N35" s="4"/>
    </row>
    <row r="36" spans="1:14">
      <c r="A36" s="4"/>
      <c r="B36" s="1013"/>
      <c r="C36" s="1013"/>
      <c r="D36" s="1013"/>
      <c r="E36" s="1013"/>
      <c r="F36" s="1013"/>
      <c r="G36" s="1013"/>
      <c r="H36" s="1013"/>
      <c r="I36" s="1013"/>
      <c r="J36" s="4"/>
      <c r="K36" s="4"/>
      <c r="L36" s="4"/>
      <c r="M36" s="4"/>
      <c r="N36" s="4"/>
    </row>
    <row r="37" spans="1:14">
      <c r="A37" s="4"/>
      <c r="B37" s="1013"/>
      <c r="C37" s="1013"/>
      <c r="D37" s="1013"/>
      <c r="E37" s="1013"/>
      <c r="F37" s="1013"/>
      <c r="G37" s="1013"/>
      <c r="H37" s="1013"/>
      <c r="I37" s="1013"/>
      <c r="J37" s="4"/>
      <c r="K37" s="4"/>
      <c r="L37" s="4"/>
      <c r="M37" s="4"/>
      <c r="N37" s="4"/>
    </row>
  </sheetData>
  <mergeCells count="1">
    <mergeCell ref="A2:H2"/>
  </mergeCells>
  <phoneticPr fontId="0" type="noConversion"/>
  <pageMargins left="0.55000000000000004" right="0.61" top="0.94" bottom="0.49" header="0.56999999999999995" footer="0.4921259845"/>
  <pageSetup paperSize="9" scale="87" orientation="portrait" horizontalDpi="4294967292" verticalDpi="4294967292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3D00-7C89-6E40-9EE3-9B1B748DA373}">
  <sheetPr>
    <pageSetUpPr fitToPage="1"/>
  </sheetPr>
  <dimension ref="A1:N40"/>
  <sheetViews>
    <sheetView topLeftCell="D1" zoomScale="75" workbookViewId="0">
      <selection activeCell="M5" sqref="M5"/>
    </sheetView>
  </sheetViews>
  <sheetFormatPr baseColWidth="10" defaultColWidth="11.3984375" defaultRowHeight="13"/>
  <cols>
    <col min="1" max="1" width="9.19921875" style="2" customWidth="1"/>
    <col min="2" max="2" width="13.19921875" style="159" customWidth="1"/>
    <col min="3" max="6" width="11.3984375" style="159"/>
    <col min="7" max="7" width="11.19921875" style="159" customWidth="1"/>
    <col min="8" max="9" width="11.19921875" style="2" customWidth="1"/>
    <col min="10" max="10" width="11.19921875" customWidth="1"/>
    <col min="11" max="12" width="11.796875" style="2" customWidth="1"/>
    <col min="13" max="13" width="18.19921875" style="2" customWidth="1"/>
    <col min="14" max="14" width="5" style="2" customWidth="1"/>
    <col min="15" max="16" width="11.3984375" style="2"/>
    <col min="17" max="17" width="8.19921875" style="2" customWidth="1"/>
    <col min="18" max="16384" width="11.3984375" style="2"/>
  </cols>
  <sheetData>
    <row r="1" spans="1:14" s="1" customFormat="1" ht="15.75" customHeight="1">
      <c r="A1" s="718"/>
      <c r="B1" s="946"/>
      <c r="C1" s="946"/>
      <c r="D1" s="946"/>
      <c r="E1" s="946"/>
      <c r="F1" s="946"/>
      <c r="G1" s="946"/>
      <c r="H1" s="718"/>
      <c r="J1"/>
      <c r="K1"/>
    </row>
    <row r="2" spans="1:14" s="1" customFormat="1" ht="29.25" customHeight="1">
      <c r="A2" s="1716" t="s">
        <v>2239</v>
      </c>
      <c r="B2" s="1717"/>
      <c r="C2" s="1717"/>
      <c r="D2" s="1717"/>
      <c r="E2" s="1717"/>
      <c r="F2" s="1717"/>
      <c r="G2" s="1717"/>
      <c r="H2" s="1717"/>
      <c r="I2" s="1717"/>
      <c r="J2" s="1717"/>
      <c r="K2" s="1717"/>
      <c r="L2" s="771"/>
      <c r="M2" s="363">
        <v>2006</v>
      </c>
    </row>
    <row r="3" spans="1:14" ht="21.75" customHeight="1">
      <c r="A3" s="113" t="s">
        <v>758</v>
      </c>
      <c r="B3" s="904" t="s">
        <v>1441</v>
      </c>
      <c r="C3" s="1501"/>
      <c r="D3" s="966" t="s">
        <v>2263</v>
      </c>
      <c r="E3" s="118"/>
      <c r="F3" s="117"/>
      <c r="G3" s="1501"/>
      <c r="H3" s="966" t="s">
        <v>2264</v>
      </c>
      <c r="I3" s="118"/>
      <c r="J3" s="117"/>
      <c r="K3" s="967" t="s">
        <v>2265</v>
      </c>
      <c r="L3" s="966"/>
      <c r="M3" s="967" t="s">
        <v>2240</v>
      </c>
      <c r="N3"/>
    </row>
    <row r="4" spans="1:14" ht="20.25" customHeight="1">
      <c r="A4" s="248"/>
      <c r="B4" s="906" t="s">
        <v>565</v>
      </c>
      <c r="C4" s="1502" t="s">
        <v>2241</v>
      </c>
      <c r="D4" s="1503"/>
      <c r="E4" s="1504"/>
      <c r="F4" s="1504"/>
      <c r="G4" s="1502" t="s">
        <v>2242</v>
      </c>
      <c r="H4" s="1503"/>
      <c r="I4" s="1504"/>
      <c r="J4" s="1504"/>
      <c r="K4" s="1505"/>
      <c r="L4" s="1506"/>
      <c r="M4" s="1505" t="s">
        <v>2266</v>
      </c>
      <c r="N4"/>
    </row>
    <row r="5" spans="1:14" s="390" customFormat="1" ht="15" customHeight="1">
      <c r="A5" s="491"/>
      <c r="B5" s="906" t="s">
        <v>1975</v>
      </c>
      <c r="C5" s="1507" t="s">
        <v>163</v>
      </c>
      <c r="D5" s="117" t="s">
        <v>163</v>
      </c>
      <c r="E5" s="118" t="s">
        <v>163</v>
      </c>
      <c r="F5" s="906" t="s">
        <v>2243</v>
      </c>
      <c r="G5" s="1507" t="s">
        <v>163</v>
      </c>
      <c r="H5" s="117" t="s">
        <v>163</v>
      </c>
      <c r="I5" s="118" t="s">
        <v>163</v>
      </c>
      <c r="J5" s="906" t="s">
        <v>2243</v>
      </c>
      <c r="K5" s="1507" t="s">
        <v>163</v>
      </c>
      <c r="L5" s="906" t="s">
        <v>163</v>
      </c>
      <c r="M5" s="1507" t="s">
        <v>2244</v>
      </c>
      <c r="N5" s="1508"/>
    </row>
    <row r="6" spans="1:14" s="390" customFormat="1" ht="15" customHeight="1">
      <c r="A6" s="491"/>
      <c r="B6" s="906" t="s">
        <v>2245</v>
      </c>
      <c r="C6" s="1507" t="s">
        <v>1995</v>
      </c>
      <c r="D6" s="366" t="s">
        <v>1996</v>
      </c>
      <c r="E6" s="118" t="s">
        <v>1997</v>
      </c>
      <c r="F6" s="906" t="s">
        <v>2267</v>
      </c>
      <c r="G6" s="1507" t="s">
        <v>1995</v>
      </c>
      <c r="H6" s="366" t="s">
        <v>1996</v>
      </c>
      <c r="I6" s="118" t="s">
        <v>1997</v>
      </c>
      <c r="J6" s="906" t="s">
        <v>2267</v>
      </c>
      <c r="K6" s="1507" t="s">
        <v>1996</v>
      </c>
      <c r="L6" s="906" t="s">
        <v>1997</v>
      </c>
      <c r="M6" s="1507" t="s">
        <v>2246</v>
      </c>
      <c r="N6" s="1508"/>
    </row>
    <row r="7" spans="1:14" s="390" customFormat="1" ht="18" customHeight="1">
      <c r="A7" s="491"/>
      <c r="B7" s="1509"/>
      <c r="C7" s="1507" t="s">
        <v>2247</v>
      </c>
      <c r="D7" s="1510"/>
      <c r="E7" s="1511"/>
      <c r="F7" s="906"/>
      <c r="G7" s="1507" t="s">
        <v>2247</v>
      </c>
      <c r="H7" s="1510"/>
      <c r="I7" s="1511"/>
      <c r="J7" s="1512"/>
      <c r="K7" s="1507"/>
      <c r="L7" s="1510"/>
      <c r="M7" s="1507" t="s">
        <v>2248</v>
      </c>
      <c r="N7" s="1508"/>
    </row>
    <row r="8" spans="1:14" s="390" customFormat="1" ht="23.25" customHeight="1">
      <c r="A8" s="491"/>
      <c r="B8" s="906"/>
      <c r="C8" s="1513"/>
      <c r="D8" s="906"/>
      <c r="E8" s="907"/>
      <c r="F8" s="906"/>
      <c r="G8" s="1514"/>
      <c r="H8" s="906"/>
      <c r="I8" s="907"/>
      <c r="J8" s="906"/>
      <c r="K8" s="1514"/>
      <c r="L8" s="906"/>
      <c r="M8" s="1514"/>
      <c r="N8" s="1508"/>
    </row>
    <row r="9" spans="1:14" ht="26.25" customHeight="1" thickBot="1">
      <c r="A9" s="999">
        <v>1996</v>
      </c>
      <c r="B9" s="1515">
        <v>7194754</v>
      </c>
      <c r="C9" s="1516" t="s">
        <v>1412</v>
      </c>
      <c r="D9" s="1517">
        <v>0.18782351696805755</v>
      </c>
      <c r="E9" s="1518">
        <v>0.10061414191506757</v>
      </c>
      <c r="F9" s="1517" t="s">
        <v>1412</v>
      </c>
      <c r="G9" s="1516" t="s">
        <v>1412</v>
      </c>
      <c r="H9" s="1517" t="s">
        <v>1412</v>
      </c>
      <c r="I9" s="1518" t="s">
        <v>1412</v>
      </c>
      <c r="J9" s="1517" t="s">
        <v>1412</v>
      </c>
      <c r="K9" s="1516" t="s">
        <v>1412</v>
      </c>
      <c r="L9" s="1517" t="s">
        <v>1412</v>
      </c>
      <c r="M9" s="1516" t="s">
        <v>1412</v>
      </c>
      <c r="N9"/>
    </row>
    <row r="10" spans="1:14" ht="22.5" customHeight="1" thickBot="1">
      <c r="A10" s="999">
        <v>1997</v>
      </c>
      <c r="B10" s="1515">
        <v>7214805</v>
      </c>
      <c r="C10" s="1516" t="s">
        <v>1412</v>
      </c>
      <c r="D10" s="1517">
        <v>0.17122098241047401</v>
      </c>
      <c r="E10" s="1518">
        <v>8.6709897218289339E-2</v>
      </c>
      <c r="F10" s="1517" t="s">
        <v>1412</v>
      </c>
      <c r="G10" s="1516" t="s">
        <v>1412</v>
      </c>
      <c r="H10" s="1517" t="s">
        <v>1412</v>
      </c>
      <c r="I10" s="1518" t="s">
        <v>1412</v>
      </c>
      <c r="J10" s="1517" t="s">
        <v>1412</v>
      </c>
      <c r="K10" s="1516">
        <v>2.1729346808402997E-2</v>
      </c>
      <c r="L10" s="1519">
        <v>6.734901359080391E-3</v>
      </c>
      <c r="M10" s="1516" t="s">
        <v>1412</v>
      </c>
      <c r="N10"/>
    </row>
    <row r="11" spans="1:14" ht="22.5" customHeight="1" thickBot="1">
      <c r="A11" s="999">
        <v>1998</v>
      </c>
      <c r="B11" s="1515">
        <v>7248603</v>
      </c>
      <c r="C11" s="1516" t="s">
        <v>1412</v>
      </c>
      <c r="D11" s="1517">
        <v>0.16889778623549945</v>
      </c>
      <c r="E11" s="1518">
        <v>8.0429428953413512E-2</v>
      </c>
      <c r="F11" s="1517" t="s">
        <v>1412</v>
      </c>
      <c r="G11" s="1516" t="s">
        <v>1412</v>
      </c>
      <c r="H11" s="1517" t="s">
        <v>1412</v>
      </c>
      <c r="I11" s="1518" t="s">
        <v>1412</v>
      </c>
      <c r="J11" s="1517" t="s">
        <v>1412</v>
      </c>
      <c r="K11" s="1516">
        <v>2.1183943995829266E-2</v>
      </c>
      <c r="L11" s="1520">
        <v>6.9956928252243918E-3</v>
      </c>
      <c r="M11" s="1516" t="s">
        <v>1412</v>
      </c>
      <c r="N11"/>
    </row>
    <row r="12" spans="1:14" ht="20.25" customHeight="1" thickBot="1">
      <c r="A12" s="368">
        <v>1999</v>
      </c>
      <c r="B12" s="1515">
        <v>7266534</v>
      </c>
      <c r="C12" s="1516" t="s">
        <v>1412</v>
      </c>
      <c r="D12" s="1517">
        <v>0.15472314586293823</v>
      </c>
      <c r="E12" s="1518">
        <v>7.4331173569132131E-2</v>
      </c>
      <c r="F12" s="1517" t="s">
        <v>1412</v>
      </c>
      <c r="G12" s="1516" t="s">
        <v>1412</v>
      </c>
      <c r="H12" s="1517" t="s">
        <v>1412</v>
      </c>
      <c r="I12" s="1518" t="s">
        <v>1412</v>
      </c>
      <c r="J12" s="1517" t="s">
        <v>1412</v>
      </c>
      <c r="K12" s="1516">
        <v>3.5360462085500463E-2</v>
      </c>
      <c r="L12" s="1520">
        <v>5.9961186447348904E-3</v>
      </c>
      <c r="M12" s="1516" t="s">
        <v>1412</v>
      </c>
      <c r="N12"/>
    </row>
    <row r="13" spans="1:14" ht="20.25" customHeight="1" thickBot="1">
      <c r="A13" s="368">
        <v>2000</v>
      </c>
      <c r="B13" s="1515">
        <v>7268111</v>
      </c>
      <c r="C13" s="1516" t="s">
        <v>1412</v>
      </c>
      <c r="D13" s="1517">
        <v>0.12321647261578696</v>
      </c>
      <c r="E13" s="1518">
        <v>6.2163057223534421E-2</v>
      </c>
      <c r="F13" s="1517" t="s">
        <v>1412</v>
      </c>
      <c r="G13" s="1516" t="s">
        <v>1412</v>
      </c>
      <c r="H13" s="1517" t="s">
        <v>1412</v>
      </c>
      <c r="I13" s="1518" t="s">
        <v>1412</v>
      </c>
      <c r="J13" s="1517" t="s">
        <v>1412</v>
      </c>
      <c r="K13" s="1516">
        <v>6.6940089384985996E-2</v>
      </c>
      <c r="L13" s="1520">
        <v>2.2992631785618025E-2</v>
      </c>
      <c r="M13" s="1516" t="s">
        <v>1412</v>
      </c>
      <c r="N13"/>
    </row>
    <row r="14" spans="1:14" ht="20.25" customHeight="1" thickBot="1">
      <c r="A14" s="368">
        <v>2001</v>
      </c>
      <c r="B14" s="1515">
        <v>7321287</v>
      </c>
      <c r="C14" s="1516" t="s">
        <v>1412</v>
      </c>
      <c r="D14" s="1517">
        <v>0.11914653803354519</v>
      </c>
      <c r="E14" s="1518">
        <v>6.1670168100226096E-2</v>
      </c>
      <c r="F14" s="1517" t="s">
        <v>1412</v>
      </c>
      <c r="G14" s="1516" t="s">
        <v>1412</v>
      </c>
      <c r="H14" s="1517" t="s">
        <v>1412</v>
      </c>
      <c r="I14" s="1518" t="s">
        <v>1412</v>
      </c>
      <c r="J14" s="1517" t="s">
        <v>1412</v>
      </c>
      <c r="K14" s="1516">
        <v>9.1391855011284218E-2</v>
      </c>
      <c r="L14" s="1520">
        <v>3.6045984811140443E-2</v>
      </c>
      <c r="M14" s="1516" t="s">
        <v>1412</v>
      </c>
      <c r="N14"/>
    </row>
    <row r="15" spans="1:14" ht="20.25" customHeight="1" thickBot="1">
      <c r="A15" s="368">
        <v>2002</v>
      </c>
      <c r="B15" s="1515">
        <v>7359365</v>
      </c>
      <c r="C15" s="1516">
        <v>0.41612068432534599</v>
      </c>
      <c r="D15" s="1517">
        <v>0.10741619691372829</v>
      </c>
      <c r="E15" s="1518">
        <v>5.1274804279988831E-2</v>
      </c>
      <c r="F15" s="1517" t="s">
        <v>1412</v>
      </c>
      <c r="G15" s="1516" t="s">
        <v>1412</v>
      </c>
      <c r="H15" s="1517" t="s">
        <v>1412</v>
      </c>
      <c r="I15" s="1518" t="s">
        <v>1412</v>
      </c>
      <c r="J15" s="1517" t="s">
        <v>1412</v>
      </c>
      <c r="K15" s="1516">
        <v>9.5236341722417628E-2</v>
      </c>
      <c r="L15" s="1520">
        <v>4.2874215370483727E-2</v>
      </c>
      <c r="M15" s="1516" t="s">
        <v>1412</v>
      </c>
      <c r="N15"/>
    </row>
    <row r="16" spans="1:14" ht="20.25" customHeight="1" thickBot="1">
      <c r="A16" s="368">
        <v>2003</v>
      </c>
      <c r="B16" s="1515">
        <v>7393188</v>
      </c>
      <c r="C16" s="1516">
        <v>0.40096288637594502</v>
      </c>
      <c r="D16" s="1517">
        <v>0.10284683684494429</v>
      </c>
      <c r="E16" s="1518">
        <v>4.5843416940026416E-2</v>
      </c>
      <c r="F16" s="1517" t="s">
        <v>1412</v>
      </c>
      <c r="G16" s="1516" t="s">
        <v>1412</v>
      </c>
      <c r="H16" s="1517" t="s">
        <v>1412</v>
      </c>
      <c r="I16" s="1518" t="s">
        <v>1412</v>
      </c>
      <c r="J16" s="1517" t="s">
        <v>1412</v>
      </c>
      <c r="K16" s="1516">
        <v>9.3782276333294917E-2</v>
      </c>
      <c r="L16" s="1520">
        <v>4.102993187783132E-2</v>
      </c>
      <c r="M16" s="1516">
        <v>0.23588525004368888</v>
      </c>
      <c r="N16"/>
    </row>
    <row r="17" spans="1:14" ht="20.25" customHeight="1" thickBot="1">
      <c r="A17" s="368">
        <v>2004</v>
      </c>
      <c r="B17" s="1515">
        <v>7419974</v>
      </c>
      <c r="C17" s="1516">
        <v>0.41515172425132485</v>
      </c>
      <c r="D17" s="1517">
        <v>8.8858128074303225E-2</v>
      </c>
      <c r="E17" s="1518">
        <v>3.8901214478649117E-2</v>
      </c>
      <c r="F17" s="1517" t="s">
        <v>1412</v>
      </c>
      <c r="G17" s="1516" t="s">
        <v>1412</v>
      </c>
      <c r="H17" s="1517" t="s">
        <v>1412</v>
      </c>
      <c r="I17" s="1518" t="s">
        <v>1412</v>
      </c>
      <c r="J17" s="1517" t="s">
        <v>1412</v>
      </c>
      <c r="K17" s="1516">
        <v>0.1022666656244348</v>
      </c>
      <c r="L17" s="1520">
        <v>4.6828870289841985E-2</v>
      </c>
      <c r="M17" s="1516">
        <v>0.22847465503248393</v>
      </c>
      <c r="N17"/>
    </row>
    <row r="18" spans="1:14" ht="20.25" customHeight="1" thickBot="1">
      <c r="A18" s="368">
        <v>2005</v>
      </c>
      <c r="B18" s="1515">
        <v>7458475</v>
      </c>
      <c r="C18" s="1516">
        <v>0.40559658643355379</v>
      </c>
      <c r="D18" s="1517">
        <v>8.7504349079402965E-2</v>
      </c>
      <c r="E18" s="1518">
        <v>3.6415889307130481E-2</v>
      </c>
      <c r="F18" s="1517" t="s">
        <v>1412</v>
      </c>
      <c r="G18" s="1516" t="s">
        <v>1412</v>
      </c>
      <c r="H18" s="1517" t="s">
        <v>1412</v>
      </c>
      <c r="I18" s="1518" t="s">
        <v>1412</v>
      </c>
      <c r="J18" s="1517" t="s">
        <v>1412</v>
      </c>
      <c r="K18" s="1516">
        <v>9.9828450185862394E-2</v>
      </c>
      <c r="L18" s="1520">
        <v>4.6900204130200879E-2</v>
      </c>
      <c r="M18" s="1516">
        <v>0.22295429025370467</v>
      </c>
      <c r="N18"/>
    </row>
    <row r="19" spans="1:14" s="188" customFormat="1" ht="24" customHeight="1" thickBot="1">
      <c r="A19" s="370">
        <v>2006</v>
      </c>
      <c r="B19" s="277">
        <v>7507545</v>
      </c>
      <c r="C19" s="1521">
        <v>0.35229745542650759</v>
      </c>
      <c r="D19" s="1522">
        <v>8.0637811694768399E-2</v>
      </c>
      <c r="E19" s="1523">
        <v>3.4424568883702995E-2</v>
      </c>
      <c r="F19" s="1522">
        <v>1.1072461104129246E-2</v>
      </c>
      <c r="G19" s="1521">
        <v>2.8267829230460822E-2</v>
      </c>
      <c r="H19" s="1522">
        <v>7.3543348724516471E-3</v>
      </c>
      <c r="I19" s="940">
        <v>3.3165302372479954E-3</v>
      </c>
      <c r="J19" s="1524">
        <v>8.6433048353356525E-4</v>
      </c>
      <c r="K19" s="1525">
        <v>0.10136709137274569</v>
      </c>
      <c r="L19" s="902">
        <v>4.8815425015767473E-2</v>
      </c>
      <c r="M19" s="1525">
        <v>0.21886368979473317</v>
      </c>
      <c r="N19" s="991"/>
    </row>
    <row r="20" spans="1:14" ht="20" customHeight="1">
      <c r="A20" s="958" t="s">
        <v>1121</v>
      </c>
      <c r="B20" s="959"/>
      <c r="C20" s="959"/>
      <c r="D20" s="959"/>
      <c r="E20" s="959"/>
      <c r="F20" s="959"/>
      <c r="G20" s="959"/>
      <c r="H20" s="959"/>
      <c r="J20" s="372"/>
    </row>
    <row r="21" spans="1:14" ht="13.5" customHeight="1">
      <c r="A21" s="1011"/>
      <c r="B21" s="1012"/>
      <c r="C21" s="1012"/>
      <c r="D21" s="1012"/>
      <c r="E21" s="1012"/>
      <c r="F21" s="1012"/>
      <c r="G21" s="1012"/>
      <c r="H21" s="1012"/>
    </row>
    <row r="22" spans="1:14" ht="12.75" customHeight="1">
      <c r="A22" s="1011" t="s">
        <v>2249</v>
      </c>
      <c r="B22" s="1012"/>
      <c r="C22" s="1012"/>
      <c r="D22" s="1012"/>
      <c r="E22" s="1012"/>
      <c r="F22" s="1012"/>
      <c r="G22" s="1012"/>
      <c r="H22" s="1012"/>
    </row>
    <row r="23" spans="1:14" ht="12.75" customHeight="1">
      <c r="A23" s="1011" t="s">
        <v>2250</v>
      </c>
      <c r="B23" s="1012"/>
      <c r="C23" s="1012"/>
      <c r="D23" s="1012"/>
      <c r="E23" s="1012"/>
      <c r="F23" s="1012"/>
      <c r="G23" s="1012"/>
      <c r="H23" s="1012"/>
    </row>
    <row r="24" spans="1:14" ht="13.5" customHeight="1">
      <c r="A24" s="960" t="s">
        <v>2251</v>
      </c>
      <c r="B24" s="1012"/>
      <c r="C24" s="1012"/>
      <c r="D24" s="1012"/>
      <c r="E24" s="1012"/>
      <c r="F24" s="1012"/>
      <c r="G24" s="1012"/>
      <c r="H24" s="1012"/>
    </row>
    <row r="25" spans="1:14" ht="13.5" customHeight="1">
      <c r="A25" s="2" t="s">
        <v>2252</v>
      </c>
      <c r="B25" s="1012"/>
      <c r="C25" s="1012"/>
      <c r="D25" s="1012"/>
      <c r="E25" s="1012"/>
      <c r="F25" s="1012"/>
      <c r="G25" s="1012"/>
      <c r="H25" s="1012"/>
    </row>
    <row r="26" spans="1:14" ht="13.5" customHeight="1">
      <c r="A26" s="1011" t="s">
        <v>2253</v>
      </c>
      <c r="B26" s="1012"/>
      <c r="C26" s="1012"/>
      <c r="D26" s="1012"/>
      <c r="E26" s="1012"/>
      <c r="F26" s="1012"/>
      <c r="G26" s="1012"/>
      <c r="H26" s="1012"/>
    </row>
    <row r="27" spans="1:14" ht="13.5" customHeight="1">
      <c r="A27" s="960" t="s">
        <v>2254</v>
      </c>
      <c r="B27" s="1012"/>
      <c r="C27" s="1012"/>
      <c r="D27" s="1012"/>
      <c r="E27" s="1012"/>
      <c r="F27" s="1012"/>
      <c r="G27" s="1012"/>
      <c r="H27" s="1012"/>
    </row>
    <row r="28" spans="1:14" ht="13.5" customHeight="1">
      <c r="A28" s="4" t="s">
        <v>2255</v>
      </c>
      <c r="B28" s="1012"/>
      <c r="C28" s="1012"/>
      <c r="D28" s="1012"/>
      <c r="E28" s="1012"/>
      <c r="F28" s="1012"/>
      <c r="G28" s="1012"/>
      <c r="H28" s="1012"/>
    </row>
    <row r="29" spans="1:14" ht="13.5" customHeight="1">
      <c r="A29" s="4" t="s">
        <v>2256</v>
      </c>
      <c r="B29" s="1012"/>
      <c r="C29" s="1012"/>
      <c r="D29" s="1012"/>
      <c r="E29" s="1012"/>
      <c r="F29" s="1012"/>
      <c r="G29" s="1012"/>
      <c r="H29" s="1012"/>
    </row>
    <row r="30" spans="1:14" ht="13.5" customHeight="1">
      <c r="A30" s="1526" t="s">
        <v>2257</v>
      </c>
      <c r="B30" s="1012"/>
      <c r="C30" s="1012"/>
      <c r="D30" s="1012"/>
      <c r="E30" s="1012"/>
      <c r="F30" s="1012"/>
      <c r="G30" s="1012"/>
      <c r="H30" s="1012"/>
    </row>
    <row r="31" spans="1:14" ht="13.5" customHeight="1">
      <c r="A31" s="228" t="s">
        <v>2258</v>
      </c>
      <c r="B31" s="1012"/>
      <c r="C31" s="1012"/>
      <c r="D31" s="1012"/>
      <c r="E31" s="1012"/>
      <c r="F31" s="1012"/>
      <c r="G31" s="1012"/>
      <c r="H31" s="1012"/>
    </row>
    <row r="32" spans="1:14" ht="13.5" customHeight="1">
      <c r="A32" s="1526" t="s">
        <v>2259</v>
      </c>
      <c r="B32" s="1012"/>
      <c r="C32" s="1012"/>
      <c r="D32" s="1012"/>
      <c r="E32" s="1012"/>
      <c r="F32" s="1012"/>
      <c r="G32" s="1012"/>
      <c r="H32" s="1012"/>
    </row>
    <row r="33" spans="1:8" ht="13.5" customHeight="1">
      <c r="A33" s="1526" t="s">
        <v>2260</v>
      </c>
      <c r="B33" s="1012"/>
      <c r="C33" s="1012"/>
      <c r="D33" s="1012"/>
      <c r="E33" s="1012"/>
      <c r="F33" s="1012"/>
      <c r="G33" s="1012"/>
      <c r="H33" s="1012"/>
    </row>
    <row r="34" spans="1:8" ht="13.5" customHeight="1">
      <c r="A34" s="1526" t="s">
        <v>2261</v>
      </c>
      <c r="B34" s="1012"/>
      <c r="C34" s="1012"/>
      <c r="D34" s="1012"/>
      <c r="E34" s="1012"/>
      <c r="F34" s="1012"/>
      <c r="G34" s="1012"/>
      <c r="H34" s="1012"/>
    </row>
    <row r="35" spans="1:8" ht="13.5" customHeight="1">
      <c r="A35" s="2" t="s">
        <v>2262</v>
      </c>
      <c r="B35" s="1012"/>
      <c r="C35" s="1012"/>
      <c r="D35" s="1012"/>
      <c r="E35" s="1012"/>
      <c r="F35" s="1012"/>
      <c r="G35" s="1012"/>
      <c r="H35" s="1012"/>
    </row>
    <row r="36" spans="1:8" ht="12.75" customHeight="1">
      <c r="A36" s="1011"/>
      <c r="B36" s="1012"/>
      <c r="C36" s="1012"/>
      <c r="D36" s="1012"/>
      <c r="E36" s="1012"/>
      <c r="F36" s="1012"/>
      <c r="G36" s="1012"/>
      <c r="H36" s="4"/>
    </row>
    <row r="37" spans="1:8" ht="15" customHeight="1">
      <c r="A37" s="54"/>
      <c r="B37" s="1013"/>
      <c r="C37" s="1013"/>
      <c r="D37" s="1013"/>
      <c r="E37" s="1013"/>
      <c r="F37" s="1013"/>
      <c r="G37" s="1013"/>
      <c r="H37" s="4"/>
    </row>
    <row r="38" spans="1:8" ht="15" customHeight="1">
      <c r="A38" s="755" t="s">
        <v>1955</v>
      </c>
      <c r="B38" s="1013"/>
      <c r="C38" s="1013"/>
      <c r="D38" s="1013"/>
      <c r="E38" s="1013"/>
      <c r="F38" s="1013"/>
      <c r="G38" s="1013"/>
      <c r="H38" s="4"/>
    </row>
    <row r="39" spans="1:8" ht="15" customHeight="1">
      <c r="A39" s="755"/>
      <c r="B39" s="1013"/>
      <c r="C39" s="1013"/>
      <c r="D39" s="1013"/>
      <c r="E39" s="1013"/>
      <c r="F39" s="1013"/>
      <c r="G39" s="1013"/>
      <c r="H39" s="4"/>
    </row>
    <row r="40" spans="1:8" ht="15" customHeight="1">
      <c r="A40" s="755"/>
      <c r="B40" s="1013"/>
      <c r="C40" s="1013"/>
      <c r="D40" s="1013"/>
      <c r="E40" s="1013"/>
      <c r="F40" s="1013"/>
      <c r="G40" s="1013"/>
      <c r="H40" s="4"/>
    </row>
  </sheetData>
  <mergeCells count="1">
    <mergeCell ref="A2:K2"/>
  </mergeCells>
  <phoneticPr fontId="0" type="noConversion"/>
  <pageMargins left="0.38" right="0.28999999999999998" top="0.71" bottom="0.49" header="0.52" footer="0.4921259845"/>
  <pageSetup paperSize="9" scale="79" orientation="landscape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B63F-B710-D54B-96B3-ACB510E02545}">
  <sheetPr>
    <pageSetUpPr fitToPage="1"/>
  </sheetPr>
  <dimension ref="A1:K72"/>
  <sheetViews>
    <sheetView topLeftCell="A48" zoomScale="75" workbookViewId="0">
      <selection activeCell="D70" sqref="D70"/>
    </sheetView>
  </sheetViews>
  <sheetFormatPr baseColWidth="10" defaultColWidth="11.3984375" defaultRowHeight="13"/>
  <cols>
    <col min="1" max="1" width="12.19921875" style="2" customWidth="1"/>
    <col min="2" max="2" width="13.19921875" style="159" customWidth="1"/>
    <col min="3" max="3" width="12.796875" style="159" customWidth="1"/>
    <col min="4" max="4" width="14" style="159" customWidth="1"/>
    <col min="5" max="5" width="13.3984375" style="159" customWidth="1"/>
    <col min="6" max="6" width="13.59765625" style="159" customWidth="1"/>
    <col min="7" max="7" width="13.19921875" style="159" customWidth="1"/>
    <col min="8" max="8" width="13.3984375" style="159" customWidth="1"/>
    <col min="9" max="9" width="12.796875" style="159" customWidth="1"/>
    <col min="10" max="16384" width="11.3984375" style="2"/>
  </cols>
  <sheetData>
    <row r="1" spans="1:9" s="1" customFormat="1" ht="14" customHeight="1">
      <c r="A1" s="718"/>
      <c r="B1" s="946"/>
      <c r="C1" s="946"/>
      <c r="D1" s="946"/>
      <c r="E1" s="946"/>
      <c r="F1" s="946"/>
      <c r="G1" s="946"/>
      <c r="H1" s="946"/>
      <c r="I1" s="946"/>
    </row>
    <row r="2" spans="1:9" s="1" customFormat="1" ht="27" customHeight="1">
      <c r="A2" s="748" t="s">
        <v>1109</v>
      </c>
      <c r="B2" s="946"/>
      <c r="C2" s="946"/>
      <c r="D2" s="946"/>
      <c r="E2" s="946"/>
      <c r="F2" s="946"/>
      <c r="G2" s="946"/>
      <c r="H2" s="946"/>
      <c r="I2" s="265">
        <v>2006</v>
      </c>
    </row>
    <row r="3" spans="1:9" s="996" customFormat="1" ht="50.25" customHeight="1">
      <c r="A3" s="993" t="s">
        <v>758</v>
      </c>
      <c r="B3" s="994" t="s">
        <v>164</v>
      </c>
      <c r="C3" s="995" t="s">
        <v>1087</v>
      </c>
      <c r="D3" s="994" t="s">
        <v>1088</v>
      </c>
      <c r="E3" s="995" t="s">
        <v>1089</v>
      </c>
      <c r="F3" s="994" t="s">
        <v>1090</v>
      </c>
      <c r="G3" s="995" t="s">
        <v>1091</v>
      </c>
      <c r="H3" s="994" t="s">
        <v>1092</v>
      </c>
      <c r="I3" s="995" t="s">
        <v>1093</v>
      </c>
    </row>
    <row r="4" spans="1:9" ht="18.75" customHeight="1">
      <c r="A4" s="249"/>
      <c r="B4" s="123"/>
      <c r="C4" s="122"/>
      <c r="D4" s="123"/>
      <c r="E4" s="122"/>
      <c r="F4" s="123"/>
      <c r="G4" s="997"/>
      <c r="H4" s="123"/>
      <c r="I4" s="997"/>
    </row>
    <row r="5" spans="1:9" ht="1.5" customHeight="1" thickBot="1">
      <c r="A5" s="367">
        <v>1985</v>
      </c>
      <c r="B5" s="637">
        <v>79.540024670622799</v>
      </c>
      <c r="C5" s="257">
        <v>81.709173518706507</v>
      </c>
      <c r="D5" s="637">
        <v>74.423565482650218</v>
      </c>
      <c r="E5" s="257">
        <v>55.021766094593694</v>
      </c>
      <c r="F5" s="637" t="s">
        <v>967</v>
      </c>
      <c r="G5" s="257" t="s">
        <v>967</v>
      </c>
      <c r="H5" s="637">
        <v>70.445761478448915</v>
      </c>
      <c r="I5" s="257">
        <v>75.025335690417464</v>
      </c>
    </row>
    <row r="6" spans="1:9" ht="18.75" hidden="1" customHeight="1" thickBot="1">
      <c r="A6" s="368">
        <v>1986</v>
      </c>
      <c r="B6" s="638">
        <v>81.421424194589449</v>
      </c>
      <c r="C6" s="546">
        <v>84.689882960362155</v>
      </c>
      <c r="D6" s="638">
        <v>74.423565482650218</v>
      </c>
      <c r="E6" s="546">
        <v>56.632583527524247</v>
      </c>
      <c r="F6" s="638" t="s">
        <v>967</v>
      </c>
      <c r="G6" s="546" t="s">
        <v>967</v>
      </c>
      <c r="H6" s="638">
        <v>72.010463915635086</v>
      </c>
      <c r="I6" s="546">
        <v>75.58823514324861</v>
      </c>
    </row>
    <row r="7" spans="1:9" ht="18.75" hidden="1" customHeight="1" thickBot="1">
      <c r="A7" s="368">
        <v>1987</v>
      </c>
      <c r="B7" s="638">
        <v>83.301533112150608</v>
      </c>
      <c r="C7" s="546">
        <v>86.496007167709024</v>
      </c>
      <c r="D7" s="638">
        <v>75.835253486074862</v>
      </c>
      <c r="E7" s="546">
        <v>59.420535770728996</v>
      </c>
      <c r="F7" s="638" t="s">
        <v>967</v>
      </c>
      <c r="G7" s="546" t="s">
        <v>967</v>
      </c>
      <c r="H7" s="638">
        <v>73.965976019526707</v>
      </c>
      <c r="I7" s="546">
        <v>76.676921772176641</v>
      </c>
    </row>
    <row r="8" spans="1:9" ht="18.75" hidden="1" customHeight="1" thickBot="1">
      <c r="A8" s="368">
        <v>1988</v>
      </c>
      <c r="B8" s="638">
        <v>84.596428178635293</v>
      </c>
      <c r="C8" s="546">
        <v>86.924474430296826</v>
      </c>
      <c r="D8" s="638">
        <v>80.070317496348835</v>
      </c>
      <c r="E8" s="546">
        <v>63.286246487669516</v>
      </c>
      <c r="F8" s="638" t="s">
        <v>967</v>
      </c>
      <c r="G8" s="546" t="s">
        <v>967</v>
      </c>
      <c r="H8" s="638">
        <v>76.593809766190788</v>
      </c>
      <c r="I8" s="546">
        <v>78.112690688793933</v>
      </c>
    </row>
    <row r="9" spans="1:9" ht="18.75" hidden="1" customHeight="1" thickBot="1">
      <c r="A9" s="368">
        <v>1989</v>
      </c>
      <c r="B9" s="638">
        <v>86.122959038236885</v>
      </c>
      <c r="C9" s="546">
        <v>89.241940027124727</v>
      </c>
      <c r="D9" s="638">
        <v>80.070317496348835</v>
      </c>
      <c r="E9" s="546">
        <v>65.302076770988421</v>
      </c>
      <c r="F9" s="638" t="s">
        <v>967</v>
      </c>
      <c r="G9" s="546" t="s">
        <v>967</v>
      </c>
      <c r="H9" s="638">
        <v>78.037997946806755</v>
      </c>
      <c r="I9" s="546">
        <v>80.577369906551638</v>
      </c>
    </row>
    <row r="10" spans="1:9" ht="18.75" hidden="1" customHeight="1" thickBot="1">
      <c r="A10" s="368">
        <v>1990</v>
      </c>
      <c r="B10" s="638">
        <v>87.906168264934408</v>
      </c>
      <c r="C10" s="546">
        <v>91.103823672753563</v>
      </c>
      <c r="D10" s="638">
        <v>84.469652603512927</v>
      </c>
      <c r="E10" s="546">
        <v>69.397041031867673</v>
      </c>
      <c r="F10" s="638" t="s">
        <v>967</v>
      </c>
      <c r="G10" s="546" t="s">
        <v>967</v>
      </c>
      <c r="H10" s="638">
        <v>81.275551622287338</v>
      </c>
      <c r="I10" s="546">
        <v>84.931731706195279</v>
      </c>
    </row>
    <row r="11" spans="1:9" ht="18.75" hidden="1" customHeight="1" thickBot="1">
      <c r="A11" s="368">
        <v>1991</v>
      </c>
      <c r="B11" s="638">
        <v>91.417291047616473</v>
      </c>
      <c r="C11" s="546">
        <v>94.627052633347986</v>
      </c>
      <c r="D11" s="638">
        <v>89.495287463190593</v>
      </c>
      <c r="E11" s="546">
        <v>76.918723201109117</v>
      </c>
      <c r="F11" s="638" t="s">
        <v>967</v>
      </c>
      <c r="G11" s="546" t="s">
        <v>967</v>
      </c>
      <c r="H11" s="638">
        <v>86.362766379611671</v>
      </c>
      <c r="I11" s="546">
        <v>89.908384570389316</v>
      </c>
    </row>
    <row r="12" spans="1:9" ht="18.75" hidden="1" customHeight="1" thickBot="1">
      <c r="A12" s="368">
        <v>1992</v>
      </c>
      <c r="B12" s="638">
        <v>94.003778510778062</v>
      </c>
      <c r="C12" s="546">
        <v>99.083418176473245</v>
      </c>
      <c r="D12" s="638">
        <v>93.107092178733282</v>
      </c>
      <c r="E12" s="546">
        <v>84.655245552501313</v>
      </c>
      <c r="F12" s="638" t="s">
        <v>967</v>
      </c>
      <c r="G12" s="546" t="s">
        <v>967</v>
      </c>
      <c r="H12" s="638">
        <v>91.315092995799233</v>
      </c>
      <c r="I12" s="546">
        <v>93.537992592591351</v>
      </c>
    </row>
    <row r="13" spans="1:9" ht="18.75" hidden="1" customHeight="1" thickBot="1">
      <c r="A13" s="368">
        <v>1993</v>
      </c>
      <c r="B13" s="638">
        <v>95.836463655080706</v>
      </c>
      <c r="C13" s="546">
        <v>99.169001263930795</v>
      </c>
      <c r="D13" s="638">
        <v>97.235342834072867</v>
      </c>
      <c r="E13" s="546">
        <v>90.84945971692089</v>
      </c>
      <c r="F13" s="638">
        <v>97.895835844341434</v>
      </c>
      <c r="G13" s="546">
        <v>100.04968578476586</v>
      </c>
      <c r="H13" s="638">
        <v>94.527966822112859</v>
      </c>
      <c r="I13" s="546">
        <v>96.617824254518595</v>
      </c>
    </row>
    <row r="14" spans="1:9" ht="18.75" hidden="1" customHeight="1" thickBot="1">
      <c r="A14" s="368">
        <v>1994</v>
      </c>
      <c r="B14" s="638">
        <v>97.139423007552196</v>
      </c>
      <c r="C14" s="546">
        <v>99.181066171629212</v>
      </c>
      <c r="D14" s="638">
        <v>98.622802189544174</v>
      </c>
      <c r="E14" s="546">
        <v>94.153938714873988</v>
      </c>
      <c r="F14" s="638">
        <v>99.257771488789899</v>
      </c>
      <c r="G14" s="546">
        <v>100.04968578476586</v>
      </c>
      <c r="H14" s="638">
        <v>96.403473663239367</v>
      </c>
      <c r="I14" s="546">
        <v>97.441099542461487</v>
      </c>
    </row>
    <row r="15" spans="1:9" ht="18.75" hidden="1" customHeight="1" thickBot="1">
      <c r="A15" s="368">
        <v>1995</v>
      </c>
      <c r="B15" s="638">
        <v>99.669332209784301</v>
      </c>
      <c r="C15" s="546">
        <v>99.494059809668784</v>
      </c>
      <c r="D15" s="638">
        <v>99.364587511803364</v>
      </c>
      <c r="E15" s="546">
        <v>96.693541671662231</v>
      </c>
      <c r="F15" s="638">
        <v>99.850132140098751</v>
      </c>
      <c r="G15" s="546">
        <v>100.04968578476586</v>
      </c>
      <c r="H15" s="638">
        <v>98.151079313631271</v>
      </c>
      <c r="I15" s="546">
        <v>99.194874761240953</v>
      </c>
    </row>
    <row r="16" spans="1:9" ht="18.75" customHeight="1" thickBot="1">
      <c r="A16" s="368">
        <v>1996</v>
      </c>
      <c r="B16" s="638">
        <v>100</v>
      </c>
      <c r="C16" s="546">
        <v>100</v>
      </c>
      <c r="D16" s="638">
        <v>100</v>
      </c>
      <c r="E16" s="546">
        <v>100</v>
      </c>
      <c r="F16" s="638">
        <v>100</v>
      </c>
      <c r="G16" s="546">
        <v>100</v>
      </c>
      <c r="H16" s="638">
        <v>100</v>
      </c>
      <c r="I16" s="546">
        <v>100</v>
      </c>
    </row>
    <row r="17" spans="1:9" ht="18" customHeight="1" thickBot="1">
      <c r="A17" s="368">
        <v>1997</v>
      </c>
      <c r="B17" s="638">
        <v>99.603751768772071</v>
      </c>
      <c r="C17" s="546">
        <v>100.38008221695314</v>
      </c>
      <c r="D17" s="638">
        <v>100.54808570359472</v>
      </c>
      <c r="E17" s="546">
        <v>101.42789940293106</v>
      </c>
      <c r="F17" s="638">
        <v>99.259050938587137</v>
      </c>
      <c r="G17" s="546">
        <v>99.621819781936267</v>
      </c>
      <c r="H17" s="638">
        <v>100.76095634245317</v>
      </c>
      <c r="I17" s="546">
        <v>100.52020451848172</v>
      </c>
    </row>
    <row r="18" spans="1:9" ht="18" customHeight="1" thickBot="1">
      <c r="A18" s="368">
        <v>1998</v>
      </c>
      <c r="B18" s="638">
        <v>96.927242504783251</v>
      </c>
      <c r="C18" s="546">
        <v>100.33490779124649</v>
      </c>
      <c r="D18" s="638">
        <v>101.27038445552139</v>
      </c>
      <c r="E18" s="546">
        <v>102.99618303138374</v>
      </c>
      <c r="F18" s="638">
        <v>98.452579284674385</v>
      </c>
      <c r="G18" s="546">
        <v>100.44765774993816</v>
      </c>
      <c r="H18" s="638">
        <v>101.24816209588769</v>
      </c>
      <c r="I18" s="546">
        <v>100.538234878222</v>
      </c>
    </row>
    <row r="19" spans="1:9" ht="18" customHeight="1" thickBot="1">
      <c r="A19" s="368">
        <v>1999</v>
      </c>
      <c r="B19" s="638">
        <v>95.844672232466905</v>
      </c>
      <c r="C19" s="546">
        <v>100.33187275209576</v>
      </c>
      <c r="D19" s="638">
        <v>101.87444222283719</v>
      </c>
      <c r="E19" s="546">
        <v>104.14320934906627</v>
      </c>
      <c r="F19" s="638">
        <v>98.676778256833302</v>
      </c>
      <c r="G19" s="546">
        <v>98.097369567529682</v>
      </c>
      <c r="H19" s="638">
        <v>101.67388949401801</v>
      </c>
      <c r="I19" s="546">
        <v>101.34904536554785</v>
      </c>
    </row>
    <row r="20" spans="1:9" ht="18" customHeight="1" thickBot="1">
      <c r="A20" s="368">
        <v>2000</v>
      </c>
      <c r="B20" s="638">
        <v>96.254772438034038</v>
      </c>
      <c r="C20" s="546">
        <v>100.33187275209576</v>
      </c>
      <c r="D20" s="638">
        <v>103.57018844964638</v>
      </c>
      <c r="E20" s="546">
        <v>104.72011004030597</v>
      </c>
      <c r="F20" s="638">
        <v>98.363608314160032</v>
      </c>
      <c r="G20" s="546">
        <v>97.073589844089597</v>
      </c>
      <c r="H20" s="638">
        <v>102.16099312393871</v>
      </c>
      <c r="I20" s="546">
        <v>102.92856130382158</v>
      </c>
    </row>
    <row r="21" spans="1:9" ht="18" customHeight="1" thickBot="1">
      <c r="A21" s="368">
        <v>2001</v>
      </c>
      <c r="B21" s="638">
        <v>95.617677812696272</v>
      </c>
      <c r="C21" s="546">
        <v>100.39157021638326</v>
      </c>
      <c r="D21" s="638">
        <v>105.66882988327751</v>
      </c>
      <c r="E21" s="546">
        <v>105.48310266577438</v>
      </c>
      <c r="F21" s="638">
        <v>99.731930662678707</v>
      </c>
      <c r="G21" s="546">
        <v>97.957928816735219</v>
      </c>
      <c r="H21" s="638">
        <v>102.72634889630439</v>
      </c>
      <c r="I21" s="546">
        <v>103.94658841484843</v>
      </c>
    </row>
    <row r="22" spans="1:9" ht="18" customHeight="1" thickBot="1">
      <c r="A22" s="368">
        <v>2002</v>
      </c>
      <c r="B22" s="638">
        <v>92.551966547481953</v>
      </c>
      <c r="C22" s="546">
        <v>100.41926181326284</v>
      </c>
      <c r="D22" s="638">
        <v>106.79946557044345</v>
      </c>
      <c r="E22" s="546">
        <v>107.26502318301614</v>
      </c>
      <c r="F22" s="638">
        <v>100.07068960129637</v>
      </c>
      <c r="G22" s="546">
        <v>98.584756517798724</v>
      </c>
      <c r="H22" s="638">
        <v>103.14270646204406</v>
      </c>
      <c r="I22" s="546">
        <v>104.61466069154169</v>
      </c>
    </row>
    <row r="23" spans="1:9" ht="18" customHeight="1" thickBot="1">
      <c r="A23" s="368">
        <v>2003</v>
      </c>
      <c r="B23" s="638">
        <v>91.45775676895002</v>
      </c>
      <c r="C23" s="546">
        <v>100.41926181326284</v>
      </c>
      <c r="D23" s="638">
        <v>107.42707824790855</v>
      </c>
      <c r="E23" s="546">
        <v>109.53160933947478</v>
      </c>
      <c r="F23" s="638">
        <v>99.942646202359242</v>
      </c>
      <c r="G23" s="546">
        <v>101.42505436052258</v>
      </c>
      <c r="H23" s="638">
        <v>104.03822755450696</v>
      </c>
      <c r="I23" s="546">
        <v>105.28242519538023</v>
      </c>
    </row>
    <row r="24" spans="1:9" ht="18" customHeight="1" thickBot="1">
      <c r="A24" s="368">
        <v>2004</v>
      </c>
      <c r="B24" s="638">
        <v>91.277873491072683</v>
      </c>
      <c r="C24" s="546">
        <v>100.41926181326284</v>
      </c>
      <c r="D24" s="638">
        <v>108.0206930792616</v>
      </c>
      <c r="E24" s="546">
        <v>111.84653649880872</v>
      </c>
      <c r="F24" s="638">
        <v>99.616681761713792</v>
      </c>
      <c r="G24" s="546">
        <v>102.9912008077947</v>
      </c>
      <c r="H24" s="638">
        <v>105.00309051283621</v>
      </c>
      <c r="I24" s="546">
        <v>106.12777463640488</v>
      </c>
    </row>
    <row r="25" spans="1:9" ht="18" customHeight="1" thickBot="1">
      <c r="A25" s="368">
        <v>2005</v>
      </c>
      <c r="B25" s="638">
        <v>90.545065570821578</v>
      </c>
      <c r="C25" s="546">
        <v>100.41926181326284</v>
      </c>
      <c r="D25" s="638">
        <v>108.68924828481903</v>
      </c>
      <c r="E25" s="546">
        <v>113.62688750297009</v>
      </c>
      <c r="F25" s="638">
        <v>99.312074290760378</v>
      </c>
      <c r="G25" s="546">
        <v>104.286528158435</v>
      </c>
      <c r="H25" s="638">
        <v>105.64575378514422</v>
      </c>
      <c r="I25" s="546">
        <v>107.37148474241722</v>
      </c>
    </row>
    <row r="26" spans="1:9" s="151" customFormat="1" ht="27" customHeight="1" thickBot="1">
      <c r="A26" s="370">
        <v>2006</v>
      </c>
      <c r="B26" s="844">
        <v>86.696332978376475</v>
      </c>
      <c r="C26" s="845">
        <v>100.71403685540849</v>
      </c>
      <c r="D26" s="844">
        <v>109.14873746718119</v>
      </c>
      <c r="E26" s="845">
        <v>115.28983892872013</v>
      </c>
      <c r="F26" s="844">
        <v>98.680124510149113</v>
      </c>
      <c r="G26" s="845">
        <v>106.00372327689165</v>
      </c>
      <c r="H26" s="844">
        <v>105.66566787033413</v>
      </c>
      <c r="I26" s="845">
        <v>108.50911580449518</v>
      </c>
    </row>
    <row r="27" spans="1:9" ht="20" customHeight="1">
      <c r="A27" s="958"/>
      <c r="B27" s="959"/>
      <c r="C27" s="959"/>
      <c r="D27" s="959"/>
      <c r="E27" s="959"/>
      <c r="F27" s="959"/>
      <c r="G27" s="959"/>
      <c r="H27" s="959"/>
      <c r="I27" s="959"/>
    </row>
    <row r="28" spans="1:9" ht="28.5" customHeight="1">
      <c r="A28" s="998" t="s">
        <v>1094</v>
      </c>
      <c r="B28" s="961"/>
      <c r="C28" s="961"/>
      <c r="D28" s="961"/>
      <c r="E28" s="961"/>
      <c r="F28" s="961"/>
      <c r="G28" s="961"/>
      <c r="H28" s="961"/>
      <c r="I28" s="961"/>
    </row>
    <row r="29" spans="1:9" ht="51" customHeight="1">
      <c r="A29" s="993" t="s">
        <v>758</v>
      </c>
      <c r="B29" s="994" t="s">
        <v>164</v>
      </c>
      <c r="C29" s="995" t="s">
        <v>1087</v>
      </c>
      <c r="D29" s="994" t="s">
        <v>1088</v>
      </c>
      <c r="E29" s="995" t="s">
        <v>1089</v>
      </c>
      <c r="F29" s="994" t="s">
        <v>1090</v>
      </c>
      <c r="G29" s="995" t="s">
        <v>1091</v>
      </c>
      <c r="H29" s="994" t="s">
        <v>1092</v>
      </c>
      <c r="I29" s="995" t="s">
        <v>1093</v>
      </c>
    </row>
    <row r="30" spans="1:9" ht="19.5" customHeight="1">
      <c r="A30" s="751"/>
      <c r="B30" s="123"/>
      <c r="C30" s="122"/>
      <c r="D30" s="123"/>
      <c r="E30" s="122"/>
      <c r="F30" s="123"/>
      <c r="G30" s="122"/>
      <c r="H30" s="123"/>
      <c r="I30" s="122"/>
    </row>
    <row r="31" spans="1:9" ht="2.25" customHeight="1" thickBot="1">
      <c r="A31" s="999">
        <v>1986</v>
      </c>
      <c r="B31" s="459">
        <v>2.3653494347752213E-2</v>
      </c>
      <c r="C31" s="146">
        <v>3.6479495670987738E-2</v>
      </c>
      <c r="D31" s="459">
        <v>0</v>
      </c>
      <c r="E31" s="146">
        <v>2.9276003793866412E-2</v>
      </c>
      <c r="F31" s="459" t="e">
        <v>#VALUE!</v>
      </c>
      <c r="G31" s="146" t="e">
        <v>#VALUE!</v>
      </c>
      <c r="H31" s="459">
        <v>2.2211448983553872E-2</v>
      </c>
      <c r="I31" s="146">
        <v>7.502791525703767E-3</v>
      </c>
    </row>
    <row r="32" spans="1:9" ht="20" hidden="1" customHeight="1" thickBot="1">
      <c r="A32" s="368">
        <v>1987</v>
      </c>
      <c r="B32" s="461">
        <v>2.3091083657144962E-2</v>
      </c>
      <c r="C32" s="148">
        <v>2.1326327823504077E-2</v>
      </c>
      <c r="D32" s="461">
        <v>1.8968293097348932E-2</v>
      </c>
      <c r="E32" s="148">
        <v>4.9228766719599859E-2</v>
      </c>
      <c r="F32" s="641" t="e">
        <v>#VALUE!</v>
      </c>
      <c r="G32" s="369" t="e">
        <v>#VALUE!</v>
      </c>
      <c r="H32" s="461">
        <v>2.7155943699829876E-2</v>
      </c>
      <c r="I32" s="148">
        <v>1.4402858154643372E-2</v>
      </c>
    </row>
    <row r="33" spans="1:9" ht="20" hidden="1" customHeight="1" thickBot="1">
      <c r="A33" s="368">
        <v>1988</v>
      </c>
      <c r="B33" s="461">
        <v>1.5544672686171879E-2</v>
      </c>
      <c r="C33" s="148">
        <v>4.9536074163174515E-3</v>
      </c>
      <c r="D33" s="461">
        <v>5.584558388865446E-2</v>
      </c>
      <c r="E33" s="148">
        <v>6.5056813554427828E-2</v>
      </c>
      <c r="F33" s="641" t="e">
        <v>#VALUE!</v>
      </c>
      <c r="G33" s="369" t="e">
        <v>#VALUE!</v>
      </c>
      <c r="H33" s="461">
        <v>3.5527601852645585E-2</v>
      </c>
      <c r="I33" s="148">
        <v>1.8724915964718258E-2</v>
      </c>
    </row>
    <row r="34" spans="1:9" ht="19.5" hidden="1" customHeight="1" thickBot="1">
      <c r="A34" s="368">
        <v>1989</v>
      </c>
      <c r="B34" s="461">
        <v>1.8044861851355565E-2</v>
      </c>
      <c r="C34" s="148">
        <v>2.66606799985456E-2</v>
      </c>
      <c r="D34" s="461">
        <v>0</v>
      </c>
      <c r="E34" s="148">
        <v>3.1852580855963097E-2</v>
      </c>
      <c r="F34" s="641" t="e">
        <v>#VALUE!</v>
      </c>
      <c r="G34" s="369" t="e">
        <v>#VALUE!</v>
      </c>
      <c r="H34" s="461">
        <v>1.885515533206239E-2</v>
      </c>
      <c r="I34" s="148">
        <v>3.1552865431011101E-2</v>
      </c>
    </row>
    <row r="35" spans="1:9" ht="20" hidden="1" customHeight="1" thickBot="1">
      <c r="A35" s="368">
        <v>1990</v>
      </c>
      <c r="B35" s="461">
        <v>2.0705387350959503E-2</v>
      </c>
      <c r="C35" s="148">
        <v>2.0863325529038468E-2</v>
      </c>
      <c r="D35" s="461">
        <v>5.4943395314558385E-2</v>
      </c>
      <c r="E35" s="148">
        <v>6.2708024972010001E-2</v>
      </c>
      <c r="F35" s="641" t="e">
        <v>#VALUE!</v>
      </c>
      <c r="G35" s="369" t="e">
        <v>#VALUE!</v>
      </c>
      <c r="H35" s="461">
        <v>4.1486887934867323E-2</v>
      </c>
      <c r="I35" s="148">
        <v>5.4039512641000043E-2</v>
      </c>
    </row>
    <row r="36" spans="1:9" ht="20" hidden="1" customHeight="1" thickBot="1">
      <c r="A36" s="368">
        <v>1991</v>
      </c>
      <c r="B36" s="461">
        <v>3.9941711167527316E-2</v>
      </c>
      <c r="C36" s="148">
        <v>3.8672679351526629E-2</v>
      </c>
      <c r="D36" s="461">
        <v>5.9496336314619258E-2</v>
      </c>
      <c r="E36" s="148">
        <v>0.10838620865387361</v>
      </c>
      <c r="F36" s="641" t="e">
        <v>#VALUE!</v>
      </c>
      <c r="G36" s="369" t="e">
        <v>#VALUE!</v>
      </c>
      <c r="H36" s="461">
        <v>6.2592189850229518E-2</v>
      </c>
      <c r="I36" s="148">
        <v>5.8595918912966338E-2</v>
      </c>
    </row>
    <row r="37" spans="1:9" ht="11.25" hidden="1" customHeight="1" thickBot="1">
      <c r="A37" s="368">
        <v>1992</v>
      </c>
      <c r="B37" s="461">
        <v>2.8293197419450689E-2</v>
      </c>
      <c r="C37" s="148">
        <v>4.7093990768077409E-2</v>
      </c>
      <c r="D37" s="461">
        <v>4.0357484934927079E-2</v>
      </c>
      <c r="E37" s="148">
        <v>0.10058048326107216</v>
      </c>
      <c r="F37" s="641" t="e">
        <v>#VALUE!</v>
      </c>
      <c r="G37" s="369" t="e">
        <v>#VALUE!</v>
      </c>
      <c r="H37" s="461">
        <v>5.7343306887824408E-2</v>
      </c>
      <c r="I37" s="148">
        <v>4.037007270840709E-2</v>
      </c>
    </row>
    <row r="38" spans="1:9" ht="20" hidden="1" customHeight="1" thickBot="1">
      <c r="A38" s="368">
        <v>1993</v>
      </c>
      <c r="B38" s="461">
        <v>1.9495866797444972E-2</v>
      </c>
      <c r="C38" s="148">
        <v>8.6374783018805523E-4</v>
      </c>
      <c r="D38" s="461">
        <v>4.4338734662820123E-2</v>
      </c>
      <c r="E38" s="148">
        <v>7.3169880070551141E-2</v>
      </c>
      <c r="F38" s="461" t="e">
        <v>#VALUE!</v>
      </c>
      <c r="G38" s="148" t="e">
        <v>#VALUE!</v>
      </c>
      <c r="H38" s="461">
        <v>3.5184477405738601E-2</v>
      </c>
      <c r="I38" s="148">
        <v>3.2925996983296235E-2</v>
      </c>
    </row>
    <row r="39" spans="1:9" ht="19.5" hidden="1" customHeight="1" thickBot="1">
      <c r="A39" s="368">
        <v>1994</v>
      </c>
      <c r="B39" s="461">
        <v>1.3595653499495652E-2</v>
      </c>
      <c r="C39" s="148">
        <v>1.2166007063352247E-4</v>
      </c>
      <c r="D39" s="461">
        <v>1.4269084831005641E-2</v>
      </c>
      <c r="E39" s="148">
        <v>3.6373127680115802E-2</v>
      </c>
      <c r="F39" s="461">
        <v>1.3912089648164372E-2</v>
      </c>
      <c r="G39" s="148">
        <v>0</v>
      </c>
      <c r="H39" s="461">
        <v>1.9840761461165535E-2</v>
      </c>
      <c r="I39" s="148">
        <v>8.5209462570192684E-3</v>
      </c>
    </row>
    <row r="40" spans="1:9" ht="19.5" hidden="1" customHeight="1" thickBot="1">
      <c r="A40" s="368">
        <v>1995</v>
      </c>
      <c r="B40" s="461">
        <v>2.6044103659493834E-2</v>
      </c>
      <c r="C40" s="148">
        <v>3.1557801314410217E-3</v>
      </c>
      <c r="D40" s="461">
        <v>7.5214383062605084E-3</v>
      </c>
      <c r="E40" s="148">
        <v>2.6972880704214663E-2</v>
      </c>
      <c r="F40" s="461">
        <v>5.9679019831284652E-3</v>
      </c>
      <c r="G40" s="148">
        <v>0</v>
      </c>
      <c r="H40" s="461">
        <v>1.812803609646596E-2</v>
      </c>
      <c r="I40" s="148">
        <v>1.79983110516444E-2</v>
      </c>
    </row>
    <row r="41" spans="1:9" ht="20.25" customHeight="1" thickBot="1">
      <c r="A41" s="368">
        <v>1996</v>
      </c>
      <c r="B41" s="461">
        <v>3.3176482964660803E-3</v>
      </c>
      <c r="C41" s="148">
        <v>5.0851296177789607E-3</v>
      </c>
      <c r="D41" s="461">
        <v>6.3947579727148263E-3</v>
      </c>
      <c r="E41" s="148">
        <v>3.4195234461111834E-2</v>
      </c>
      <c r="F41" s="461">
        <v>1.5009280076963005E-3</v>
      </c>
      <c r="G41" s="148">
        <v>-4.9661110253507168E-4</v>
      </c>
      <c r="H41" s="461">
        <v>1.8837497247082835E-2</v>
      </c>
      <c r="I41" s="148">
        <v>8.1166011923192727E-3</v>
      </c>
    </row>
    <row r="42" spans="1:9" ht="20.25" customHeight="1" thickBot="1">
      <c r="A42" s="368">
        <v>1997</v>
      </c>
      <c r="B42" s="461">
        <v>-3.9624823122792474E-3</v>
      </c>
      <c r="C42" s="148">
        <v>3.8008221695313704E-3</v>
      </c>
      <c r="D42" s="461">
        <v>5.4808570359472508E-3</v>
      </c>
      <c r="E42" s="148">
        <v>1.4278994029310654E-2</v>
      </c>
      <c r="F42" s="461">
        <v>-7.4094906141286554E-3</v>
      </c>
      <c r="G42" s="148">
        <v>-3.7818021806372837E-3</v>
      </c>
      <c r="H42" s="461">
        <v>7.6095634245316734E-3</v>
      </c>
      <c r="I42" s="148">
        <v>5.2020451848171501E-3</v>
      </c>
    </row>
    <row r="43" spans="1:9" ht="20.25" customHeight="1" thickBot="1">
      <c r="A43" s="368">
        <v>1998</v>
      </c>
      <c r="B43" s="461">
        <v>-2.6871570763742691E-2</v>
      </c>
      <c r="C43" s="148">
        <v>-4.5003375877905594E-4</v>
      </c>
      <c r="D43" s="461">
        <v>7.1836151516193603E-3</v>
      </c>
      <c r="E43" s="148">
        <v>1.5462053711893686E-2</v>
      </c>
      <c r="F43" s="461">
        <v>-8.1249180431084422E-3</v>
      </c>
      <c r="G43" s="148">
        <v>8.2897297982467144E-3</v>
      </c>
      <c r="H43" s="461">
        <v>4.8352632916530691E-3</v>
      </c>
      <c r="I43" s="148">
        <v>1.7937050393657117E-4</v>
      </c>
    </row>
    <row r="44" spans="1:9" ht="20.25" customHeight="1" thickBot="1">
      <c r="A44" s="368">
        <v>1999</v>
      </c>
      <c r="B44" s="461">
        <v>-1.1168895806180856E-2</v>
      </c>
      <c r="C44" s="148">
        <v>-3.0249084964961703E-5</v>
      </c>
      <c r="D44" s="461">
        <v>5.9648017588114222E-3</v>
      </c>
      <c r="E44" s="148">
        <v>1.1136590540768099E-2</v>
      </c>
      <c r="F44" s="461">
        <v>2.2772280197012051E-3</v>
      </c>
      <c r="G44" s="148">
        <v>-2.3398138244890232E-2</v>
      </c>
      <c r="H44" s="461">
        <v>4.2047913692213612E-3</v>
      </c>
      <c r="I44" s="148">
        <v>8.0646978565712679E-3</v>
      </c>
    </row>
    <row r="45" spans="1:9" ht="20.25" customHeight="1" thickBot="1">
      <c r="A45" s="368">
        <v>2000</v>
      </c>
      <c r="B45" s="461">
        <v>4.2788002297347028E-3</v>
      </c>
      <c r="C45" s="148">
        <v>0</v>
      </c>
      <c r="D45" s="461">
        <v>1.6645452871290045E-2</v>
      </c>
      <c r="E45" s="148">
        <v>5.5394940759512235E-3</v>
      </c>
      <c r="F45" s="461">
        <v>-3.1736944416462798E-3</v>
      </c>
      <c r="G45" s="148">
        <v>-1.0436362646149444E-2</v>
      </c>
      <c r="H45" s="461">
        <v>4.7908428835050643E-3</v>
      </c>
      <c r="I45" s="148">
        <v>1.5584911851677541E-2</v>
      </c>
    </row>
    <row r="46" spans="1:9" ht="20.25" customHeight="1" thickBot="1">
      <c r="A46" s="368">
        <v>2001</v>
      </c>
      <c r="B46" s="461">
        <v>-6.618836751683288E-3</v>
      </c>
      <c r="C46" s="148">
        <v>5.9499999999990116E-4</v>
      </c>
      <c r="D46" s="461">
        <v>2.0262987497135176E-2</v>
      </c>
      <c r="E46" s="148">
        <v>7.2860181790750378E-3</v>
      </c>
      <c r="F46" s="461">
        <v>1.3910859635694051E-2</v>
      </c>
      <c r="G46" s="148">
        <v>9.1099852603160336E-3</v>
      </c>
      <c r="H46" s="461">
        <v>5.5339690333648939E-3</v>
      </c>
      <c r="I46" s="148">
        <v>9.8906182903097939E-3</v>
      </c>
    </row>
    <row r="47" spans="1:9" ht="20.25" customHeight="1" thickBot="1">
      <c r="A47" s="368">
        <v>2002</v>
      </c>
      <c r="B47" s="461">
        <v>-3.206218071118272E-2</v>
      </c>
      <c r="C47" s="148">
        <v>2.7583587765289685E-4</v>
      </c>
      <c r="D47" s="461">
        <v>1.0699803228774618E-2</v>
      </c>
      <c r="E47" s="148">
        <v>1.6892947516796264E-2</v>
      </c>
      <c r="F47" s="461">
        <v>3.3966948836419153E-3</v>
      </c>
      <c r="G47" s="148">
        <v>6.3989480855215497E-3</v>
      </c>
      <c r="H47" s="461">
        <v>4.0530747000455669E-3</v>
      </c>
      <c r="I47" s="148">
        <v>6.4270726618462781E-3</v>
      </c>
    </row>
    <row r="48" spans="1:9" ht="20.25" customHeight="1" thickBot="1">
      <c r="A48" s="368">
        <v>2003</v>
      </c>
      <c r="B48" s="461">
        <v>-1.1822652930562727E-2</v>
      </c>
      <c r="C48" s="148">
        <v>0</v>
      </c>
      <c r="D48" s="461">
        <v>5.8765526036377302E-3</v>
      </c>
      <c r="E48" s="148">
        <v>2.1130710544772668E-2</v>
      </c>
      <c r="F48" s="461">
        <v>-1.2795294950727065E-3</v>
      </c>
      <c r="G48" s="148">
        <v>2.8810720268006795E-2</v>
      </c>
      <c r="H48" s="461">
        <v>8.6823501455475238E-3</v>
      </c>
      <c r="I48" s="148">
        <v>6.3830872214694079E-3</v>
      </c>
    </row>
    <row r="49" spans="1:9" ht="20.25" customHeight="1" thickBot="1">
      <c r="A49" s="368">
        <v>2004</v>
      </c>
      <c r="B49" s="461">
        <v>-1.966845505863235E-3</v>
      </c>
      <c r="C49" s="148">
        <v>0</v>
      </c>
      <c r="D49" s="461">
        <v>5.5257467766476331E-3</v>
      </c>
      <c r="E49" s="148">
        <v>2.1134786326011179E-2</v>
      </c>
      <c r="F49" s="461">
        <v>-3.2615150091729328E-3</v>
      </c>
      <c r="G49" s="148">
        <v>1.5441415902082145E-2</v>
      </c>
      <c r="H49" s="461">
        <v>9.2741195328778225E-3</v>
      </c>
      <c r="I49" s="148">
        <v>8.0293500026797915E-3</v>
      </c>
    </row>
    <row r="50" spans="1:9" ht="20.25" customHeight="1" thickBot="1">
      <c r="A50" s="368">
        <v>2005</v>
      </c>
      <c r="B50" s="461">
        <v>-8.0283193749334236E-3</v>
      </c>
      <c r="C50" s="148">
        <v>0</v>
      </c>
      <c r="D50" s="461">
        <v>6.1891401221325637E-3</v>
      </c>
      <c r="E50" s="148">
        <v>1.5917801837165957E-2</v>
      </c>
      <c r="F50" s="461">
        <v>-3.0577957985193915E-3</v>
      </c>
      <c r="G50" s="148">
        <v>1.2577068142527015E-2</v>
      </c>
      <c r="H50" s="461">
        <v>6.1204224482274139E-3</v>
      </c>
      <c r="I50" s="148">
        <v>1.1718987892409105E-2</v>
      </c>
    </row>
    <row r="51" spans="1:9" ht="24" customHeight="1" thickBot="1">
      <c r="A51" s="1000">
        <v>2006</v>
      </c>
      <c r="B51" s="902">
        <v>-4.2506265451149772E-2</v>
      </c>
      <c r="C51" s="940">
        <v>2.9354432289476762E-3</v>
      </c>
      <c r="D51" s="902">
        <v>4.227549547109577E-3</v>
      </c>
      <c r="E51" s="940">
        <v>1.4635192974959965E-2</v>
      </c>
      <c r="F51" s="902">
        <v>-6.3632723928520596E-3</v>
      </c>
      <c r="G51" s="940">
        <v>1.6466126054631269E-2</v>
      </c>
      <c r="H51" s="902">
        <v>1.8849868050940799E-4</v>
      </c>
      <c r="I51" s="940">
        <v>1.059528109168939E-2</v>
      </c>
    </row>
    <row r="52" spans="1:9" ht="20" customHeight="1">
      <c r="A52" s="958" t="s">
        <v>1122</v>
      </c>
      <c r="B52" s="961"/>
      <c r="C52" s="961"/>
      <c r="D52" s="961"/>
      <c r="E52" s="961"/>
      <c r="F52" s="961"/>
      <c r="G52" s="961"/>
      <c r="H52" s="961"/>
      <c r="I52" s="961"/>
    </row>
    <row r="53" spans="1:9" ht="11.25" customHeight="1">
      <c r="A53" s="960"/>
      <c r="B53" s="961"/>
      <c r="C53" s="961"/>
      <c r="D53" s="961"/>
      <c r="E53" s="961"/>
      <c r="F53" s="961"/>
      <c r="G53" s="961"/>
      <c r="H53" s="961"/>
      <c r="I53" s="961"/>
    </row>
    <row r="54" spans="1:9" ht="13.5" customHeight="1">
      <c r="A54" s="960" t="s">
        <v>1095</v>
      </c>
      <c r="B54" s="961"/>
      <c r="C54" s="961"/>
      <c r="D54" s="961"/>
      <c r="E54" s="961"/>
      <c r="F54" s="961"/>
      <c r="G54" s="961"/>
      <c r="H54" s="961"/>
      <c r="I54" s="961"/>
    </row>
    <row r="55" spans="1:9" ht="12.75" customHeight="1">
      <c r="A55" s="960"/>
      <c r="B55" s="961"/>
      <c r="C55" s="961"/>
      <c r="D55" s="961"/>
      <c r="E55" s="961"/>
      <c r="F55" s="961"/>
      <c r="G55" s="961"/>
      <c r="H55" s="961"/>
      <c r="I55" s="961"/>
    </row>
    <row r="56" spans="1:9" ht="13.5" customHeight="1">
      <c r="A56" s="659" t="s">
        <v>1096</v>
      </c>
      <c r="B56" s="963"/>
      <c r="C56" s="963"/>
      <c r="D56" s="963"/>
      <c r="E56" s="963"/>
      <c r="F56" s="963"/>
      <c r="G56" s="963"/>
      <c r="H56" s="963"/>
      <c r="I56" s="963"/>
    </row>
    <row r="57" spans="1:9" ht="13.5" customHeight="1">
      <c r="A57" s="783" t="s">
        <v>1097</v>
      </c>
      <c r="B57" s="963"/>
      <c r="C57" s="963"/>
      <c r="D57" s="963"/>
      <c r="E57" s="963"/>
      <c r="F57" s="963"/>
      <c r="G57" s="963"/>
      <c r="H57" s="963"/>
      <c r="I57" s="963"/>
    </row>
    <row r="58" spans="1:9" ht="13.5" customHeight="1">
      <c r="A58" s="783" t="s">
        <v>1098</v>
      </c>
      <c r="B58" s="963"/>
      <c r="C58" s="963"/>
      <c r="D58" s="963"/>
      <c r="E58" s="963"/>
      <c r="F58" s="963"/>
      <c r="G58" s="963"/>
      <c r="H58" s="963"/>
      <c r="I58" s="963"/>
    </row>
    <row r="59" spans="1:9" ht="13.5" customHeight="1">
      <c r="A59" s="2" t="s">
        <v>1099</v>
      </c>
      <c r="B59" s="963"/>
      <c r="C59" s="963"/>
      <c r="D59" s="963"/>
      <c r="E59" s="963"/>
      <c r="F59" s="963"/>
      <c r="G59" s="963"/>
      <c r="H59" s="963"/>
      <c r="I59" s="963"/>
    </row>
    <row r="60" spans="1:9" ht="13.5" customHeight="1">
      <c r="A60" s="2" t="s">
        <v>1100</v>
      </c>
      <c r="B60" s="963"/>
      <c r="C60" s="963"/>
      <c r="D60" s="963"/>
      <c r="E60" s="963"/>
      <c r="F60" s="963"/>
      <c r="G60" s="963"/>
      <c r="H60" s="963"/>
      <c r="I60" s="963"/>
    </row>
    <row r="61" spans="1:9" ht="13.5" customHeight="1">
      <c r="A61" s="783" t="s">
        <v>1101</v>
      </c>
      <c r="B61" s="963"/>
      <c r="C61" s="963"/>
      <c r="D61" s="963"/>
      <c r="E61" s="963"/>
      <c r="F61" s="963"/>
      <c r="G61" s="963"/>
      <c r="H61" s="963"/>
      <c r="I61" s="963"/>
    </row>
    <row r="62" spans="1:9" ht="13.5" customHeight="1">
      <c r="A62" s="783" t="s">
        <v>1102</v>
      </c>
      <c r="B62" s="963"/>
      <c r="C62" s="963"/>
      <c r="D62" s="963"/>
      <c r="E62" s="963"/>
      <c r="F62" s="963"/>
      <c r="G62" s="963"/>
      <c r="H62" s="963"/>
      <c r="I62" s="963"/>
    </row>
    <row r="63" spans="1:9" ht="13.5" customHeight="1">
      <c r="A63" s="783" t="s">
        <v>1103</v>
      </c>
      <c r="B63" s="963"/>
      <c r="C63" s="963"/>
      <c r="D63" s="963"/>
      <c r="E63" s="963"/>
      <c r="F63" s="963"/>
      <c r="G63" s="963"/>
      <c r="H63" s="963"/>
      <c r="I63" s="963"/>
    </row>
    <row r="64" spans="1:9" ht="13.5" customHeight="1">
      <c r="A64" s="783" t="s">
        <v>1104</v>
      </c>
      <c r="B64" s="963"/>
      <c r="C64" s="963"/>
      <c r="D64" s="963"/>
      <c r="E64" s="963"/>
      <c r="F64" s="963"/>
      <c r="G64" s="963"/>
      <c r="H64" s="963"/>
      <c r="I64" s="963"/>
    </row>
    <row r="65" spans="1:11" ht="13.5" customHeight="1">
      <c r="A65" s="2" t="s">
        <v>1105</v>
      </c>
      <c r="B65" s="963"/>
      <c r="C65" s="963"/>
      <c r="D65" s="963"/>
      <c r="E65" s="963"/>
      <c r="F65" s="963"/>
      <c r="G65" s="963"/>
      <c r="H65" s="963"/>
      <c r="I65" s="963"/>
    </row>
    <row r="66" spans="1:11" ht="13.5" customHeight="1">
      <c r="A66" s="2" t="s">
        <v>1106</v>
      </c>
      <c r="B66" s="963"/>
      <c r="C66" s="963"/>
      <c r="D66" s="963"/>
      <c r="E66" s="963"/>
      <c r="F66" s="963"/>
      <c r="G66" s="963"/>
      <c r="H66" s="963"/>
      <c r="I66" s="963"/>
    </row>
    <row r="67" spans="1:11" ht="13.5" customHeight="1">
      <c r="A67" s="783" t="s">
        <v>1107</v>
      </c>
      <c r="B67" s="963"/>
      <c r="C67" s="963"/>
      <c r="D67" s="963"/>
      <c r="E67" s="963"/>
      <c r="F67" s="963"/>
      <c r="G67" s="963"/>
      <c r="H67" s="963"/>
      <c r="I67" s="963"/>
    </row>
    <row r="69" spans="1:11">
      <c r="A69" s="960" t="s">
        <v>1108</v>
      </c>
    </row>
    <row r="72" spans="1:11" ht="16">
      <c r="A72" s="207" t="s">
        <v>1955</v>
      </c>
      <c r="K72" s="160"/>
    </row>
  </sheetData>
  <phoneticPr fontId="0" type="noConversion"/>
  <pageMargins left="0.5" right="0.44" top="0.76" bottom="0.49" header="0.38" footer="0.4921259845"/>
  <pageSetup paperSize="9" scale="80" orientation="portrait" horizontalDpi="4294967292" verticalDpi="4294967292"/>
  <headerFooter alignWithMargins="0"/>
  <rowBreaks count="1" manualBreakCount="1">
    <brk id="69" max="16383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9855-187D-8A44-8851-FF62C884D4EC}">
  <sheetPr>
    <pageSetUpPr fitToPage="1"/>
  </sheetPr>
  <dimension ref="A1:K63"/>
  <sheetViews>
    <sheetView zoomScale="75" workbookViewId="0">
      <selection activeCell="A2" sqref="A2:H2"/>
    </sheetView>
  </sheetViews>
  <sheetFormatPr baseColWidth="10" defaultColWidth="11.3984375" defaultRowHeight="13"/>
  <cols>
    <col min="1" max="1" width="11.3984375" style="2"/>
    <col min="2" max="7" width="13.59765625" style="159" customWidth="1"/>
    <col min="8" max="9" width="13.59765625" style="2" customWidth="1"/>
    <col min="10" max="10" width="2.796875" style="2" customWidth="1"/>
    <col min="11" max="11" width="12.796875" style="2" customWidth="1"/>
    <col min="12" max="16384" width="11.3984375" style="2"/>
  </cols>
  <sheetData>
    <row r="1" spans="1:11" s="1" customFormat="1" ht="14" customHeight="1">
      <c r="A1" s="718"/>
      <c r="B1" s="946"/>
      <c r="C1" s="946"/>
      <c r="D1" s="946"/>
      <c r="E1" s="946"/>
      <c r="F1" s="946"/>
      <c r="G1" s="946"/>
    </row>
    <row r="2" spans="1:11" s="1" customFormat="1" ht="41.25" customHeight="1">
      <c r="A2" s="1716" t="s">
        <v>1991</v>
      </c>
      <c r="B2" s="1699"/>
      <c r="C2" s="1699"/>
      <c r="D2" s="1699"/>
      <c r="E2" s="1699"/>
      <c r="F2" s="1699"/>
      <c r="G2" s="1699"/>
      <c r="H2" s="1699"/>
      <c r="I2" s="662"/>
      <c r="J2" s="1064"/>
      <c r="K2" s="58">
        <v>2006</v>
      </c>
    </row>
    <row r="3" spans="1:11" ht="27" customHeight="1">
      <c r="A3" s="113" t="s">
        <v>758</v>
      </c>
      <c r="B3" s="1065" t="s">
        <v>2004</v>
      </c>
      <c r="C3" s="115"/>
      <c r="D3" s="114"/>
      <c r="E3" s="1066"/>
      <c r="F3" s="947" t="s">
        <v>2005</v>
      </c>
      <c r="G3" s="115"/>
      <c r="H3" s="1067"/>
      <c r="I3" s="16"/>
      <c r="J3" s="207"/>
    </row>
    <row r="4" spans="1:11" ht="20.25" customHeight="1">
      <c r="A4" s="248"/>
      <c r="B4" s="366" t="s">
        <v>1716</v>
      </c>
      <c r="C4" s="118" t="s">
        <v>44</v>
      </c>
      <c r="D4" s="117" t="s">
        <v>43</v>
      </c>
      <c r="E4" s="118" t="s">
        <v>1993</v>
      </c>
      <c r="F4" s="1069" t="s">
        <v>1951</v>
      </c>
      <c r="G4" s="907" t="s">
        <v>163</v>
      </c>
      <c r="H4" s="906" t="s">
        <v>163</v>
      </c>
      <c r="I4" s="907" t="s">
        <v>163</v>
      </c>
      <c r="J4" s="1070"/>
    </row>
    <row r="5" spans="1:11" ht="15" customHeight="1">
      <c r="A5" s="248"/>
      <c r="B5" s="366"/>
      <c r="C5" s="118"/>
      <c r="D5" s="117" t="s">
        <v>2350</v>
      </c>
      <c r="E5" s="118"/>
      <c r="F5" s="950"/>
      <c r="G5" s="907" t="s">
        <v>1995</v>
      </c>
      <c r="H5" s="906" t="s">
        <v>1996</v>
      </c>
      <c r="I5" s="907" t="s">
        <v>1997</v>
      </c>
      <c r="J5" s="1070"/>
    </row>
    <row r="6" spans="1:11" s="362" customFormat="1" ht="26.25" customHeight="1">
      <c r="A6" s="751"/>
      <c r="B6" s="366"/>
      <c r="C6" s="784"/>
      <c r="D6" s="366" t="s">
        <v>48</v>
      </c>
      <c r="E6" s="784"/>
      <c r="F6" s="1072"/>
      <c r="G6" s="784" t="s">
        <v>1999</v>
      </c>
      <c r="H6" s="123"/>
      <c r="I6" s="122"/>
      <c r="J6" s="458"/>
    </row>
    <row r="7" spans="1:11" ht="30" customHeight="1" thickBot="1">
      <c r="A7" s="952">
        <v>1996</v>
      </c>
      <c r="B7" s="953">
        <v>85.845027995215389</v>
      </c>
      <c r="C7" s="628" t="s">
        <v>1412</v>
      </c>
      <c r="D7" s="953" t="s">
        <v>1412</v>
      </c>
      <c r="E7" s="628" t="s">
        <v>1412</v>
      </c>
      <c r="F7" s="954" t="s">
        <v>1412</v>
      </c>
      <c r="G7" s="628" t="s">
        <v>1412</v>
      </c>
      <c r="H7" s="637" t="s">
        <v>1412</v>
      </c>
      <c r="I7" s="257" t="s">
        <v>1412</v>
      </c>
      <c r="J7" s="1012"/>
    </row>
    <row r="8" spans="1:11" ht="18" customHeight="1" thickBot="1">
      <c r="A8" s="368">
        <v>1997</v>
      </c>
      <c r="B8" s="953">
        <v>92.815135115864891</v>
      </c>
      <c r="C8" s="546">
        <v>92.444560110674317</v>
      </c>
      <c r="D8" s="638">
        <v>92.272278855639584</v>
      </c>
      <c r="E8" s="546">
        <v>94.708135081815001</v>
      </c>
      <c r="F8" s="954" t="s">
        <v>1412</v>
      </c>
      <c r="G8" s="628" t="s">
        <v>1412</v>
      </c>
      <c r="H8" s="637" t="s">
        <v>1412</v>
      </c>
      <c r="I8" s="257" t="s">
        <v>1412</v>
      </c>
      <c r="J8" s="1012"/>
    </row>
    <row r="9" spans="1:11" ht="18" customHeight="1" thickBot="1">
      <c r="A9" s="1074">
        <v>1998</v>
      </c>
      <c r="B9" s="953">
        <v>97.82364594098182</v>
      </c>
      <c r="C9" s="1075">
        <v>97.816191141488716</v>
      </c>
      <c r="D9" s="1076">
        <v>98.901550603293458</v>
      </c>
      <c r="E9" s="1075">
        <v>97.609376813276072</v>
      </c>
      <c r="F9" s="954" t="s">
        <v>1412</v>
      </c>
      <c r="G9" s="628" t="s">
        <v>1412</v>
      </c>
      <c r="H9" s="637" t="s">
        <v>1412</v>
      </c>
      <c r="I9" s="257" t="s">
        <v>1412</v>
      </c>
      <c r="J9" s="1012"/>
    </row>
    <row r="10" spans="1:11" ht="18" customHeight="1" thickBot="1">
      <c r="A10" s="368">
        <v>1999</v>
      </c>
      <c r="B10" s="953">
        <v>100</v>
      </c>
      <c r="C10" s="546">
        <v>100</v>
      </c>
      <c r="D10" s="638">
        <v>100</v>
      </c>
      <c r="E10" s="546">
        <v>100</v>
      </c>
      <c r="F10" s="955">
        <v>100</v>
      </c>
      <c r="G10" s="546">
        <v>100</v>
      </c>
      <c r="H10" s="638">
        <v>100</v>
      </c>
      <c r="I10" s="546">
        <v>100</v>
      </c>
      <c r="J10" s="1012"/>
    </row>
    <row r="11" spans="1:11" ht="18" customHeight="1" thickBot="1">
      <c r="A11" s="367">
        <v>2000</v>
      </c>
      <c r="B11" s="637">
        <v>103.20562026598945</v>
      </c>
      <c r="C11" s="257">
        <v>103.03441222531174</v>
      </c>
      <c r="D11" s="637">
        <v>99.091265525004431</v>
      </c>
      <c r="E11" s="257">
        <v>103.07365838293074</v>
      </c>
      <c r="F11" s="1077">
        <v>106.4</v>
      </c>
      <c r="G11" s="257">
        <v>104.3</v>
      </c>
      <c r="H11" s="637">
        <v>107.5</v>
      </c>
      <c r="I11" s="257">
        <v>106.7</v>
      </c>
      <c r="J11" s="1012"/>
    </row>
    <row r="12" spans="1:11" ht="18" customHeight="1" thickBot="1">
      <c r="A12" s="368">
        <v>2001</v>
      </c>
      <c r="B12" s="638">
        <v>106.94335020000455</v>
      </c>
      <c r="C12" s="546">
        <v>107.41253121846763</v>
      </c>
      <c r="D12" s="638">
        <v>99.966483697164392</v>
      </c>
      <c r="E12" s="546">
        <v>108.20305376415389</v>
      </c>
      <c r="F12" s="955">
        <v>111.1</v>
      </c>
      <c r="G12" s="546">
        <v>107.5</v>
      </c>
      <c r="H12" s="638">
        <v>112.5</v>
      </c>
      <c r="I12" s="546">
        <v>112.5</v>
      </c>
      <c r="J12" s="1012"/>
    </row>
    <row r="13" spans="1:11" ht="18" customHeight="1" thickBot="1">
      <c r="A13" s="1074">
        <v>2002</v>
      </c>
      <c r="B13" s="1076">
        <v>116.62017344016445</v>
      </c>
      <c r="C13" s="1075">
        <v>116.60890964793332</v>
      </c>
      <c r="D13" s="1076">
        <v>112.72607694837224</v>
      </c>
      <c r="E13" s="1075">
        <v>118.09048558497321</v>
      </c>
      <c r="F13" s="1078">
        <v>115.4</v>
      </c>
      <c r="G13" s="1075">
        <v>107.9</v>
      </c>
      <c r="H13" s="1076">
        <v>117.5</v>
      </c>
      <c r="I13" s="1075">
        <v>119.3</v>
      </c>
      <c r="J13" s="1012"/>
    </row>
    <row r="14" spans="1:11" ht="18" customHeight="1" thickBot="1">
      <c r="A14" s="1074">
        <v>2003</v>
      </c>
      <c r="B14" s="1076">
        <v>127.26432081149086</v>
      </c>
      <c r="C14" s="1075">
        <v>126.36094255801954</v>
      </c>
      <c r="D14" s="1076">
        <v>128.18468115245491</v>
      </c>
      <c r="E14" s="1075">
        <v>128.50511447470944</v>
      </c>
      <c r="F14" s="1078">
        <v>116.38</v>
      </c>
      <c r="G14" s="1075">
        <v>110</v>
      </c>
      <c r="H14" s="1076">
        <v>117.9</v>
      </c>
      <c r="I14" s="1075">
        <v>120.1</v>
      </c>
      <c r="J14" s="1012"/>
    </row>
    <row r="15" spans="1:11" ht="15.75" customHeight="1" thickBot="1">
      <c r="A15" s="1074">
        <v>2004</v>
      </c>
      <c r="B15" s="1076">
        <v>136.21209815526825</v>
      </c>
      <c r="C15" s="1075">
        <v>134.46062249738608</v>
      </c>
      <c r="D15" s="1076">
        <v>140.98790883565627</v>
      </c>
      <c r="E15" s="1075">
        <v>134.59274855352376</v>
      </c>
      <c r="F15" s="1078">
        <v>117.9</v>
      </c>
      <c r="G15" s="1075">
        <v>113.3</v>
      </c>
      <c r="H15" s="1076">
        <v>118.6</v>
      </c>
      <c r="I15" s="1075">
        <v>121.2</v>
      </c>
      <c r="J15" s="1012"/>
    </row>
    <row r="16" spans="1:11" s="151" customFormat="1" ht="19.5" customHeight="1" thickBot="1">
      <c r="A16" s="1074">
        <v>2005</v>
      </c>
      <c r="B16" s="1076">
        <v>138.755283887497</v>
      </c>
      <c r="C16" s="1075">
        <v>137.01928125613529</v>
      </c>
      <c r="D16" s="1076">
        <v>145.19388864998862</v>
      </c>
      <c r="E16" s="1075">
        <v>134.35401780533496</v>
      </c>
      <c r="F16" s="1078">
        <v>118.91</v>
      </c>
      <c r="G16" s="1075">
        <v>114.2</v>
      </c>
      <c r="H16" s="1076">
        <v>119.4</v>
      </c>
      <c r="I16" s="1075">
        <v>122.7</v>
      </c>
      <c r="J16" s="1012"/>
    </row>
    <row r="17" spans="1:11" s="151" customFormat="1" ht="19.5" customHeight="1" thickBot="1">
      <c r="A17" s="1080">
        <v>2006</v>
      </c>
      <c r="B17" s="1081">
        <v>144.06903358290245</v>
      </c>
      <c r="C17" s="1082">
        <v>142.457115984312</v>
      </c>
      <c r="D17" s="1081">
        <v>151.60878253610909</v>
      </c>
      <c r="E17" s="1082">
        <v>137.84213929276015</v>
      </c>
      <c r="F17" s="1083">
        <v>122.4</v>
      </c>
      <c r="G17" s="1082">
        <v>113.4</v>
      </c>
      <c r="H17" s="1081">
        <v>123.8</v>
      </c>
      <c r="I17" s="1082">
        <v>128.5</v>
      </c>
      <c r="J17" s="1084"/>
    </row>
    <row r="18" spans="1:11" s="390" customFormat="1" ht="18.75" customHeight="1" thickBot="1">
      <c r="A18" s="1086">
        <v>2007</v>
      </c>
      <c r="B18" s="1087" t="s">
        <v>1412</v>
      </c>
      <c r="C18" s="1088" t="s">
        <v>1412</v>
      </c>
      <c r="D18" s="1089" t="s">
        <v>1412</v>
      </c>
      <c r="E18" s="1088" t="s">
        <v>1412</v>
      </c>
      <c r="F18" s="1090">
        <v>123</v>
      </c>
      <c r="G18" s="1088">
        <v>113.3</v>
      </c>
      <c r="H18" s="1089">
        <v>124.8</v>
      </c>
      <c r="I18" s="1088">
        <v>128.80000000000001</v>
      </c>
      <c r="J18" s="1091"/>
    </row>
    <row r="19" spans="1:11" ht="18" customHeight="1">
      <c r="A19" s="1054"/>
      <c r="B19" s="1012"/>
      <c r="C19" s="460"/>
      <c r="D19" s="1012"/>
      <c r="E19" s="460"/>
      <c r="F19" s="1012"/>
      <c r="G19" s="460"/>
      <c r="H19" s="1012"/>
      <c r="I19" s="460"/>
      <c r="J19" s="206"/>
    </row>
    <row r="20" spans="1:11" ht="18" customHeight="1">
      <c r="A20" s="1054"/>
      <c r="B20" s="1012"/>
      <c r="C20" s="460"/>
      <c r="D20" s="1012"/>
      <c r="E20" s="460"/>
      <c r="F20" s="1012"/>
      <c r="G20" s="460"/>
      <c r="H20" s="1012"/>
      <c r="I20" s="460"/>
      <c r="J20" s="206"/>
    </row>
    <row r="21" spans="1:11" ht="18" customHeight="1">
      <c r="A21" s="1092" t="s">
        <v>2000</v>
      </c>
      <c r="B21" s="1012"/>
      <c r="C21" s="460"/>
      <c r="D21" s="1012"/>
      <c r="E21" s="460"/>
      <c r="F21" s="1012"/>
      <c r="G21" s="460"/>
      <c r="H21" s="1012"/>
      <c r="I21" s="460"/>
      <c r="J21" s="206"/>
    </row>
    <row r="22" spans="1:11" ht="12.75" customHeight="1">
      <c r="A22" s="1093"/>
      <c r="B22" s="1094"/>
      <c r="C22" s="1095"/>
      <c r="D22" s="1094"/>
      <c r="E22" s="1095"/>
      <c r="F22" s="1094"/>
      <c r="G22" s="1095"/>
      <c r="H22" s="1094"/>
      <c r="I22" s="1095"/>
      <c r="J22" s="206"/>
      <c r="K22" s="671"/>
    </row>
    <row r="23" spans="1:11" ht="27" customHeight="1">
      <c r="A23" s="113" t="s">
        <v>758</v>
      </c>
      <c r="B23" s="1065" t="s">
        <v>2004</v>
      </c>
      <c r="C23" s="115"/>
      <c r="D23" s="114"/>
      <c r="E23" s="1066"/>
      <c r="F23" s="947" t="s">
        <v>2005</v>
      </c>
      <c r="G23" s="115"/>
      <c r="H23" s="1067"/>
      <c r="I23" s="16"/>
      <c r="J23" s="206"/>
      <c r="K23" s="1068" t="s">
        <v>1992</v>
      </c>
    </row>
    <row r="24" spans="1:11" ht="20.25" customHeight="1">
      <c r="A24" s="248"/>
      <c r="B24" s="366" t="s">
        <v>1716</v>
      </c>
      <c r="C24" s="118" t="s">
        <v>44</v>
      </c>
      <c r="D24" s="117" t="s">
        <v>43</v>
      </c>
      <c r="E24" s="118" t="s">
        <v>1993</v>
      </c>
      <c r="F24" s="1069" t="s">
        <v>1951</v>
      </c>
      <c r="G24" s="907" t="s">
        <v>163</v>
      </c>
      <c r="H24" s="906" t="s">
        <v>163</v>
      </c>
      <c r="I24" s="907" t="s">
        <v>163</v>
      </c>
      <c r="J24" s="206"/>
      <c r="K24" s="1071" t="s">
        <v>1994</v>
      </c>
    </row>
    <row r="25" spans="1:11" ht="15" customHeight="1">
      <c r="A25" s="248"/>
      <c r="B25" s="366"/>
      <c r="C25" s="118"/>
      <c r="D25" s="117" t="s">
        <v>2350</v>
      </c>
      <c r="E25" s="118"/>
      <c r="F25" s="950"/>
      <c r="G25" s="907" t="s">
        <v>1995</v>
      </c>
      <c r="H25" s="906" t="s">
        <v>1996</v>
      </c>
      <c r="I25" s="907" t="s">
        <v>1997</v>
      </c>
      <c r="J25" s="206"/>
      <c r="K25" s="1071" t="s">
        <v>1998</v>
      </c>
    </row>
    <row r="26" spans="1:11" s="362" customFormat="1" ht="26.25" customHeight="1">
      <c r="A26" s="249"/>
      <c r="B26" s="123"/>
      <c r="C26" s="122"/>
      <c r="D26" s="123" t="s">
        <v>48</v>
      </c>
      <c r="E26" s="122"/>
      <c r="F26" s="951"/>
      <c r="G26" s="122" t="s">
        <v>1999</v>
      </c>
      <c r="H26" s="123"/>
      <c r="I26" s="122"/>
      <c r="J26" s="206"/>
      <c r="K26" s="1073" t="s">
        <v>2006</v>
      </c>
    </row>
    <row r="27" spans="1:11" ht="26.25" customHeight="1" thickBot="1">
      <c r="A27" s="367">
        <v>1997</v>
      </c>
      <c r="B27" s="459">
        <v>8.1194068933590158E-2</v>
      </c>
      <c r="C27" s="146" t="s">
        <v>1412</v>
      </c>
      <c r="D27" s="459" t="s">
        <v>1412</v>
      </c>
      <c r="E27" s="146" t="s">
        <v>1412</v>
      </c>
      <c r="F27" s="1096" t="s">
        <v>1412</v>
      </c>
      <c r="G27" s="146" t="s">
        <v>1412</v>
      </c>
      <c r="H27" s="459" t="s">
        <v>1412</v>
      </c>
      <c r="I27" s="146" t="s">
        <v>1412</v>
      </c>
      <c r="J27" s="206"/>
      <c r="K27" s="637" t="s">
        <v>1412</v>
      </c>
    </row>
    <row r="28" spans="1:11" ht="18" customHeight="1" thickBot="1">
      <c r="A28" s="368">
        <v>1998</v>
      </c>
      <c r="B28" s="459">
        <v>5.3962220912188608E-2</v>
      </c>
      <c r="C28" s="148">
        <v>5.8106512967161184E-2</v>
      </c>
      <c r="D28" s="461">
        <v>7.1844673501836986E-2</v>
      </c>
      <c r="E28" s="148">
        <v>3.0633500796471091E-2</v>
      </c>
      <c r="F28" s="1096" t="s">
        <v>1412</v>
      </c>
      <c r="G28" s="146" t="s">
        <v>1412</v>
      </c>
      <c r="H28" s="459" t="s">
        <v>1412</v>
      </c>
      <c r="I28" s="146" t="s">
        <v>1412</v>
      </c>
      <c r="J28" s="206"/>
      <c r="K28" s="637" t="s">
        <v>1412</v>
      </c>
    </row>
    <row r="29" spans="1:11" ht="18" customHeight="1" thickBot="1">
      <c r="A29" s="367">
        <v>1999</v>
      </c>
      <c r="B29" s="459">
        <v>2.2247729964299134E-2</v>
      </c>
      <c r="C29" s="148">
        <v>2.2325637842026236E-2</v>
      </c>
      <c r="D29" s="461">
        <v>1.1106493174334098E-2</v>
      </c>
      <c r="E29" s="148">
        <v>2.4491737011057113E-2</v>
      </c>
      <c r="F29" s="1096" t="s">
        <v>1412</v>
      </c>
      <c r="G29" s="146" t="s">
        <v>1412</v>
      </c>
      <c r="H29" s="459" t="s">
        <v>1412</v>
      </c>
      <c r="I29" s="146" t="s">
        <v>1412</v>
      </c>
      <c r="J29" s="206"/>
      <c r="K29" s="638" t="s">
        <v>1412</v>
      </c>
    </row>
    <row r="30" spans="1:11" ht="18" customHeight="1" thickBot="1">
      <c r="A30" s="368">
        <v>2000</v>
      </c>
      <c r="B30" s="459">
        <v>3.2056202659894506E-2</v>
      </c>
      <c r="C30" s="148">
        <v>3.0344122253117334E-2</v>
      </c>
      <c r="D30" s="461">
        <v>-9.0873447499556503E-3</v>
      </c>
      <c r="E30" s="148">
        <v>3.073658382930744E-2</v>
      </c>
      <c r="F30" s="1097">
        <v>6.4000000000000001E-2</v>
      </c>
      <c r="G30" s="148">
        <v>4.2999999999999997E-2</v>
      </c>
      <c r="H30" s="461">
        <v>7.4999999999999997E-2</v>
      </c>
      <c r="I30" s="148">
        <v>6.7000000000000004E-2</v>
      </c>
      <c r="J30" s="206"/>
      <c r="K30" s="459">
        <v>-3.0000000000000001E-3</v>
      </c>
    </row>
    <row r="31" spans="1:11" ht="18" customHeight="1" thickBot="1">
      <c r="A31" s="367">
        <v>2001</v>
      </c>
      <c r="B31" s="459">
        <v>3.6216340974279504E-2</v>
      </c>
      <c r="C31" s="148">
        <v>4.2491813158326064E-2</v>
      </c>
      <c r="D31" s="461">
        <v>8.8324451960815065E-3</v>
      </c>
      <c r="E31" s="148">
        <v>4.9764367169028212E-2</v>
      </c>
      <c r="F31" s="1097">
        <v>4.4000000000000004E-2</v>
      </c>
      <c r="G31" s="148">
        <v>0.03</v>
      </c>
      <c r="H31" s="461">
        <v>4.7E-2</v>
      </c>
      <c r="I31" s="148">
        <v>5.5E-2</v>
      </c>
      <c r="J31" s="206"/>
      <c r="K31" s="461">
        <v>-4.0000000000000001E-3</v>
      </c>
    </row>
    <row r="32" spans="1:11" ht="18" customHeight="1" thickBot="1">
      <c r="A32" s="368">
        <v>2002</v>
      </c>
      <c r="B32" s="459">
        <v>9.0485506785250358E-2</v>
      </c>
      <c r="C32" s="148">
        <v>8.5617370013942429E-2</v>
      </c>
      <c r="D32" s="461">
        <v>0.12763871228942492</v>
      </c>
      <c r="E32" s="148">
        <v>9.1378491427520858E-2</v>
      </c>
      <c r="F32" s="1097">
        <v>3.9E-2</v>
      </c>
      <c r="G32" s="148">
        <v>4.0000000000000001E-3</v>
      </c>
      <c r="H32" s="461">
        <v>4.4000000000000004E-2</v>
      </c>
      <c r="I32" s="148">
        <v>0.06</v>
      </c>
      <c r="J32" s="206"/>
      <c r="K32" s="1079">
        <v>-5.0000000000000001E-3</v>
      </c>
    </row>
    <row r="33" spans="1:11" ht="18" customHeight="1" thickBot="1">
      <c r="A33" s="368">
        <v>2003</v>
      </c>
      <c r="B33" s="459">
        <v>9.1271921978299142E-2</v>
      </c>
      <c r="C33" s="148">
        <v>8.3630255522752606E-2</v>
      </c>
      <c r="D33" s="461">
        <v>0.13713423391078017</v>
      </c>
      <c r="E33" s="148">
        <v>8.8191938903005695E-2</v>
      </c>
      <c r="F33" s="1097">
        <v>8.492201039861369E-3</v>
      </c>
      <c r="G33" s="148">
        <v>1.9462465245597693E-2</v>
      </c>
      <c r="H33" s="461">
        <v>3.4042553191488967E-3</v>
      </c>
      <c r="I33" s="148">
        <v>6.7057837384743024E-3</v>
      </c>
      <c r="J33" s="206"/>
      <c r="K33" s="1079">
        <v>-5.0000000000000001E-3</v>
      </c>
    </row>
    <row r="34" spans="1:11" ht="18" customHeight="1" thickBot="1">
      <c r="A34" s="1074">
        <v>2004</v>
      </c>
      <c r="B34" s="459">
        <v>7.0308608781491921E-2</v>
      </c>
      <c r="C34" s="148">
        <v>6.4099553037502144E-2</v>
      </c>
      <c r="D34" s="461">
        <v>9.9881105667954051E-2</v>
      </c>
      <c r="E34" s="148">
        <v>4.7372698773109123E-2</v>
      </c>
      <c r="F34" s="1097">
        <v>1.3060663344217405E-2</v>
      </c>
      <c r="G34" s="148">
        <v>0.03</v>
      </c>
      <c r="H34" s="461">
        <v>5.9372349448685302E-3</v>
      </c>
      <c r="I34" s="148">
        <v>9.1590341382181695E-3</v>
      </c>
      <c r="J34" s="1098"/>
      <c r="K34" s="1079">
        <v>-4.0000000000000001E-3</v>
      </c>
    </row>
    <row r="35" spans="1:11" ht="18" customHeight="1" thickBot="1">
      <c r="A35" s="1074">
        <v>2005</v>
      </c>
      <c r="B35" s="459">
        <v>1.8670777167897112E-2</v>
      </c>
      <c r="C35" s="148">
        <v>1.9029056323154769E-2</v>
      </c>
      <c r="D35" s="461">
        <v>2.9832202272288999E-2</v>
      </c>
      <c r="E35" s="148">
        <v>-1.773726673646614E-3</v>
      </c>
      <c r="F35" s="1097">
        <v>8.5665818490245904E-3</v>
      </c>
      <c r="G35" s="148">
        <v>7.9435127978817466E-3</v>
      </c>
      <c r="H35" s="461">
        <v>6.7453625632378778E-3</v>
      </c>
      <c r="I35" s="148">
        <v>1.2376237623762387E-2</v>
      </c>
      <c r="J35" s="206"/>
      <c r="K35" s="1079">
        <v>-2E-3</v>
      </c>
    </row>
    <row r="36" spans="1:11" ht="18" customHeight="1" thickBot="1">
      <c r="A36" s="1080">
        <v>2006</v>
      </c>
      <c r="B36" s="1099">
        <v>3.8295836717208154E-2</v>
      </c>
      <c r="C36" s="254">
        <v>3.9686638831593068E-2</v>
      </c>
      <c r="D36" s="1023">
        <v>4.4181569525866937E-2</v>
      </c>
      <c r="E36" s="254">
        <v>2.5962167298034355E-2</v>
      </c>
      <c r="F36" s="1100">
        <v>2.9349928517366175E-2</v>
      </c>
      <c r="G36" s="254">
        <v>-7.0052539404553693E-3</v>
      </c>
      <c r="H36" s="1023">
        <v>3.6850921273031689E-2</v>
      </c>
      <c r="I36" s="254">
        <v>4.7269763651181629E-2</v>
      </c>
      <c r="J36" s="206"/>
      <c r="K36" s="1085">
        <v>-3.0000000000000001E-3</v>
      </c>
    </row>
    <row r="37" spans="1:11" s="390" customFormat="1" ht="21" customHeight="1" thickBot="1">
      <c r="A37" s="1086" t="s">
        <v>2007</v>
      </c>
      <c r="B37" s="1101">
        <v>0.01</v>
      </c>
      <c r="C37" s="785" t="s">
        <v>1412</v>
      </c>
      <c r="D37" s="786" t="s">
        <v>1412</v>
      </c>
      <c r="E37" s="785" t="s">
        <v>1412</v>
      </c>
      <c r="F37" s="1102">
        <v>4.9019607843137081E-3</v>
      </c>
      <c r="G37" s="785">
        <v>-8.8183421516763172E-4</v>
      </c>
      <c r="H37" s="646">
        <v>8.0775444264944429E-3</v>
      </c>
      <c r="I37" s="760">
        <v>2.3346303501945442E-3</v>
      </c>
      <c r="J37" s="1103"/>
      <c r="K37" s="646">
        <v>0</v>
      </c>
    </row>
    <row r="38" spans="1:11" ht="17.25" customHeight="1">
      <c r="A38" s="1018" t="s">
        <v>627</v>
      </c>
      <c r="B38" s="1019"/>
      <c r="C38" s="1019"/>
      <c r="D38" s="1019"/>
      <c r="E38" s="1019"/>
      <c r="F38" s="1019"/>
      <c r="G38" s="1019"/>
    </row>
    <row r="39" spans="1:11" ht="12" customHeight="1">
      <c r="A39" s="1011"/>
      <c r="B39" s="1012"/>
      <c r="C39" s="1012"/>
      <c r="D39" s="1012"/>
      <c r="E39" s="1012"/>
      <c r="F39" s="1012"/>
      <c r="G39" s="1012"/>
    </row>
    <row r="40" spans="1:11" ht="14.25" customHeight="1">
      <c r="A40" s="1011" t="s">
        <v>2001</v>
      </c>
      <c r="B40" s="1012"/>
      <c r="C40" s="1012"/>
      <c r="D40" s="1012"/>
      <c r="E40" s="1012"/>
      <c r="F40" s="1012"/>
      <c r="G40" s="1012"/>
    </row>
    <row r="41" spans="1:11" ht="15" customHeight="1">
      <c r="A41" s="1104" t="s">
        <v>2002</v>
      </c>
      <c r="B41"/>
      <c r="C41"/>
      <c r="D41"/>
      <c r="E41"/>
      <c r="F41"/>
      <c r="G41"/>
      <c r="I41" s="207"/>
    </row>
    <row r="42" spans="1:11" ht="15.75" customHeight="1">
      <c r="A42" s="4" t="s">
        <v>2008</v>
      </c>
      <c r="B42" s="1013"/>
      <c r="C42" s="1013"/>
      <c r="D42" s="1013"/>
      <c r="E42" s="1013"/>
      <c r="F42" s="1013"/>
      <c r="G42" s="1013"/>
      <c r="I42" s="843"/>
    </row>
    <row r="43" spans="1:11" ht="15.75" customHeight="1">
      <c r="A43" s="4" t="s">
        <v>2009</v>
      </c>
      <c r="B43" s="1013"/>
      <c r="C43" s="1013"/>
      <c r="D43" s="1013"/>
      <c r="E43" s="1013"/>
      <c r="F43" s="1013"/>
      <c r="G43" s="1013"/>
      <c r="I43" s="843"/>
    </row>
    <row r="44" spans="1:11" ht="15" customHeight="1">
      <c r="A44" s="1011" t="s">
        <v>2003</v>
      </c>
      <c r="B44" s="1013"/>
      <c r="C44" s="1013"/>
      <c r="D44" s="1013"/>
      <c r="E44" s="1013"/>
      <c r="F44" s="1013"/>
      <c r="G44" s="1013"/>
    </row>
    <row r="45" spans="1:11" ht="15" customHeight="1">
      <c r="A45" s="1011" t="s">
        <v>2010</v>
      </c>
      <c r="B45" s="1013"/>
      <c r="C45" s="1013"/>
      <c r="D45" s="1013"/>
      <c r="E45" s="1013"/>
      <c r="F45" s="1013"/>
      <c r="G45" s="1013"/>
    </row>
    <row r="46" spans="1:11" ht="15.75" customHeight="1">
      <c r="A46" s="4"/>
      <c r="B46" s="1013"/>
      <c r="C46" s="1013"/>
      <c r="D46" s="1013"/>
      <c r="E46" s="1013"/>
      <c r="F46" s="1013"/>
      <c r="G46" s="1013"/>
      <c r="I46" s="207"/>
    </row>
    <row r="47" spans="1:11" ht="15" customHeight="1">
      <c r="A47" s="1011"/>
      <c r="B47" s="1013"/>
      <c r="C47" s="1013"/>
      <c r="D47" s="1013"/>
      <c r="E47" s="1013"/>
      <c r="F47" s="1013"/>
      <c r="G47" s="1013"/>
    </row>
    <row r="48" spans="1:11" ht="16.5" customHeight="1">
      <c r="A48" s="4" t="s">
        <v>1955</v>
      </c>
      <c r="B48" s="1013"/>
      <c r="C48" s="1013"/>
      <c r="D48" s="1013"/>
      <c r="E48" s="1013"/>
      <c r="F48" s="1013"/>
      <c r="G48" s="1013"/>
    </row>
    <row r="49" spans="1:7" ht="31" customHeight="1">
      <c r="A49" s="4"/>
      <c r="B49" s="1013"/>
      <c r="C49" s="1013"/>
      <c r="D49" s="1013"/>
      <c r="E49" s="1013"/>
      <c r="F49" s="1013"/>
      <c r="G49" s="1013"/>
    </row>
    <row r="50" spans="1:7" ht="31" customHeight="1">
      <c r="A50" s="4"/>
      <c r="B50" s="1013"/>
      <c r="C50" s="1013"/>
      <c r="D50" s="1013"/>
      <c r="E50" s="1013"/>
      <c r="F50" s="1013"/>
      <c r="G50" s="1013"/>
    </row>
    <row r="51" spans="1:7">
      <c r="A51" s="4"/>
      <c r="B51" s="1013"/>
      <c r="C51" s="1013"/>
      <c r="D51" s="1013"/>
      <c r="E51" s="1013"/>
      <c r="F51" s="1013"/>
      <c r="G51" s="1013"/>
    </row>
    <row r="52" spans="1:7">
      <c r="A52" s="4"/>
      <c r="B52" s="1013"/>
      <c r="C52" s="1013"/>
      <c r="D52" s="1013"/>
      <c r="E52" s="1013"/>
      <c r="F52" s="1013"/>
      <c r="G52" s="1013"/>
    </row>
    <row r="53" spans="1:7">
      <c r="A53" s="4"/>
      <c r="B53" s="1013"/>
      <c r="C53" s="1013"/>
      <c r="D53" s="1013"/>
      <c r="E53" s="1013"/>
      <c r="F53" s="1013"/>
      <c r="G53" s="1013"/>
    </row>
    <row r="54" spans="1:7">
      <c r="A54" s="4"/>
      <c r="B54" s="1013"/>
      <c r="C54" s="1013"/>
      <c r="D54" s="1013"/>
      <c r="E54" s="1013"/>
      <c r="F54" s="1013"/>
      <c r="G54" s="1013"/>
    </row>
    <row r="55" spans="1:7">
      <c r="A55" s="4"/>
      <c r="B55" s="1013"/>
      <c r="C55" s="1013"/>
      <c r="D55" s="1013"/>
      <c r="E55" s="1013"/>
      <c r="F55" s="1013"/>
      <c r="G55" s="1013"/>
    </row>
    <row r="56" spans="1:7">
      <c r="A56" s="4"/>
      <c r="B56" s="1013"/>
      <c r="C56" s="1013"/>
      <c r="D56" s="1013"/>
      <c r="E56" s="1013"/>
      <c r="F56" s="1013"/>
      <c r="G56" s="1013"/>
    </row>
    <row r="57" spans="1:7">
      <c r="A57" s="4"/>
      <c r="B57" s="1013"/>
      <c r="C57" s="1013"/>
      <c r="D57" s="1013"/>
      <c r="E57" s="1013"/>
      <c r="F57" s="1013"/>
      <c r="G57" s="1013"/>
    </row>
    <row r="58" spans="1:7">
      <c r="A58" s="4"/>
      <c r="B58" s="1013"/>
      <c r="C58" s="1013"/>
      <c r="D58" s="1013"/>
      <c r="E58" s="1013"/>
      <c r="F58" s="1013"/>
      <c r="G58" s="1013"/>
    </row>
    <row r="59" spans="1:7">
      <c r="A59" s="4"/>
      <c r="B59" s="1013"/>
      <c r="C59" s="1013"/>
      <c r="D59" s="1013"/>
      <c r="E59" s="1013"/>
      <c r="F59" s="1013"/>
      <c r="G59" s="1013"/>
    </row>
    <row r="60" spans="1:7">
      <c r="A60" s="4"/>
      <c r="B60" s="1013"/>
      <c r="C60" s="1013"/>
      <c r="D60" s="1013"/>
      <c r="E60" s="1013"/>
      <c r="F60" s="1013"/>
      <c r="G60" s="1013"/>
    </row>
    <row r="61" spans="1:7">
      <c r="A61" s="4"/>
      <c r="B61" s="1013"/>
      <c r="C61" s="1013"/>
      <c r="D61" s="1013"/>
      <c r="E61" s="1013"/>
      <c r="F61" s="1013"/>
      <c r="G61" s="1013"/>
    </row>
    <row r="62" spans="1:7">
      <c r="A62" s="4"/>
      <c r="B62" s="1013"/>
      <c r="C62" s="1013"/>
      <c r="D62" s="1013"/>
      <c r="E62" s="1013"/>
      <c r="F62" s="1013"/>
      <c r="G62" s="1013"/>
    </row>
    <row r="63" spans="1:7">
      <c r="A63" s="4"/>
      <c r="B63" s="1013"/>
      <c r="C63" s="1013"/>
      <c r="D63" s="1013"/>
      <c r="E63" s="1013"/>
      <c r="F63" s="1013"/>
      <c r="G63" s="1013"/>
    </row>
  </sheetData>
  <mergeCells count="1">
    <mergeCell ref="A2:H2"/>
  </mergeCells>
  <phoneticPr fontId="0" type="noConversion"/>
  <pageMargins left="0.46" right="0.44" top="0.67" bottom="0.68" header="0.41" footer="0.33"/>
  <pageSetup paperSize="9" scale="70" orientation="portrait" horizontalDpi="4294967292" verticalDpi="4294967292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B4E8-FD90-E34C-B292-3917B511A518}">
  <sheetPr>
    <pageSetUpPr fitToPage="1"/>
  </sheetPr>
  <dimension ref="A1:O45"/>
  <sheetViews>
    <sheetView topLeftCell="A19" zoomScale="75" workbookViewId="0">
      <selection activeCell="A34" sqref="A34"/>
    </sheetView>
  </sheetViews>
  <sheetFormatPr baseColWidth="10" defaultColWidth="11.3984375" defaultRowHeight="13"/>
  <cols>
    <col min="1" max="1" width="17.19921875" style="2" customWidth="1"/>
    <col min="2" max="2" width="13.3984375" style="159" customWidth="1"/>
    <col min="3" max="3" width="13" style="159" customWidth="1"/>
    <col min="4" max="4" width="14.796875" style="159" customWidth="1"/>
    <col min="5" max="5" width="13.19921875" style="159" customWidth="1"/>
    <col min="6" max="6" width="15" style="159" customWidth="1"/>
    <col min="7" max="7" width="12.796875" style="159" customWidth="1"/>
    <col min="8" max="8" width="13.19921875" style="159" customWidth="1"/>
    <col min="9" max="10" width="13" style="159" customWidth="1"/>
    <col min="11" max="11" width="13.19921875" style="159" customWidth="1"/>
    <col min="12" max="12" width="12.796875" style="2" customWidth="1"/>
    <col min="13" max="13" width="14" style="2" customWidth="1"/>
    <col min="14" max="16384" width="11.3984375" style="2"/>
  </cols>
  <sheetData>
    <row r="1" spans="1:15" s="1" customFormat="1" ht="14" customHeight="1">
      <c r="A1" s="718"/>
      <c r="B1" s="946"/>
      <c r="C1" s="946"/>
      <c r="D1" s="946"/>
      <c r="E1" s="946"/>
      <c r="F1" s="946"/>
      <c r="G1" s="946"/>
      <c r="H1" s="946"/>
      <c r="I1" s="946"/>
      <c r="J1" s="946"/>
      <c r="K1" s="946"/>
    </row>
    <row r="2" spans="1:15" s="1" customFormat="1" ht="27" customHeight="1">
      <c r="A2" s="964" t="s">
        <v>1964</v>
      </c>
      <c r="B2" s="662"/>
      <c r="C2" s="662"/>
      <c r="D2" s="662"/>
      <c r="E2" s="662"/>
      <c r="F2" s="662"/>
      <c r="G2" s="662"/>
      <c r="H2" s="662"/>
      <c r="I2" s="662"/>
      <c r="J2" s="662"/>
      <c r="K2" s="265"/>
      <c r="M2" s="265">
        <v>2006</v>
      </c>
    </row>
    <row r="3" spans="1:15" ht="27" customHeight="1">
      <c r="A3" s="113" t="s">
        <v>758</v>
      </c>
      <c r="B3" s="114" t="s">
        <v>1965</v>
      </c>
      <c r="C3" s="115" t="s">
        <v>2400</v>
      </c>
      <c r="D3" s="114" t="s">
        <v>1966</v>
      </c>
      <c r="E3" s="115" t="s">
        <v>2400</v>
      </c>
      <c r="F3" s="114" t="s">
        <v>1967</v>
      </c>
      <c r="G3" s="115" t="s">
        <v>2400</v>
      </c>
      <c r="H3" s="114" t="s">
        <v>1968</v>
      </c>
      <c r="I3" s="115" t="s">
        <v>2400</v>
      </c>
      <c r="J3" s="114" t="s">
        <v>528</v>
      </c>
      <c r="K3" s="115" t="s">
        <v>2400</v>
      </c>
      <c r="L3" s="114" t="s">
        <v>1969</v>
      </c>
      <c r="M3" s="115" t="s">
        <v>2400</v>
      </c>
    </row>
    <row r="4" spans="1:15" ht="15" customHeight="1">
      <c r="A4" s="248"/>
      <c r="B4" s="366" t="s">
        <v>1970</v>
      </c>
      <c r="C4" s="784" t="s">
        <v>2313</v>
      </c>
      <c r="D4" s="366" t="s">
        <v>1971</v>
      </c>
      <c r="E4" s="784" t="s">
        <v>2313</v>
      </c>
      <c r="F4" s="366" t="s">
        <v>1972</v>
      </c>
      <c r="G4" s="784" t="s">
        <v>2313</v>
      </c>
      <c r="H4" s="366" t="s">
        <v>1008</v>
      </c>
      <c r="I4" s="784" t="s">
        <v>2313</v>
      </c>
      <c r="J4" s="366" t="s">
        <v>544</v>
      </c>
      <c r="K4" s="784" t="s">
        <v>2313</v>
      </c>
      <c r="L4" s="117" t="s">
        <v>1984</v>
      </c>
      <c r="M4" s="784" t="s">
        <v>2313</v>
      </c>
    </row>
    <row r="5" spans="1:15" ht="15" customHeight="1">
      <c r="A5" s="248"/>
      <c r="B5" s="366" t="s">
        <v>1973</v>
      </c>
      <c r="C5" s="784" t="s">
        <v>50</v>
      </c>
      <c r="D5" s="366" t="s">
        <v>1985</v>
      </c>
      <c r="E5" s="784" t="s">
        <v>50</v>
      </c>
      <c r="F5" s="366" t="s">
        <v>1974</v>
      </c>
      <c r="G5" s="784" t="s">
        <v>50</v>
      </c>
      <c r="H5" s="366"/>
      <c r="I5" s="784" t="s">
        <v>50</v>
      </c>
      <c r="J5" s="366" t="s">
        <v>1975</v>
      </c>
      <c r="K5" s="784" t="s">
        <v>50</v>
      </c>
      <c r="L5" s="117" t="s">
        <v>1976</v>
      </c>
      <c r="M5" s="784" t="s">
        <v>50</v>
      </c>
    </row>
    <row r="6" spans="1:15" ht="15" hidden="1" customHeight="1">
      <c r="A6" s="248"/>
      <c r="B6" s="366" t="s">
        <v>1977</v>
      </c>
      <c r="C6" s="784"/>
      <c r="D6" s="366" t="s">
        <v>1977</v>
      </c>
      <c r="E6" s="784"/>
      <c r="F6" s="366" t="s">
        <v>1977</v>
      </c>
      <c r="G6" s="784"/>
      <c r="H6" s="366" t="s">
        <v>1977</v>
      </c>
      <c r="I6" s="784"/>
      <c r="J6" s="366" t="s">
        <v>1977</v>
      </c>
      <c r="K6" s="784"/>
      <c r="L6" s="117" t="s">
        <v>1978</v>
      </c>
      <c r="M6" s="118"/>
    </row>
    <row r="7" spans="1:15" ht="27" customHeight="1">
      <c r="A7" s="314"/>
      <c r="B7" s="123" t="s">
        <v>1986</v>
      </c>
      <c r="C7" s="122"/>
      <c r="D7" s="123"/>
      <c r="E7" s="122"/>
      <c r="F7" s="123" t="s">
        <v>1987</v>
      </c>
      <c r="G7" s="122"/>
      <c r="H7" s="123" t="s">
        <v>1988</v>
      </c>
      <c r="I7" s="122"/>
      <c r="J7" s="123" t="s">
        <v>1989</v>
      </c>
      <c r="K7" s="122"/>
      <c r="L7" s="123"/>
      <c r="M7" s="122"/>
      <c r="O7" s="265"/>
    </row>
    <row r="8" spans="1:15" ht="3" customHeight="1" thickBot="1">
      <c r="A8" s="952">
        <v>1985</v>
      </c>
      <c r="B8" s="953">
        <v>48.039096581879356</v>
      </c>
      <c r="C8" s="628" t="s">
        <v>860</v>
      </c>
      <c r="D8" s="953" t="s">
        <v>1412</v>
      </c>
      <c r="E8" s="628" t="s">
        <v>860</v>
      </c>
      <c r="F8" s="953" t="s">
        <v>1412</v>
      </c>
      <c r="G8" s="628" t="s">
        <v>860</v>
      </c>
      <c r="H8" s="953" t="s">
        <v>1412</v>
      </c>
      <c r="I8" s="628" t="s">
        <v>860</v>
      </c>
      <c r="J8" s="953" t="s">
        <v>1412</v>
      </c>
      <c r="K8" s="628" t="s">
        <v>860</v>
      </c>
      <c r="L8" s="953">
        <v>69.267015706806276</v>
      </c>
      <c r="M8" s="628" t="s">
        <v>860</v>
      </c>
    </row>
    <row r="9" spans="1:15" ht="18" hidden="1" customHeight="1" thickBot="1">
      <c r="A9" s="368">
        <v>1986</v>
      </c>
      <c r="B9" s="638">
        <v>51.277951786841811</v>
      </c>
      <c r="C9" s="148">
        <v>6.7421234690416165E-2</v>
      </c>
      <c r="D9" s="638" t="s">
        <v>1412</v>
      </c>
      <c r="E9" s="148" t="s">
        <v>860</v>
      </c>
      <c r="F9" s="638" t="s">
        <v>1412</v>
      </c>
      <c r="G9" s="148" t="s">
        <v>860</v>
      </c>
      <c r="H9" s="638" t="s">
        <v>1412</v>
      </c>
      <c r="I9" s="148" t="s">
        <v>860</v>
      </c>
      <c r="J9" s="638" t="s">
        <v>1412</v>
      </c>
      <c r="K9" s="148" t="s">
        <v>860</v>
      </c>
      <c r="L9" s="638">
        <v>71.727748691099478</v>
      </c>
      <c r="M9" s="148">
        <v>3.5525321239607166E-2</v>
      </c>
    </row>
    <row r="10" spans="1:15" ht="18" hidden="1" customHeight="1" thickBot="1">
      <c r="A10" s="368">
        <v>1987</v>
      </c>
      <c r="B10" s="638">
        <v>55.200098828185453</v>
      </c>
      <c r="C10" s="148">
        <v>7.6487981767440427E-2</v>
      </c>
      <c r="D10" s="638" t="s">
        <v>1412</v>
      </c>
      <c r="E10" s="148" t="s">
        <v>860</v>
      </c>
      <c r="F10" s="638" t="s">
        <v>1412</v>
      </c>
      <c r="G10" s="148" t="s">
        <v>860</v>
      </c>
      <c r="H10" s="638" t="s">
        <v>1412</v>
      </c>
      <c r="I10" s="148" t="s">
        <v>860</v>
      </c>
      <c r="J10" s="638" t="s">
        <v>1412</v>
      </c>
      <c r="K10" s="148" t="s">
        <v>860</v>
      </c>
      <c r="L10" s="638">
        <v>73.455497382198956</v>
      </c>
      <c r="M10" s="148">
        <v>2.4087591240876005E-2</v>
      </c>
    </row>
    <row r="11" spans="1:15" ht="18" hidden="1" customHeight="1" thickBot="1">
      <c r="A11" s="368">
        <v>1988</v>
      </c>
      <c r="B11" s="638">
        <v>57.744887354475971</v>
      </c>
      <c r="C11" s="148">
        <v>4.6101158880373916E-2</v>
      </c>
      <c r="D11" s="638" t="s">
        <v>1412</v>
      </c>
      <c r="E11" s="148" t="s">
        <v>860</v>
      </c>
      <c r="F11" s="638" t="s">
        <v>1412</v>
      </c>
      <c r="G11" s="148" t="s">
        <v>860</v>
      </c>
      <c r="H11" s="638" t="s">
        <v>1412</v>
      </c>
      <c r="I11" s="148" t="s">
        <v>860</v>
      </c>
      <c r="J11" s="638" t="s">
        <v>1412</v>
      </c>
      <c r="K11" s="148" t="s">
        <v>860</v>
      </c>
      <c r="L11" s="638">
        <v>76.020942408376968</v>
      </c>
      <c r="M11" s="148">
        <v>3.4925160370634423E-2</v>
      </c>
    </row>
    <row r="12" spans="1:15" ht="18" hidden="1" customHeight="1" thickBot="1">
      <c r="A12" s="368">
        <v>1989</v>
      </c>
      <c r="B12" s="638">
        <v>61.063012459590368</v>
      </c>
      <c r="C12" s="148">
        <v>5.746179890776415E-2</v>
      </c>
      <c r="D12" s="638" t="s">
        <v>1412</v>
      </c>
      <c r="E12" s="148" t="s">
        <v>860</v>
      </c>
      <c r="F12" s="638" t="s">
        <v>1412</v>
      </c>
      <c r="G12" s="148" t="s">
        <v>860</v>
      </c>
      <c r="H12" s="638" t="s">
        <v>1412</v>
      </c>
      <c r="I12" s="148" t="s">
        <v>860</v>
      </c>
      <c r="J12" s="638" t="s">
        <v>1412</v>
      </c>
      <c r="K12" s="148" t="s">
        <v>860</v>
      </c>
      <c r="L12" s="638">
        <v>78.900523560209422</v>
      </c>
      <c r="M12" s="148">
        <v>3.7878787878787845E-2</v>
      </c>
    </row>
    <row r="13" spans="1:15" ht="18" hidden="1" customHeight="1" thickBot="1">
      <c r="A13" s="368">
        <v>1990</v>
      </c>
      <c r="B13" s="638">
        <v>64.274565419161277</v>
      </c>
      <c r="C13" s="148">
        <v>5.2594079954640494E-2</v>
      </c>
      <c r="D13" s="638" t="s">
        <v>1412</v>
      </c>
      <c r="E13" s="148" t="s">
        <v>860</v>
      </c>
      <c r="F13" s="638" t="s">
        <v>1412</v>
      </c>
      <c r="G13" s="148" t="s">
        <v>860</v>
      </c>
      <c r="H13" s="638" t="s">
        <v>1412</v>
      </c>
      <c r="I13" s="148" t="s">
        <v>860</v>
      </c>
      <c r="J13" s="638" t="s">
        <v>1412</v>
      </c>
      <c r="K13" s="148" t="s">
        <v>860</v>
      </c>
      <c r="L13" s="638">
        <v>83.507853403141368</v>
      </c>
      <c r="M13" s="148">
        <v>5.8394160583941757E-2</v>
      </c>
    </row>
    <row r="14" spans="1:15" ht="18" hidden="1" customHeight="1" thickBot="1">
      <c r="A14" s="368">
        <v>1991</v>
      </c>
      <c r="B14" s="638">
        <v>71.042687968138111</v>
      </c>
      <c r="C14" s="148">
        <v>0.10530016818999988</v>
      </c>
      <c r="D14" s="638" t="s">
        <v>1412</v>
      </c>
      <c r="E14" s="148" t="s">
        <v>860</v>
      </c>
      <c r="F14" s="638" t="s">
        <v>1412</v>
      </c>
      <c r="G14" s="148" t="s">
        <v>860</v>
      </c>
      <c r="H14" s="638" t="s">
        <v>1412</v>
      </c>
      <c r="I14" s="148" t="s">
        <v>860</v>
      </c>
      <c r="J14" s="638" t="s">
        <v>1412</v>
      </c>
      <c r="K14" s="148" t="s">
        <v>860</v>
      </c>
      <c r="L14" s="638">
        <v>89.319371727748688</v>
      </c>
      <c r="M14" s="148">
        <v>6.959247648902811E-2</v>
      </c>
    </row>
    <row r="15" spans="1:15" ht="18" hidden="1" customHeight="1" thickBot="1">
      <c r="A15" s="368">
        <v>1992</v>
      </c>
      <c r="B15" s="638">
        <v>77.338471246969561</v>
      </c>
      <c r="C15" s="148">
        <v>8.8619722295066428E-2</v>
      </c>
      <c r="D15" s="638" t="s">
        <v>1412</v>
      </c>
      <c r="E15" s="148" t="s">
        <v>860</v>
      </c>
      <c r="F15" s="638" t="s">
        <v>1412</v>
      </c>
      <c r="G15" s="148" t="s">
        <v>860</v>
      </c>
      <c r="H15" s="638" t="s">
        <v>1412</v>
      </c>
      <c r="I15" s="148" t="s">
        <v>860</v>
      </c>
      <c r="J15" s="638" t="s">
        <v>1412</v>
      </c>
      <c r="K15" s="148" t="s">
        <v>860</v>
      </c>
      <c r="L15" s="638">
        <v>93.612565445026178</v>
      </c>
      <c r="M15" s="148">
        <v>4.8065650644783187E-2</v>
      </c>
    </row>
    <row r="16" spans="1:15" ht="18" hidden="1" customHeight="1" thickBot="1">
      <c r="A16" s="368">
        <v>1993</v>
      </c>
      <c r="B16" s="638">
        <v>82.47634907609573</v>
      </c>
      <c r="C16" s="148">
        <v>6.643366162125286E-2</v>
      </c>
      <c r="D16" s="638" t="s">
        <v>1412</v>
      </c>
      <c r="E16" s="148" t="s">
        <v>860</v>
      </c>
      <c r="F16" s="638" t="s">
        <v>1412</v>
      </c>
      <c r="G16" s="148" t="s">
        <v>860</v>
      </c>
      <c r="H16" s="638" t="s">
        <v>1412</v>
      </c>
      <c r="I16" s="148" t="s">
        <v>860</v>
      </c>
      <c r="J16" s="638" t="s">
        <v>1412</v>
      </c>
      <c r="K16" s="148" t="s">
        <v>860</v>
      </c>
      <c r="L16" s="638">
        <v>96.125654450261777</v>
      </c>
      <c r="M16" s="148">
        <v>2.6845637583892579E-2</v>
      </c>
    </row>
    <row r="17" spans="1:14" ht="18" hidden="1" customHeight="1" thickBot="1">
      <c r="A17" s="368">
        <v>1994</v>
      </c>
      <c r="B17" s="638">
        <v>87.519197555085469</v>
      </c>
      <c r="C17" s="148">
        <v>6.1142964443503978E-2</v>
      </c>
      <c r="D17" s="638" t="s">
        <v>1412</v>
      </c>
      <c r="E17" s="148" t="s">
        <v>860</v>
      </c>
      <c r="F17" s="638" t="s">
        <v>1412</v>
      </c>
      <c r="G17" s="148" t="s">
        <v>860</v>
      </c>
      <c r="H17" s="638" t="s">
        <v>1412</v>
      </c>
      <c r="I17" s="148" t="s">
        <v>860</v>
      </c>
      <c r="J17" s="638" t="s">
        <v>1412</v>
      </c>
      <c r="K17" s="148" t="s">
        <v>860</v>
      </c>
      <c r="L17" s="638">
        <v>97.486910994764401</v>
      </c>
      <c r="M17" s="148">
        <v>1.4161220043573008E-2</v>
      </c>
    </row>
    <row r="18" spans="1:14" ht="18" hidden="1" customHeight="1" thickBot="1">
      <c r="A18" s="368">
        <v>1995</v>
      </c>
      <c r="B18" s="638">
        <v>91.116876985480161</v>
      </c>
      <c r="C18" s="148">
        <v>4.1107317376056551E-2</v>
      </c>
      <c r="D18" s="638" t="s">
        <v>1412</v>
      </c>
      <c r="E18" s="148" t="s">
        <v>860</v>
      </c>
      <c r="F18" s="638" t="s">
        <v>1412</v>
      </c>
      <c r="G18" s="148" t="s">
        <v>860</v>
      </c>
      <c r="H18" s="638" t="s">
        <v>1412</v>
      </c>
      <c r="I18" s="148" t="s">
        <v>860</v>
      </c>
      <c r="J18" s="638" t="s">
        <v>1412</v>
      </c>
      <c r="K18" s="148" t="s">
        <v>860</v>
      </c>
      <c r="L18" s="638">
        <v>98.795811518324612</v>
      </c>
      <c r="M18" s="148">
        <v>1.3426423200859405E-2</v>
      </c>
    </row>
    <row r="19" spans="1:14" ht="18" customHeight="1" thickBot="1">
      <c r="A19" s="368">
        <v>1996</v>
      </c>
      <c r="B19" s="638">
        <v>100</v>
      </c>
      <c r="C19" s="148" t="s">
        <v>860</v>
      </c>
      <c r="D19" s="638">
        <v>100</v>
      </c>
      <c r="E19" s="148" t="s">
        <v>860</v>
      </c>
      <c r="F19" s="638">
        <v>100</v>
      </c>
      <c r="G19" s="148" t="s">
        <v>860</v>
      </c>
      <c r="H19" s="638">
        <v>100</v>
      </c>
      <c r="I19" s="148" t="s">
        <v>860</v>
      </c>
      <c r="J19" s="638">
        <v>100</v>
      </c>
      <c r="K19" s="148" t="s">
        <v>860</v>
      </c>
      <c r="L19" s="638">
        <v>100</v>
      </c>
      <c r="M19" s="148" t="s">
        <v>860</v>
      </c>
    </row>
    <row r="20" spans="1:14" ht="18" customHeight="1" thickBot="1">
      <c r="A20" s="368">
        <v>1997</v>
      </c>
      <c r="B20" s="638">
        <v>105.39794339791686</v>
      </c>
      <c r="C20" s="148">
        <v>5.3979433979168601E-2</v>
      </c>
      <c r="D20" s="638">
        <v>101.89193877392979</v>
      </c>
      <c r="E20" s="148">
        <v>1.891938773929791E-2</v>
      </c>
      <c r="F20" s="638">
        <v>107.8243544179355</v>
      </c>
      <c r="G20" s="148">
        <v>7.8243544179354974E-2</v>
      </c>
      <c r="H20" s="638">
        <v>108.11940689335901</v>
      </c>
      <c r="I20" s="148">
        <v>8.1194068933590158E-2</v>
      </c>
      <c r="J20" s="638">
        <v>105.86780210602365</v>
      </c>
      <c r="K20" s="148">
        <v>5.8678021060236452E-2</v>
      </c>
      <c r="L20" s="638">
        <v>100.47120418848168</v>
      </c>
      <c r="M20" s="148">
        <v>4.7120418848167755E-3</v>
      </c>
      <c r="N20" s="265"/>
    </row>
    <row r="21" spans="1:14" ht="18" customHeight="1" thickBot="1">
      <c r="A21" s="368">
        <v>1998</v>
      </c>
      <c r="B21" s="638">
        <v>112.34514562910323</v>
      </c>
      <c r="C21" s="148">
        <v>6.5914020778926163E-2</v>
      </c>
      <c r="D21" s="638">
        <v>105.89506308395747</v>
      </c>
      <c r="E21" s="148">
        <v>3.9287939342380174E-2</v>
      </c>
      <c r="F21" s="638">
        <v>115.36251956603556</v>
      </c>
      <c r="G21" s="148">
        <v>6.9911525914466033E-2</v>
      </c>
      <c r="H21" s="638">
        <v>113.95377021303325</v>
      </c>
      <c r="I21" s="148">
        <v>5.3962220912188608E-2</v>
      </c>
      <c r="J21" s="638">
        <v>124.70421988413921</v>
      </c>
      <c r="K21" s="148">
        <v>0.17792395235759617</v>
      </c>
      <c r="L21" s="638">
        <v>101.15183246073298</v>
      </c>
      <c r="M21" s="148">
        <v>6.774361646690874E-3</v>
      </c>
    </row>
    <row r="22" spans="1:14" ht="18" customHeight="1" thickBot="1">
      <c r="A22" s="368">
        <v>1999</v>
      </c>
      <c r="B22" s="638">
        <v>116.73767747746584</v>
      </c>
      <c r="C22" s="148">
        <v>3.9098546036551829E-2</v>
      </c>
      <c r="D22" s="638">
        <v>108.76224732072774</v>
      </c>
      <c r="E22" s="148">
        <v>2.7075712061260804E-2</v>
      </c>
      <c r="F22" s="638">
        <v>118.23129090839484</v>
      </c>
      <c r="G22" s="148">
        <v>2.4867447010960442E-2</v>
      </c>
      <c r="H22" s="638">
        <v>116.48898292114663</v>
      </c>
      <c r="I22" s="148">
        <v>2.2247729964299356E-2</v>
      </c>
      <c r="J22" s="638">
        <v>129.78488562275899</v>
      </c>
      <c r="K22" s="148">
        <v>4.0741730659476838E-2</v>
      </c>
      <c r="L22" s="638">
        <v>101.46596858638743</v>
      </c>
      <c r="M22" s="148">
        <v>3.1055900621119736E-3</v>
      </c>
    </row>
    <row r="23" spans="1:14" ht="18" customHeight="1" thickBot="1">
      <c r="A23" s="368">
        <v>2000</v>
      </c>
      <c r="B23" s="638">
        <v>123.67905954399367</v>
      </c>
      <c r="C23" s="148">
        <v>5.9461368570295159E-2</v>
      </c>
      <c r="D23" s="638">
        <v>112.75145195600452</v>
      </c>
      <c r="E23" s="148">
        <v>3.6678210808876122E-2</v>
      </c>
      <c r="F23" s="638">
        <v>122.25148214575734</v>
      </c>
      <c r="G23" s="148">
        <v>3.4002768695787333E-2</v>
      </c>
      <c r="H23" s="638">
        <v>120.22317736531187</v>
      </c>
      <c r="I23" s="148">
        <v>3.2056202659894284E-2</v>
      </c>
      <c r="J23" s="638">
        <v>135.7015791217149</v>
      </c>
      <c r="K23" s="148">
        <v>4.5588463329649498E-2</v>
      </c>
      <c r="L23" s="638">
        <v>102.77486910994764</v>
      </c>
      <c r="M23" s="148">
        <v>1.2899896800825594E-2</v>
      </c>
    </row>
    <row r="24" spans="1:14" ht="18" customHeight="1" thickBot="1">
      <c r="A24" s="368">
        <v>2001</v>
      </c>
      <c r="B24" s="638">
        <v>130.2910910770666</v>
      </c>
      <c r="C24" s="148">
        <v>5.3461204810673513E-2</v>
      </c>
      <c r="D24" s="638">
        <v>119.09099488489565</v>
      </c>
      <c r="E24" s="148">
        <v>5.6225820766945045E-2</v>
      </c>
      <c r="F24" s="638">
        <v>126.81505316810784</v>
      </c>
      <c r="G24" s="148">
        <v>3.7329371736446237E-2</v>
      </c>
      <c r="H24" s="638">
        <v>124.57722094978531</v>
      </c>
      <c r="I24" s="148">
        <v>3.6216340974279726E-2</v>
      </c>
      <c r="J24" s="638">
        <v>141.65456872934899</v>
      </c>
      <c r="K24" s="148">
        <v>4.3868241225805349E-2</v>
      </c>
      <c r="L24" s="638">
        <v>105.28795811518326</v>
      </c>
      <c r="M24" s="148">
        <v>2.4452368823229875E-2</v>
      </c>
    </row>
    <row r="25" spans="1:14" ht="18" customHeight="1" thickBot="1">
      <c r="A25" s="368">
        <v>2002</v>
      </c>
      <c r="B25" s="638">
        <v>135.12284583994762</v>
      </c>
      <c r="C25" s="148">
        <v>3.7084306554951318E-2</v>
      </c>
      <c r="D25" s="638">
        <v>122.39822840034257</v>
      </c>
      <c r="E25" s="148">
        <v>2.7770643100626158E-2</v>
      </c>
      <c r="F25" s="638">
        <v>137.28928000877301</v>
      </c>
      <c r="G25" s="148">
        <v>8.2594507347486523E-2</v>
      </c>
      <c r="H25" s="638">
        <v>135.84965392132474</v>
      </c>
      <c r="I25" s="148">
        <v>9.0485506785250358E-2</v>
      </c>
      <c r="J25" s="638">
        <v>146.83573016358903</v>
      </c>
      <c r="K25" s="148">
        <v>3.6576027732218019E-2</v>
      </c>
      <c r="L25" s="638">
        <v>107.17277486910994</v>
      </c>
      <c r="M25" s="148">
        <v>1.7901541521630815E-2</v>
      </c>
    </row>
    <row r="26" spans="1:14" ht="18" customHeight="1" thickBot="1">
      <c r="A26" s="368">
        <v>2003</v>
      </c>
      <c r="B26" s="638">
        <v>141.13594015958546</v>
      </c>
      <c r="C26" s="148">
        <v>4.4500944916156637E-2</v>
      </c>
      <c r="D26" s="638">
        <v>126.25842492216353</v>
      </c>
      <c r="E26" s="148">
        <v>3.1538009759380925E-2</v>
      </c>
      <c r="F26" s="638">
        <v>148.64710880687124</v>
      </c>
      <c r="G26" s="148">
        <v>8.2729174465569821E-2</v>
      </c>
      <c r="H26" s="638">
        <v>148.24891293481085</v>
      </c>
      <c r="I26" s="148">
        <v>9.1271921978299142E-2</v>
      </c>
      <c r="J26" s="638">
        <v>151.28762572832832</v>
      </c>
      <c r="K26" s="148">
        <v>3.0318884645988087E-2</v>
      </c>
      <c r="L26" s="638">
        <v>108.6910994764398</v>
      </c>
      <c r="M26" s="148">
        <v>1.4167073766487626E-2</v>
      </c>
    </row>
    <row r="27" spans="1:14" ht="18" customHeight="1" thickBot="1">
      <c r="A27" s="368">
        <v>2004</v>
      </c>
      <c r="B27" s="638">
        <v>150.48255750594851</v>
      </c>
      <c r="C27" s="148">
        <v>6.6224218549822522E-2</v>
      </c>
      <c r="D27" s="638">
        <v>129.86991776766388</v>
      </c>
      <c r="E27" s="148">
        <v>2.8603975122664327E-2</v>
      </c>
      <c r="F27" s="638">
        <v>159.53922129347404</v>
      </c>
      <c r="G27" s="148">
        <v>7.3274970324207933E-2</v>
      </c>
      <c r="H27" s="638">
        <v>158.6720877566259</v>
      </c>
      <c r="I27" s="148">
        <v>7.0308608781491699E-2</v>
      </c>
      <c r="J27" s="638">
        <v>165.28935819309285</v>
      </c>
      <c r="K27" s="148">
        <v>9.2550414466202602E-2</v>
      </c>
      <c r="L27" s="638">
        <v>109.68586387434556</v>
      </c>
      <c r="M27" s="148">
        <v>9.1522157996146714E-3</v>
      </c>
    </row>
    <row r="28" spans="1:14" ht="18" customHeight="1" thickBot="1">
      <c r="A28" s="368">
        <v>2005</v>
      </c>
      <c r="B28" s="638">
        <v>158.85411997758723</v>
      </c>
      <c r="C28" s="148">
        <v>5.5631447327759487E-2</v>
      </c>
      <c r="D28" s="638">
        <v>131.67754834154843</v>
      </c>
      <c r="E28" s="148">
        <v>1.3918778150906252E-2</v>
      </c>
      <c r="F28" s="638">
        <v>163.19650081000955</v>
      </c>
      <c r="G28" s="148">
        <v>2.2924015090984406E-2</v>
      </c>
      <c r="H28" s="638">
        <v>161.63461894989487</v>
      </c>
      <c r="I28" s="148">
        <v>1.8670777167897112E-2</v>
      </c>
      <c r="J28" s="638">
        <v>173.55365358411964</v>
      </c>
      <c r="K28" s="148">
        <v>4.9998956262945482E-2</v>
      </c>
      <c r="L28" s="638">
        <v>110.73298429319371</v>
      </c>
      <c r="M28" s="148">
        <v>9.5465393794746944E-3</v>
      </c>
    </row>
    <row r="29" spans="1:14" s="151" customFormat="1" ht="30" customHeight="1" thickBot="1">
      <c r="A29" s="370">
        <v>2006</v>
      </c>
      <c r="B29" s="844">
        <v>159.92892738162934</v>
      </c>
      <c r="C29" s="910">
        <v>6.7660026960192354E-3</v>
      </c>
      <c r="D29" s="1043">
        <v>136.36726926900215</v>
      </c>
      <c r="E29" s="1062">
        <v>3.5615190186328638E-2</v>
      </c>
      <c r="F29" s="844">
        <v>168.77599451425854</v>
      </c>
      <c r="G29" s="910">
        <v>3.4188807214344141E-2</v>
      </c>
      <c r="H29" s="844">
        <v>167.82455192504821</v>
      </c>
      <c r="I29" s="910">
        <v>3.8295836717208154E-2</v>
      </c>
      <c r="J29" s="844">
        <v>175.08520169816336</v>
      </c>
      <c r="K29" s="910">
        <v>8.8246376979981278E-3</v>
      </c>
      <c r="L29" s="1063">
        <v>112.04188481675392</v>
      </c>
      <c r="M29" s="940">
        <v>1.1820330969267268E-2</v>
      </c>
    </row>
    <row r="30" spans="1:14" ht="20" customHeight="1">
      <c r="A30" s="958" t="s">
        <v>1684</v>
      </c>
      <c r="B30" s="959"/>
      <c r="C30" s="959"/>
      <c r="D30" s="959"/>
      <c r="E30" s="959"/>
      <c r="F30" s="959"/>
      <c r="G30" s="959"/>
      <c r="H30" s="959"/>
      <c r="I30" s="959"/>
      <c r="J30" s="959"/>
      <c r="K30" s="959"/>
    </row>
    <row r="31" spans="1:14" ht="12.75" customHeight="1">
      <c r="A31" s="960"/>
      <c r="B31" s="961"/>
      <c r="C31" s="961"/>
      <c r="D31" s="961"/>
      <c r="E31" s="961"/>
      <c r="F31" s="961"/>
      <c r="G31" s="961"/>
      <c r="H31" s="961"/>
      <c r="I31" s="961"/>
      <c r="J31" s="961"/>
      <c r="K31" s="961"/>
    </row>
    <row r="32" spans="1:14" ht="12" customHeight="1">
      <c r="A32" s="960" t="s">
        <v>1979</v>
      </c>
      <c r="B32" s="961"/>
      <c r="C32" s="961"/>
      <c r="D32" s="961"/>
      <c r="E32" s="961"/>
      <c r="F32" s="961"/>
      <c r="G32" s="961"/>
      <c r="H32" s="961"/>
      <c r="I32" s="961"/>
      <c r="J32" s="961"/>
      <c r="K32" s="961"/>
    </row>
    <row r="33" spans="1:13" ht="12" customHeight="1">
      <c r="A33" s="960" t="s">
        <v>1990</v>
      </c>
      <c r="B33" s="961"/>
      <c r="C33" s="961"/>
      <c r="D33" s="961"/>
      <c r="E33" s="961"/>
      <c r="F33" s="961"/>
      <c r="G33" s="961"/>
      <c r="H33" s="961"/>
      <c r="I33" s="961"/>
      <c r="J33" s="961"/>
      <c r="K33" s="961"/>
    </row>
    <row r="34" spans="1:13" ht="12" customHeight="1">
      <c r="A34" s="960" t="s">
        <v>1980</v>
      </c>
      <c r="B34" s="961"/>
      <c r="C34" s="961"/>
      <c r="D34" s="961"/>
      <c r="E34" s="961"/>
      <c r="F34" s="961"/>
      <c r="G34" s="961"/>
      <c r="H34" s="961"/>
      <c r="I34" s="961"/>
      <c r="J34" s="961"/>
      <c r="K34" s="961"/>
    </row>
    <row r="35" spans="1:13" ht="12" customHeight="1">
      <c r="A35" s="960" t="s">
        <v>1981</v>
      </c>
      <c r="B35" s="961"/>
      <c r="C35" s="961"/>
      <c r="D35" s="961"/>
      <c r="E35" s="961"/>
      <c r="F35" s="961"/>
      <c r="G35" s="961"/>
      <c r="H35" s="961"/>
      <c r="I35" s="961"/>
      <c r="J35" s="961"/>
      <c r="K35" s="961"/>
    </row>
    <row r="36" spans="1:13" ht="12" customHeight="1">
      <c r="A36" s="960" t="s">
        <v>1982</v>
      </c>
      <c r="B36" s="961"/>
      <c r="C36" s="961"/>
      <c r="D36" s="961"/>
      <c r="E36" s="961"/>
      <c r="F36" s="961"/>
      <c r="G36" s="961"/>
      <c r="H36" s="961"/>
      <c r="I36" s="961"/>
      <c r="J36" s="961"/>
      <c r="K36" s="961"/>
    </row>
    <row r="37" spans="1:13" ht="12" customHeight="1">
      <c r="A37" s="960" t="s">
        <v>1983</v>
      </c>
      <c r="B37" s="963"/>
      <c r="C37" s="963"/>
      <c r="D37" s="963"/>
      <c r="E37" s="963"/>
      <c r="F37" s="963"/>
      <c r="G37" s="963"/>
      <c r="H37" s="963"/>
      <c r="I37" s="963"/>
      <c r="J37" s="963"/>
      <c r="K37" s="963"/>
    </row>
    <row r="38" spans="1:13" ht="15.75" customHeight="1">
      <c r="A38" s="960"/>
      <c r="B38" s="963"/>
      <c r="C38" s="963"/>
      <c r="D38" s="963"/>
      <c r="E38" s="963"/>
      <c r="F38" s="963"/>
      <c r="G38" s="963"/>
      <c r="H38" s="963"/>
      <c r="I38" s="963"/>
      <c r="J38" s="963"/>
      <c r="K38" s="963"/>
    </row>
    <row r="39" spans="1:13" ht="15.75" customHeight="1">
      <c r="A39" s="41"/>
      <c r="B39" s="963"/>
      <c r="C39" s="963"/>
      <c r="D39" s="963"/>
      <c r="E39" s="963"/>
      <c r="F39" s="963"/>
      <c r="G39" s="963"/>
      <c r="H39" s="963"/>
      <c r="I39" s="963"/>
      <c r="J39" s="963"/>
      <c r="K39" s="963"/>
      <c r="M39" s="160"/>
    </row>
    <row r="40" spans="1:13" ht="15.75" customHeight="1">
      <c r="A40" s="207" t="s">
        <v>1955</v>
      </c>
      <c r="B40" s="963"/>
      <c r="C40" s="963"/>
      <c r="D40" s="963"/>
      <c r="E40" s="963"/>
      <c r="F40" s="963"/>
      <c r="G40" s="963"/>
      <c r="H40" s="963"/>
      <c r="I40" s="963"/>
      <c r="J40" s="963"/>
      <c r="K40" s="963"/>
    </row>
    <row r="41" spans="1:13" ht="31" customHeight="1">
      <c r="A41" s="41"/>
      <c r="B41" s="963"/>
      <c r="C41" s="963"/>
      <c r="D41" s="963"/>
      <c r="E41" s="963"/>
      <c r="F41" s="963"/>
      <c r="G41" s="963"/>
      <c r="H41" s="963"/>
      <c r="I41" s="963"/>
      <c r="J41" s="963"/>
      <c r="K41" s="963"/>
    </row>
    <row r="42" spans="1:13" ht="31" customHeight="1">
      <c r="A42" s="41"/>
      <c r="B42" s="963"/>
      <c r="C42" s="963"/>
      <c r="D42" s="963"/>
      <c r="E42" s="963"/>
      <c r="F42" s="963"/>
      <c r="G42" s="963"/>
      <c r="H42" s="963"/>
      <c r="I42" s="963"/>
      <c r="J42" s="963"/>
      <c r="K42" s="963"/>
    </row>
    <row r="43" spans="1:13" ht="31" customHeight="1">
      <c r="A43" s="41"/>
      <c r="B43" s="963"/>
      <c r="C43" s="963"/>
      <c r="D43" s="963"/>
      <c r="E43" s="963"/>
      <c r="F43" s="963"/>
      <c r="G43" s="963"/>
      <c r="H43" s="963"/>
      <c r="I43" s="963"/>
      <c r="J43" s="963"/>
      <c r="K43" s="963"/>
    </row>
    <row r="44" spans="1:13" ht="31" customHeight="1">
      <c r="A44" s="41"/>
      <c r="B44" s="963"/>
      <c r="C44" s="963"/>
      <c r="D44" s="963"/>
      <c r="E44" s="963"/>
      <c r="F44" s="963"/>
      <c r="G44" s="963"/>
      <c r="H44" s="963"/>
      <c r="I44" s="963"/>
      <c r="J44" s="963"/>
      <c r="K44" s="963"/>
    </row>
    <row r="45" spans="1:13" ht="31" customHeight="1">
      <c r="A45" s="41"/>
      <c r="B45" s="963"/>
      <c r="C45" s="963"/>
      <c r="D45" s="963"/>
      <c r="E45" s="963"/>
      <c r="F45" s="963"/>
      <c r="G45" s="963"/>
      <c r="H45" s="963"/>
      <c r="I45" s="963"/>
      <c r="J45" s="963"/>
      <c r="K45" s="963"/>
    </row>
  </sheetData>
  <phoneticPr fontId="0" type="noConversion"/>
  <pageMargins left="0.56000000000000005" right="0.6" top="0.9" bottom="0.49" header="0.47" footer="0.4921259845"/>
  <pageSetup paperSize="9" scale="76" orientation="landscape"/>
  <headerFooter alignWithMargins="0"/>
  <rowBreaks count="1" manualBreakCount="1">
    <brk id="36" max="16383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E522-8394-AD45-B1DE-081EAC83F6D2}">
  <sheetPr>
    <pageSetUpPr fitToPage="1"/>
  </sheetPr>
  <dimension ref="A1:J79"/>
  <sheetViews>
    <sheetView topLeftCell="A16" zoomScale="75" workbookViewId="0">
      <selection activeCell="A24" sqref="A24"/>
    </sheetView>
  </sheetViews>
  <sheetFormatPr baseColWidth="10" defaultColWidth="11.3984375" defaultRowHeight="13"/>
  <cols>
    <col min="1" max="1" width="21.796875" style="2" customWidth="1"/>
    <col min="2" max="3" width="15.796875" style="2" customWidth="1"/>
    <col min="4" max="6" width="14.19921875" style="2" customWidth="1"/>
    <col min="7" max="7" width="1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9" customHeight="1">
      <c r="A2" s="1695" t="s">
        <v>1961</v>
      </c>
      <c r="B2" s="1699"/>
      <c r="C2" s="1699"/>
      <c r="D2" s="1699"/>
      <c r="E2" s="1699"/>
      <c r="F2" s="112"/>
      <c r="G2" s="112">
        <v>2006</v>
      </c>
    </row>
    <row r="3" spans="1:10" ht="24" customHeight="1">
      <c r="A3" s="328" t="s">
        <v>1962</v>
      </c>
      <c r="B3" s="114" t="s">
        <v>741</v>
      </c>
      <c r="C3" s="115" t="s">
        <v>742</v>
      </c>
      <c r="D3" s="114" t="s">
        <v>743</v>
      </c>
      <c r="E3" s="115" t="s">
        <v>744</v>
      </c>
      <c r="F3" s="114" t="s">
        <v>1951</v>
      </c>
      <c r="G3" s="170" t="s">
        <v>45</v>
      </c>
    </row>
    <row r="4" spans="1:10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  <c r="G4" s="116" t="s">
        <v>46</v>
      </c>
    </row>
    <row r="5" spans="1:10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  <c r="G5" s="116" t="s">
        <v>50</v>
      </c>
    </row>
    <row r="6" spans="1:10" ht="24" customHeight="1">
      <c r="A6" s="314" t="s">
        <v>740</v>
      </c>
      <c r="B6" s="123"/>
      <c r="C6" s="122"/>
      <c r="D6" s="123"/>
      <c r="E6" s="183" t="s">
        <v>753</v>
      </c>
      <c r="F6" s="123"/>
      <c r="G6" s="182"/>
    </row>
    <row r="7" spans="1:10" ht="20" customHeight="1" thickBot="1">
      <c r="A7" s="250">
        <v>1996</v>
      </c>
      <c r="B7" s="145">
        <v>1753.1648672625149</v>
      </c>
      <c r="C7" s="198">
        <v>1842.1623355260151</v>
      </c>
      <c r="D7" s="145">
        <v>1515.4959144221264</v>
      </c>
      <c r="E7" s="198">
        <v>1176.4588298743031</v>
      </c>
      <c r="F7" s="145">
        <v>1771.0161788756484</v>
      </c>
      <c r="G7" s="421" t="s">
        <v>1412</v>
      </c>
    </row>
    <row r="8" spans="1:10" ht="20" customHeight="1" thickBot="1">
      <c r="A8" s="251">
        <v>1997</v>
      </c>
      <c r="B8" s="147">
        <v>1811.5958116334416</v>
      </c>
      <c r="C8" s="204">
        <v>2130.0081643172375</v>
      </c>
      <c r="D8" s="147">
        <v>1576.8168903289518</v>
      </c>
      <c r="E8" s="204">
        <v>1389.6088488110106</v>
      </c>
      <c r="F8" s="147">
        <v>1909.5867615098578</v>
      </c>
      <c r="G8" s="499">
        <v>7.8243544179354974E-2</v>
      </c>
      <c r="H8" s="9"/>
      <c r="I8" s="9"/>
      <c r="J8" s="9"/>
    </row>
    <row r="9" spans="1:10" ht="20" customHeight="1" thickBot="1">
      <c r="A9" s="251">
        <v>1998</v>
      </c>
      <c r="B9" s="147">
        <v>1918.0694163570959</v>
      </c>
      <c r="C9" s="204">
        <v>2297.6573623558743</v>
      </c>
      <c r="D9" s="147">
        <v>1557.6743377537739</v>
      </c>
      <c r="E9" s="204">
        <v>1666.142713790621</v>
      </c>
      <c r="F9" s="147">
        <v>2043.088885873075</v>
      </c>
      <c r="G9" s="499">
        <v>6.9911525914465811E-2</v>
      </c>
    </row>
    <row r="10" spans="1:10" ht="20" customHeight="1" thickBot="1">
      <c r="A10" s="251">
        <v>1999</v>
      </c>
      <c r="B10" s="147">
        <v>1950.8999883727415</v>
      </c>
      <c r="C10" s="204">
        <v>2374.4763783142644</v>
      </c>
      <c r="D10" s="147">
        <v>1570.8419091195699</v>
      </c>
      <c r="E10" s="204">
        <v>1752.9616538234313</v>
      </c>
      <c r="F10" s="147">
        <v>2093.8952904812063</v>
      </c>
      <c r="G10" s="499">
        <v>2.4867447010960664E-2</v>
      </c>
    </row>
    <row r="11" spans="1:10" ht="20" customHeight="1" thickBot="1">
      <c r="A11" s="251">
        <v>2000</v>
      </c>
      <c r="B11" s="147">
        <v>2027.0193294058211</v>
      </c>
      <c r="C11" s="204">
        <v>2433.7171249231678</v>
      </c>
      <c r="D11" s="147">
        <v>1662.9240904226378</v>
      </c>
      <c r="E11" s="204">
        <v>1828.3919207533229</v>
      </c>
      <c r="F11" s="147">
        <v>2165.0935277166373</v>
      </c>
      <c r="G11" s="499">
        <v>3.4002768695787333E-2</v>
      </c>
    </row>
    <row r="12" spans="1:10" ht="20" customHeight="1" thickBot="1">
      <c r="A12" s="251">
        <v>2001</v>
      </c>
      <c r="B12" s="147">
        <v>2122.8464393209329</v>
      </c>
      <c r="C12" s="204">
        <v>2484.2689833767849</v>
      </c>
      <c r="D12" s="147">
        <v>1731.3120166424887</v>
      </c>
      <c r="E12" s="204">
        <v>1922.2028434326885</v>
      </c>
      <c r="F12" s="147">
        <v>2245.9151088569452</v>
      </c>
      <c r="G12" s="499">
        <v>3.7329371736446237E-2</v>
      </c>
    </row>
    <row r="13" spans="1:10" ht="20" customHeight="1" thickBot="1">
      <c r="A13" s="251">
        <v>2002</v>
      </c>
      <c r="B13" s="147">
        <v>2285.7395632640332</v>
      </c>
      <c r="C13" s="204">
        <v>2654.9017890161094</v>
      </c>
      <c r="D13" s="147">
        <v>1950.7839810299843</v>
      </c>
      <c r="E13" s="204">
        <v>2240.2987240624661</v>
      </c>
      <c r="F13" s="147">
        <v>2431.415360817261</v>
      </c>
      <c r="G13" s="499">
        <v>8.2594507347486523E-2</v>
      </c>
    </row>
    <row r="14" spans="1:10" ht="20" customHeight="1" thickBot="1">
      <c r="A14" s="251">
        <v>2003</v>
      </c>
      <c r="B14" s="147">
        <v>2510.8199696536694</v>
      </c>
      <c r="C14" s="204">
        <v>2859.9015075571601</v>
      </c>
      <c r="D14" s="147">
        <v>2124.4793305026888</v>
      </c>
      <c r="E14" s="204">
        <v>2210.374964555655</v>
      </c>
      <c r="F14" s="147">
        <v>2632.5643464005784</v>
      </c>
      <c r="G14" s="499">
        <v>8.2729174465569821E-2</v>
      </c>
    </row>
    <row r="15" spans="1:10" ht="20" customHeight="1" thickBot="1">
      <c r="A15" s="251">
        <v>2004</v>
      </c>
      <c r="B15" s="147">
        <v>2690.5459375499613</v>
      </c>
      <c r="C15" s="204">
        <v>3090.7636553345851</v>
      </c>
      <c r="D15" s="147">
        <v>2246.9396743730986</v>
      </c>
      <c r="E15" s="204">
        <v>2415.1482194113514</v>
      </c>
      <c r="F15" s="147">
        <v>2825.4654207596486</v>
      </c>
      <c r="G15" s="499">
        <v>7.3274970324207933E-2</v>
      </c>
    </row>
    <row r="16" spans="1:10" ht="20" customHeight="1" thickBot="1">
      <c r="A16" s="251">
        <v>2005</v>
      </c>
      <c r="B16" s="147">
        <v>2840.2952473424793</v>
      </c>
      <c r="C16" s="204">
        <v>3103.8126743937628</v>
      </c>
      <c r="D16" s="147">
        <v>2376.2836440132501</v>
      </c>
      <c r="E16" s="204">
        <v>2400.5917441113538</v>
      </c>
      <c r="F16" s="147">
        <v>2890.2364327041978</v>
      </c>
      <c r="G16" s="499">
        <v>2.2924015090984629E-2</v>
      </c>
    </row>
    <row r="17" spans="1:7" ht="30" customHeight="1" thickBot="1">
      <c r="A17" s="361">
        <v>2006</v>
      </c>
      <c r="B17" s="282">
        <v>3011.1782609964857</v>
      </c>
      <c r="C17" s="283">
        <v>3242.7971622539844</v>
      </c>
      <c r="D17" s="282">
        <v>2532.6355623862773</v>
      </c>
      <c r="E17" s="283">
        <v>2415.428916702369</v>
      </c>
      <c r="F17" s="282">
        <v>2989.0501689057955</v>
      </c>
      <c r="G17" s="610">
        <v>3.4188807214344141E-2</v>
      </c>
    </row>
    <row r="18" spans="1:7" ht="20" customHeight="1">
      <c r="A18" s="136" t="s">
        <v>453</v>
      </c>
      <c r="B18" s="136"/>
      <c r="C18" s="136"/>
      <c r="D18" s="136"/>
      <c r="E18" s="136"/>
      <c r="F18" s="136"/>
      <c r="G18" s="414"/>
    </row>
    <row r="19" spans="1:7">
      <c r="G19" s="415"/>
    </row>
    <row r="20" spans="1:7">
      <c r="A20" s="2" t="s">
        <v>1963</v>
      </c>
      <c r="G20" s="415"/>
    </row>
    <row r="21" spans="1:7">
      <c r="G21" s="415"/>
    </row>
    <row r="22" spans="1:7">
      <c r="G22" s="415"/>
    </row>
    <row r="23" spans="1:7" ht="16">
      <c r="A23" s="843" t="s">
        <v>2349</v>
      </c>
      <c r="G23" s="415"/>
    </row>
    <row r="24" spans="1:7">
      <c r="G24" s="415"/>
    </row>
    <row r="25" spans="1:7" ht="18" customHeight="1">
      <c r="A25" s="328" t="s">
        <v>42</v>
      </c>
      <c r="B25" s="114" t="s">
        <v>741</v>
      </c>
      <c r="C25" s="115" t="s">
        <v>742</v>
      </c>
      <c r="D25" s="114" t="s">
        <v>743</v>
      </c>
      <c r="E25" s="115" t="s">
        <v>744</v>
      </c>
      <c r="F25" s="114" t="s">
        <v>1951</v>
      </c>
      <c r="G25" s="170" t="s">
        <v>45</v>
      </c>
    </row>
    <row r="26" spans="1:7" ht="18" customHeight="1">
      <c r="A26" s="847" t="s">
        <v>47</v>
      </c>
      <c r="B26" s="117" t="s">
        <v>745</v>
      </c>
      <c r="C26" s="118" t="s">
        <v>746</v>
      </c>
      <c r="D26" s="117" t="s">
        <v>747</v>
      </c>
      <c r="E26" s="180" t="s">
        <v>748</v>
      </c>
      <c r="F26" s="117"/>
      <c r="G26" s="116" t="s">
        <v>46</v>
      </c>
    </row>
    <row r="27" spans="1:7" ht="18" customHeight="1">
      <c r="A27" s="248"/>
      <c r="B27" s="117" t="s">
        <v>749</v>
      </c>
      <c r="C27" s="118" t="s">
        <v>750</v>
      </c>
      <c r="D27" s="117" t="s">
        <v>751</v>
      </c>
      <c r="E27" s="180" t="s">
        <v>752</v>
      </c>
      <c r="F27" s="117"/>
      <c r="G27" s="116" t="s">
        <v>50</v>
      </c>
    </row>
    <row r="28" spans="1:7" ht="18" customHeight="1">
      <c r="A28" s="249" t="s">
        <v>758</v>
      </c>
      <c r="B28" s="123"/>
      <c r="C28" s="122"/>
      <c r="D28" s="123"/>
      <c r="E28" s="183" t="s">
        <v>753</v>
      </c>
      <c r="F28" s="123"/>
      <c r="G28" s="120"/>
    </row>
    <row r="29" spans="1:7" ht="18" customHeight="1" thickBot="1">
      <c r="A29" s="250">
        <v>1996</v>
      </c>
      <c r="B29" s="145" t="s">
        <v>1412</v>
      </c>
      <c r="C29" s="198" t="s">
        <v>1412</v>
      </c>
      <c r="D29" s="145" t="s">
        <v>1412</v>
      </c>
      <c r="E29" s="198" t="s">
        <v>1412</v>
      </c>
      <c r="F29" s="145" t="s">
        <v>1412</v>
      </c>
      <c r="G29" s="421" t="s">
        <v>1412</v>
      </c>
    </row>
    <row r="30" spans="1:7" ht="18" customHeight="1" thickBot="1">
      <c r="A30" s="251">
        <v>1997</v>
      </c>
      <c r="B30" s="147">
        <v>631.72</v>
      </c>
      <c r="C30" s="198">
        <v>698.99</v>
      </c>
      <c r="D30" s="147" t="s">
        <v>1412</v>
      </c>
      <c r="E30" s="204">
        <v>503.02</v>
      </c>
      <c r="F30" s="147">
        <v>635</v>
      </c>
      <c r="G30" s="499" t="s">
        <v>1412</v>
      </c>
    </row>
    <row r="31" spans="1:7" ht="18" customHeight="1" thickBot="1">
      <c r="A31" s="251">
        <v>1998</v>
      </c>
      <c r="B31" s="147">
        <v>651.27</v>
      </c>
      <c r="C31" s="198">
        <v>760.79</v>
      </c>
      <c r="D31" s="147">
        <v>518.76</v>
      </c>
      <c r="E31" s="204">
        <v>519.47</v>
      </c>
      <c r="F31" s="147">
        <v>656.52</v>
      </c>
      <c r="G31" s="499">
        <v>3.388976377952746E-2</v>
      </c>
    </row>
    <row r="32" spans="1:7" ht="18" customHeight="1" thickBot="1">
      <c r="A32" s="251">
        <v>1999</v>
      </c>
      <c r="B32" s="147">
        <v>668.89</v>
      </c>
      <c r="C32" s="198">
        <v>764.58</v>
      </c>
      <c r="D32" s="147">
        <v>567.98</v>
      </c>
      <c r="E32" s="204">
        <v>545.73</v>
      </c>
      <c r="F32" s="147">
        <v>671.71</v>
      </c>
      <c r="G32" s="499">
        <v>2.3137147383171852E-2</v>
      </c>
    </row>
    <row r="33" spans="1:7" ht="18" customHeight="1" thickBot="1">
      <c r="A33" s="251">
        <v>2000</v>
      </c>
      <c r="B33" s="147">
        <v>692.8</v>
      </c>
      <c r="C33" s="198">
        <v>780.96</v>
      </c>
      <c r="D33" s="147">
        <v>589.41</v>
      </c>
      <c r="E33" s="204">
        <v>563.48</v>
      </c>
      <c r="F33" s="147">
        <v>693.68</v>
      </c>
      <c r="G33" s="499">
        <v>3.2707567253725589E-2</v>
      </c>
    </row>
    <row r="34" spans="1:7" ht="18" customHeight="1" thickBot="1">
      <c r="A34" s="251">
        <v>2001</v>
      </c>
      <c r="B34" s="147">
        <v>731.18</v>
      </c>
      <c r="C34" s="198">
        <v>792.38</v>
      </c>
      <c r="D34" s="147">
        <v>620.72</v>
      </c>
      <c r="E34" s="204">
        <v>597.34</v>
      </c>
      <c r="F34" s="147">
        <v>727.82</v>
      </c>
      <c r="G34" s="499">
        <v>4.9215776727020932E-2</v>
      </c>
    </row>
    <row r="35" spans="1:7" ht="18" customHeight="1" thickBot="1">
      <c r="A35" s="251">
        <v>2002</v>
      </c>
      <c r="B35" s="147">
        <v>795.44</v>
      </c>
      <c r="C35" s="198">
        <v>824.21</v>
      </c>
      <c r="D35" s="147">
        <v>685.48</v>
      </c>
      <c r="E35" s="204">
        <v>655.45</v>
      </c>
      <c r="F35" s="147">
        <v>787.47</v>
      </c>
      <c r="G35" s="499">
        <v>8.1957077299332326E-2</v>
      </c>
    </row>
    <row r="36" spans="1:7" ht="18" customHeight="1" thickBot="1">
      <c r="A36" s="251">
        <v>2003</v>
      </c>
      <c r="B36" s="147">
        <v>867.36</v>
      </c>
      <c r="C36" s="198">
        <v>861.07</v>
      </c>
      <c r="D36" s="147">
        <v>726.44</v>
      </c>
      <c r="E36" s="204">
        <v>697.17</v>
      </c>
      <c r="F36" s="147">
        <v>852.56</v>
      </c>
      <c r="G36" s="499">
        <v>8.2657117096524457E-2</v>
      </c>
    </row>
    <row r="37" spans="1:7" ht="18" customHeight="1" thickBot="1">
      <c r="A37" s="251">
        <v>2004</v>
      </c>
      <c r="B37" s="147">
        <v>910.65</v>
      </c>
      <c r="C37" s="198">
        <v>884.46</v>
      </c>
      <c r="D37" s="147">
        <v>755.42</v>
      </c>
      <c r="E37" s="204">
        <v>740.37</v>
      </c>
      <c r="F37" s="147">
        <v>892.68</v>
      </c>
      <c r="G37" s="499">
        <v>4.7058271558600095E-2</v>
      </c>
    </row>
    <row r="38" spans="1:7" ht="18" customHeight="1" thickBot="1">
      <c r="A38" s="251">
        <v>2005</v>
      </c>
      <c r="B38" s="147">
        <v>919.29</v>
      </c>
      <c r="C38" s="198">
        <v>870.06</v>
      </c>
      <c r="D38" s="147">
        <v>720.97</v>
      </c>
      <c r="E38" s="204">
        <v>765.95</v>
      </c>
      <c r="F38" s="147">
        <v>898.43</v>
      </c>
      <c r="G38" s="499">
        <v>6.4412779495450767E-3</v>
      </c>
    </row>
    <row r="39" spans="1:7" ht="18" customHeight="1" thickBot="1">
      <c r="A39" s="848">
        <v>2006</v>
      </c>
      <c r="B39" s="277">
        <v>953.05</v>
      </c>
      <c r="C39" s="645">
        <v>876.76</v>
      </c>
      <c r="D39" s="277">
        <v>668.13</v>
      </c>
      <c r="E39" s="645">
        <v>775.89</v>
      </c>
      <c r="F39" s="277">
        <v>921.03</v>
      </c>
      <c r="G39" s="610">
        <v>2.5154992598199311E-2</v>
      </c>
    </row>
    <row r="40" spans="1:7">
      <c r="A40" s="136"/>
    </row>
    <row r="42" spans="1:7" ht="18" customHeight="1">
      <c r="A42" s="328" t="s">
        <v>1380</v>
      </c>
      <c r="B42" s="114" t="s">
        <v>741</v>
      </c>
      <c r="C42" s="115" t="s">
        <v>742</v>
      </c>
      <c r="D42" s="114" t="s">
        <v>743</v>
      </c>
      <c r="E42" s="115" t="s">
        <v>744</v>
      </c>
      <c r="F42" s="114" t="s">
        <v>1951</v>
      </c>
      <c r="G42" s="170" t="s">
        <v>45</v>
      </c>
    </row>
    <row r="43" spans="1:7" ht="18" customHeight="1">
      <c r="A43" s="847" t="s">
        <v>48</v>
      </c>
      <c r="B43" s="117" t="s">
        <v>745</v>
      </c>
      <c r="C43" s="118" t="s">
        <v>746</v>
      </c>
      <c r="D43" s="117" t="s">
        <v>747</v>
      </c>
      <c r="E43" s="180" t="s">
        <v>748</v>
      </c>
      <c r="F43" s="117"/>
      <c r="G43" s="116" t="s">
        <v>46</v>
      </c>
    </row>
    <row r="44" spans="1:7" ht="18" customHeight="1">
      <c r="A44" s="248"/>
      <c r="B44" s="117" t="s">
        <v>749</v>
      </c>
      <c r="C44" s="118" t="s">
        <v>750</v>
      </c>
      <c r="D44" s="117" t="s">
        <v>751</v>
      </c>
      <c r="E44" s="180" t="s">
        <v>752</v>
      </c>
      <c r="F44" s="117"/>
      <c r="G44" s="116" t="s">
        <v>50</v>
      </c>
    </row>
    <row r="45" spans="1:7" ht="18" customHeight="1">
      <c r="A45" s="249" t="s">
        <v>758</v>
      </c>
      <c r="B45" s="123"/>
      <c r="C45" s="122"/>
      <c r="D45" s="123"/>
      <c r="E45" s="183" t="s">
        <v>753</v>
      </c>
      <c r="F45" s="123"/>
      <c r="G45" s="120"/>
    </row>
    <row r="46" spans="1:7" ht="18" customHeight="1" thickBot="1">
      <c r="A46" s="250">
        <v>1996</v>
      </c>
      <c r="B46" s="145" t="s">
        <v>1412</v>
      </c>
      <c r="C46" s="198" t="s">
        <v>1412</v>
      </c>
      <c r="D46" s="145" t="s">
        <v>1412</v>
      </c>
      <c r="E46" s="198" t="s">
        <v>1412</v>
      </c>
      <c r="F46" s="145" t="s">
        <v>1412</v>
      </c>
      <c r="G46" s="421" t="s">
        <v>1412</v>
      </c>
    </row>
    <row r="47" spans="1:7" ht="18" customHeight="1" thickBot="1">
      <c r="A47" s="251">
        <v>1997</v>
      </c>
      <c r="B47" s="147">
        <v>1651.46</v>
      </c>
      <c r="C47" s="198">
        <v>1656.13</v>
      </c>
      <c r="D47" s="147">
        <v>1165.8699999999999</v>
      </c>
      <c r="E47" s="204">
        <v>1315.82</v>
      </c>
      <c r="F47" s="147">
        <v>1640.15</v>
      </c>
      <c r="G47" s="499" t="s">
        <v>1412</v>
      </c>
    </row>
    <row r="48" spans="1:7" ht="18" customHeight="1" thickBot="1">
      <c r="A48" s="251">
        <v>1998</v>
      </c>
      <c r="B48" s="147">
        <v>1811.07</v>
      </c>
      <c r="C48" s="198">
        <v>1791.68</v>
      </c>
      <c r="D48" s="147">
        <v>1254.44</v>
      </c>
      <c r="E48" s="204">
        <v>1519.2</v>
      </c>
      <c r="F48" s="147">
        <v>1784.45</v>
      </c>
      <c r="G48" s="499">
        <v>8.7979757948968285E-2</v>
      </c>
    </row>
    <row r="49" spans="1:7" ht="18" customHeight="1" thickBot="1">
      <c r="A49" s="251">
        <v>1999</v>
      </c>
      <c r="B49" s="147">
        <v>1787.86</v>
      </c>
      <c r="C49" s="198">
        <v>1891.33</v>
      </c>
      <c r="D49" s="147">
        <v>1319.45</v>
      </c>
      <c r="E49" s="204">
        <v>1545.48</v>
      </c>
      <c r="F49" s="147">
        <v>1815.15</v>
      </c>
      <c r="G49" s="499">
        <v>1.7204180559836191E-2</v>
      </c>
    </row>
    <row r="50" spans="1:7" ht="18" customHeight="1" thickBot="1">
      <c r="A50" s="251">
        <v>2000</v>
      </c>
      <c r="B50" s="147">
        <v>1783.47</v>
      </c>
      <c r="C50" s="198">
        <v>1887.28</v>
      </c>
      <c r="D50" s="147">
        <v>1314.66</v>
      </c>
      <c r="E50" s="204">
        <v>1536.83</v>
      </c>
      <c r="F50" s="147">
        <v>1808.28</v>
      </c>
      <c r="G50" s="499">
        <v>-3.784811172630298E-3</v>
      </c>
    </row>
    <row r="51" spans="1:7" ht="18" customHeight="1" thickBot="1">
      <c r="A51" s="251">
        <v>2001</v>
      </c>
      <c r="B51" s="147">
        <v>1864.61</v>
      </c>
      <c r="C51" s="198">
        <v>1850.57</v>
      </c>
      <c r="D51" s="147" t="s">
        <v>1412</v>
      </c>
      <c r="E51" s="204">
        <v>1540.62</v>
      </c>
      <c r="F51" s="147">
        <v>1832.96</v>
      </c>
      <c r="G51" s="499">
        <v>1.364832879863731E-2</v>
      </c>
    </row>
    <row r="52" spans="1:7" ht="18" customHeight="1" thickBot="1">
      <c r="A52" s="251">
        <v>2002</v>
      </c>
      <c r="B52" s="147">
        <v>2115.08</v>
      </c>
      <c r="C52" s="198">
        <v>2017.86</v>
      </c>
      <c r="D52" s="147" t="s">
        <v>1412</v>
      </c>
      <c r="E52" s="204">
        <v>1744.03</v>
      </c>
      <c r="F52" s="147">
        <v>2041.33</v>
      </c>
      <c r="G52" s="499">
        <v>0.11367951291899425</v>
      </c>
    </row>
    <row r="53" spans="1:7" ht="18" customHeight="1" thickBot="1">
      <c r="A53" s="251">
        <v>2003</v>
      </c>
      <c r="B53" s="147">
        <v>2434.64</v>
      </c>
      <c r="C53" s="198">
        <v>2224.9299999999998</v>
      </c>
      <c r="D53" s="147" t="s">
        <v>1412</v>
      </c>
      <c r="E53" s="204">
        <v>1931.59</v>
      </c>
      <c r="F53" s="147">
        <v>2294.29</v>
      </c>
      <c r="G53" s="499">
        <v>0.12391920953496016</v>
      </c>
    </row>
    <row r="54" spans="1:7" ht="18" customHeight="1" thickBot="1">
      <c r="A54" s="251">
        <v>2004</v>
      </c>
      <c r="B54" s="147">
        <v>2653.83</v>
      </c>
      <c r="C54" s="198">
        <v>2463.4499999999998</v>
      </c>
      <c r="D54" s="147" t="s">
        <v>1412</v>
      </c>
      <c r="E54" s="204">
        <v>2142.5700000000002</v>
      </c>
      <c r="F54" s="147">
        <v>2519.3000000000002</v>
      </c>
      <c r="G54" s="499">
        <v>9.8073913934158208E-2</v>
      </c>
    </row>
    <row r="55" spans="1:7" ht="18" customHeight="1" thickBot="1">
      <c r="A55" s="251">
        <v>2005</v>
      </c>
      <c r="B55" s="147">
        <v>2805.83</v>
      </c>
      <c r="C55" s="198">
        <v>2488.2800000000002</v>
      </c>
      <c r="D55" s="147">
        <v>2036.54</v>
      </c>
      <c r="E55" s="204">
        <v>2199.46</v>
      </c>
      <c r="F55" s="147">
        <v>2598.67</v>
      </c>
      <c r="G55" s="499">
        <v>3.1504783074663756E-2</v>
      </c>
    </row>
    <row r="56" spans="1:7" ht="18" customHeight="1" thickBot="1">
      <c r="A56" s="848">
        <v>2006</v>
      </c>
      <c r="B56" s="277">
        <v>2991.69</v>
      </c>
      <c r="C56" s="645">
        <v>2569.94</v>
      </c>
      <c r="D56" s="277">
        <v>2225.4899999999998</v>
      </c>
      <c r="E56" s="645">
        <v>2264.35</v>
      </c>
      <c r="F56" s="277">
        <v>2701.55</v>
      </c>
      <c r="G56" s="610">
        <v>3.9589482312105906E-2</v>
      </c>
    </row>
    <row r="57" spans="1:7">
      <c r="D57" s="4"/>
      <c r="E57" s="4"/>
      <c r="F57" s="4"/>
    </row>
    <row r="58" spans="1:7">
      <c r="D58" s="4"/>
      <c r="E58" s="4"/>
      <c r="F58" s="4"/>
    </row>
    <row r="59" spans="1:7" ht="18.75" customHeight="1">
      <c r="A59" s="328" t="s">
        <v>2350</v>
      </c>
      <c r="B59" s="114" t="s">
        <v>741</v>
      </c>
      <c r="C59" s="115" t="s">
        <v>742</v>
      </c>
      <c r="D59" s="114" t="s">
        <v>743</v>
      </c>
      <c r="E59" s="115" t="s">
        <v>744</v>
      </c>
      <c r="F59" s="114" t="s">
        <v>1951</v>
      </c>
      <c r="G59" s="170" t="s">
        <v>45</v>
      </c>
    </row>
    <row r="60" spans="1:7" ht="18.75" customHeight="1">
      <c r="A60" s="847" t="s">
        <v>2351</v>
      </c>
      <c r="B60" s="117" t="s">
        <v>745</v>
      </c>
      <c r="C60" s="118" t="s">
        <v>746</v>
      </c>
      <c r="D60" s="117" t="s">
        <v>747</v>
      </c>
      <c r="E60" s="180" t="s">
        <v>748</v>
      </c>
      <c r="F60" s="117"/>
      <c r="G60" s="116" t="s">
        <v>46</v>
      </c>
    </row>
    <row r="61" spans="1:7" ht="18.75" customHeight="1">
      <c r="A61" s="248"/>
      <c r="B61" s="117" t="s">
        <v>749</v>
      </c>
      <c r="C61" s="118" t="s">
        <v>750</v>
      </c>
      <c r="D61" s="117" t="s">
        <v>751</v>
      </c>
      <c r="E61" s="180" t="s">
        <v>752</v>
      </c>
      <c r="F61" s="117"/>
      <c r="G61" s="116" t="s">
        <v>50</v>
      </c>
    </row>
    <row r="62" spans="1:7" ht="18.75" customHeight="1">
      <c r="A62" s="249" t="s">
        <v>758</v>
      </c>
      <c r="B62" s="123"/>
      <c r="C62" s="122"/>
      <c r="D62" s="123"/>
      <c r="E62" s="183" t="s">
        <v>753</v>
      </c>
      <c r="F62" s="123"/>
      <c r="G62" s="120"/>
    </row>
    <row r="63" spans="1:7" ht="18.75" customHeight="1" thickBot="1">
      <c r="A63" s="250">
        <v>1996</v>
      </c>
      <c r="B63" s="145" t="s">
        <v>1412</v>
      </c>
      <c r="C63" s="198" t="s">
        <v>1412</v>
      </c>
      <c r="D63" s="145" t="s">
        <v>1412</v>
      </c>
      <c r="E63" s="198" t="s">
        <v>1412</v>
      </c>
      <c r="F63" s="145" t="s">
        <v>1412</v>
      </c>
      <c r="G63" s="421" t="s">
        <v>1412</v>
      </c>
    </row>
    <row r="64" spans="1:7" ht="18.75" customHeight="1" thickBot="1">
      <c r="A64" s="251">
        <v>1997</v>
      </c>
      <c r="B64" s="147">
        <v>2436.63</v>
      </c>
      <c r="C64" s="198">
        <v>2292.0500000000002</v>
      </c>
      <c r="D64" s="147">
        <v>1646.6</v>
      </c>
      <c r="E64" s="204">
        <v>1872.69</v>
      </c>
      <c r="F64" s="147">
        <v>2340.06</v>
      </c>
      <c r="G64" s="499" t="s">
        <v>1412</v>
      </c>
    </row>
    <row r="65" spans="1:7" ht="18.75" customHeight="1" thickBot="1">
      <c r="A65" s="251">
        <v>1998</v>
      </c>
      <c r="B65" s="147">
        <v>2590.79</v>
      </c>
      <c r="C65" s="198">
        <v>2501.2399999999998</v>
      </c>
      <c r="D65" s="147">
        <v>1655.82</v>
      </c>
      <c r="E65" s="204">
        <v>2060.8200000000002</v>
      </c>
      <c r="F65" s="147">
        <v>2512.02</v>
      </c>
      <c r="G65" s="499">
        <v>7.3485295248839844E-2</v>
      </c>
    </row>
    <row r="66" spans="1:7" ht="18.75" customHeight="1" thickBot="1">
      <c r="A66" s="251">
        <v>1999</v>
      </c>
      <c r="B66" s="147">
        <v>2664.42</v>
      </c>
      <c r="C66" s="198">
        <v>2559.23</v>
      </c>
      <c r="D66" s="147">
        <v>1701.12</v>
      </c>
      <c r="E66" s="204">
        <v>2138.92</v>
      </c>
      <c r="F66" s="147">
        <v>2575.1999999999998</v>
      </c>
      <c r="G66" s="499">
        <v>2.5151073637948773E-2</v>
      </c>
    </row>
    <row r="67" spans="1:7" ht="18.75" customHeight="1" thickBot="1">
      <c r="A67" s="251">
        <v>2000</v>
      </c>
      <c r="B67" s="147">
        <v>2783.82</v>
      </c>
      <c r="C67" s="198">
        <v>2623.77</v>
      </c>
      <c r="D67" s="147">
        <v>1709.08</v>
      </c>
      <c r="E67" s="204">
        <v>2213.5300000000002</v>
      </c>
      <c r="F67" s="147">
        <v>2662.32</v>
      </c>
      <c r="G67" s="499">
        <v>3.3830382106244228E-2</v>
      </c>
    </row>
    <row r="68" spans="1:7" ht="18.75" customHeight="1" thickBot="1">
      <c r="A68" s="251">
        <v>2001</v>
      </c>
      <c r="B68" s="147">
        <v>2936.16</v>
      </c>
      <c r="C68" s="198">
        <v>2709.13</v>
      </c>
      <c r="D68" s="147">
        <v>1806.6</v>
      </c>
      <c r="E68" s="204">
        <v>2304.65</v>
      </c>
      <c r="F68" s="147">
        <v>2775.24</v>
      </c>
      <c r="G68" s="499">
        <v>4.2414135040115264E-2</v>
      </c>
    </row>
    <row r="69" spans="1:7" ht="18.75" customHeight="1" thickBot="1">
      <c r="A69" s="251">
        <v>2002</v>
      </c>
      <c r="B69" s="147">
        <v>3187.69</v>
      </c>
      <c r="C69" s="198">
        <v>2897.84</v>
      </c>
      <c r="D69" s="147">
        <v>2029.69</v>
      </c>
      <c r="E69" s="204">
        <v>2498.9299999999998</v>
      </c>
      <c r="F69" s="147">
        <v>2988.54</v>
      </c>
      <c r="G69" s="499">
        <v>7.6858217667661322E-2</v>
      </c>
    </row>
    <row r="70" spans="1:7" ht="18.75" customHeight="1" thickBot="1">
      <c r="A70" s="251">
        <v>2003</v>
      </c>
      <c r="B70" s="147">
        <v>3484.97</v>
      </c>
      <c r="C70" s="198">
        <v>3082.04</v>
      </c>
      <c r="D70" s="147">
        <v>2182.84</v>
      </c>
      <c r="E70" s="204">
        <v>2655.45</v>
      </c>
      <c r="F70" s="147">
        <v>3212.78</v>
      </c>
      <c r="G70" s="499">
        <v>7.5033293849170679E-2</v>
      </c>
    </row>
    <row r="71" spans="1:7" ht="18.75" customHeight="1" thickBot="1">
      <c r="A71" s="251">
        <v>2004</v>
      </c>
      <c r="B71" s="147">
        <v>3676.51</v>
      </c>
      <c r="C71" s="198">
        <v>3318.93</v>
      </c>
      <c r="D71" s="147">
        <v>2323.6</v>
      </c>
      <c r="E71" s="204">
        <v>2890.14</v>
      </c>
      <c r="F71" s="147">
        <v>3430.62</v>
      </c>
      <c r="G71" s="499">
        <v>6.7804206948499424E-2</v>
      </c>
    </row>
    <row r="72" spans="1:7" ht="18.75" customHeight="1" thickBot="1">
      <c r="A72" s="251">
        <v>2005</v>
      </c>
      <c r="B72" s="147">
        <v>3831.71</v>
      </c>
      <c r="C72" s="198">
        <v>3326.67</v>
      </c>
      <c r="D72" s="147">
        <v>2442.3000000000002</v>
      </c>
      <c r="E72" s="204">
        <v>2960.35</v>
      </c>
      <c r="F72" s="147">
        <v>3506.02</v>
      </c>
      <c r="G72" s="499">
        <v>2.1978534492307578E-2</v>
      </c>
    </row>
    <row r="73" spans="1:7" ht="18.75" customHeight="1" thickBot="1">
      <c r="A73" s="848">
        <v>2006</v>
      </c>
      <c r="B73" s="277">
        <v>4026.19</v>
      </c>
      <c r="C73" s="645">
        <v>3441.57</v>
      </c>
      <c r="D73" s="277">
        <v>2594.42</v>
      </c>
      <c r="E73" s="645">
        <v>3060.8</v>
      </c>
      <c r="F73" s="277">
        <v>3630.2</v>
      </c>
      <c r="G73" s="610">
        <v>3.5419079183803825E-2</v>
      </c>
    </row>
    <row r="74" spans="1:7" ht="15" customHeight="1">
      <c r="A74" s="660" t="s">
        <v>1245</v>
      </c>
    </row>
    <row r="76" spans="1:7">
      <c r="A76" s="236" t="str">
        <f>A20</f>
        <v>Quelle: T 3.12 + 2.02</v>
      </c>
    </row>
    <row r="79" spans="1:7">
      <c r="A79" s="2" t="s">
        <v>1955</v>
      </c>
    </row>
  </sheetData>
  <mergeCells count="1">
    <mergeCell ref="A2:E2"/>
  </mergeCells>
  <phoneticPr fontId="0" type="noConversion"/>
  <pageMargins left="0.56000000000000005" right="0.54" top="0.5" bottom="0.49" header="0.36" footer="0.4921259845"/>
  <pageSetup paperSize="9" scale="56" orientation="portrait" horizontalDpi="1200" verticalDpi="1200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4734-9AEA-DE42-9569-94A91A1A2B89}">
  <sheetPr>
    <pageSetUpPr fitToPage="1"/>
  </sheetPr>
  <dimension ref="A1:I41"/>
  <sheetViews>
    <sheetView zoomScale="75" workbookViewId="0">
      <selection activeCell="K31" sqref="K31"/>
    </sheetView>
  </sheetViews>
  <sheetFormatPr baseColWidth="10" defaultColWidth="11.3984375" defaultRowHeight="13"/>
  <cols>
    <col min="1" max="1" width="14.19921875" style="2" customWidth="1"/>
    <col min="2" max="2" width="12.3984375" style="159" customWidth="1"/>
    <col min="3" max="3" width="13" style="159" customWidth="1"/>
    <col min="4" max="4" width="11.796875" style="159" customWidth="1"/>
    <col min="5" max="5" width="13.19921875" style="159" customWidth="1"/>
    <col min="6" max="6" width="13" style="159" customWidth="1"/>
    <col min="7" max="7" width="12.796875" style="159" customWidth="1"/>
    <col min="8" max="8" width="12.3984375" style="159" customWidth="1"/>
    <col min="9" max="9" width="14.19921875" style="159" customWidth="1"/>
    <col min="10" max="10" width="8.3984375" style="2" customWidth="1"/>
    <col min="11" max="16384" width="11.3984375" style="2"/>
  </cols>
  <sheetData>
    <row r="1" spans="1:9" s="1" customFormat="1" ht="14" customHeight="1">
      <c r="A1" s="718"/>
      <c r="B1" s="946"/>
      <c r="C1" s="946"/>
      <c r="D1" s="946"/>
      <c r="E1" s="946"/>
      <c r="F1" s="946"/>
      <c r="G1" s="946"/>
      <c r="H1" s="946"/>
      <c r="I1" s="946"/>
    </row>
    <row r="2" spans="1:9" s="1" customFormat="1" ht="33.75" customHeight="1">
      <c r="A2" s="1700" t="s">
        <v>2419</v>
      </c>
      <c r="B2" s="1699"/>
      <c r="C2" s="1699"/>
      <c r="D2" s="1699"/>
      <c r="E2" s="1699"/>
      <c r="F2" s="1699"/>
      <c r="G2" s="1699"/>
      <c r="H2" s="1699"/>
      <c r="I2" s="265">
        <v>2006</v>
      </c>
    </row>
    <row r="3" spans="1:9" ht="20" customHeight="1">
      <c r="A3" s="113" t="s">
        <v>758</v>
      </c>
      <c r="B3" s="427" t="s">
        <v>2427</v>
      </c>
      <c r="C3" s="115"/>
      <c r="D3" s="114"/>
      <c r="E3" s="115"/>
      <c r="F3" s="947" t="s">
        <v>2428</v>
      </c>
      <c r="G3" s="115"/>
      <c r="H3" s="114"/>
      <c r="I3" s="115"/>
    </row>
    <row r="4" spans="1:9" ht="20" customHeight="1">
      <c r="A4" s="248"/>
      <c r="B4" s="948" t="s">
        <v>2429</v>
      </c>
      <c r="C4" s="349"/>
      <c r="D4" s="348"/>
      <c r="E4" s="118" t="s">
        <v>1951</v>
      </c>
      <c r="F4" s="949" t="s">
        <v>2430</v>
      </c>
      <c r="G4" s="349"/>
      <c r="H4" s="348"/>
      <c r="I4" s="118" t="s">
        <v>1951</v>
      </c>
    </row>
    <row r="5" spans="1:9" ht="15" customHeight="1">
      <c r="A5" s="248"/>
      <c r="B5" s="117" t="s">
        <v>1358</v>
      </c>
      <c r="C5" s="118" t="s">
        <v>1359</v>
      </c>
      <c r="D5" s="117" t="s">
        <v>1951</v>
      </c>
      <c r="E5" s="118" t="s">
        <v>2420</v>
      </c>
      <c r="F5" s="950" t="s">
        <v>1358</v>
      </c>
      <c r="G5" s="118" t="s">
        <v>1359</v>
      </c>
      <c r="H5" s="117" t="s">
        <v>1951</v>
      </c>
      <c r="I5" s="118" t="s">
        <v>2420</v>
      </c>
    </row>
    <row r="6" spans="1:9" ht="15" customHeight="1">
      <c r="A6" s="248"/>
      <c r="B6" s="366" t="s">
        <v>2421</v>
      </c>
      <c r="C6" s="784" t="s">
        <v>2421</v>
      </c>
      <c r="D6" s="117"/>
      <c r="E6" s="118" t="s">
        <v>989</v>
      </c>
      <c r="F6" s="950" t="s">
        <v>2421</v>
      </c>
      <c r="G6" s="118" t="s">
        <v>2421</v>
      </c>
      <c r="H6" s="117"/>
      <c r="I6" s="118" t="s">
        <v>989</v>
      </c>
    </row>
    <row r="7" spans="1:9" ht="15" customHeight="1">
      <c r="A7" s="248"/>
      <c r="B7" s="366" t="s">
        <v>825</v>
      </c>
      <c r="C7" s="784" t="s">
        <v>825</v>
      </c>
      <c r="D7" s="117"/>
      <c r="E7" s="118" t="s">
        <v>991</v>
      </c>
      <c r="F7" s="950" t="s">
        <v>825</v>
      </c>
      <c r="G7" s="118" t="s">
        <v>825</v>
      </c>
      <c r="H7" s="117"/>
      <c r="I7" s="118" t="s">
        <v>991</v>
      </c>
    </row>
    <row r="8" spans="1:9" ht="20" customHeight="1">
      <c r="A8" s="314"/>
      <c r="B8" s="123"/>
      <c r="C8" s="122"/>
      <c r="D8" s="123"/>
      <c r="E8" s="122"/>
      <c r="F8" s="951"/>
      <c r="G8" s="122"/>
      <c r="H8" s="123"/>
      <c r="I8" s="122"/>
    </row>
    <row r="9" spans="1:9" ht="1.5" customHeight="1" thickBot="1">
      <c r="A9" s="952">
        <v>1985</v>
      </c>
      <c r="B9" s="953" t="s">
        <v>1412</v>
      </c>
      <c r="C9" s="628" t="s">
        <v>1412</v>
      </c>
      <c r="D9" s="953" t="s">
        <v>1412</v>
      </c>
      <c r="E9" s="628">
        <v>948.43799999999999</v>
      </c>
      <c r="F9" s="954" t="s">
        <v>1412</v>
      </c>
      <c r="G9" s="628" t="s">
        <v>1412</v>
      </c>
      <c r="H9" s="953" t="s">
        <v>1412</v>
      </c>
      <c r="I9" s="628">
        <v>631.95600000000002</v>
      </c>
    </row>
    <row r="10" spans="1:9" ht="20" hidden="1" customHeight="1" thickBot="1">
      <c r="A10" s="368">
        <v>1986</v>
      </c>
      <c r="B10" s="638" t="s">
        <v>1412</v>
      </c>
      <c r="C10" s="546" t="s">
        <v>1412</v>
      </c>
      <c r="D10" s="638" t="s">
        <v>1412</v>
      </c>
      <c r="E10" s="546">
        <v>1033.73</v>
      </c>
      <c r="F10" s="955" t="s">
        <v>1412</v>
      </c>
      <c r="G10" s="546" t="s">
        <v>1412</v>
      </c>
      <c r="H10" s="638" t="s">
        <v>1412</v>
      </c>
      <c r="I10" s="546">
        <v>701.48400000000004</v>
      </c>
    </row>
    <row r="11" spans="1:9" ht="20" hidden="1" customHeight="1" thickBot="1">
      <c r="A11" s="368">
        <v>1987</v>
      </c>
      <c r="B11" s="638" t="s">
        <v>1412</v>
      </c>
      <c r="C11" s="546" t="s">
        <v>1412</v>
      </c>
      <c r="D11" s="638" t="s">
        <v>1412</v>
      </c>
      <c r="E11" s="546">
        <v>1100.9369999999999</v>
      </c>
      <c r="F11" s="955" t="s">
        <v>1412</v>
      </c>
      <c r="G11" s="546" t="s">
        <v>1412</v>
      </c>
      <c r="H11" s="638" t="s">
        <v>1412</v>
      </c>
      <c r="I11" s="546">
        <v>778.54499999999996</v>
      </c>
    </row>
    <row r="12" spans="1:9" ht="20" hidden="1" customHeight="1" thickBot="1">
      <c r="A12" s="368">
        <v>1988</v>
      </c>
      <c r="B12" s="638" t="s">
        <v>1412</v>
      </c>
      <c r="C12" s="546" t="s">
        <v>1412</v>
      </c>
      <c r="D12" s="638" t="s">
        <v>1412</v>
      </c>
      <c r="E12" s="546">
        <v>1177.078</v>
      </c>
      <c r="F12" s="955" t="s">
        <v>1412</v>
      </c>
      <c r="G12" s="546" t="s">
        <v>1412</v>
      </c>
      <c r="H12" s="638" t="s">
        <v>1412</v>
      </c>
      <c r="I12" s="546">
        <v>873.36699999999996</v>
      </c>
    </row>
    <row r="13" spans="1:9" ht="20" hidden="1" customHeight="1" thickBot="1">
      <c r="A13" s="368">
        <v>1989</v>
      </c>
      <c r="B13" s="638" t="s">
        <v>1412</v>
      </c>
      <c r="C13" s="546" t="s">
        <v>1412</v>
      </c>
      <c r="D13" s="638" t="s">
        <v>1412</v>
      </c>
      <c r="E13" s="546">
        <v>1287.019</v>
      </c>
      <c r="F13" s="955" t="s">
        <v>1412</v>
      </c>
      <c r="G13" s="546" t="s">
        <v>1412</v>
      </c>
      <c r="H13" s="638" t="s">
        <v>1412</v>
      </c>
      <c r="I13" s="546">
        <v>948.92100000000005</v>
      </c>
    </row>
    <row r="14" spans="1:9" ht="20" hidden="1" customHeight="1" thickBot="1">
      <c r="A14" s="368">
        <v>1990</v>
      </c>
      <c r="B14" s="638" t="s">
        <v>1412</v>
      </c>
      <c r="C14" s="546" t="s">
        <v>1412</v>
      </c>
      <c r="D14" s="638" t="s">
        <v>1412</v>
      </c>
      <c r="E14" s="546">
        <v>1420.8050000000001</v>
      </c>
      <c r="F14" s="955" t="s">
        <v>1412</v>
      </c>
      <c r="G14" s="546" t="s">
        <v>1412</v>
      </c>
      <c r="H14" s="638" t="s">
        <v>1412</v>
      </c>
      <c r="I14" s="546">
        <v>1086.6199999999999</v>
      </c>
    </row>
    <row r="15" spans="1:9" ht="20" hidden="1" customHeight="1" thickBot="1">
      <c r="A15" s="368">
        <v>1991</v>
      </c>
      <c r="B15" s="638" t="s">
        <v>1412</v>
      </c>
      <c r="C15" s="546" t="s">
        <v>1412</v>
      </c>
      <c r="D15" s="638">
        <v>763.6</v>
      </c>
      <c r="E15" s="546">
        <v>1543.597</v>
      </c>
      <c r="F15" s="955" t="s">
        <v>1412</v>
      </c>
      <c r="G15" s="546" t="s">
        <v>1412</v>
      </c>
      <c r="H15" s="638">
        <v>608.6</v>
      </c>
      <c r="I15" s="546">
        <v>1257.979</v>
      </c>
    </row>
    <row r="16" spans="1:9" ht="19.5" hidden="1" customHeight="1" thickBot="1">
      <c r="A16" s="368">
        <v>1992</v>
      </c>
      <c r="B16" s="638" t="s">
        <v>1412</v>
      </c>
      <c r="C16" s="546" t="s">
        <v>1412</v>
      </c>
      <c r="D16" s="956">
        <v>751.1</v>
      </c>
      <c r="E16" s="546">
        <v>1648.1410000000001</v>
      </c>
      <c r="F16" s="955" t="s">
        <v>1412</v>
      </c>
      <c r="G16" s="546" t="s">
        <v>1412</v>
      </c>
      <c r="H16" s="956">
        <v>631.1</v>
      </c>
      <c r="I16" s="546">
        <v>1414.9949999999999</v>
      </c>
    </row>
    <row r="17" spans="1:9" ht="19.5" hidden="1" customHeight="1" thickBot="1">
      <c r="A17" s="368">
        <v>1993</v>
      </c>
      <c r="B17" s="638" t="s">
        <v>1412</v>
      </c>
      <c r="C17" s="546" t="s">
        <v>1412</v>
      </c>
      <c r="D17" s="956">
        <v>734.9</v>
      </c>
      <c r="E17" s="546">
        <v>1667.729</v>
      </c>
      <c r="F17" s="955" t="s">
        <v>1412</v>
      </c>
      <c r="G17" s="546" t="s">
        <v>1412</v>
      </c>
      <c r="H17" s="956">
        <v>626</v>
      </c>
      <c r="I17" s="546">
        <v>1459.6659999999999</v>
      </c>
    </row>
    <row r="18" spans="1:9" ht="19.5" hidden="1" customHeight="1" thickBot="1">
      <c r="A18" s="368">
        <v>1994</v>
      </c>
      <c r="B18" s="638" t="s">
        <v>1412</v>
      </c>
      <c r="C18" s="546" t="s">
        <v>1412</v>
      </c>
      <c r="D18" s="956">
        <v>690</v>
      </c>
      <c r="E18" s="546">
        <v>1621.08</v>
      </c>
      <c r="F18" s="955" t="s">
        <v>1412</v>
      </c>
      <c r="G18" s="546" t="s">
        <v>1412</v>
      </c>
      <c r="H18" s="956">
        <v>613.1</v>
      </c>
      <c r="I18" s="546">
        <v>1489.1569999999999</v>
      </c>
    </row>
    <row r="19" spans="1:9" ht="19.5" hidden="1" customHeight="1" thickBot="1">
      <c r="A19" s="368">
        <v>1995</v>
      </c>
      <c r="B19" s="638" t="s">
        <v>1412</v>
      </c>
      <c r="C19" s="546" t="s">
        <v>1412</v>
      </c>
      <c r="D19" s="956">
        <v>651.4</v>
      </c>
      <c r="E19" s="546">
        <v>1586.424</v>
      </c>
      <c r="F19" s="955" t="s">
        <v>1412</v>
      </c>
      <c r="G19" s="546" t="s">
        <v>1412</v>
      </c>
      <c r="H19" s="956">
        <v>587.29999999999995</v>
      </c>
      <c r="I19" s="546">
        <v>1488.664</v>
      </c>
    </row>
    <row r="20" spans="1:9" ht="20" customHeight="1" thickBot="1">
      <c r="A20" s="368">
        <v>1996</v>
      </c>
      <c r="B20" s="638" t="s">
        <v>1412</v>
      </c>
      <c r="C20" s="546" t="s">
        <v>1412</v>
      </c>
      <c r="D20" s="956">
        <v>640.4</v>
      </c>
      <c r="E20" s="546">
        <v>1618.7</v>
      </c>
      <c r="F20" s="955" t="s">
        <v>1412</v>
      </c>
      <c r="G20" s="546" t="s">
        <v>1412</v>
      </c>
      <c r="H20" s="956">
        <v>512.70000000000005</v>
      </c>
      <c r="I20" s="546">
        <v>1358.8</v>
      </c>
    </row>
    <row r="21" spans="1:9" ht="20" customHeight="1" thickBot="1">
      <c r="A21" s="368">
        <v>1997</v>
      </c>
      <c r="B21" s="638">
        <v>513.53</v>
      </c>
      <c r="C21" s="546">
        <v>88.28</v>
      </c>
      <c r="D21" s="638">
        <v>601.80999999999995</v>
      </c>
      <c r="E21" s="546">
        <v>1921.75</v>
      </c>
      <c r="F21" s="955">
        <v>395.33</v>
      </c>
      <c r="G21" s="546">
        <v>80.59</v>
      </c>
      <c r="H21" s="638">
        <v>475.92</v>
      </c>
      <c r="I21" s="546">
        <v>1558.71</v>
      </c>
    </row>
    <row r="22" spans="1:9" ht="20" customHeight="1" thickBot="1">
      <c r="A22" s="368">
        <v>1998</v>
      </c>
      <c r="B22" s="638">
        <v>544.61</v>
      </c>
      <c r="C22" s="546">
        <v>93.2</v>
      </c>
      <c r="D22" s="638">
        <v>637.80999999999995</v>
      </c>
      <c r="E22" s="546">
        <v>2066.17</v>
      </c>
      <c r="F22" s="955">
        <v>381.42</v>
      </c>
      <c r="G22" s="546">
        <v>78.63</v>
      </c>
      <c r="H22" s="638">
        <v>460.05</v>
      </c>
      <c r="I22" s="546">
        <v>1597.15</v>
      </c>
    </row>
    <row r="23" spans="1:9" ht="20" customHeight="1" thickBot="1">
      <c r="A23" s="368">
        <v>1999</v>
      </c>
      <c r="B23" s="638">
        <v>841.09</v>
      </c>
      <c r="C23" s="546">
        <v>257.10000000000002</v>
      </c>
      <c r="D23" s="638">
        <v>1098.19</v>
      </c>
      <c r="E23" s="546">
        <v>2435.96</v>
      </c>
      <c r="F23" s="955">
        <v>558.61</v>
      </c>
      <c r="G23" s="546">
        <v>205.28</v>
      </c>
      <c r="H23" s="638">
        <v>763.89</v>
      </c>
      <c r="I23" s="546">
        <v>1841.41</v>
      </c>
    </row>
    <row r="24" spans="1:9" ht="20" customHeight="1" thickBot="1">
      <c r="A24" s="368">
        <v>2000</v>
      </c>
      <c r="B24" s="638">
        <v>1843.16</v>
      </c>
      <c r="C24" s="546">
        <v>399.77</v>
      </c>
      <c r="D24" s="638">
        <v>2242.9299999999998</v>
      </c>
      <c r="E24" s="546">
        <v>3879.09</v>
      </c>
      <c r="F24" s="955">
        <v>1257.46</v>
      </c>
      <c r="G24" s="546">
        <v>326.3</v>
      </c>
      <c r="H24" s="638">
        <v>1583.76</v>
      </c>
      <c r="I24" s="546">
        <v>2917.88</v>
      </c>
    </row>
    <row r="25" spans="1:9" ht="20" customHeight="1" thickBot="1">
      <c r="A25" s="368">
        <v>2001</v>
      </c>
      <c r="B25" s="638">
        <v>2676.62</v>
      </c>
      <c r="C25" s="546">
        <v>513.83000000000004</v>
      </c>
      <c r="D25" s="638">
        <v>3190.45</v>
      </c>
      <c r="E25" s="546">
        <v>5041.2299999999996</v>
      </c>
      <c r="F25" s="955">
        <v>1941.54</v>
      </c>
      <c r="G25" s="546">
        <v>411.76</v>
      </c>
      <c r="H25" s="638">
        <v>2353.3000000000002</v>
      </c>
      <c r="I25" s="546">
        <v>3948.45</v>
      </c>
    </row>
    <row r="26" spans="1:9" ht="20" customHeight="1" thickBot="1">
      <c r="A26" s="368">
        <v>2002</v>
      </c>
      <c r="B26" s="638">
        <v>2798.3878989999998</v>
      </c>
      <c r="C26" s="546">
        <v>633.98667199999954</v>
      </c>
      <c r="D26" s="638">
        <v>3432.3745709999994</v>
      </c>
      <c r="E26" s="546">
        <v>5378.3268339999995</v>
      </c>
      <c r="F26" s="955">
        <v>1909.542256</v>
      </c>
      <c r="G26" s="546">
        <v>485.91948999999977</v>
      </c>
      <c r="H26" s="638">
        <v>2395.4617459999999</v>
      </c>
      <c r="I26" s="546">
        <v>4096.4477649999999</v>
      </c>
    </row>
    <row r="27" spans="1:9" ht="20" customHeight="1" thickBot="1">
      <c r="A27" s="368">
        <v>2003</v>
      </c>
      <c r="B27" s="638">
        <v>2790.9018799999994</v>
      </c>
      <c r="C27" s="546">
        <v>615.2966899999999</v>
      </c>
      <c r="D27" s="638">
        <v>3406.1985699999996</v>
      </c>
      <c r="E27" s="546">
        <v>5465.9839059999995</v>
      </c>
      <c r="F27" s="955">
        <v>1892.170619</v>
      </c>
      <c r="G27" s="546">
        <v>468.26997800000004</v>
      </c>
      <c r="H27" s="638">
        <v>2360.4405969999998</v>
      </c>
      <c r="I27" s="546">
        <v>4182.1949699999996</v>
      </c>
    </row>
    <row r="28" spans="1:9" ht="20" customHeight="1" thickBot="1">
      <c r="A28" s="368">
        <v>2004</v>
      </c>
      <c r="B28" s="638">
        <v>3283.3419159999994</v>
      </c>
      <c r="C28" s="546">
        <v>738.67842599999994</v>
      </c>
      <c r="D28" s="638">
        <v>4022.0203419999989</v>
      </c>
      <c r="E28" s="546">
        <v>6221.528084999999</v>
      </c>
      <c r="F28" s="955">
        <v>2205.5112090000002</v>
      </c>
      <c r="G28" s="546">
        <v>549.46329500000024</v>
      </c>
      <c r="H28" s="638">
        <v>2754.9745040000003</v>
      </c>
      <c r="I28" s="546">
        <v>4484.0208080000002</v>
      </c>
    </row>
    <row r="29" spans="1:9" ht="20" customHeight="1" thickBot="1">
      <c r="A29" s="368">
        <v>2005</v>
      </c>
      <c r="B29" s="638">
        <v>3264.4965889999999</v>
      </c>
      <c r="C29" s="546">
        <v>760.80693199999951</v>
      </c>
      <c r="D29" s="638">
        <v>4025.3035210000007</v>
      </c>
      <c r="E29" s="546">
        <v>6170.3164760000009</v>
      </c>
      <c r="F29" s="955">
        <v>2229.0179430000003</v>
      </c>
      <c r="G29" s="546">
        <v>583.71884400000022</v>
      </c>
      <c r="H29" s="638">
        <v>2812.7367870000003</v>
      </c>
      <c r="I29" s="546">
        <v>4360.2722080000003</v>
      </c>
    </row>
    <row r="30" spans="1:9" ht="26.25" customHeight="1" thickBot="1">
      <c r="A30" s="370">
        <v>2006</v>
      </c>
      <c r="B30" s="844">
        <v>3413.72939</v>
      </c>
      <c r="C30" s="845">
        <v>785.33334699999978</v>
      </c>
      <c r="D30" s="844">
        <v>4199.0627370000002</v>
      </c>
      <c r="E30" s="845">
        <v>6351.4960959999999</v>
      </c>
      <c r="F30" s="957">
        <v>2298.0293460000003</v>
      </c>
      <c r="G30" s="845">
        <v>593.03030600000011</v>
      </c>
      <c r="H30" s="844">
        <v>2891.0596519999999</v>
      </c>
      <c r="I30" s="845">
        <v>4362.9127799999997</v>
      </c>
    </row>
    <row r="31" spans="1:9" ht="16.5" customHeight="1">
      <c r="A31" s="958" t="s">
        <v>1121</v>
      </c>
      <c r="B31" s="959"/>
      <c r="C31" s="959"/>
      <c r="D31" s="959"/>
      <c r="E31" s="959"/>
      <c r="F31" s="959"/>
      <c r="G31" s="959"/>
      <c r="H31" s="959"/>
      <c r="I31" s="959"/>
    </row>
    <row r="32" spans="1:9" ht="10.5" customHeight="1">
      <c r="A32" s="960"/>
      <c r="B32" s="961"/>
      <c r="C32" s="961"/>
      <c r="D32" s="961"/>
      <c r="E32" s="961"/>
      <c r="F32" s="961"/>
      <c r="G32" s="961"/>
      <c r="H32" s="961"/>
      <c r="I32" s="961"/>
    </row>
    <row r="33" spans="1:9" ht="14.25" customHeight="1">
      <c r="A33" s="41" t="s">
        <v>2422</v>
      </c>
      <c r="B33" s="961"/>
      <c r="C33" s="961"/>
      <c r="D33" s="961"/>
      <c r="E33" s="961"/>
      <c r="F33" s="961"/>
      <c r="G33" s="961"/>
      <c r="H33" s="961"/>
      <c r="I33" s="961"/>
    </row>
    <row r="34" spans="1:9" ht="12" customHeight="1">
      <c r="A34" s="962" t="s">
        <v>2423</v>
      </c>
      <c r="B34" s="961"/>
      <c r="C34" s="961"/>
      <c r="D34" s="961"/>
      <c r="E34" s="961"/>
      <c r="F34" s="961"/>
      <c r="G34" s="961"/>
      <c r="H34" s="961"/>
      <c r="I34" s="961"/>
    </row>
    <row r="35" spans="1:9" ht="12" customHeight="1">
      <c r="A35" s="41" t="s">
        <v>2424</v>
      </c>
      <c r="B35" s="961"/>
      <c r="C35" s="961"/>
      <c r="D35" s="961"/>
      <c r="E35" s="961"/>
      <c r="F35" s="961"/>
      <c r="G35" s="961"/>
      <c r="H35" s="961"/>
      <c r="I35" s="961"/>
    </row>
    <row r="36" spans="1:9" ht="12" customHeight="1">
      <c r="A36" s="41" t="s">
        <v>2425</v>
      </c>
      <c r="B36" s="961"/>
      <c r="C36" s="961"/>
      <c r="D36" s="961"/>
      <c r="E36" s="961"/>
      <c r="F36" s="961"/>
      <c r="G36" s="961"/>
      <c r="H36" s="961"/>
      <c r="I36" s="961"/>
    </row>
    <row r="37" spans="1:9" ht="12" customHeight="1">
      <c r="A37" s="41"/>
      <c r="B37" s="961"/>
      <c r="C37" s="961"/>
      <c r="D37" s="961"/>
      <c r="E37" s="961"/>
      <c r="F37" s="961"/>
      <c r="G37" s="961"/>
      <c r="H37" s="961"/>
      <c r="I37" s="961"/>
    </row>
    <row r="38" spans="1:9">
      <c r="A38" s="960" t="s">
        <v>2426</v>
      </c>
      <c r="B38" s="963"/>
      <c r="C38" s="963"/>
      <c r="D38" s="963"/>
      <c r="E38" s="963"/>
      <c r="F38" s="963"/>
      <c r="G38" s="963"/>
      <c r="H38" s="963"/>
      <c r="I38" s="963"/>
    </row>
    <row r="41" spans="1:9">
      <c r="A41" s="2" t="s">
        <v>1955</v>
      </c>
    </row>
  </sheetData>
  <mergeCells count="1">
    <mergeCell ref="A2:H2"/>
  </mergeCells>
  <phoneticPr fontId="0" type="noConversion"/>
  <pageMargins left="0.48" right="0.54" top="0.93" bottom="0.49" header="0.5" footer="0.4921259845"/>
  <pageSetup paperSize="9" scale="75" orientation="portrait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C561-4E3B-1B48-887A-F9AF13955710}">
  <sheetPr>
    <pageSetUpPr fitToPage="1"/>
  </sheetPr>
  <dimension ref="A1:L36"/>
  <sheetViews>
    <sheetView topLeftCell="A6" zoomScale="75" workbookViewId="0">
      <selection activeCell="A23" sqref="A23:IV23"/>
    </sheetView>
  </sheetViews>
  <sheetFormatPr baseColWidth="10" defaultColWidth="11.3984375" defaultRowHeight="13"/>
  <cols>
    <col min="1" max="1" width="10" style="2" customWidth="1"/>
    <col min="2" max="2" width="13.796875" style="159" customWidth="1"/>
    <col min="3" max="3" width="13.3984375" style="159" customWidth="1"/>
    <col min="4" max="4" width="12.59765625" style="159" customWidth="1"/>
    <col min="5" max="5" width="13.19921875" style="159" customWidth="1"/>
    <col min="6" max="6" width="11.796875" style="159" customWidth="1"/>
    <col min="7" max="7" width="14.59765625" style="159" customWidth="1"/>
    <col min="8" max="8" width="13.3984375" style="159" customWidth="1"/>
    <col min="9" max="9" width="12.3984375" style="159" customWidth="1"/>
    <col min="10" max="10" width="13.796875" style="159" customWidth="1"/>
    <col min="11" max="11" width="12.19921875" style="159" customWidth="1"/>
    <col min="12" max="16384" width="11.3984375" style="2"/>
  </cols>
  <sheetData>
    <row r="1" spans="1:12" s="1" customFormat="1" ht="14" customHeight="1">
      <c r="A1" s="718"/>
      <c r="B1" s="946"/>
      <c r="C1" s="946"/>
      <c r="D1" s="946"/>
      <c r="E1" s="946"/>
      <c r="F1" s="946"/>
      <c r="G1" s="946"/>
      <c r="H1" s="946"/>
      <c r="I1" s="946"/>
      <c r="J1" s="946"/>
      <c r="K1" s="946"/>
    </row>
    <row r="2" spans="1:12" s="1" customFormat="1" ht="27" customHeight="1">
      <c r="A2" s="964" t="s">
        <v>2431</v>
      </c>
      <c r="B2" s="965"/>
      <c r="C2" s="965"/>
      <c r="D2" s="965"/>
      <c r="E2" s="965"/>
      <c r="F2" s="965"/>
      <c r="G2" s="965"/>
      <c r="H2" s="965"/>
      <c r="I2" s="965"/>
      <c r="J2" s="965"/>
      <c r="K2" s="363">
        <v>2006</v>
      </c>
    </row>
    <row r="3" spans="1:12" ht="20" customHeight="1">
      <c r="A3" s="248" t="s">
        <v>758</v>
      </c>
      <c r="B3" s="966" t="s">
        <v>1008</v>
      </c>
      <c r="C3" s="118"/>
      <c r="D3" s="117"/>
      <c r="E3" s="248"/>
      <c r="F3" s="966" t="s">
        <v>1081</v>
      </c>
      <c r="G3" s="967" t="s">
        <v>1020</v>
      </c>
      <c r="H3" s="295"/>
      <c r="I3" s="248"/>
      <c r="J3" s="119"/>
      <c r="K3" s="968" t="s">
        <v>2408</v>
      </c>
    </row>
    <row r="4" spans="1:12" ht="32.25" customHeight="1">
      <c r="A4" s="248"/>
      <c r="B4" s="948" t="s">
        <v>2432</v>
      </c>
      <c r="C4" s="969"/>
      <c r="D4" s="970" t="s">
        <v>1081</v>
      </c>
      <c r="E4" s="971" t="s">
        <v>2433</v>
      </c>
      <c r="F4" s="295"/>
      <c r="G4" s="972" t="s">
        <v>2432</v>
      </c>
      <c r="H4" s="948"/>
      <c r="I4" s="969" t="s">
        <v>2408</v>
      </c>
      <c r="J4" s="973" t="s">
        <v>2433</v>
      </c>
      <c r="K4" s="116"/>
    </row>
    <row r="5" spans="1:12" ht="15" customHeight="1">
      <c r="A5" s="248"/>
      <c r="B5" s="117" t="s">
        <v>2434</v>
      </c>
      <c r="C5" s="118" t="s">
        <v>2435</v>
      </c>
      <c r="D5" s="117"/>
      <c r="E5" s="118" t="s">
        <v>2435</v>
      </c>
      <c r="F5" s="117"/>
      <c r="G5" s="974" t="s">
        <v>2434</v>
      </c>
      <c r="H5" s="117" t="s">
        <v>2435</v>
      </c>
      <c r="I5" s="118"/>
      <c r="J5" s="117" t="s">
        <v>2435</v>
      </c>
      <c r="K5" s="118"/>
    </row>
    <row r="6" spans="1:12" ht="15" customHeight="1">
      <c r="A6" s="248"/>
      <c r="B6" s="366" t="s">
        <v>2435</v>
      </c>
      <c r="C6" s="784" t="s">
        <v>1082</v>
      </c>
      <c r="D6" s="366"/>
      <c r="E6" s="784" t="s">
        <v>1083</v>
      </c>
      <c r="F6" s="117"/>
      <c r="G6" s="975" t="s">
        <v>2435</v>
      </c>
      <c r="H6" s="117" t="s">
        <v>1082</v>
      </c>
      <c r="I6" s="118"/>
      <c r="J6" s="117" t="s">
        <v>1083</v>
      </c>
      <c r="K6" s="118"/>
    </row>
    <row r="7" spans="1:12" ht="15" customHeight="1">
      <c r="A7" s="248"/>
      <c r="B7" s="366" t="s">
        <v>1084</v>
      </c>
      <c r="C7" s="784"/>
      <c r="D7" s="366"/>
      <c r="E7" s="784"/>
      <c r="F7" s="366"/>
      <c r="G7" s="975" t="s">
        <v>1084</v>
      </c>
      <c r="H7" s="117"/>
      <c r="I7" s="118"/>
      <c r="J7" s="117"/>
      <c r="K7" s="118"/>
    </row>
    <row r="8" spans="1:12" ht="20" customHeight="1">
      <c r="A8" s="314"/>
      <c r="B8" s="123"/>
      <c r="C8" s="122"/>
      <c r="D8" s="123"/>
      <c r="E8" s="122"/>
      <c r="F8" s="123"/>
      <c r="G8" s="976"/>
      <c r="H8" s="123"/>
      <c r="I8" s="122"/>
      <c r="J8" s="123"/>
      <c r="K8" s="122"/>
    </row>
    <row r="9" spans="1:12" ht="1.5" customHeight="1" thickBot="1">
      <c r="A9" s="367">
        <v>1991</v>
      </c>
      <c r="B9" s="977">
        <v>996.2</v>
      </c>
      <c r="C9" s="978" t="s">
        <v>1412</v>
      </c>
      <c r="D9" s="977">
        <v>996.2</v>
      </c>
      <c r="E9" s="978">
        <v>780</v>
      </c>
      <c r="F9" s="977">
        <v>1776.2</v>
      </c>
      <c r="G9" s="979">
        <v>885.4</v>
      </c>
      <c r="H9" s="977" t="s">
        <v>1412</v>
      </c>
      <c r="I9" s="978">
        <v>885.4</v>
      </c>
      <c r="J9" s="637">
        <v>649.4</v>
      </c>
      <c r="K9" s="257">
        <v>1534.8</v>
      </c>
    </row>
    <row r="10" spans="1:12" ht="20" hidden="1" customHeight="1" thickBot="1">
      <c r="A10" s="368">
        <v>1992</v>
      </c>
      <c r="B10" s="626">
        <v>1003.8</v>
      </c>
      <c r="C10" s="978" t="s">
        <v>1412</v>
      </c>
      <c r="D10" s="977">
        <v>1003.8</v>
      </c>
      <c r="E10" s="980">
        <v>897</v>
      </c>
      <c r="F10" s="981">
        <v>1900.8</v>
      </c>
      <c r="G10" s="982">
        <v>923.2</v>
      </c>
      <c r="H10" s="977" t="s">
        <v>1412</v>
      </c>
      <c r="I10" s="978">
        <v>923.2</v>
      </c>
      <c r="J10" s="956">
        <v>783.9</v>
      </c>
      <c r="K10" s="983">
        <v>1707.1</v>
      </c>
    </row>
    <row r="11" spans="1:12" ht="20" hidden="1" customHeight="1" thickBot="1">
      <c r="A11" s="368">
        <v>1993</v>
      </c>
      <c r="B11" s="626">
        <v>1026.2</v>
      </c>
      <c r="C11" s="978" t="s">
        <v>1412</v>
      </c>
      <c r="D11" s="977">
        <v>1026.2</v>
      </c>
      <c r="E11" s="980">
        <v>932.8</v>
      </c>
      <c r="F11" s="981">
        <v>1959</v>
      </c>
      <c r="G11" s="982">
        <v>928.41399999999999</v>
      </c>
      <c r="H11" s="977" t="s">
        <v>1412</v>
      </c>
      <c r="I11" s="978">
        <v>928.41399999999999</v>
      </c>
      <c r="J11" s="956">
        <v>833.7</v>
      </c>
      <c r="K11" s="983">
        <v>1762.114</v>
      </c>
    </row>
    <row r="12" spans="1:12" ht="20" hidden="1" customHeight="1" thickBot="1">
      <c r="A12" s="368">
        <v>1994</v>
      </c>
      <c r="B12" s="626">
        <v>1052.2</v>
      </c>
      <c r="C12" s="978" t="s">
        <v>1412</v>
      </c>
      <c r="D12" s="977">
        <v>1052.2</v>
      </c>
      <c r="E12" s="980">
        <v>931.1</v>
      </c>
      <c r="F12" s="981">
        <v>1983.3</v>
      </c>
      <c r="G12" s="982">
        <v>983.23500000000001</v>
      </c>
      <c r="H12" s="977" t="s">
        <v>1412</v>
      </c>
      <c r="I12" s="978">
        <v>983.23500000000001</v>
      </c>
      <c r="J12" s="956">
        <v>876.1</v>
      </c>
      <c r="K12" s="983">
        <v>1859.335</v>
      </c>
    </row>
    <row r="13" spans="1:12" ht="19.5" hidden="1" customHeight="1" thickBot="1">
      <c r="A13" s="368">
        <v>1995</v>
      </c>
      <c r="B13" s="626">
        <v>1073.0999999999999</v>
      </c>
      <c r="C13" s="978" t="s">
        <v>1412</v>
      </c>
      <c r="D13" s="977">
        <v>1073.0999999999999</v>
      </c>
      <c r="E13" s="980">
        <v>935</v>
      </c>
      <c r="F13" s="981">
        <v>2008.1</v>
      </c>
      <c r="G13" s="982">
        <v>1017.388</v>
      </c>
      <c r="H13" s="977" t="s">
        <v>1412</v>
      </c>
      <c r="I13" s="978">
        <v>1017.388</v>
      </c>
      <c r="J13" s="956">
        <v>901.4</v>
      </c>
      <c r="K13" s="983">
        <v>1918.788</v>
      </c>
    </row>
    <row r="14" spans="1:12" ht="20" customHeight="1" thickBot="1">
      <c r="A14" s="368">
        <v>1996</v>
      </c>
      <c r="B14" s="626">
        <v>832</v>
      </c>
      <c r="C14" s="980">
        <v>180.9</v>
      </c>
      <c r="D14" s="981">
        <v>1012.9</v>
      </c>
      <c r="E14" s="980">
        <v>978.3</v>
      </c>
      <c r="F14" s="981">
        <v>1991.2</v>
      </c>
      <c r="G14" s="982">
        <v>872.50191104999999</v>
      </c>
      <c r="H14" s="984">
        <v>116.7</v>
      </c>
      <c r="I14" s="985">
        <v>989.20191105000004</v>
      </c>
      <c r="J14" s="956">
        <v>846.1</v>
      </c>
      <c r="K14" s="983">
        <v>1835.3019110499999</v>
      </c>
      <c r="L14"/>
    </row>
    <row r="15" spans="1:12" ht="20" customHeight="1" thickBot="1">
      <c r="A15" s="368">
        <v>1997</v>
      </c>
      <c r="B15" s="626">
        <v>558.9</v>
      </c>
      <c r="C15" s="546">
        <v>393.8</v>
      </c>
      <c r="D15" s="977">
        <v>952.7</v>
      </c>
      <c r="E15" s="546">
        <v>1319.9</v>
      </c>
      <c r="F15" s="977">
        <v>2272.6</v>
      </c>
      <c r="G15" s="982">
        <v>621.52611999999999</v>
      </c>
      <c r="H15" s="638">
        <v>335.7</v>
      </c>
      <c r="I15" s="978">
        <v>957.22612000000004</v>
      </c>
      <c r="J15" s="638">
        <v>1082.8</v>
      </c>
      <c r="K15" s="257">
        <v>2040.02612</v>
      </c>
      <c r="L15"/>
    </row>
    <row r="16" spans="1:12" ht="20" customHeight="1" thickBot="1">
      <c r="A16" s="368">
        <v>1998</v>
      </c>
      <c r="B16" s="626">
        <v>509.6</v>
      </c>
      <c r="C16" s="546">
        <v>508.1</v>
      </c>
      <c r="D16" s="977">
        <v>1017.7</v>
      </c>
      <c r="E16" s="546">
        <v>1428.4</v>
      </c>
      <c r="F16" s="977">
        <v>2446.1</v>
      </c>
      <c r="G16" s="982">
        <v>456.36259100000001</v>
      </c>
      <c r="H16" s="638">
        <v>453.7</v>
      </c>
      <c r="I16" s="978">
        <v>910.062591</v>
      </c>
      <c r="J16" s="638">
        <v>1137.0999999999999</v>
      </c>
      <c r="K16" s="257">
        <v>2047.1625909999998</v>
      </c>
      <c r="L16"/>
    </row>
    <row r="17" spans="1:12" ht="20" customHeight="1" thickBot="1">
      <c r="A17" s="368">
        <v>1999</v>
      </c>
      <c r="B17" s="626">
        <v>462.9</v>
      </c>
      <c r="C17" s="546">
        <v>442.7</v>
      </c>
      <c r="D17" s="977">
        <v>905.6</v>
      </c>
      <c r="E17" s="546">
        <v>1337.8</v>
      </c>
      <c r="F17" s="977">
        <v>2243.4</v>
      </c>
      <c r="G17" s="982">
        <v>412.14915300000001</v>
      </c>
      <c r="H17" s="638">
        <v>385.2</v>
      </c>
      <c r="I17" s="978">
        <v>797.349153</v>
      </c>
      <c r="J17" s="638">
        <v>1077.5</v>
      </c>
      <c r="K17" s="257">
        <v>1874.8491530000001</v>
      </c>
      <c r="L17"/>
    </row>
    <row r="18" spans="1:12" ht="20" customHeight="1" thickBot="1">
      <c r="A18" s="368">
        <v>2000</v>
      </c>
      <c r="B18" s="626">
        <v>438.9</v>
      </c>
      <c r="C18" s="546">
        <v>339.7</v>
      </c>
      <c r="D18" s="977">
        <v>778.6</v>
      </c>
      <c r="E18" s="546">
        <v>1636.2</v>
      </c>
      <c r="F18" s="977">
        <v>2414.8000000000002</v>
      </c>
      <c r="G18" s="982">
        <v>381.63992000000002</v>
      </c>
      <c r="H18" s="638">
        <v>299.2</v>
      </c>
      <c r="I18" s="978">
        <v>680.83992000000001</v>
      </c>
      <c r="J18" s="638">
        <v>1334.1</v>
      </c>
      <c r="K18" s="257">
        <v>2014.9399199999998</v>
      </c>
      <c r="L18"/>
    </row>
    <row r="19" spans="1:12" ht="20" customHeight="1" thickBot="1">
      <c r="A19" s="368">
        <v>2001</v>
      </c>
      <c r="B19" s="626">
        <v>398.65</v>
      </c>
      <c r="C19" s="546">
        <v>248.38</v>
      </c>
      <c r="D19" s="977">
        <v>647.03</v>
      </c>
      <c r="E19" s="546">
        <v>1850.78</v>
      </c>
      <c r="F19" s="977">
        <v>2497.81</v>
      </c>
      <c r="G19" s="982">
        <v>351.97137099999998</v>
      </c>
      <c r="H19" s="638">
        <v>201.85</v>
      </c>
      <c r="I19" s="978">
        <v>553.821371</v>
      </c>
      <c r="J19" s="638">
        <v>1595.15</v>
      </c>
      <c r="K19" s="257">
        <v>2148.9713710000001</v>
      </c>
      <c r="L19"/>
    </row>
    <row r="20" spans="1:12" ht="20" customHeight="1" thickBot="1">
      <c r="A20" s="368">
        <v>2002</v>
      </c>
      <c r="B20" s="626">
        <v>370.90300000000002</v>
      </c>
      <c r="C20" s="546">
        <v>248.779527</v>
      </c>
      <c r="D20" s="977">
        <v>619.68252700000005</v>
      </c>
      <c r="E20" s="546">
        <v>1945.9522629999999</v>
      </c>
      <c r="F20" s="977">
        <v>2565.6347900000001</v>
      </c>
      <c r="G20" s="982">
        <v>329.149</v>
      </c>
      <c r="H20" s="638">
        <v>227.06825000000001</v>
      </c>
      <c r="I20" s="978">
        <v>556.21725000000004</v>
      </c>
      <c r="J20" s="638">
        <v>1700.9860189999999</v>
      </c>
      <c r="K20" s="257">
        <v>2257.2032690000001</v>
      </c>
      <c r="L20"/>
    </row>
    <row r="21" spans="1:12" ht="20" customHeight="1" thickBot="1">
      <c r="A21" s="368">
        <v>2003</v>
      </c>
      <c r="B21" s="626">
        <v>354.08080662000003</v>
      </c>
      <c r="C21" s="546">
        <v>295.50233600000001</v>
      </c>
      <c r="D21" s="977">
        <v>649.58314261999999</v>
      </c>
      <c r="E21" s="546">
        <v>2059.7853359999999</v>
      </c>
      <c r="F21" s="977">
        <v>2709.3684786200001</v>
      </c>
      <c r="G21" s="982">
        <v>309.91303072000005</v>
      </c>
      <c r="H21" s="638">
        <v>266.92607400000003</v>
      </c>
      <c r="I21" s="978">
        <v>576.83910472000002</v>
      </c>
      <c r="J21" s="638">
        <v>1821.754373</v>
      </c>
      <c r="K21" s="257">
        <v>2398.59347772</v>
      </c>
      <c r="L21"/>
    </row>
    <row r="22" spans="1:12" ht="20" customHeight="1" thickBot="1">
      <c r="A22" s="368">
        <v>2004</v>
      </c>
      <c r="B22" s="626">
        <v>354.05374882999996</v>
      </c>
      <c r="C22" s="546">
        <v>465.97641131</v>
      </c>
      <c r="D22" s="977">
        <v>820.03016013999991</v>
      </c>
      <c r="E22" s="546">
        <v>2199.5077430000001</v>
      </c>
      <c r="F22" s="977">
        <v>3019.5379031399998</v>
      </c>
      <c r="G22" s="982">
        <v>277.93515424999998</v>
      </c>
      <c r="H22" s="638">
        <v>341.37247587999997</v>
      </c>
      <c r="I22" s="978">
        <v>619.30763013000001</v>
      </c>
      <c r="J22" s="638">
        <v>1729.046304</v>
      </c>
      <c r="K22" s="257">
        <v>2348.3539341300002</v>
      </c>
      <c r="L22"/>
    </row>
    <row r="23" spans="1:12" ht="20" customHeight="1" thickBot="1">
      <c r="A23" s="368">
        <v>2005</v>
      </c>
      <c r="B23" s="626">
        <v>340.05814830000003</v>
      </c>
      <c r="C23" s="546">
        <v>497.83377424000003</v>
      </c>
      <c r="D23" s="977">
        <v>837.89192254</v>
      </c>
      <c r="E23" s="546">
        <v>2145.0129550000001</v>
      </c>
      <c r="F23" s="977">
        <v>2982.9048775400001</v>
      </c>
      <c r="G23" s="982">
        <v>251.06148209</v>
      </c>
      <c r="H23" s="638">
        <v>268.00454783000004</v>
      </c>
      <c r="I23" s="978">
        <v>519.06602992000001</v>
      </c>
      <c r="J23" s="638">
        <v>1547.535421</v>
      </c>
      <c r="K23" s="257">
        <v>2066.6014509199999</v>
      </c>
      <c r="L23"/>
    </row>
    <row r="24" spans="1:12" s="188" customFormat="1" ht="27.75" customHeight="1" thickBot="1">
      <c r="A24" s="370">
        <v>2006</v>
      </c>
      <c r="B24" s="986">
        <v>315.75842189999997</v>
      </c>
      <c r="C24" s="845">
        <v>549.01423610000006</v>
      </c>
      <c r="D24" s="987">
        <v>864.77265800000009</v>
      </c>
      <c r="E24" s="845">
        <v>2152.4333590000001</v>
      </c>
      <c r="F24" s="987">
        <v>3017.2060170000004</v>
      </c>
      <c r="G24" s="988">
        <v>220.62135384000001</v>
      </c>
      <c r="H24" s="844">
        <v>347.81852166000004</v>
      </c>
      <c r="I24" s="989">
        <v>568.43987550000008</v>
      </c>
      <c r="J24" s="844">
        <v>1471.853128</v>
      </c>
      <c r="K24" s="990">
        <v>2040.2930034999999</v>
      </c>
      <c r="L24" s="991"/>
    </row>
    <row r="25" spans="1:12" ht="20" customHeight="1">
      <c r="A25" s="958" t="s">
        <v>1121</v>
      </c>
      <c r="B25" s="959"/>
      <c r="C25" s="959"/>
      <c r="D25" s="959"/>
      <c r="E25" s="959"/>
      <c r="F25" s="959"/>
      <c r="G25" s="959"/>
      <c r="H25" s="959"/>
      <c r="I25" s="959"/>
      <c r="J25" s="959"/>
      <c r="K25" s="959"/>
    </row>
    <row r="26" spans="1:12" ht="13.5" customHeight="1">
      <c r="A26" s="960"/>
      <c r="B26" s="961"/>
      <c r="C26" s="961"/>
      <c r="D26" s="961"/>
      <c r="E26" s="961"/>
      <c r="F26" s="961"/>
      <c r="G26" s="961"/>
      <c r="H26" s="961"/>
      <c r="I26" s="961"/>
      <c r="J26" s="961"/>
      <c r="K26" s="961"/>
    </row>
    <row r="27" spans="1:12">
      <c r="A27" s="41" t="s">
        <v>2436</v>
      </c>
      <c r="B27" s="963"/>
      <c r="C27" s="963"/>
      <c r="D27" s="963"/>
      <c r="E27" s="963"/>
      <c r="F27" s="963"/>
      <c r="G27" s="963"/>
      <c r="H27" s="963"/>
      <c r="I27" s="963"/>
      <c r="J27" s="963"/>
      <c r="K27" s="963"/>
    </row>
    <row r="28" spans="1:12">
      <c r="A28" s="41" t="s">
        <v>1076</v>
      </c>
      <c r="B28" s="963"/>
      <c r="C28" s="963"/>
      <c r="D28" s="963"/>
      <c r="E28" s="963"/>
      <c r="F28" s="963"/>
      <c r="G28" s="963"/>
      <c r="H28" s="963"/>
      <c r="I28" s="963"/>
      <c r="J28" s="963"/>
      <c r="K28" s="963"/>
    </row>
    <row r="29" spans="1:12">
      <c r="A29" s="41" t="s">
        <v>1077</v>
      </c>
      <c r="B29" s="963"/>
      <c r="C29" s="963"/>
      <c r="D29" s="963"/>
      <c r="E29" s="963"/>
      <c r="F29" s="963"/>
      <c r="G29" s="963"/>
      <c r="H29" s="963"/>
      <c r="I29" s="963"/>
      <c r="J29" s="963"/>
      <c r="K29" s="963"/>
    </row>
    <row r="30" spans="1:12">
      <c r="A30" s="41" t="s">
        <v>1085</v>
      </c>
      <c r="B30" s="963"/>
      <c r="C30" s="963"/>
      <c r="D30" s="963"/>
      <c r="E30" s="963"/>
      <c r="F30" s="963"/>
      <c r="G30" s="963"/>
      <c r="H30" s="963"/>
      <c r="I30" s="963"/>
      <c r="J30" s="963"/>
      <c r="K30" s="963"/>
    </row>
    <row r="31" spans="1:12">
      <c r="A31" s="2" t="s">
        <v>1078</v>
      </c>
    </row>
    <row r="32" spans="1:12">
      <c r="A32" s="41" t="s">
        <v>1079</v>
      </c>
      <c r="B32" s="963"/>
      <c r="C32" s="963"/>
      <c r="D32" s="963"/>
      <c r="E32" s="963"/>
      <c r="F32" s="963"/>
      <c r="G32" s="963"/>
      <c r="H32" s="963"/>
      <c r="I32" s="963"/>
      <c r="J32" s="963"/>
      <c r="K32" s="963"/>
    </row>
    <row r="33" spans="1:11">
      <c r="A33" s="960" t="s">
        <v>1086</v>
      </c>
      <c r="B33" s="963"/>
      <c r="C33" s="963"/>
      <c r="D33" s="963"/>
      <c r="E33" s="963"/>
      <c r="F33" s="963"/>
      <c r="G33" s="963"/>
      <c r="H33" s="963"/>
      <c r="I33" s="963"/>
      <c r="J33" s="963"/>
      <c r="K33" s="963"/>
    </row>
    <row r="34" spans="1:11">
      <c r="A34" s="992" t="s">
        <v>1080</v>
      </c>
      <c r="B34" s="963"/>
      <c r="C34" s="963"/>
      <c r="D34" s="963"/>
      <c r="E34" s="963"/>
      <c r="F34" s="963"/>
      <c r="G34" s="963"/>
      <c r="H34" s="963"/>
      <c r="I34" s="963"/>
      <c r="J34" s="963"/>
      <c r="K34" s="963"/>
    </row>
    <row r="36" spans="1:11">
      <c r="A36" s="2" t="s">
        <v>1955</v>
      </c>
    </row>
  </sheetData>
  <phoneticPr fontId="0" type="noConversion"/>
  <pageMargins left="0.48" right="0.44" top="0.72" bottom="0.49" header="0.45" footer="0.4921259845"/>
  <pageSetup paperSize="9" scale="67" orientation="portrait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2779-E977-964F-AB83-1CC4E11F8FF2}">
  <sheetPr>
    <pageSetUpPr fitToPage="1"/>
  </sheetPr>
  <dimension ref="A1:L34"/>
  <sheetViews>
    <sheetView zoomScale="75" workbookViewId="0">
      <selection activeCell="K20" sqref="K20"/>
    </sheetView>
  </sheetViews>
  <sheetFormatPr baseColWidth="10" defaultColWidth="11.3984375" defaultRowHeight="13"/>
  <cols>
    <col min="1" max="1" width="10" style="2" customWidth="1"/>
    <col min="2" max="2" width="13.19921875" style="159" customWidth="1"/>
    <col min="3" max="3" width="13.3984375" style="159" customWidth="1"/>
    <col min="4" max="4" width="15" style="159" customWidth="1"/>
    <col min="5" max="5" width="13" style="159" customWidth="1"/>
    <col min="6" max="7" width="13.59765625" style="159" customWidth="1"/>
    <col min="8" max="8" width="14.796875" style="159" customWidth="1"/>
    <col min="9" max="9" width="13.59765625" style="159" customWidth="1"/>
    <col min="10" max="16384" width="11.3984375" style="2"/>
  </cols>
  <sheetData>
    <row r="1" spans="1:12" s="1" customFormat="1" ht="14" customHeight="1">
      <c r="A1" s="718"/>
      <c r="B1" s="946"/>
      <c r="C1" s="946"/>
      <c r="D1" s="946"/>
      <c r="E1" s="946"/>
      <c r="F1" s="946"/>
      <c r="G1" s="946"/>
      <c r="H1" s="946"/>
      <c r="I1" s="946"/>
    </row>
    <row r="2" spans="1:12" s="1" customFormat="1" ht="27" customHeight="1">
      <c r="A2" s="964" t="s">
        <v>1115</v>
      </c>
      <c r="B2" s="965"/>
      <c r="C2" s="965"/>
      <c r="D2" s="965"/>
      <c r="E2" s="965"/>
      <c r="F2" s="965"/>
      <c r="G2" s="965"/>
      <c r="H2" s="965"/>
      <c r="I2" s="363">
        <v>2006</v>
      </c>
    </row>
    <row r="3" spans="1:12" ht="20" customHeight="1">
      <c r="A3" s="248" t="s">
        <v>758</v>
      </c>
      <c r="B3" s="966" t="s">
        <v>1008</v>
      </c>
      <c r="C3" s="118"/>
      <c r="D3" s="117"/>
      <c r="E3" s="292" t="s">
        <v>1951</v>
      </c>
      <c r="F3" s="1001" t="s">
        <v>1020</v>
      </c>
      <c r="G3" s="248"/>
      <c r="H3" s="295"/>
      <c r="I3" s="292" t="s">
        <v>1951</v>
      </c>
    </row>
    <row r="4" spans="1:12" ht="33" customHeight="1">
      <c r="A4" s="248"/>
      <c r="B4" s="948" t="s">
        <v>2432</v>
      </c>
      <c r="C4" s="969"/>
      <c r="D4" s="973" t="s">
        <v>1116</v>
      </c>
      <c r="E4" s="971"/>
      <c r="F4" s="949" t="s">
        <v>2432</v>
      </c>
      <c r="G4" s="1002"/>
      <c r="H4" s="973" t="s">
        <v>1116</v>
      </c>
      <c r="I4" s="971"/>
    </row>
    <row r="5" spans="1:12" ht="15" customHeight="1">
      <c r="A5" s="248"/>
      <c r="B5" s="1003" t="s">
        <v>1110</v>
      </c>
      <c r="C5" s="784" t="s">
        <v>820</v>
      </c>
      <c r="D5" s="366" t="s">
        <v>2435</v>
      </c>
      <c r="E5" s="118"/>
      <c r="F5" s="1004" t="s">
        <v>1110</v>
      </c>
      <c r="G5" s="784" t="s">
        <v>820</v>
      </c>
      <c r="H5" s="366" t="s">
        <v>2435</v>
      </c>
      <c r="I5" s="118"/>
    </row>
    <row r="6" spans="1:12" ht="17.25" customHeight="1">
      <c r="A6" s="248"/>
      <c r="B6" s="1003" t="s">
        <v>1117</v>
      </c>
      <c r="C6" s="784" t="s">
        <v>1118</v>
      </c>
      <c r="D6" s="366" t="s">
        <v>824</v>
      </c>
      <c r="E6" s="118"/>
      <c r="F6" s="1004" t="s">
        <v>1117</v>
      </c>
      <c r="G6" s="784" t="s">
        <v>1118</v>
      </c>
      <c r="H6" s="366" t="s">
        <v>824</v>
      </c>
      <c r="I6" s="118"/>
    </row>
    <row r="7" spans="1:12" ht="16.5" customHeight="1">
      <c r="A7" s="314"/>
      <c r="B7" s="123"/>
      <c r="C7" s="122"/>
      <c r="D7" s="123"/>
      <c r="E7" s="122"/>
      <c r="F7" s="951"/>
      <c r="G7" s="122"/>
      <c r="H7" s="123"/>
      <c r="I7" s="122"/>
    </row>
    <row r="8" spans="1:12" ht="1.5" customHeight="1" thickBot="1">
      <c r="A8" s="367">
        <v>1991</v>
      </c>
      <c r="B8" s="977">
        <v>7381.6</v>
      </c>
      <c r="C8" s="978">
        <v>2030</v>
      </c>
      <c r="D8" s="977">
        <v>763.6</v>
      </c>
      <c r="E8" s="257">
        <v>10175.200000000001</v>
      </c>
      <c r="F8" s="1005">
        <v>8411.9</v>
      </c>
      <c r="G8" s="978">
        <v>1717.6</v>
      </c>
      <c r="H8" s="977">
        <v>608.6</v>
      </c>
      <c r="I8" s="257">
        <v>10738.1</v>
      </c>
    </row>
    <row r="9" spans="1:12" ht="20" hidden="1" customHeight="1" thickBot="1">
      <c r="A9" s="368">
        <v>1992</v>
      </c>
      <c r="B9" s="626">
        <v>8071.6</v>
      </c>
      <c r="C9" s="980">
        <v>2234.5</v>
      </c>
      <c r="D9" s="984">
        <v>751.05194456734102</v>
      </c>
      <c r="E9" s="983">
        <v>11057.151944567342</v>
      </c>
      <c r="F9" s="1006">
        <v>9374.4</v>
      </c>
      <c r="G9" s="980">
        <v>1832.3</v>
      </c>
      <c r="H9" s="984">
        <v>631.14866850607859</v>
      </c>
      <c r="I9" s="983">
        <v>11837.848668506078</v>
      </c>
    </row>
    <row r="10" spans="1:12" ht="20" hidden="1" customHeight="1" thickBot="1">
      <c r="A10" s="368">
        <v>1993</v>
      </c>
      <c r="B10" s="626">
        <v>8959</v>
      </c>
      <c r="C10" s="980">
        <v>3326.3</v>
      </c>
      <c r="D10" s="984">
        <v>734.92479192401356</v>
      </c>
      <c r="E10" s="983">
        <v>13020.224791924013</v>
      </c>
      <c r="F10" s="1006">
        <v>9747.2000000000007</v>
      </c>
      <c r="G10" s="980">
        <v>2431.9</v>
      </c>
      <c r="H10" s="984">
        <v>626.00138979065252</v>
      </c>
      <c r="I10" s="983">
        <v>12805.101389790652</v>
      </c>
    </row>
    <row r="11" spans="1:12" ht="20" hidden="1" customHeight="1" thickBot="1">
      <c r="A11" s="368">
        <v>1994</v>
      </c>
      <c r="B11" s="626">
        <v>8986.1</v>
      </c>
      <c r="C11" s="980">
        <v>4076.6</v>
      </c>
      <c r="D11" s="984">
        <v>690.03021854426788</v>
      </c>
      <c r="E11" s="983">
        <v>13752.730218544268</v>
      </c>
      <c r="F11" s="1006">
        <v>9548.9</v>
      </c>
      <c r="G11" s="980">
        <v>3331.5</v>
      </c>
      <c r="H11" s="984">
        <v>613.0603501903413</v>
      </c>
      <c r="I11" s="983">
        <v>13493.46035019034</v>
      </c>
    </row>
    <row r="12" spans="1:12" ht="19.5" hidden="1" customHeight="1" thickBot="1">
      <c r="A12" s="368">
        <v>1995</v>
      </c>
      <c r="B12" s="626">
        <v>9125.7999999999993</v>
      </c>
      <c r="C12" s="980">
        <v>4249.7</v>
      </c>
      <c r="D12" s="984">
        <v>651.42256806953048</v>
      </c>
      <c r="E12" s="983">
        <v>14026.922568069531</v>
      </c>
      <c r="F12" s="1006">
        <v>10017.200000000001</v>
      </c>
      <c r="G12" s="980">
        <v>3664.1</v>
      </c>
      <c r="H12" s="984">
        <v>587.27080996548773</v>
      </c>
      <c r="I12" s="983">
        <v>14268.570809965489</v>
      </c>
    </row>
    <row r="13" spans="1:12" ht="20" customHeight="1" thickBot="1">
      <c r="A13" s="368">
        <v>1996</v>
      </c>
      <c r="B13" s="626">
        <v>11035.2</v>
      </c>
      <c r="C13" s="980">
        <v>4337.5</v>
      </c>
      <c r="D13" s="984">
        <v>640.36315374410731</v>
      </c>
      <c r="E13" s="983">
        <v>16013.063153744108</v>
      </c>
      <c r="F13" s="1006">
        <v>10780.5</v>
      </c>
      <c r="G13" s="980">
        <v>3809.6285714248806</v>
      </c>
      <c r="H13" s="984">
        <v>512.67578326995283</v>
      </c>
      <c r="I13" s="983">
        <v>15102.804354694834</v>
      </c>
      <c r="K13"/>
      <c r="L13"/>
    </row>
    <row r="14" spans="1:12" ht="20" customHeight="1" thickBot="1">
      <c r="A14" s="368">
        <v>1997</v>
      </c>
      <c r="B14" s="638">
        <v>11924.8</v>
      </c>
      <c r="C14" s="546">
        <v>4410.6000000000004</v>
      </c>
      <c r="D14" s="638">
        <v>601.9</v>
      </c>
      <c r="E14" s="257">
        <v>16937.3</v>
      </c>
      <c r="F14" s="955">
        <v>11360.5</v>
      </c>
      <c r="G14" s="546">
        <v>3288.3</v>
      </c>
      <c r="H14" s="638">
        <v>475.9</v>
      </c>
      <c r="I14" s="257">
        <v>15124.7</v>
      </c>
      <c r="K14"/>
      <c r="L14"/>
    </row>
    <row r="15" spans="1:12" ht="20" customHeight="1" thickBot="1">
      <c r="A15" s="368">
        <v>1998</v>
      </c>
      <c r="B15" s="638">
        <v>12604.2</v>
      </c>
      <c r="C15" s="546">
        <v>4453.3</v>
      </c>
      <c r="D15" s="638">
        <v>637.79999999999995</v>
      </c>
      <c r="E15" s="257">
        <v>17695.3</v>
      </c>
      <c r="F15" s="955">
        <v>11926.9</v>
      </c>
      <c r="G15" s="546">
        <v>3299.5</v>
      </c>
      <c r="H15" s="638">
        <v>460.1</v>
      </c>
      <c r="I15" s="257">
        <v>15686.5</v>
      </c>
      <c r="K15"/>
      <c r="L15"/>
    </row>
    <row r="16" spans="1:12" ht="20" customHeight="1" thickBot="1">
      <c r="A16" s="368">
        <v>1999</v>
      </c>
      <c r="B16" s="638">
        <v>12949.5</v>
      </c>
      <c r="C16" s="546">
        <v>3766.7</v>
      </c>
      <c r="D16" s="638">
        <v>1098.2</v>
      </c>
      <c r="E16" s="257">
        <v>17814.400000000001</v>
      </c>
      <c r="F16" s="955">
        <v>12430.6</v>
      </c>
      <c r="G16" s="546">
        <v>2787.1</v>
      </c>
      <c r="H16" s="638">
        <v>763.9</v>
      </c>
      <c r="I16" s="257">
        <v>15981.6</v>
      </c>
      <c r="K16"/>
      <c r="L16"/>
    </row>
    <row r="17" spans="1:12" ht="20" customHeight="1" thickBot="1">
      <c r="A17" s="368">
        <v>2000</v>
      </c>
      <c r="B17" s="638">
        <v>13346.7</v>
      </c>
      <c r="C17" s="546">
        <v>2917.4</v>
      </c>
      <c r="D17" s="638">
        <v>2242.9</v>
      </c>
      <c r="E17" s="257">
        <v>18507</v>
      </c>
      <c r="F17" s="955">
        <v>13190.3</v>
      </c>
      <c r="G17" s="546">
        <v>2199.1</v>
      </c>
      <c r="H17" s="638">
        <v>1583.8</v>
      </c>
      <c r="I17" s="257">
        <v>16973.2</v>
      </c>
      <c r="K17"/>
      <c r="L17"/>
    </row>
    <row r="18" spans="1:12" ht="20" customHeight="1" thickBot="1">
      <c r="A18" s="368">
        <v>2001</v>
      </c>
      <c r="B18" s="638">
        <v>13954.7</v>
      </c>
      <c r="C18" s="546">
        <v>1986.99</v>
      </c>
      <c r="D18" s="638">
        <v>3190.46</v>
      </c>
      <c r="E18" s="257">
        <v>19132.150000000001</v>
      </c>
      <c r="F18" s="955">
        <v>13986.27</v>
      </c>
      <c r="G18" s="546">
        <v>1576.7</v>
      </c>
      <c r="H18" s="638">
        <v>2353.3000000000002</v>
      </c>
      <c r="I18" s="257">
        <v>17916.27</v>
      </c>
      <c r="K18"/>
      <c r="L18"/>
    </row>
    <row r="19" spans="1:12" ht="20" customHeight="1" thickBot="1">
      <c r="A19" s="368">
        <v>2002</v>
      </c>
      <c r="B19" s="638">
        <v>15296.16</v>
      </c>
      <c r="C19" s="546">
        <v>1958.4404729999999</v>
      </c>
      <c r="D19" s="638">
        <v>3432.3745709999994</v>
      </c>
      <c r="E19" s="257">
        <v>20686.975043999999</v>
      </c>
      <c r="F19" s="955">
        <v>14592.75</v>
      </c>
      <c r="G19" s="546">
        <v>1422.34175</v>
      </c>
      <c r="H19" s="638">
        <v>2395.4617459999999</v>
      </c>
      <c r="I19" s="257">
        <v>18410.553496</v>
      </c>
      <c r="K19"/>
      <c r="L19"/>
    </row>
    <row r="20" spans="1:12" ht="20" customHeight="1" thickBot="1">
      <c r="A20" s="368">
        <v>2003</v>
      </c>
      <c r="B20" s="638">
        <v>16759.707467</v>
      </c>
      <c r="C20" s="546">
        <v>1882.6076640000001</v>
      </c>
      <c r="D20" s="638">
        <v>3406.1985699999996</v>
      </c>
      <c r="E20" s="257">
        <v>22048.513701</v>
      </c>
      <c r="F20" s="955">
        <v>15335.619704000001</v>
      </c>
      <c r="G20" s="546">
        <v>1354.5729260000001</v>
      </c>
      <c r="H20" s="638">
        <v>2360.4405969999998</v>
      </c>
      <c r="I20" s="257">
        <v>19050.633227000002</v>
      </c>
      <c r="K20"/>
      <c r="L20"/>
    </row>
    <row r="21" spans="1:12" ht="20" customHeight="1" thickBot="1">
      <c r="A21" s="368">
        <v>2004</v>
      </c>
      <c r="B21" s="638">
        <v>17979.586842000001</v>
      </c>
      <c r="C21" s="546">
        <v>1358.7895999899999</v>
      </c>
      <c r="D21" s="638">
        <v>4022.0203419999989</v>
      </c>
      <c r="E21" s="257">
        <v>23360.39678399</v>
      </c>
      <c r="F21" s="955">
        <v>16307.508545000001</v>
      </c>
      <c r="G21" s="546">
        <v>1040.45917962</v>
      </c>
      <c r="H21" s="638">
        <v>2754.9745040000003</v>
      </c>
      <c r="I21" s="257">
        <v>20102.942228620002</v>
      </c>
      <c r="K21"/>
      <c r="L21"/>
    </row>
    <row r="22" spans="1:12" ht="20" customHeight="1" thickBot="1">
      <c r="A22" s="368">
        <v>2005</v>
      </c>
      <c r="B22" s="638">
        <v>18442.676721830001</v>
      </c>
      <c r="C22" s="546">
        <v>1397.6693543900001</v>
      </c>
      <c r="D22" s="638">
        <v>4025.3035210000007</v>
      </c>
      <c r="E22" s="257">
        <v>23865.649597220003</v>
      </c>
      <c r="F22" s="955">
        <v>17352.720037080002</v>
      </c>
      <c r="G22" s="546">
        <v>1144.4166189</v>
      </c>
      <c r="H22" s="638">
        <v>2812.7367870000003</v>
      </c>
      <c r="I22" s="257">
        <v>21309.873442980002</v>
      </c>
      <c r="K22"/>
      <c r="L22"/>
    </row>
    <row r="23" spans="1:12" ht="24.75" customHeight="1" thickBot="1">
      <c r="A23" s="370">
        <v>2006</v>
      </c>
      <c r="B23" s="844">
        <v>19234.85838514</v>
      </c>
      <c r="C23" s="845">
        <v>1384.0624223099999</v>
      </c>
      <c r="D23" s="844">
        <v>4199.0627370000002</v>
      </c>
      <c r="E23" s="845">
        <v>24817.983544449999</v>
      </c>
      <c r="F23" s="957">
        <v>17563.915602790003</v>
      </c>
      <c r="G23" s="845">
        <v>1083.2765844199998</v>
      </c>
      <c r="H23" s="844">
        <v>2891.0596519999999</v>
      </c>
      <c r="I23" s="845">
        <v>21538.251839210003</v>
      </c>
      <c r="K23"/>
      <c r="L23"/>
    </row>
    <row r="24" spans="1:12" ht="17.25" customHeight="1">
      <c r="A24" s="958" t="s">
        <v>1121</v>
      </c>
      <c r="B24" s="959"/>
      <c r="C24" s="959"/>
      <c r="D24" s="959"/>
      <c r="E24" s="959"/>
      <c r="F24" s="959"/>
      <c r="G24" s="959"/>
      <c r="H24" s="959"/>
      <c r="I24" s="959"/>
    </row>
    <row r="25" spans="1:12" ht="13.5" customHeight="1">
      <c r="A25" s="960"/>
      <c r="B25" s="961"/>
      <c r="C25" s="961"/>
      <c r="D25" s="961"/>
      <c r="E25" s="961"/>
      <c r="F25" s="961"/>
      <c r="G25" s="961"/>
      <c r="H25" s="961"/>
      <c r="I25" s="961"/>
    </row>
    <row r="26" spans="1:12">
      <c r="A26" s="41" t="s">
        <v>1119</v>
      </c>
      <c r="B26" s="963"/>
      <c r="C26" s="963"/>
      <c r="D26" s="963"/>
      <c r="E26" s="963"/>
      <c r="F26" s="963"/>
      <c r="G26" s="963"/>
      <c r="H26" s="963"/>
      <c r="I26" s="963"/>
    </row>
    <row r="27" spans="1:12">
      <c r="A27" s="41" t="s">
        <v>1111</v>
      </c>
      <c r="B27" s="963"/>
      <c r="C27" s="963"/>
      <c r="D27" s="963"/>
      <c r="E27" s="963"/>
      <c r="F27" s="963"/>
      <c r="G27" s="963"/>
      <c r="H27" s="963"/>
      <c r="I27" s="963"/>
    </row>
    <row r="28" spans="1:12">
      <c r="A28" s="41" t="s">
        <v>1120</v>
      </c>
      <c r="B28" s="963"/>
      <c r="C28" s="963"/>
      <c r="D28" s="963"/>
      <c r="E28" s="963"/>
      <c r="F28" s="963"/>
      <c r="G28" s="963"/>
      <c r="H28" s="963"/>
      <c r="I28" s="963"/>
    </row>
    <row r="29" spans="1:12">
      <c r="A29" s="41" t="s">
        <v>1112</v>
      </c>
    </row>
    <row r="30" spans="1:12">
      <c r="A30" s="41" t="s">
        <v>1113</v>
      </c>
    </row>
    <row r="31" spans="1:12">
      <c r="A31" s="41" t="s">
        <v>1114</v>
      </c>
    </row>
    <row r="34" spans="1:1">
      <c r="A34" s="2" t="s">
        <v>1955</v>
      </c>
    </row>
  </sheetData>
  <phoneticPr fontId="0" type="noConversion"/>
  <pageMargins left="0.6" right="0.55000000000000004" top="0.95" bottom="0.49" header="0.45" footer="0.4921259845"/>
  <pageSetup paperSize="9" scale="70" orientation="portrait" horizontalDpi="1200" verticalDpi="1200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28D5-2737-5E4D-98B4-C7C1417CB66C}">
  <sheetPr>
    <pageSetUpPr fitToPage="1"/>
  </sheetPr>
  <dimension ref="A1:P89"/>
  <sheetViews>
    <sheetView topLeftCell="A14" zoomScale="75" workbookViewId="0">
      <selection activeCell="Q2" sqref="Q2"/>
    </sheetView>
  </sheetViews>
  <sheetFormatPr baseColWidth="10" defaultColWidth="11.3984375" defaultRowHeight="13"/>
  <cols>
    <col min="1" max="1" width="21" style="2" customWidth="1"/>
    <col min="2" max="3" width="0.19921875" style="159" hidden="1" customWidth="1"/>
    <col min="4" max="5" width="0.19921875" style="2" hidden="1" customWidth="1"/>
    <col min="6" max="16" width="9.19921875" style="2" customWidth="1"/>
    <col min="17" max="16384" width="11.3984375" style="2"/>
  </cols>
  <sheetData>
    <row r="1" spans="1:16" s="1" customFormat="1" ht="13.5" customHeight="1">
      <c r="A1" s="718"/>
      <c r="B1" s="946"/>
      <c r="C1" s="946"/>
      <c r="D1" s="718"/>
      <c r="E1" s="718"/>
      <c r="F1" s="718"/>
      <c r="G1" s="718"/>
      <c r="H1" s="718"/>
      <c r="I1" s="718"/>
      <c r="J1" s="718"/>
    </row>
    <row r="2" spans="1:16" s="1" customFormat="1" ht="30.75" customHeight="1">
      <c r="A2" s="1700" t="s">
        <v>1057</v>
      </c>
      <c r="B2" s="1699"/>
      <c r="C2" s="1699"/>
      <c r="D2" s="1699"/>
      <c r="E2" s="1699"/>
      <c r="F2" s="1699"/>
      <c r="G2" s="1699"/>
      <c r="H2" s="1699"/>
      <c r="I2" s="1699"/>
      <c r="J2" s="1699"/>
      <c r="K2" s="1699"/>
      <c r="L2" s="1699"/>
      <c r="M2" s="265"/>
      <c r="N2" s="265"/>
      <c r="O2" s="265"/>
    </row>
    <row r="3" spans="1:16" ht="78" customHeight="1">
      <c r="A3" s="1050" t="s">
        <v>1058</v>
      </c>
      <c r="B3" s="1051">
        <v>1960</v>
      </c>
      <c r="C3" s="1052">
        <v>1970</v>
      </c>
      <c r="D3" s="1053">
        <v>1980</v>
      </c>
      <c r="E3" s="1052">
        <v>1990</v>
      </c>
      <c r="F3" s="1053">
        <v>1996</v>
      </c>
      <c r="G3" s="1052">
        <v>1997</v>
      </c>
      <c r="H3" s="1053">
        <v>1998</v>
      </c>
      <c r="I3" s="1052">
        <v>1999</v>
      </c>
      <c r="J3" s="1053">
        <v>2000</v>
      </c>
      <c r="K3" s="1052">
        <v>2001</v>
      </c>
      <c r="L3" s="1053">
        <v>2002</v>
      </c>
      <c r="M3" s="1052">
        <v>2003</v>
      </c>
      <c r="N3" s="1053">
        <v>2004</v>
      </c>
      <c r="O3" s="1052">
        <v>2005</v>
      </c>
      <c r="P3" s="1053">
        <v>2006</v>
      </c>
    </row>
    <row r="4" spans="1:16" ht="30" customHeight="1" thickBot="1">
      <c r="A4" s="952" t="s">
        <v>1059</v>
      </c>
      <c r="B4" s="641">
        <v>4.0999999999999995E-2</v>
      </c>
      <c r="C4" s="369">
        <v>4.5999999999999999E-2</v>
      </c>
      <c r="D4" s="641">
        <v>7.0000000000000007E-2</v>
      </c>
      <c r="E4" s="369">
        <v>7.8E-2</v>
      </c>
      <c r="F4" s="641">
        <v>8.199999999999999E-2</v>
      </c>
      <c r="G4" s="369">
        <v>8.3000000000000004E-2</v>
      </c>
      <c r="H4" s="641">
        <v>8.3000000000000004E-2</v>
      </c>
      <c r="I4" s="369">
        <v>8.4000000000000005E-2</v>
      </c>
      <c r="J4" s="641">
        <v>8.8000000000000009E-2</v>
      </c>
      <c r="K4" s="369">
        <v>8.900000000000001E-2</v>
      </c>
      <c r="L4" s="641">
        <v>9.0999999999999998E-2</v>
      </c>
      <c r="M4" s="369">
        <v>9.1999999999999998E-2</v>
      </c>
      <c r="N4" s="641">
        <v>9.5000000000000001E-2</v>
      </c>
      <c r="O4" s="369" t="s">
        <v>1412</v>
      </c>
      <c r="P4" s="641" t="s">
        <v>1412</v>
      </c>
    </row>
    <row r="5" spans="1:16" ht="18" customHeight="1" thickBot="1">
      <c r="A5" s="368" t="s">
        <v>1060</v>
      </c>
      <c r="B5" s="461">
        <v>3.4000000000000002E-2</v>
      </c>
      <c r="C5" s="148">
        <v>0.04</v>
      </c>
      <c r="D5" s="461">
        <v>6.4000000000000001E-2</v>
      </c>
      <c r="E5" s="148">
        <v>7.400000000000001E-2</v>
      </c>
      <c r="F5" s="461">
        <v>8.4000000000000005E-2</v>
      </c>
      <c r="G5" s="148">
        <v>8.3000000000000004E-2</v>
      </c>
      <c r="H5" s="461">
        <v>8.4000000000000005E-2</v>
      </c>
      <c r="I5" s="148">
        <v>8.5999999999999993E-2</v>
      </c>
      <c r="J5" s="461">
        <v>8.5999999999999993E-2</v>
      </c>
      <c r="K5" s="148">
        <v>8.6999999999999994E-2</v>
      </c>
      <c r="L5" s="461">
        <v>0.09</v>
      </c>
      <c r="M5" s="148">
        <v>0.10099999999999999</v>
      </c>
      <c r="N5" s="461">
        <v>0.10199999999999999</v>
      </c>
      <c r="O5" s="148">
        <v>0.10300000000000001</v>
      </c>
      <c r="P5" s="461" t="s">
        <v>1412</v>
      </c>
    </row>
    <row r="6" spans="1:16" ht="18" customHeight="1" thickBot="1">
      <c r="A6" s="368" t="s">
        <v>1061</v>
      </c>
      <c r="B6" s="461" t="s">
        <v>1412</v>
      </c>
      <c r="C6" s="148">
        <v>0.08</v>
      </c>
      <c r="D6" s="461">
        <v>9.0999999999999998E-2</v>
      </c>
      <c r="E6" s="148">
        <v>8.5000000000000006E-2</v>
      </c>
      <c r="F6" s="461">
        <v>8.199999999999999E-2</v>
      </c>
      <c r="G6" s="148">
        <v>8.199999999999999E-2</v>
      </c>
      <c r="H6" s="461">
        <v>8.3000000000000004E-2</v>
      </c>
      <c r="I6" s="148">
        <v>8.5000000000000006E-2</v>
      </c>
      <c r="J6" s="461">
        <v>8.3000000000000004E-2</v>
      </c>
      <c r="K6" s="148">
        <v>8.5999999999999993E-2</v>
      </c>
      <c r="L6" s="461">
        <v>8.8000000000000009E-2</v>
      </c>
      <c r="M6" s="148">
        <v>9.0999999999999998E-2</v>
      </c>
      <c r="N6" s="461">
        <v>9.1999999999999998E-2</v>
      </c>
      <c r="O6" s="148">
        <v>9.0999999999999998E-2</v>
      </c>
      <c r="P6" s="461" t="s">
        <v>1412</v>
      </c>
    </row>
    <row r="7" spans="1:16" ht="18" customHeight="1" thickBot="1">
      <c r="A7" s="368" t="s">
        <v>1062</v>
      </c>
      <c r="B7" s="461">
        <v>4.8000000000000001E-2</v>
      </c>
      <c r="C7" s="148">
        <v>6.2E-2</v>
      </c>
      <c r="D7" s="461">
        <v>8.6999999999999994E-2</v>
      </c>
      <c r="E7" s="148">
        <v>8.5000000000000006E-2</v>
      </c>
      <c r="F7" s="461">
        <v>0.10400000000000001</v>
      </c>
      <c r="G7" s="148">
        <v>0.10199999999999999</v>
      </c>
      <c r="H7" s="461">
        <v>0.10199999999999999</v>
      </c>
      <c r="I7" s="148">
        <v>0.10300000000000001</v>
      </c>
      <c r="J7" s="461">
        <v>0.10300000000000001</v>
      </c>
      <c r="K7" s="148">
        <v>0.10400000000000001</v>
      </c>
      <c r="L7" s="461">
        <v>0.106</v>
      </c>
      <c r="M7" s="148">
        <v>0.10800000000000001</v>
      </c>
      <c r="N7" s="461">
        <v>0.106</v>
      </c>
      <c r="O7" s="148">
        <v>0.107</v>
      </c>
      <c r="P7" s="461" t="s">
        <v>1412</v>
      </c>
    </row>
    <row r="8" spans="1:16" ht="18" customHeight="1" thickBot="1">
      <c r="A8" s="368" t="s">
        <v>1063</v>
      </c>
      <c r="B8" s="461">
        <v>3.7999999999999999E-2</v>
      </c>
      <c r="C8" s="148">
        <v>5.5999999999999994E-2</v>
      </c>
      <c r="D8" s="461">
        <v>6.4000000000000001E-2</v>
      </c>
      <c r="E8" s="148">
        <v>7.8E-2</v>
      </c>
      <c r="F8" s="461">
        <v>7.5999999999999998E-2</v>
      </c>
      <c r="G8" s="148">
        <v>7.2000000000000008E-2</v>
      </c>
      <c r="H8" s="461">
        <v>6.9000000000000006E-2</v>
      </c>
      <c r="I8" s="148">
        <v>6.8000000000000005E-2</v>
      </c>
      <c r="J8" s="461">
        <v>6.6000000000000003E-2</v>
      </c>
      <c r="K8" s="148">
        <v>6.7000000000000004E-2</v>
      </c>
      <c r="L8" s="461">
        <v>7.0000000000000007E-2</v>
      </c>
      <c r="M8" s="148">
        <v>7.2999999999999995E-2</v>
      </c>
      <c r="N8" s="461">
        <v>7.400000000000001E-2</v>
      </c>
      <c r="O8" s="148">
        <v>7.4999999999999997E-2</v>
      </c>
      <c r="P8" s="461" t="s">
        <v>1412</v>
      </c>
    </row>
    <row r="9" spans="1:16" ht="18" customHeight="1" thickBot="1">
      <c r="A9" s="368" t="s">
        <v>1064</v>
      </c>
      <c r="B9" s="461">
        <v>3.7999999999999999E-2</v>
      </c>
      <c r="C9" s="148">
        <v>5.4000000000000006E-2</v>
      </c>
      <c r="D9" s="461">
        <v>7.0999999999999994E-2</v>
      </c>
      <c r="E9" s="148">
        <v>8.5999999999999993E-2</v>
      </c>
      <c r="F9" s="461">
        <v>9.8000000000000004E-2</v>
      </c>
      <c r="G9" s="148">
        <v>9.6999999999999989E-2</v>
      </c>
      <c r="H9" s="461">
        <v>9.6000000000000002E-2</v>
      </c>
      <c r="I9" s="148">
        <v>9.6999999999999989E-2</v>
      </c>
      <c r="J9" s="461">
        <v>9.6000000000000002E-2</v>
      </c>
      <c r="K9" s="148">
        <v>9.6999999999999989E-2</v>
      </c>
      <c r="L9" s="461">
        <v>0.1</v>
      </c>
      <c r="M9" s="148">
        <v>0.109</v>
      </c>
      <c r="N9" s="461">
        <v>0.11</v>
      </c>
      <c r="O9" s="148">
        <v>0.111</v>
      </c>
      <c r="P9" s="461" t="s">
        <v>1412</v>
      </c>
    </row>
    <row r="10" spans="1:16" ht="18" customHeight="1" thickBot="1">
      <c r="A10" s="368" t="s">
        <v>1065</v>
      </c>
      <c r="B10" s="461">
        <v>3.9E-2</v>
      </c>
      <c r="C10" s="148">
        <v>4.4999999999999998E-2</v>
      </c>
      <c r="D10" s="461">
        <v>5.5999999999999994E-2</v>
      </c>
      <c r="E10" s="148">
        <v>0.06</v>
      </c>
      <c r="F10" s="461">
        <v>7.0000000000000007E-2</v>
      </c>
      <c r="G10" s="148">
        <v>6.8000000000000005E-2</v>
      </c>
      <c r="H10" s="461">
        <v>6.9000000000000006E-2</v>
      </c>
      <c r="I10" s="148">
        <v>7.0999999999999994E-2</v>
      </c>
      <c r="J10" s="461">
        <v>7.2999999999999995E-2</v>
      </c>
      <c r="K10" s="148">
        <v>7.4999999999999997E-2</v>
      </c>
      <c r="L10" s="461">
        <v>7.6999999999999999E-2</v>
      </c>
      <c r="M10" s="148">
        <v>7.8E-2</v>
      </c>
      <c r="N10" s="461">
        <v>8.1000000000000003E-2</v>
      </c>
      <c r="O10" s="148">
        <v>8.3000000000000004E-2</v>
      </c>
      <c r="P10" s="461" t="s">
        <v>1412</v>
      </c>
    </row>
    <row r="11" spans="1:16" ht="18" customHeight="1" thickBot="1">
      <c r="A11" s="368" t="s">
        <v>1066</v>
      </c>
      <c r="B11" s="461">
        <v>3.6000000000000004E-2</v>
      </c>
      <c r="C11" s="148">
        <v>5.0999999999999997E-2</v>
      </c>
      <c r="D11" s="461">
        <v>7.0000000000000007E-2</v>
      </c>
      <c r="E11" s="148">
        <v>0.08</v>
      </c>
      <c r="F11" s="461">
        <v>7.400000000000001E-2</v>
      </c>
      <c r="G11" s="148">
        <v>7.6999999999999999E-2</v>
      </c>
      <c r="H11" s="461">
        <v>7.6999999999999999E-2</v>
      </c>
      <c r="I11" s="148">
        <v>7.8E-2</v>
      </c>
      <c r="J11" s="461">
        <v>8.1000000000000003E-2</v>
      </c>
      <c r="K11" s="148">
        <v>8.199999999999999E-2</v>
      </c>
      <c r="L11" s="461">
        <v>8.3000000000000004E-2</v>
      </c>
      <c r="M11" s="148">
        <v>8.3000000000000004E-2</v>
      </c>
      <c r="N11" s="461">
        <v>8.6999999999999994E-2</v>
      </c>
      <c r="O11" s="148">
        <v>8.900000000000001E-2</v>
      </c>
      <c r="P11" s="461">
        <v>0.09</v>
      </c>
    </row>
    <row r="12" spans="1:16" ht="18" customHeight="1" thickBot="1">
      <c r="A12" s="368" t="s">
        <v>1067</v>
      </c>
      <c r="B12" s="461">
        <v>0.03</v>
      </c>
      <c r="C12" s="148">
        <v>4.4999999999999998E-2</v>
      </c>
      <c r="D12" s="461">
        <v>6.5000000000000002E-2</v>
      </c>
      <c r="E12" s="148">
        <v>5.9000000000000004E-2</v>
      </c>
      <c r="F12" s="461">
        <v>7.0000000000000007E-2</v>
      </c>
      <c r="G12" s="148">
        <v>7.0000000000000007E-2</v>
      </c>
      <c r="H12" s="461">
        <v>7.2999999999999995E-2</v>
      </c>
      <c r="I12" s="148">
        <v>7.4999999999999997E-2</v>
      </c>
      <c r="J12" s="461">
        <v>7.6999999999999999E-2</v>
      </c>
      <c r="K12" s="148">
        <v>7.9000000000000001E-2</v>
      </c>
      <c r="L12" s="461">
        <v>0.08</v>
      </c>
      <c r="M12" s="148">
        <v>8.1000000000000003E-2</v>
      </c>
      <c r="N12" s="461">
        <v>0.08</v>
      </c>
      <c r="O12" s="148" t="s">
        <v>1412</v>
      </c>
      <c r="P12" s="461" t="s">
        <v>1412</v>
      </c>
    </row>
    <row r="13" spans="1:16" ht="18" customHeight="1" thickBot="1">
      <c r="A13" s="368" t="s">
        <v>1068</v>
      </c>
      <c r="B13" s="461" t="s">
        <v>1412</v>
      </c>
      <c r="C13" s="148">
        <v>6.9000000000000006E-2</v>
      </c>
      <c r="D13" s="461">
        <v>7.4999999999999997E-2</v>
      </c>
      <c r="E13" s="148">
        <v>0.08</v>
      </c>
      <c r="F13" s="461">
        <v>8.199999999999999E-2</v>
      </c>
      <c r="G13" s="148">
        <v>7.9000000000000001E-2</v>
      </c>
      <c r="H13" s="461">
        <v>8.1000000000000003E-2</v>
      </c>
      <c r="I13" s="148">
        <v>8.1000000000000003E-2</v>
      </c>
      <c r="J13" s="461">
        <v>0.08</v>
      </c>
      <c r="K13" s="148">
        <v>8.3000000000000004E-2</v>
      </c>
      <c r="L13" s="461">
        <v>8.900000000000001E-2</v>
      </c>
      <c r="M13" s="148">
        <v>9.0999999999999998E-2</v>
      </c>
      <c r="N13" s="461">
        <v>9.1999999999999998E-2</v>
      </c>
      <c r="O13" s="148" t="s">
        <v>1412</v>
      </c>
      <c r="P13" s="461" t="s">
        <v>1412</v>
      </c>
    </row>
    <row r="14" spans="1:16" ht="18" customHeight="1" thickBot="1">
      <c r="A14" s="368" t="s">
        <v>1069</v>
      </c>
      <c r="B14" s="461">
        <v>2.8999999999999998E-2</v>
      </c>
      <c r="C14" s="148">
        <v>4.4000000000000004E-2</v>
      </c>
      <c r="D14" s="461">
        <v>7.0000000000000007E-2</v>
      </c>
      <c r="E14" s="148">
        <v>7.6999999999999999E-2</v>
      </c>
      <c r="F14" s="461">
        <v>7.8E-2</v>
      </c>
      <c r="G14" s="148">
        <v>8.4000000000000005E-2</v>
      </c>
      <c r="H14" s="461">
        <v>9.3000000000000013E-2</v>
      </c>
      <c r="I14" s="148">
        <v>9.3000000000000013E-2</v>
      </c>
      <c r="J14" s="461">
        <v>8.4000000000000005E-2</v>
      </c>
      <c r="K14" s="148">
        <v>8.8000000000000009E-2</v>
      </c>
      <c r="L14" s="461">
        <v>9.8000000000000004E-2</v>
      </c>
      <c r="M14" s="148">
        <v>0.1</v>
      </c>
      <c r="N14" s="461">
        <v>9.6999999999999989E-2</v>
      </c>
      <c r="O14" s="148">
        <v>9.0999999999999998E-2</v>
      </c>
      <c r="P14" s="461">
        <v>8.6999999999999994E-2</v>
      </c>
    </row>
    <row r="15" spans="1:16" ht="18" customHeight="1" thickBot="1">
      <c r="A15" s="368" t="s">
        <v>1070</v>
      </c>
      <c r="B15" s="461">
        <v>4.2999999999999997E-2</v>
      </c>
      <c r="C15" s="148">
        <v>5.2999999999999999E-2</v>
      </c>
      <c r="D15" s="461">
        <v>7.5999999999999998E-2</v>
      </c>
      <c r="E15" s="148">
        <v>7.0999999999999994E-2</v>
      </c>
      <c r="F15" s="461">
        <v>9.8000000000000004E-2</v>
      </c>
      <c r="G15" s="148">
        <v>0.1</v>
      </c>
      <c r="H15" s="461">
        <v>0.10199999999999999</v>
      </c>
      <c r="I15" s="148">
        <v>0.10199999999999999</v>
      </c>
      <c r="J15" s="461">
        <v>0.1</v>
      </c>
      <c r="K15" s="148">
        <v>0.1</v>
      </c>
      <c r="L15" s="461">
        <v>0.10099999999999999</v>
      </c>
      <c r="M15" s="148">
        <v>0.10199999999999999</v>
      </c>
      <c r="N15" s="461">
        <v>0.10300000000000001</v>
      </c>
      <c r="O15" s="148">
        <v>0.10199999999999999</v>
      </c>
      <c r="P15" s="461" t="s">
        <v>1412</v>
      </c>
    </row>
    <row r="16" spans="1:16" ht="18" customHeight="1" thickBot="1">
      <c r="A16" s="368" t="s">
        <v>1071</v>
      </c>
      <c r="B16" s="461">
        <v>4.4999999999999998E-2</v>
      </c>
      <c r="C16" s="148">
        <v>6.9000000000000006E-2</v>
      </c>
      <c r="D16" s="461">
        <v>9.0999999999999998E-2</v>
      </c>
      <c r="E16" s="148">
        <v>8.4000000000000005E-2</v>
      </c>
      <c r="F16" s="461">
        <v>8.3000000000000004E-2</v>
      </c>
      <c r="G16" s="148">
        <v>8.1000000000000003E-2</v>
      </c>
      <c r="H16" s="461">
        <v>8.3000000000000004E-2</v>
      </c>
      <c r="I16" s="148">
        <v>8.4000000000000005E-2</v>
      </c>
      <c r="J16" s="461">
        <v>8.4000000000000005E-2</v>
      </c>
      <c r="K16" s="148">
        <v>8.6999999999999994E-2</v>
      </c>
      <c r="L16" s="461">
        <v>9.0999999999999998E-2</v>
      </c>
      <c r="M16" s="148">
        <v>9.3000000000000013E-2</v>
      </c>
      <c r="N16" s="461">
        <v>9.0999999999999998E-2</v>
      </c>
      <c r="O16" s="148">
        <v>9.0999999999999998E-2</v>
      </c>
      <c r="P16" s="461" t="s">
        <v>1412</v>
      </c>
    </row>
    <row r="17" spans="1:16" ht="18" customHeight="1" thickBot="1">
      <c r="A17" s="368" t="s">
        <v>1072</v>
      </c>
      <c r="B17" s="461">
        <v>1.4999999999999999E-2</v>
      </c>
      <c r="C17" s="148">
        <v>3.6000000000000004E-2</v>
      </c>
      <c r="D17" s="461">
        <v>5.4000000000000006E-2</v>
      </c>
      <c r="E17" s="148">
        <v>6.7000000000000004E-2</v>
      </c>
      <c r="F17" s="461">
        <v>7.4999999999999997E-2</v>
      </c>
      <c r="G17" s="148">
        <v>7.2999999999999995E-2</v>
      </c>
      <c r="H17" s="461">
        <v>7.2999999999999995E-2</v>
      </c>
      <c r="I17" s="148">
        <v>7.2999999999999995E-2</v>
      </c>
      <c r="J17" s="461">
        <v>7.2000000000000008E-2</v>
      </c>
      <c r="K17" s="148">
        <v>7.2000000000000008E-2</v>
      </c>
      <c r="L17" s="461">
        <v>7.2999999999999995E-2</v>
      </c>
      <c r="M17" s="148">
        <v>7.8E-2</v>
      </c>
      <c r="N17" s="461">
        <v>8.1000000000000003E-2</v>
      </c>
      <c r="O17" s="148">
        <v>8.3000000000000004E-2</v>
      </c>
      <c r="P17" s="461" t="s">
        <v>1412</v>
      </c>
    </row>
    <row r="18" spans="1:16" ht="18" customHeight="1" thickBot="1">
      <c r="A18" s="368" t="s">
        <v>1073</v>
      </c>
      <c r="B18" s="461">
        <v>0.05</v>
      </c>
      <c r="C18" s="148">
        <v>6.9000000000000006E-2</v>
      </c>
      <c r="D18" s="461">
        <v>8.6999999999999994E-2</v>
      </c>
      <c r="E18" s="148">
        <v>0.11900000000000001</v>
      </c>
      <c r="F18" s="461">
        <v>0.13200000000000001</v>
      </c>
      <c r="G18" s="148">
        <v>0.13100000000000001</v>
      </c>
      <c r="H18" s="461">
        <v>0.13100000000000001</v>
      </c>
      <c r="I18" s="148">
        <v>0.13100000000000001</v>
      </c>
      <c r="J18" s="461">
        <v>0.13200000000000001</v>
      </c>
      <c r="K18" s="148">
        <v>0.13900000000000001</v>
      </c>
      <c r="L18" s="461">
        <v>0.14699999999999999</v>
      </c>
      <c r="M18" s="148">
        <v>0.152</v>
      </c>
      <c r="N18" s="461">
        <v>0.152</v>
      </c>
      <c r="O18" s="148">
        <v>0.153</v>
      </c>
      <c r="P18" s="461" t="s">
        <v>1412</v>
      </c>
    </row>
    <row r="19" spans="1:16" s="188" customFormat="1" ht="30" customHeight="1" thickBot="1">
      <c r="A19" s="1000" t="s">
        <v>376</v>
      </c>
      <c r="B19" s="902">
        <v>4.9000000000000002E-2</v>
      </c>
      <c r="C19" s="940">
        <v>5.4000000000000006E-2</v>
      </c>
      <c r="D19" s="902">
        <v>7.2999999999999995E-2</v>
      </c>
      <c r="E19" s="940">
        <v>8.3000000000000004E-2</v>
      </c>
      <c r="F19" s="902">
        <v>0.10099999999999999</v>
      </c>
      <c r="G19" s="940">
        <v>0.10199999999999999</v>
      </c>
      <c r="H19" s="902">
        <v>0.10300000000000001</v>
      </c>
      <c r="I19" s="940">
        <v>0.105</v>
      </c>
      <c r="J19" s="902">
        <v>0.10400000000000001</v>
      </c>
      <c r="K19" s="940">
        <v>0.109</v>
      </c>
      <c r="L19" s="902">
        <v>0.111</v>
      </c>
      <c r="M19" s="940">
        <v>0.115</v>
      </c>
      <c r="N19" s="902">
        <v>0.115</v>
      </c>
      <c r="O19" s="940">
        <v>0.11599999999999999</v>
      </c>
      <c r="P19" s="902">
        <v>0.113</v>
      </c>
    </row>
    <row r="20" spans="1:16" ht="20" customHeight="1">
      <c r="A20" s="1054" t="s">
        <v>1074</v>
      </c>
      <c r="B20" s="1012"/>
      <c r="C20" s="1012"/>
      <c r="D20" s="207"/>
      <c r="E20" s="207"/>
      <c r="F20" s="207"/>
      <c r="G20" s="207"/>
      <c r="H20" s="207"/>
      <c r="I20" s="207"/>
      <c r="J20" s="207"/>
      <c r="K20" s="207"/>
    </row>
    <row r="21" spans="1:16" ht="11.25" customHeight="1">
      <c r="A21" s="1054"/>
      <c r="B21" s="1012"/>
      <c r="C21" s="1012"/>
      <c r="D21" s="207"/>
      <c r="E21" s="207"/>
      <c r="F21" s="207"/>
      <c r="G21" s="207"/>
      <c r="H21" s="207"/>
      <c r="I21" s="207"/>
      <c r="J21" s="207"/>
      <c r="K21" s="207"/>
    </row>
    <row r="22" spans="1:16" ht="15.75" customHeight="1">
      <c r="A22" s="1054" t="s">
        <v>1075</v>
      </c>
      <c r="B22" s="1012"/>
      <c r="C22" s="1012"/>
      <c r="D22" s="207"/>
      <c r="E22" s="207"/>
      <c r="F22" s="207"/>
      <c r="G22" s="207"/>
      <c r="H22" s="207"/>
      <c r="I22" s="207"/>
      <c r="J22" s="207"/>
      <c r="K22" s="207"/>
    </row>
    <row r="23" spans="1:16" ht="18.75" customHeight="1">
      <c r="A23" s="720" t="s">
        <v>0</v>
      </c>
      <c r="B23" s="1044"/>
      <c r="C23" s="1044"/>
      <c r="D23" s="207"/>
      <c r="E23" s="207"/>
      <c r="F23" s="207"/>
      <c r="G23" s="207"/>
      <c r="H23" s="207"/>
      <c r="I23" s="207"/>
      <c r="J23" s="207"/>
      <c r="K23" s="207"/>
    </row>
    <row r="24" spans="1:16" ht="14.25" customHeight="1">
      <c r="A24" s="1055"/>
      <c r="B24" s="1044"/>
      <c r="C24" s="1044"/>
      <c r="D24" s="207"/>
      <c r="E24" s="207"/>
      <c r="F24" s="207"/>
      <c r="G24" s="207"/>
      <c r="H24" s="207"/>
      <c r="I24" s="207"/>
      <c r="J24" s="207"/>
      <c r="K24" s="207"/>
    </row>
    <row r="25" spans="1:16" ht="14.25" customHeight="1">
      <c r="A25" s="843"/>
      <c r="B25" s="1044"/>
      <c r="C25" s="1044"/>
      <c r="D25" s="207"/>
      <c r="E25" s="207"/>
      <c r="F25" s="207"/>
      <c r="G25" s="207"/>
      <c r="H25" s="207"/>
      <c r="I25" s="207"/>
      <c r="J25" s="207"/>
      <c r="K25" s="207"/>
    </row>
    <row r="26" spans="1:16" ht="18.75" customHeight="1">
      <c r="A26" s="720" t="s">
        <v>1955</v>
      </c>
      <c r="B26" s="1044"/>
      <c r="C26" s="1044"/>
      <c r="D26" s="207"/>
      <c r="E26" s="207"/>
      <c r="F26" s="207"/>
      <c r="G26" s="207"/>
      <c r="H26" s="207"/>
      <c r="I26" s="207"/>
      <c r="J26" s="207"/>
      <c r="K26" s="207"/>
    </row>
    <row r="27" spans="1:16" ht="31" customHeight="1">
      <c r="A27" s="207"/>
      <c r="B27" s="1044"/>
      <c r="C27" s="1044"/>
      <c r="D27" s="207"/>
      <c r="E27" s="207"/>
      <c r="F27" s="207"/>
      <c r="G27" s="207"/>
      <c r="H27" s="207"/>
      <c r="I27" s="207"/>
      <c r="J27" s="207"/>
      <c r="K27" s="207"/>
      <c r="O27" s="1"/>
    </row>
    <row r="28" spans="1:16" ht="31" customHeight="1">
      <c r="A28" s="207"/>
      <c r="B28" s="1044"/>
      <c r="C28" s="1044"/>
      <c r="D28" s="207"/>
      <c r="E28" s="207"/>
      <c r="F28" s="207"/>
      <c r="G28" s="207"/>
      <c r="H28" s="207"/>
      <c r="I28" s="207"/>
      <c r="J28" s="207"/>
      <c r="K28" s="207"/>
    </row>
    <row r="29" spans="1:16" ht="31" customHeight="1">
      <c r="A29" s="207"/>
      <c r="B29" s="1044"/>
      <c r="C29" s="1044"/>
      <c r="D29" s="207"/>
      <c r="E29" s="207"/>
      <c r="F29" s="207"/>
      <c r="G29" s="207"/>
      <c r="H29" s="207"/>
      <c r="I29" s="207"/>
      <c r="J29" s="207"/>
      <c r="K29" s="207"/>
    </row>
    <row r="30" spans="1:16" ht="31" customHeight="1">
      <c r="A30" s="207"/>
      <c r="B30" s="1044"/>
      <c r="C30" s="1044"/>
      <c r="D30" s="207"/>
      <c r="E30" s="207"/>
      <c r="F30" s="207"/>
      <c r="G30" s="207"/>
      <c r="H30" s="207"/>
      <c r="I30" s="207"/>
      <c r="J30" s="207"/>
      <c r="K30" s="207"/>
    </row>
    <row r="31" spans="1:16" ht="31" customHeight="1">
      <c r="A31" s="207"/>
      <c r="B31" s="1044"/>
      <c r="C31" s="1044"/>
      <c r="D31" s="207"/>
      <c r="E31" s="207"/>
      <c r="F31" s="207"/>
      <c r="G31" s="207"/>
      <c r="H31" s="207"/>
      <c r="I31" s="207"/>
      <c r="J31" s="207"/>
      <c r="K31" s="207"/>
    </row>
    <row r="32" spans="1:16" ht="31" customHeight="1">
      <c r="A32" s="207"/>
      <c r="B32" s="1044"/>
      <c r="C32" s="1044"/>
      <c r="D32" s="207"/>
      <c r="E32" s="207"/>
      <c r="F32" s="207"/>
      <c r="G32" s="207"/>
      <c r="H32" s="207"/>
      <c r="I32" s="207"/>
      <c r="J32" s="207"/>
      <c r="K32" s="207"/>
    </row>
    <row r="33" spans="1:11" ht="31" customHeight="1">
      <c r="A33" s="207"/>
      <c r="B33" s="1044"/>
      <c r="C33" s="1044"/>
      <c r="D33" s="207"/>
      <c r="E33" s="207"/>
      <c r="F33" s="207"/>
      <c r="G33" s="207"/>
      <c r="H33" s="207"/>
      <c r="I33" s="207"/>
      <c r="J33" s="207"/>
      <c r="K33" s="207"/>
    </row>
    <row r="34" spans="1:11">
      <c r="A34" s="207"/>
      <c r="B34" s="1044"/>
      <c r="C34" s="1044"/>
      <c r="D34" s="207"/>
      <c r="E34" s="207"/>
      <c r="F34" s="207"/>
      <c r="G34" s="207"/>
      <c r="H34" s="207"/>
      <c r="I34" s="207"/>
      <c r="J34" s="207"/>
      <c r="K34" s="207"/>
    </row>
    <row r="35" spans="1:11">
      <c r="A35" s="207"/>
      <c r="B35" s="1044"/>
      <c r="C35" s="1044"/>
      <c r="D35" s="207"/>
      <c r="E35" s="207"/>
      <c r="F35" s="207"/>
      <c r="G35" s="207"/>
      <c r="H35" s="207"/>
      <c r="I35" s="207"/>
      <c r="J35" s="207"/>
      <c r="K35" s="207"/>
    </row>
    <row r="36" spans="1:11">
      <c r="A36" s="207"/>
      <c r="B36" s="1044"/>
      <c r="C36" s="1044"/>
      <c r="D36" s="207"/>
      <c r="E36" s="207"/>
      <c r="F36" s="207"/>
      <c r="G36" s="207"/>
      <c r="H36" s="207"/>
      <c r="I36" s="207"/>
      <c r="J36" s="207"/>
      <c r="K36" s="207"/>
    </row>
    <row r="37" spans="1:11">
      <c r="A37" s="207"/>
      <c r="B37" s="1044"/>
      <c r="C37" s="1044"/>
      <c r="D37" s="207"/>
      <c r="E37" s="207"/>
      <c r="F37" s="207"/>
      <c r="G37" s="207"/>
      <c r="H37" s="207"/>
      <c r="I37" s="207"/>
      <c r="J37" s="207"/>
      <c r="K37" s="207"/>
    </row>
    <row r="38" spans="1:11">
      <c r="A38" s="207"/>
      <c r="B38" s="1044"/>
      <c r="C38" s="1044"/>
      <c r="D38" s="207"/>
      <c r="E38" s="207"/>
      <c r="F38" s="207"/>
      <c r="G38" s="207"/>
      <c r="H38" s="207"/>
      <c r="I38" s="207"/>
      <c r="J38" s="207"/>
      <c r="K38" s="207"/>
    </row>
    <row r="39" spans="1:11">
      <c r="A39" s="207"/>
      <c r="B39" s="1044"/>
      <c r="C39" s="1044"/>
      <c r="D39" s="207"/>
      <c r="E39" s="207"/>
      <c r="F39" s="207"/>
      <c r="G39" s="207"/>
      <c r="H39" s="207"/>
      <c r="I39" s="207"/>
      <c r="J39" s="207"/>
      <c r="K39" s="207"/>
    </row>
    <row r="40" spans="1:11">
      <c r="A40" s="207"/>
      <c r="B40" s="1044"/>
      <c r="C40" s="1044"/>
      <c r="D40" s="207"/>
      <c r="E40" s="207"/>
      <c r="F40" s="207"/>
      <c r="G40" s="207"/>
      <c r="H40" s="207"/>
      <c r="I40" s="207"/>
      <c r="J40" s="207"/>
      <c r="K40" s="207"/>
    </row>
    <row r="41" spans="1:11">
      <c r="A41" s="207"/>
      <c r="B41" s="1044"/>
      <c r="C41" s="1044"/>
      <c r="D41" s="207"/>
      <c r="E41" s="207"/>
      <c r="F41" s="207"/>
      <c r="G41" s="207"/>
      <c r="H41" s="207"/>
      <c r="I41" s="207"/>
      <c r="J41" s="207"/>
      <c r="K41" s="207"/>
    </row>
    <row r="42" spans="1:11">
      <c r="A42" s="207"/>
      <c r="B42" s="1044"/>
      <c r="C42" s="1044"/>
      <c r="D42" s="207"/>
      <c r="E42" s="207"/>
      <c r="F42" s="207"/>
      <c r="G42" s="207"/>
      <c r="H42" s="207"/>
      <c r="I42" s="207"/>
      <c r="J42" s="207"/>
      <c r="K42" s="207"/>
    </row>
    <row r="43" spans="1:11">
      <c r="A43" s="207"/>
      <c r="B43" s="1044"/>
      <c r="C43" s="1044"/>
      <c r="D43" s="207"/>
      <c r="E43" s="207"/>
      <c r="F43" s="207"/>
      <c r="G43" s="207"/>
      <c r="H43" s="207"/>
      <c r="I43" s="207"/>
      <c r="J43" s="207"/>
      <c r="K43" s="207"/>
    </row>
    <row r="44" spans="1:11">
      <c r="A44" s="207"/>
      <c r="B44" s="1044"/>
      <c r="C44" s="1044"/>
      <c r="D44" s="207"/>
      <c r="E44" s="207"/>
      <c r="F44" s="207"/>
      <c r="G44" s="207"/>
      <c r="H44" s="207"/>
      <c r="I44" s="207"/>
      <c r="J44" s="207"/>
      <c r="K44" s="207"/>
    </row>
    <row r="45" spans="1:11">
      <c r="A45" s="207"/>
      <c r="B45" s="1044"/>
      <c r="C45" s="1044"/>
      <c r="D45" s="207"/>
      <c r="E45" s="207"/>
      <c r="F45" s="207"/>
      <c r="G45" s="207"/>
      <c r="H45" s="207"/>
      <c r="I45" s="207"/>
      <c r="J45" s="207"/>
      <c r="K45" s="207"/>
    </row>
    <row r="46" spans="1:11">
      <c r="A46" s="207"/>
      <c r="B46" s="1044"/>
      <c r="C46" s="1044"/>
      <c r="D46" s="207"/>
      <c r="E46" s="207"/>
      <c r="F46" s="207"/>
      <c r="G46" s="207"/>
      <c r="H46" s="207"/>
      <c r="I46" s="207"/>
      <c r="J46" s="207"/>
      <c r="K46" s="207"/>
    </row>
    <row r="47" spans="1:11">
      <c r="A47" s="207"/>
      <c r="B47" s="1044"/>
      <c r="C47" s="1044"/>
      <c r="D47" s="207"/>
      <c r="E47" s="207"/>
      <c r="F47" s="207"/>
      <c r="G47" s="207"/>
      <c r="H47" s="207"/>
      <c r="I47" s="207"/>
      <c r="J47" s="207"/>
      <c r="K47" s="207"/>
    </row>
    <row r="48" spans="1:11">
      <c r="A48" s="207"/>
      <c r="B48" s="1044"/>
      <c r="C48" s="1044"/>
      <c r="D48" s="207"/>
      <c r="E48" s="207"/>
      <c r="F48" s="207"/>
      <c r="G48" s="207"/>
      <c r="H48" s="207"/>
      <c r="I48" s="207"/>
      <c r="J48" s="207"/>
      <c r="K48" s="207"/>
    </row>
    <row r="49" spans="1:11">
      <c r="A49" s="207"/>
      <c r="B49" s="1044"/>
      <c r="C49" s="1044"/>
      <c r="D49" s="207"/>
      <c r="E49" s="207"/>
      <c r="F49" s="207"/>
      <c r="G49" s="207"/>
      <c r="H49" s="207"/>
      <c r="I49" s="207"/>
      <c r="J49" s="207"/>
      <c r="K49" s="207"/>
    </row>
    <row r="50" spans="1:11">
      <c r="A50" s="207"/>
      <c r="B50" s="1044"/>
      <c r="C50" s="1044"/>
      <c r="D50" s="207"/>
      <c r="E50" s="207"/>
      <c r="F50" s="207"/>
      <c r="G50" s="207"/>
      <c r="H50" s="207"/>
      <c r="I50" s="207"/>
      <c r="J50" s="207"/>
      <c r="K50" s="207"/>
    </row>
    <row r="51" spans="1:11">
      <c r="A51" s="207"/>
      <c r="B51" s="1044"/>
      <c r="C51" s="1044"/>
      <c r="D51" s="207"/>
      <c r="E51" s="207"/>
      <c r="F51" s="207"/>
      <c r="G51" s="207"/>
      <c r="H51" s="207"/>
      <c r="I51" s="207"/>
      <c r="J51" s="207"/>
      <c r="K51" s="207"/>
    </row>
    <row r="52" spans="1:11">
      <c r="A52" s="207"/>
      <c r="B52" s="1044"/>
      <c r="C52" s="1044"/>
      <c r="D52" s="207"/>
      <c r="E52" s="207"/>
      <c r="F52" s="207"/>
      <c r="G52" s="207"/>
      <c r="H52" s="207"/>
      <c r="I52" s="207"/>
      <c r="J52" s="207"/>
      <c r="K52" s="207"/>
    </row>
    <row r="53" spans="1:11">
      <c r="A53" s="207"/>
      <c r="B53" s="1044"/>
      <c r="C53" s="1044"/>
      <c r="D53" s="207"/>
      <c r="E53" s="207"/>
      <c r="F53" s="207"/>
      <c r="G53" s="207"/>
      <c r="H53" s="207"/>
      <c r="I53" s="207"/>
      <c r="J53" s="207"/>
      <c r="K53" s="207"/>
    </row>
    <row r="54" spans="1:11">
      <c r="A54" s="207"/>
      <c r="B54" s="1044"/>
      <c r="C54" s="1044"/>
      <c r="D54" s="207"/>
      <c r="E54" s="207"/>
      <c r="F54" s="207"/>
      <c r="G54" s="207"/>
      <c r="H54" s="207"/>
      <c r="I54" s="207"/>
      <c r="J54" s="207"/>
      <c r="K54" s="207"/>
    </row>
    <row r="55" spans="1:11">
      <c r="A55" s="207"/>
      <c r="B55" s="1044"/>
      <c r="C55" s="1044"/>
      <c r="D55" s="207"/>
      <c r="E55" s="207"/>
      <c r="F55" s="207"/>
      <c r="G55" s="207"/>
      <c r="H55" s="207"/>
      <c r="I55" s="207"/>
      <c r="J55" s="207"/>
      <c r="K55" s="207"/>
    </row>
    <row r="56" spans="1:11">
      <c r="A56" s="207"/>
      <c r="B56" s="1044"/>
      <c r="C56" s="1044"/>
      <c r="D56" s="207"/>
      <c r="E56" s="207"/>
      <c r="F56" s="207"/>
      <c r="G56" s="207"/>
      <c r="H56" s="207"/>
      <c r="I56" s="207"/>
      <c r="J56" s="207"/>
      <c r="K56" s="207"/>
    </row>
    <row r="57" spans="1:11">
      <c r="A57" s="207"/>
      <c r="B57" s="1044"/>
      <c r="C57" s="1044"/>
      <c r="D57" s="207"/>
      <c r="E57" s="207"/>
      <c r="F57" s="207"/>
      <c r="G57" s="207"/>
      <c r="H57" s="207"/>
      <c r="I57" s="207"/>
      <c r="J57" s="207"/>
      <c r="K57" s="207"/>
    </row>
    <row r="58" spans="1:11">
      <c r="A58" s="207"/>
      <c r="B58" s="1044"/>
      <c r="C58" s="1044"/>
      <c r="D58" s="207"/>
      <c r="E58" s="207"/>
      <c r="F58" s="207"/>
      <c r="G58" s="207"/>
      <c r="H58" s="207"/>
      <c r="I58" s="207"/>
      <c r="J58" s="207"/>
      <c r="K58" s="207"/>
    </row>
    <row r="59" spans="1:11">
      <c r="A59" s="207"/>
      <c r="B59" s="1044"/>
      <c r="C59" s="1044"/>
      <c r="D59" s="207"/>
      <c r="E59" s="207"/>
      <c r="F59" s="207"/>
      <c r="G59" s="207"/>
      <c r="H59" s="207"/>
      <c r="I59" s="207"/>
      <c r="J59" s="207"/>
      <c r="K59" s="207"/>
    </row>
    <row r="60" spans="1:11">
      <c r="A60" s="207"/>
      <c r="B60" s="1044"/>
      <c r="C60" s="1044"/>
      <c r="D60" s="207"/>
      <c r="E60" s="207"/>
      <c r="F60" s="207"/>
      <c r="G60" s="207"/>
      <c r="H60" s="207"/>
      <c r="I60" s="207"/>
      <c r="J60" s="207"/>
      <c r="K60" s="207"/>
    </row>
    <row r="61" spans="1:11">
      <c r="A61" s="207"/>
      <c r="B61" s="1044"/>
      <c r="C61" s="1044"/>
      <c r="D61" s="207"/>
      <c r="E61" s="207"/>
      <c r="F61" s="207"/>
      <c r="G61" s="207"/>
      <c r="H61" s="207"/>
      <c r="I61" s="207"/>
      <c r="J61" s="207"/>
      <c r="K61" s="207"/>
    </row>
    <row r="62" spans="1:11">
      <c r="A62" s="207"/>
      <c r="B62" s="1044"/>
      <c r="C62" s="1044"/>
      <c r="D62" s="207"/>
      <c r="E62" s="207"/>
      <c r="F62" s="207"/>
      <c r="G62" s="207"/>
      <c r="H62" s="207"/>
      <c r="I62" s="207"/>
      <c r="J62" s="207"/>
      <c r="K62" s="207"/>
    </row>
    <row r="63" spans="1:11">
      <c r="A63" s="207"/>
      <c r="B63" s="1044"/>
      <c r="C63" s="1044"/>
      <c r="D63" s="207"/>
      <c r="E63" s="207"/>
      <c r="F63" s="207"/>
      <c r="G63" s="207"/>
      <c r="H63" s="207"/>
      <c r="I63" s="207"/>
      <c r="J63" s="207"/>
      <c r="K63" s="207"/>
    </row>
    <row r="64" spans="1:11">
      <c r="A64" s="207"/>
      <c r="B64" s="1044"/>
      <c r="C64" s="1044"/>
      <c r="D64" s="207"/>
      <c r="E64" s="207"/>
      <c r="F64" s="207"/>
      <c r="G64" s="207"/>
      <c r="H64" s="207"/>
      <c r="I64" s="207"/>
      <c r="J64" s="207"/>
      <c r="K64" s="207"/>
    </row>
    <row r="65" spans="1:11">
      <c r="A65" s="207"/>
      <c r="B65" s="1044"/>
      <c r="C65" s="1044"/>
      <c r="D65" s="207"/>
      <c r="E65" s="207"/>
      <c r="F65" s="207"/>
      <c r="G65" s="207"/>
      <c r="H65" s="207"/>
      <c r="I65" s="207"/>
      <c r="J65" s="207"/>
      <c r="K65" s="207"/>
    </row>
    <row r="66" spans="1:11">
      <c r="A66" s="207"/>
      <c r="B66" s="1044"/>
      <c r="C66" s="1044"/>
      <c r="D66" s="207"/>
      <c r="E66" s="207"/>
      <c r="F66" s="207"/>
      <c r="G66" s="207"/>
      <c r="H66" s="207"/>
      <c r="I66" s="207"/>
      <c r="J66" s="207"/>
      <c r="K66" s="207"/>
    </row>
    <row r="67" spans="1:11">
      <c r="A67" s="207"/>
      <c r="B67" s="1044"/>
      <c r="C67" s="1044"/>
      <c r="D67" s="207"/>
      <c r="E67" s="207"/>
      <c r="F67" s="207"/>
      <c r="G67" s="207"/>
      <c r="H67" s="207"/>
      <c r="I67" s="207"/>
      <c r="J67" s="207"/>
      <c r="K67" s="207"/>
    </row>
    <row r="68" spans="1:11">
      <c r="A68" s="207"/>
      <c r="B68" s="1044"/>
      <c r="C68" s="1044"/>
      <c r="D68" s="207"/>
      <c r="E68" s="207"/>
      <c r="F68" s="207"/>
      <c r="G68" s="207"/>
      <c r="H68" s="207"/>
      <c r="I68" s="207"/>
      <c r="J68" s="207"/>
      <c r="K68" s="207"/>
    </row>
    <row r="69" spans="1:11">
      <c r="A69" s="207"/>
      <c r="B69" s="1044"/>
      <c r="C69" s="1044"/>
      <c r="D69" s="207"/>
      <c r="E69" s="207"/>
      <c r="F69" s="207"/>
      <c r="G69" s="207"/>
      <c r="H69" s="207"/>
      <c r="I69" s="207"/>
      <c r="J69" s="207"/>
      <c r="K69" s="207"/>
    </row>
    <row r="70" spans="1:11">
      <c r="A70" s="207"/>
      <c r="B70" s="1044"/>
      <c r="C70" s="1044"/>
      <c r="D70" s="207"/>
      <c r="E70" s="207"/>
      <c r="F70" s="207"/>
      <c r="G70" s="207"/>
      <c r="H70" s="207"/>
      <c r="I70" s="207"/>
      <c r="J70" s="207"/>
      <c r="K70" s="207"/>
    </row>
    <row r="71" spans="1:11">
      <c r="A71" s="207"/>
      <c r="B71" s="1044"/>
      <c r="C71" s="1044"/>
      <c r="D71" s="207"/>
      <c r="E71" s="207"/>
      <c r="F71" s="207"/>
      <c r="G71" s="207"/>
      <c r="H71" s="207"/>
      <c r="I71" s="207"/>
      <c r="J71" s="207"/>
      <c r="K71" s="207"/>
    </row>
    <row r="72" spans="1:11">
      <c r="A72" s="207"/>
      <c r="B72" s="1044"/>
      <c r="C72" s="1044"/>
      <c r="D72" s="207"/>
      <c r="E72" s="207"/>
      <c r="F72" s="207"/>
      <c r="G72" s="207"/>
      <c r="H72" s="207"/>
      <c r="I72" s="207"/>
      <c r="J72" s="207"/>
      <c r="K72" s="207"/>
    </row>
    <row r="73" spans="1:11">
      <c r="A73" s="207"/>
      <c r="B73" s="1044"/>
      <c r="C73" s="1044"/>
      <c r="D73" s="207"/>
      <c r="E73" s="207"/>
      <c r="F73" s="207"/>
      <c r="G73" s="207"/>
      <c r="H73" s="207"/>
      <c r="I73" s="207"/>
      <c r="J73" s="207"/>
      <c r="K73" s="207"/>
    </row>
    <row r="74" spans="1:11">
      <c r="A74" s="207"/>
      <c r="B74" s="1044"/>
      <c r="C74" s="1044"/>
      <c r="D74" s="207"/>
      <c r="E74" s="207"/>
      <c r="F74" s="207"/>
      <c r="G74" s="207"/>
      <c r="H74" s="207"/>
      <c r="I74" s="207"/>
      <c r="J74" s="207"/>
      <c r="K74" s="207"/>
    </row>
    <row r="75" spans="1:11">
      <c r="A75" s="207"/>
      <c r="B75" s="1044"/>
      <c r="C75" s="1044"/>
      <c r="D75" s="207"/>
      <c r="E75" s="207"/>
      <c r="F75" s="207"/>
      <c r="G75" s="207"/>
      <c r="H75" s="207"/>
      <c r="I75" s="207"/>
      <c r="J75" s="207"/>
      <c r="K75" s="207"/>
    </row>
    <row r="76" spans="1:11">
      <c r="A76" s="207"/>
      <c r="B76" s="1044"/>
      <c r="C76" s="1044"/>
      <c r="D76" s="207"/>
      <c r="E76" s="207"/>
      <c r="F76" s="207"/>
      <c r="G76" s="207"/>
      <c r="H76" s="207"/>
      <c r="I76" s="207"/>
      <c r="J76" s="207"/>
      <c r="K76" s="207"/>
    </row>
    <row r="77" spans="1:11">
      <c r="A77" s="207"/>
      <c r="B77" s="1044"/>
      <c r="C77" s="1044"/>
      <c r="D77" s="207"/>
      <c r="E77" s="207"/>
      <c r="F77" s="207"/>
      <c r="G77" s="207"/>
      <c r="H77" s="207"/>
      <c r="I77" s="207"/>
      <c r="J77" s="207"/>
      <c r="K77" s="207"/>
    </row>
    <row r="78" spans="1:11">
      <c r="A78" s="207"/>
      <c r="B78" s="1044"/>
      <c r="C78" s="1044"/>
      <c r="D78" s="207"/>
      <c r="E78" s="207"/>
      <c r="F78" s="207"/>
      <c r="G78" s="207"/>
      <c r="H78" s="207"/>
      <c r="I78" s="207"/>
      <c r="J78" s="207"/>
      <c r="K78" s="207"/>
    </row>
    <row r="79" spans="1:11">
      <c r="A79" s="207"/>
      <c r="B79" s="1044"/>
      <c r="C79" s="1044"/>
      <c r="D79" s="207"/>
      <c r="E79" s="207"/>
      <c r="F79" s="207"/>
      <c r="G79" s="207"/>
      <c r="H79" s="207"/>
      <c r="I79" s="207"/>
      <c r="J79" s="207"/>
      <c r="K79" s="207"/>
    </row>
    <row r="80" spans="1:11">
      <c r="A80" s="207"/>
      <c r="B80" s="1044"/>
      <c r="C80" s="1044"/>
      <c r="D80" s="207"/>
      <c r="E80" s="207"/>
      <c r="F80" s="207"/>
      <c r="G80" s="207"/>
      <c r="H80" s="207"/>
      <c r="I80" s="207"/>
      <c r="J80" s="207"/>
      <c r="K80" s="207"/>
    </row>
    <row r="81" spans="1:11">
      <c r="A81" s="207"/>
      <c r="B81" s="1044"/>
      <c r="C81" s="1044"/>
      <c r="D81" s="207"/>
      <c r="E81" s="207"/>
      <c r="F81" s="207"/>
      <c r="G81" s="207"/>
      <c r="H81" s="207"/>
      <c r="I81" s="207"/>
      <c r="J81" s="207"/>
      <c r="K81" s="207"/>
    </row>
    <row r="82" spans="1:11">
      <c r="A82" s="207"/>
      <c r="B82" s="1044"/>
      <c r="C82" s="1044"/>
      <c r="D82" s="207"/>
      <c r="E82" s="207"/>
      <c r="F82" s="207"/>
      <c r="G82" s="207"/>
      <c r="H82" s="207"/>
      <c r="I82" s="207"/>
      <c r="J82" s="207"/>
      <c r="K82" s="207"/>
    </row>
    <row r="83" spans="1:11">
      <c r="A83" s="207"/>
      <c r="B83" s="1044"/>
      <c r="C83" s="1044"/>
      <c r="D83" s="207"/>
      <c r="E83" s="207"/>
      <c r="F83" s="207"/>
      <c r="G83" s="207"/>
      <c r="H83" s="207"/>
      <c r="I83" s="207"/>
      <c r="J83" s="207"/>
      <c r="K83" s="207"/>
    </row>
    <row r="84" spans="1:11">
      <c r="A84" s="207"/>
      <c r="B84" s="1044"/>
      <c r="C84" s="1044"/>
      <c r="D84" s="207"/>
      <c r="E84" s="207"/>
      <c r="F84" s="207"/>
      <c r="G84" s="207"/>
      <c r="H84" s="207"/>
      <c r="I84" s="207"/>
      <c r="J84" s="207"/>
      <c r="K84" s="207"/>
    </row>
    <row r="85" spans="1:11">
      <c r="A85" s="207"/>
      <c r="B85" s="1044"/>
      <c r="C85" s="1044"/>
      <c r="D85" s="207"/>
      <c r="E85" s="207"/>
      <c r="F85" s="207"/>
      <c r="G85" s="207"/>
      <c r="H85" s="207"/>
      <c r="I85" s="207"/>
      <c r="J85" s="207"/>
      <c r="K85" s="207"/>
    </row>
    <row r="86" spans="1:11">
      <c r="A86" s="207"/>
      <c r="B86" s="1044"/>
      <c r="C86" s="1044"/>
      <c r="D86" s="207"/>
      <c r="E86" s="207"/>
      <c r="F86" s="207"/>
      <c r="G86" s="207"/>
      <c r="H86" s="207"/>
      <c r="I86" s="207"/>
      <c r="J86" s="207"/>
      <c r="K86" s="207"/>
    </row>
    <row r="87" spans="1:11">
      <c r="A87" s="207"/>
      <c r="B87" s="1044"/>
      <c r="C87" s="1044"/>
      <c r="D87" s="207"/>
      <c r="E87" s="207"/>
      <c r="F87" s="207"/>
      <c r="G87" s="207"/>
      <c r="H87" s="207"/>
      <c r="I87" s="207"/>
      <c r="J87" s="207"/>
      <c r="K87" s="207"/>
    </row>
    <row r="88" spans="1:11">
      <c r="A88" s="207"/>
      <c r="B88" s="1044"/>
      <c r="C88" s="1044"/>
      <c r="D88" s="207"/>
      <c r="E88" s="207"/>
      <c r="F88" s="207"/>
      <c r="G88" s="207"/>
      <c r="H88" s="207"/>
      <c r="I88" s="207"/>
      <c r="J88" s="207"/>
      <c r="K88" s="207"/>
    </row>
    <row r="89" spans="1:11">
      <c r="A89" s="207"/>
      <c r="B89" s="1044"/>
      <c r="C89" s="1044"/>
      <c r="D89" s="207"/>
      <c r="E89" s="207"/>
      <c r="F89" s="207"/>
      <c r="G89" s="207"/>
      <c r="H89" s="207"/>
      <c r="I89" s="207"/>
      <c r="J89" s="207"/>
      <c r="K89" s="207"/>
    </row>
  </sheetData>
  <mergeCells count="1">
    <mergeCell ref="A2:L2"/>
  </mergeCells>
  <phoneticPr fontId="0" type="noConversion"/>
  <pageMargins left="0.49" right="0.51" top="0.9" bottom="0.49" header="0.47" footer="0.4921259845"/>
  <pageSetup paperSize="9" scale="76" orientation="portrait" horizontalDpi="1200" verticalDpi="1200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9ADB-026D-3B48-A072-ACEEE957542A}">
  <sheetPr>
    <pageSetUpPr fitToPage="1"/>
  </sheetPr>
  <dimension ref="A1:O106"/>
  <sheetViews>
    <sheetView zoomScale="75" workbookViewId="0"/>
  </sheetViews>
  <sheetFormatPr baseColWidth="10" defaultColWidth="11.3984375" defaultRowHeight="13"/>
  <cols>
    <col min="1" max="1" width="30.3984375" style="2" customWidth="1"/>
    <col min="2" max="3" width="9.796875" style="159" hidden="1" customWidth="1"/>
    <col min="4" max="6" width="9.796875" style="2" hidden="1" customWidth="1"/>
    <col min="7" max="7" width="9.796875" style="2" customWidth="1"/>
    <col min="8" max="15" width="9.59765625" style="2" customWidth="1"/>
    <col min="16" max="16384" width="11.3984375" style="2"/>
  </cols>
  <sheetData>
    <row r="1" spans="1:15" s="1" customFormat="1" ht="13.5" customHeight="1">
      <c r="A1" s="718"/>
      <c r="B1" s="946"/>
      <c r="C1" s="946"/>
      <c r="D1" s="718"/>
      <c r="E1" s="718"/>
      <c r="F1" s="718"/>
      <c r="G1" s="718"/>
      <c r="H1" s="718"/>
      <c r="I1" s="718"/>
      <c r="J1" s="718"/>
    </row>
    <row r="2" spans="1:15" s="1" customFormat="1" ht="36" customHeight="1">
      <c r="A2" s="1700" t="s">
        <v>23</v>
      </c>
      <c r="B2" s="1699"/>
      <c r="C2" s="1699"/>
      <c r="D2" s="1699"/>
      <c r="E2" s="1699"/>
      <c r="F2" s="1699"/>
      <c r="G2" s="1699"/>
      <c r="H2" s="1699"/>
      <c r="I2" s="1699"/>
      <c r="J2" s="1699"/>
      <c r="K2" s="1699"/>
      <c r="L2" s="1699"/>
      <c r="M2" s="265"/>
      <c r="N2" s="265"/>
    </row>
    <row r="3" spans="1:15" ht="78" customHeight="1">
      <c r="A3" s="1056" t="s">
        <v>1058</v>
      </c>
      <c r="B3" s="1051">
        <v>1991</v>
      </c>
      <c r="C3" s="1052">
        <v>1992</v>
      </c>
      <c r="D3" s="1053">
        <v>1993</v>
      </c>
      <c r="E3" s="1052">
        <v>1994</v>
      </c>
      <c r="F3" s="1053">
        <v>1995</v>
      </c>
      <c r="G3" s="1052">
        <v>1996</v>
      </c>
      <c r="H3" s="1053">
        <v>1997</v>
      </c>
      <c r="I3" s="1052">
        <v>1998</v>
      </c>
      <c r="J3" s="1053">
        <v>1999</v>
      </c>
      <c r="K3" s="1052">
        <v>2000</v>
      </c>
      <c r="L3" s="1053">
        <v>2001</v>
      </c>
      <c r="M3" s="1052">
        <v>2002</v>
      </c>
      <c r="N3" s="1053">
        <v>2003</v>
      </c>
      <c r="O3" s="1052">
        <v>2004</v>
      </c>
    </row>
    <row r="4" spans="1:15" ht="30" customHeight="1" thickBot="1">
      <c r="A4" s="1057" t="s">
        <v>24</v>
      </c>
      <c r="B4" s="641">
        <v>7.0999999999999994E-2</v>
      </c>
      <c r="C4" s="369">
        <v>7.458999999999999E-2</v>
      </c>
      <c r="D4" s="641">
        <v>7.5229999999999991E-2</v>
      </c>
      <c r="E4" s="369">
        <v>7.4069999999999997E-2</v>
      </c>
      <c r="F4" s="641">
        <v>7.3840000000000003E-2</v>
      </c>
      <c r="G4" s="369">
        <v>7.2000000000000008E-2</v>
      </c>
      <c r="H4" s="641">
        <v>6.9000000000000006E-2</v>
      </c>
      <c r="I4" s="369">
        <v>6.9000000000000006E-2</v>
      </c>
      <c r="J4" s="641">
        <v>7.0000000000000007E-2</v>
      </c>
      <c r="K4" s="369">
        <v>7.0000000000000007E-2</v>
      </c>
      <c r="L4" s="641">
        <v>7.2000000000000008E-2</v>
      </c>
      <c r="M4" s="369">
        <v>7.2999999999999995E-2</v>
      </c>
      <c r="N4" s="641">
        <v>7.4999999999999997E-2</v>
      </c>
      <c r="O4" s="369">
        <v>7.4999999999999997E-2</v>
      </c>
    </row>
    <row r="5" spans="1:15" ht="18" customHeight="1" thickBot="1">
      <c r="A5" s="1058" t="s">
        <v>25</v>
      </c>
      <c r="B5" s="461">
        <v>7.2999999999999995E-2</v>
      </c>
      <c r="C5" s="148">
        <v>7.6159999999999992E-2</v>
      </c>
      <c r="D5" s="461">
        <v>7.6569999999999999E-2</v>
      </c>
      <c r="E5" s="148">
        <v>7.5679999999999997E-2</v>
      </c>
      <c r="F5" s="461">
        <v>7.5689999999999993E-2</v>
      </c>
      <c r="G5" s="148">
        <v>7.2999999999999995E-2</v>
      </c>
      <c r="H5" s="461">
        <v>7.0999999999999994E-2</v>
      </c>
      <c r="I5" s="148">
        <v>7.0000000000000007E-2</v>
      </c>
      <c r="J5" s="461">
        <v>7.0999999999999994E-2</v>
      </c>
      <c r="K5" s="148">
        <v>7.0999999999999994E-2</v>
      </c>
      <c r="L5" s="461">
        <v>7.2000000000000008E-2</v>
      </c>
      <c r="M5" s="148">
        <v>7.2999999999999995E-2</v>
      </c>
      <c r="N5" s="461">
        <v>7.4999999999999997E-2</v>
      </c>
      <c r="O5" s="148">
        <v>7.4999999999999997E-2</v>
      </c>
    </row>
    <row r="6" spans="1:15" ht="18" customHeight="1" thickBot="1">
      <c r="A6" s="1058" t="s">
        <v>1</v>
      </c>
      <c r="B6" s="461">
        <v>6.8000000000000005E-2</v>
      </c>
      <c r="C6" s="148">
        <v>7.3539999999999994E-2</v>
      </c>
      <c r="D6" s="461">
        <v>6.8690000000000001E-2</v>
      </c>
      <c r="E6" s="148">
        <v>6.6650000000000001E-2</v>
      </c>
      <c r="F6" s="461">
        <v>6.2869999999999995E-2</v>
      </c>
      <c r="G6" s="148">
        <v>6.5000000000000002E-2</v>
      </c>
      <c r="H6" s="461">
        <v>6.0999999999999999E-2</v>
      </c>
      <c r="I6" s="148">
        <v>6.0999999999999999E-2</v>
      </c>
      <c r="J6" s="461">
        <v>6.2E-2</v>
      </c>
      <c r="K6" s="148">
        <v>0.06</v>
      </c>
      <c r="L6" s="461">
        <v>6.2E-2</v>
      </c>
      <c r="M6" s="148">
        <v>6.4000000000000001E-2</v>
      </c>
      <c r="N6" s="461">
        <v>7.4999999999999997E-2</v>
      </c>
      <c r="O6" s="148">
        <v>7.6999999999999999E-2</v>
      </c>
    </row>
    <row r="7" spans="1:15" ht="18" customHeight="1" thickBot="1">
      <c r="A7" s="1058" t="s">
        <v>1061</v>
      </c>
      <c r="B7" s="461">
        <v>5.8000000000000003E-2</v>
      </c>
      <c r="C7" s="148">
        <v>5.781E-2</v>
      </c>
      <c r="D7" s="461">
        <v>5.9400000000000001E-2</v>
      </c>
      <c r="E7" s="148">
        <v>5.5970000000000006E-2</v>
      </c>
      <c r="F7" s="461">
        <v>5.5650000000000005E-2</v>
      </c>
      <c r="G7" s="148">
        <v>5.4000000000000006E-2</v>
      </c>
      <c r="H7" s="461">
        <v>5.2999999999999999E-2</v>
      </c>
      <c r="I7" s="148">
        <v>5.5999999999999994E-2</v>
      </c>
      <c r="J7" s="461">
        <v>5.7000000000000002E-2</v>
      </c>
      <c r="K7" s="148">
        <v>5.7000000000000002E-2</v>
      </c>
      <c r="L7" s="461">
        <v>5.7999999999999996E-2</v>
      </c>
      <c r="M7" s="148">
        <v>0.06</v>
      </c>
      <c r="N7" s="461">
        <v>6.0999999999999999E-2</v>
      </c>
      <c r="O7" s="148">
        <v>6.0999999999999999E-2</v>
      </c>
    </row>
    <row r="8" spans="1:15" ht="18" customHeight="1" thickBot="1">
      <c r="A8" s="1058" t="s">
        <v>1062</v>
      </c>
      <c r="B8" s="461">
        <v>7.9000000000000001E-2</v>
      </c>
      <c r="C8" s="148">
        <v>8.4600000000000009E-2</v>
      </c>
      <c r="D8" s="461">
        <v>8.2750000000000004E-2</v>
      </c>
      <c r="E8" s="148">
        <v>8.3780000000000007E-2</v>
      </c>
      <c r="F8" s="461">
        <v>8.6129999999999998E-2</v>
      </c>
      <c r="G8" s="148">
        <v>8.4000000000000005E-2</v>
      </c>
      <c r="H8" s="461">
        <v>7.9000000000000001E-2</v>
      </c>
      <c r="I8" s="148">
        <v>7.8E-2</v>
      </c>
      <c r="J8" s="461">
        <v>7.9000000000000001E-2</v>
      </c>
      <c r="K8" s="148">
        <v>0.08</v>
      </c>
      <c r="L8" s="461">
        <v>8.1000000000000003E-2</v>
      </c>
      <c r="M8" s="148">
        <v>8.1000000000000003E-2</v>
      </c>
      <c r="N8" s="461">
        <v>8.1000000000000003E-2</v>
      </c>
      <c r="O8" s="148">
        <v>7.6999999999999999E-2</v>
      </c>
    </row>
    <row r="9" spans="1:15" ht="18" customHeight="1" thickBot="1">
      <c r="A9" s="1058" t="s">
        <v>2</v>
      </c>
      <c r="B9" s="461">
        <v>0.05</v>
      </c>
      <c r="C9" s="148">
        <v>5.3109999999999997E-2</v>
      </c>
      <c r="D9" s="461">
        <v>5.5320000000000001E-2</v>
      </c>
      <c r="E9" s="148">
        <v>5.5940000000000004E-2</v>
      </c>
      <c r="F9" s="461">
        <v>5.6009999999999997E-2</v>
      </c>
      <c r="G9" s="148">
        <v>5.9000000000000004E-2</v>
      </c>
      <c r="H9" s="461">
        <v>5.7000000000000002E-2</v>
      </c>
      <c r="I9" s="148">
        <v>5.5E-2</v>
      </c>
      <c r="J9" s="461">
        <v>5.5999999999999994E-2</v>
      </c>
      <c r="K9" s="148">
        <v>5.5E-2</v>
      </c>
      <c r="L9" s="461">
        <v>6.0999999999999999E-2</v>
      </c>
      <c r="M9" s="148">
        <v>6.4000000000000001E-2</v>
      </c>
      <c r="N9" s="461">
        <v>6.6000000000000003E-2</v>
      </c>
      <c r="O9" s="148">
        <v>6.9000000000000006E-2</v>
      </c>
    </row>
    <row r="10" spans="1:15" ht="18" customHeight="1" thickBot="1">
      <c r="A10" s="1058" t="s">
        <v>1072</v>
      </c>
      <c r="B10" s="461">
        <v>0.06</v>
      </c>
      <c r="C10" s="148">
        <v>6.4430000000000001E-2</v>
      </c>
      <c r="D10" s="461">
        <v>6.6070000000000004E-2</v>
      </c>
      <c r="E10" s="148">
        <v>6.3520000000000007E-2</v>
      </c>
      <c r="F10" s="461">
        <v>6.1189999999999994E-2</v>
      </c>
      <c r="G10" s="148">
        <v>5.5E-2</v>
      </c>
      <c r="H10" s="461">
        <v>5.7000000000000002E-2</v>
      </c>
      <c r="I10" s="148">
        <v>5.7000000000000002E-2</v>
      </c>
      <c r="J10" s="461">
        <v>0.06</v>
      </c>
      <c r="K10" s="148">
        <v>6.6000000000000003E-2</v>
      </c>
      <c r="L10" s="461">
        <v>6.7000000000000004E-2</v>
      </c>
      <c r="M10" s="148">
        <v>6.7000000000000004E-2</v>
      </c>
      <c r="N10" s="461">
        <v>6.7000000000000004E-2</v>
      </c>
      <c r="O10" s="148">
        <v>6.7000000000000004E-2</v>
      </c>
    </row>
    <row r="11" spans="1:15" ht="18" customHeight="1" thickBot="1">
      <c r="A11" s="1058" t="s">
        <v>1064</v>
      </c>
      <c r="B11" s="461">
        <v>7.5999999999999998E-2</v>
      </c>
      <c r="C11" s="148">
        <v>7.9039999999999999E-2</v>
      </c>
      <c r="D11" s="461">
        <v>8.208E-2</v>
      </c>
      <c r="E11" s="148">
        <v>8.1500000000000003E-2</v>
      </c>
      <c r="F11" s="461">
        <v>8.2089999999999996E-2</v>
      </c>
      <c r="G11" s="148">
        <v>0.06</v>
      </c>
      <c r="H11" s="461">
        <v>5.7999999999999996E-2</v>
      </c>
      <c r="I11" s="148">
        <v>5.7000000000000002E-2</v>
      </c>
      <c r="J11" s="461">
        <v>5.7000000000000002E-2</v>
      </c>
      <c r="K11" s="148">
        <v>5.5999999999999994E-2</v>
      </c>
      <c r="L11" s="461">
        <v>5.7000000000000002E-2</v>
      </c>
      <c r="M11" s="148">
        <v>5.7999999999999996E-2</v>
      </c>
      <c r="N11" s="461">
        <v>5.7999999999999996E-2</v>
      </c>
      <c r="O11" s="148">
        <v>0.06</v>
      </c>
    </row>
    <row r="12" spans="1:15" ht="18" customHeight="1" thickBot="1">
      <c r="A12" s="1058" t="s">
        <v>3</v>
      </c>
      <c r="B12" s="461">
        <v>6.3E-2</v>
      </c>
      <c r="C12" s="148">
        <v>6.6199999999999995E-2</v>
      </c>
      <c r="D12" s="461">
        <v>6.7140000000000005E-2</v>
      </c>
      <c r="E12" s="148">
        <v>6.5790000000000001E-2</v>
      </c>
      <c r="F12" s="461">
        <v>6.5720000000000001E-2</v>
      </c>
      <c r="G12" s="148">
        <v>8.199999999999999E-2</v>
      </c>
      <c r="H12" s="461">
        <v>8.1000000000000003E-2</v>
      </c>
      <c r="I12" s="148">
        <v>0.08</v>
      </c>
      <c r="J12" s="461">
        <v>0.08</v>
      </c>
      <c r="K12" s="148">
        <v>0.08</v>
      </c>
      <c r="L12" s="461">
        <v>8.1000000000000003E-2</v>
      </c>
      <c r="M12" s="148">
        <v>8.4000000000000005E-2</v>
      </c>
      <c r="N12" s="461">
        <v>8.5999999999999993E-2</v>
      </c>
      <c r="O12" s="148">
        <v>8.8000000000000009E-2</v>
      </c>
    </row>
    <row r="13" spans="1:15" ht="18" customHeight="1" thickBot="1">
      <c r="A13" s="1058" t="s">
        <v>1066</v>
      </c>
      <c r="B13" s="461">
        <v>6.7000000000000004E-2</v>
      </c>
      <c r="C13" s="148">
        <v>6.6040000000000001E-2</v>
      </c>
      <c r="D13" s="461">
        <v>6.3689999999999997E-2</v>
      </c>
      <c r="E13" s="148">
        <v>5.9960000000000006E-2</v>
      </c>
      <c r="F13" s="461">
        <v>5.5309999999999998E-2</v>
      </c>
      <c r="G13" s="148">
        <v>5.4000000000000006E-2</v>
      </c>
      <c r="H13" s="461">
        <v>5.5999999999999994E-2</v>
      </c>
      <c r="I13" s="148">
        <v>5.5999999999999994E-2</v>
      </c>
      <c r="J13" s="461">
        <v>5.5999999999999994E-2</v>
      </c>
      <c r="K13" s="148">
        <v>0.06</v>
      </c>
      <c r="L13" s="461">
        <v>6.3E-2</v>
      </c>
      <c r="M13" s="148">
        <v>6.2E-2</v>
      </c>
      <c r="N13" s="461">
        <v>6.2E-2</v>
      </c>
      <c r="O13" s="148">
        <v>6.5000000000000002E-2</v>
      </c>
    </row>
    <row r="14" spans="1:15" ht="18" customHeight="1" thickBot="1">
      <c r="A14" s="1058" t="s">
        <v>4</v>
      </c>
      <c r="B14" s="461">
        <v>5.3999999999999999E-2</v>
      </c>
      <c r="C14" s="148">
        <v>5.6009999999999997E-2</v>
      </c>
      <c r="D14" s="461">
        <v>6.0570000000000006E-2</v>
      </c>
      <c r="E14" s="148">
        <v>5.4610000000000006E-2</v>
      </c>
      <c r="F14" s="461">
        <v>5.6950000000000001E-2</v>
      </c>
      <c r="G14" s="148">
        <v>5.2999999999999999E-2</v>
      </c>
      <c r="H14" s="461">
        <v>5.2999999999999999E-2</v>
      </c>
      <c r="I14" s="148">
        <v>5.0999999999999997E-2</v>
      </c>
      <c r="J14" s="461">
        <v>5.0999999999999997E-2</v>
      </c>
      <c r="K14" s="148">
        <v>4.8000000000000001E-2</v>
      </c>
      <c r="L14" s="461">
        <v>5.2000000000000005E-2</v>
      </c>
      <c r="M14" s="148">
        <v>5.2999999999999999E-2</v>
      </c>
      <c r="N14" s="461">
        <v>5.4000000000000006E-2</v>
      </c>
      <c r="O14" s="148">
        <v>5.5E-2</v>
      </c>
    </row>
    <row r="15" spans="1:15" ht="18" customHeight="1" thickBot="1">
      <c r="A15" s="1058" t="s">
        <v>1068</v>
      </c>
      <c r="B15" s="461">
        <v>8.7999999999999995E-2</v>
      </c>
      <c r="C15" s="148">
        <v>8.8889999999999997E-2</v>
      </c>
      <c r="D15" s="461">
        <v>9.0540000000000009E-2</v>
      </c>
      <c r="E15" s="148">
        <v>8.499000000000001E-2</v>
      </c>
      <c r="F15" s="461">
        <v>8.3140000000000006E-2</v>
      </c>
      <c r="G15" s="148">
        <v>7.6999999999999999E-2</v>
      </c>
      <c r="H15" s="461">
        <v>7.400000000000001E-2</v>
      </c>
      <c r="I15" s="148">
        <v>7.2999999999999995E-2</v>
      </c>
      <c r="J15" s="461">
        <v>7.400000000000001E-2</v>
      </c>
      <c r="K15" s="148">
        <v>7.2999999999999995E-2</v>
      </c>
      <c r="L15" s="461">
        <v>7.4999999999999997E-2</v>
      </c>
      <c r="M15" s="148">
        <v>7.9000000000000001E-2</v>
      </c>
      <c r="N15" s="461">
        <v>8.199999999999999E-2</v>
      </c>
      <c r="O15" s="148">
        <v>8.1000000000000003E-2</v>
      </c>
    </row>
    <row r="16" spans="1:15" ht="18" customHeight="1" thickBot="1">
      <c r="A16" s="1058" t="s">
        <v>1070</v>
      </c>
      <c r="B16" s="461">
        <v>6.8000000000000005E-2</v>
      </c>
      <c r="C16" s="148">
        <v>7.5429999999999997E-2</v>
      </c>
      <c r="D16" s="461">
        <v>7.7890000000000001E-2</v>
      </c>
      <c r="E16" s="148">
        <v>7.8730000000000008E-2</v>
      </c>
      <c r="F16" s="461">
        <v>7.8979999999999995E-2</v>
      </c>
      <c r="G16" s="148">
        <v>7.0000000000000007E-2</v>
      </c>
      <c r="H16" s="461">
        <v>7.0999999999999994E-2</v>
      </c>
      <c r="I16" s="148">
        <v>7.0999999999999994E-2</v>
      </c>
      <c r="J16" s="461">
        <v>7.2999999999999995E-2</v>
      </c>
      <c r="K16" s="148">
        <v>6.9000000000000006E-2</v>
      </c>
      <c r="L16" s="461">
        <v>7.0000000000000007E-2</v>
      </c>
      <c r="M16" s="148">
        <v>7.2000000000000008E-2</v>
      </c>
      <c r="N16" s="461">
        <v>7.0999999999999994E-2</v>
      </c>
      <c r="O16" s="148">
        <v>7.0999999999999994E-2</v>
      </c>
    </row>
    <row r="17" spans="1:15" ht="18" customHeight="1" thickBot="1">
      <c r="A17" s="1058" t="s">
        <v>5</v>
      </c>
      <c r="B17" s="461">
        <v>5.0999999999999997E-2</v>
      </c>
      <c r="C17" s="148">
        <v>5.6390000000000003E-2</v>
      </c>
      <c r="D17" s="461">
        <v>6.3399999999999998E-2</v>
      </c>
      <c r="E17" s="148">
        <v>6.8460000000000007E-2</v>
      </c>
      <c r="F17" s="461">
        <v>7.2690000000000005E-2</v>
      </c>
      <c r="G17" s="148">
        <v>5.7000000000000002E-2</v>
      </c>
      <c r="H17" s="461">
        <v>5.7000000000000002E-2</v>
      </c>
      <c r="I17" s="148">
        <v>5.9000000000000004E-2</v>
      </c>
      <c r="J17" s="461">
        <v>6.0999999999999999E-2</v>
      </c>
      <c r="K17" s="148">
        <v>6.2E-2</v>
      </c>
      <c r="L17" s="461">
        <v>6.3E-2</v>
      </c>
      <c r="M17" s="148">
        <v>6.7000000000000004E-2</v>
      </c>
      <c r="N17" s="461">
        <v>6.5000000000000002E-2</v>
      </c>
      <c r="O17" s="148">
        <v>7.0999999999999994E-2</v>
      </c>
    </row>
    <row r="18" spans="1:15" ht="18" customHeight="1" thickBot="1">
      <c r="A18" s="1058" t="s">
        <v>1063</v>
      </c>
      <c r="B18" s="461">
        <v>7.6999999999999999E-2</v>
      </c>
      <c r="C18" s="148">
        <v>7.6299999999999993E-2</v>
      </c>
      <c r="D18" s="461">
        <v>7.1599999999999997E-2</v>
      </c>
      <c r="E18" s="148">
        <v>6.6720000000000002E-2</v>
      </c>
      <c r="F18" s="461">
        <v>6.4489999999999992E-2</v>
      </c>
      <c r="G18" s="148">
        <v>6.5000000000000002E-2</v>
      </c>
      <c r="H18" s="461">
        <v>6.2E-2</v>
      </c>
      <c r="I18" s="148">
        <v>5.9000000000000004E-2</v>
      </c>
      <c r="J18" s="461">
        <v>5.9000000000000004E-2</v>
      </c>
      <c r="K18" s="148">
        <v>5.7999999999999996E-2</v>
      </c>
      <c r="L18" s="461">
        <v>5.9000000000000004E-2</v>
      </c>
      <c r="M18" s="148">
        <v>6.2E-2</v>
      </c>
      <c r="N18" s="461">
        <v>6.4000000000000001E-2</v>
      </c>
      <c r="O18" s="148">
        <v>6.6000000000000003E-2</v>
      </c>
    </row>
    <row r="19" spans="1:15" ht="18" customHeight="1" thickBot="1">
      <c r="A19" s="1058" t="s">
        <v>1071</v>
      </c>
      <c r="B19" s="461" t="s">
        <v>1412</v>
      </c>
      <c r="C19" s="148" t="s">
        <v>1412</v>
      </c>
      <c r="D19" s="461">
        <v>8.6319999999999994E-2</v>
      </c>
      <c r="E19" s="148">
        <v>7.8479999999999994E-2</v>
      </c>
      <c r="F19" s="461">
        <v>7.5650000000000009E-2</v>
      </c>
      <c r="G19" s="148">
        <v>7.2999999999999995E-2</v>
      </c>
      <c r="H19" s="461">
        <v>7.400000000000001E-2</v>
      </c>
      <c r="I19" s="148">
        <v>7.6999999999999999E-2</v>
      </c>
      <c r="J19" s="461">
        <v>7.9000000000000001E-2</v>
      </c>
      <c r="K19" s="148">
        <v>8.1000000000000003E-2</v>
      </c>
      <c r="L19" s="461">
        <v>8.1000000000000003E-2</v>
      </c>
      <c r="M19" s="148">
        <v>8.5000000000000006E-2</v>
      </c>
      <c r="N19" s="461">
        <v>8.4000000000000005E-2</v>
      </c>
      <c r="O19" s="148">
        <v>0.08</v>
      </c>
    </row>
    <row r="20" spans="1:15" ht="18" customHeight="1" thickBot="1">
      <c r="A20" s="1058" t="s">
        <v>6</v>
      </c>
      <c r="B20" s="461">
        <v>6.2E-2</v>
      </c>
      <c r="C20" s="148">
        <v>6.583E-2</v>
      </c>
      <c r="D20" s="461">
        <v>6.724999999999999E-2</v>
      </c>
      <c r="E20" s="148">
        <v>6.6349999999999992E-2</v>
      </c>
      <c r="F20" s="461">
        <v>6.4780000000000004E-2</v>
      </c>
      <c r="G20" s="148">
        <v>6.4000000000000001E-2</v>
      </c>
      <c r="H20" s="461">
        <v>6.3E-2</v>
      </c>
      <c r="I20" s="148">
        <v>6.5000000000000002E-2</v>
      </c>
      <c r="J20" s="461">
        <v>6.5000000000000002E-2</v>
      </c>
      <c r="K20" s="148">
        <v>6.7000000000000004E-2</v>
      </c>
      <c r="L20" s="461">
        <v>7.2999999999999995E-2</v>
      </c>
      <c r="M20" s="148">
        <v>7.2999999999999995E-2</v>
      </c>
      <c r="N20" s="461">
        <v>7.8E-2</v>
      </c>
      <c r="O20" s="148">
        <v>7.8E-2</v>
      </c>
    </row>
    <row r="21" spans="1:15" ht="18" customHeight="1" thickBot="1">
      <c r="A21" s="1058" t="s">
        <v>7</v>
      </c>
      <c r="B21" s="461">
        <v>7.3999999999999996E-2</v>
      </c>
      <c r="C21" s="148">
        <v>7.22E-2</v>
      </c>
      <c r="D21" s="461">
        <v>7.1919999999999998E-2</v>
      </c>
      <c r="E21" s="148">
        <v>6.8849999999999995E-2</v>
      </c>
      <c r="F21" s="461">
        <v>7.0550000000000002E-2</v>
      </c>
      <c r="G21" s="148">
        <v>6.9000000000000006E-2</v>
      </c>
      <c r="H21" s="461">
        <v>6.8000000000000005E-2</v>
      </c>
      <c r="I21" s="148">
        <v>6.9000000000000006E-2</v>
      </c>
      <c r="J21" s="461">
        <v>7.400000000000001E-2</v>
      </c>
      <c r="K21" s="148">
        <v>7.4999999999999997E-2</v>
      </c>
      <c r="L21" s="461">
        <v>7.400000000000001E-2</v>
      </c>
      <c r="M21" s="148">
        <v>7.9000000000000001E-2</v>
      </c>
      <c r="N21" s="461">
        <v>8.3000000000000004E-2</v>
      </c>
      <c r="O21" s="148">
        <v>7.9000000000000001E-2</v>
      </c>
    </row>
    <row r="22" spans="1:15" ht="18" customHeight="1" thickBot="1">
      <c r="A22" s="1058" t="s">
        <v>1069</v>
      </c>
      <c r="B22" s="461">
        <v>0.08</v>
      </c>
      <c r="C22" s="148">
        <v>7.9259999999999997E-2</v>
      </c>
      <c r="D22" s="461">
        <v>7.6369999999999993E-2</v>
      </c>
      <c r="E22" s="148">
        <v>7.3959999999999998E-2</v>
      </c>
      <c r="F22" s="461">
        <v>7.3779999999999998E-2</v>
      </c>
      <c r="G22" s="148">
        <v>7.5999999999999998E-2</v>
      </c>
      <c r="H22" s="461">
        <v>7.8E-2</v>
      </c>
      <c r="I22" s="148">
        <v>8.5999999999999993E-2</v>
      </c>
      <c r="J22" s="461">
        <v>8.6999999999999994E-2</v>
      </c>
      <c r="K22" s="148">
        <v>8.199999999999999E-2</v>
      </c>
      <c r="L22" s="461">
        <v>8.6999999999999994E-2</v>
      </c>
      <c r="M22" s="148">
        <v>8.8000000000000009E-2</v>
      </c>
      <c r="N22" s="461">
        <v>9.3000000000000013E-2</v>
      </c>
      <c r="O22" s="148">
        <v>8.5000000000000006E-2</v>
      </c>
    </row>
    <row r="23" spans="1:15" s="188" customFormat="1" ht="30" customHeight="1" thickBot="1">
      <c r="A23" s="1059" t="s">
        <v>26</v>
      </c>
      <c r="B23" s="902">
        <v>5.1999999999999998E-2</v>
      </c>
      <c r="C23" s="940">
        <v>5.4150000000000004E-2</v>
      </c>
      <c r="D23" s="902">
        <v>5.3689999999999995E-2</v>
      </c>
      <c r="E23" s="940">
        <v>5.484E-2</v>
      </c>
      <c r="F23" s="902">
        <v>5.5039999999999999E-2</v>
      </c>
      <c r="G23" s="940">
        <v>0.06</v>
      </c>
      <c r="H23" s="902">
        <v>0.06</v>
      </c>
      <c r="I23" s="940">
        <v>6.2E-2</v>
      </c>
      <c r="J23" s="902">
        <v>6.2E-2</v>
      </c>
      <c r="K23" s="940">
        <v>6.3E-2</v>
      </c>
      <c r="L23" s="902">
        <v>6.6000000000000003E-2</v>
      </c>
      <c r="M23" s="940">
        <v>6.9000000000000006E-2</v>
      </c>
      <c r="N23" s="902">
        <v>7.0999999999999994E-2</v>
      </c>
      <c r="O23" s="940">
        <v>7.0999999999999994E-2</v>
      </c>
    </row>
    <row r="24" spans="1:15" ht="20" customHeight="1">
      <c r="A24" s="1054" t="s">
        <v>8</v>
      </c>
      <c r="B24" s="1012"/>
      <c r="C24" s="1012"/>
      <c r="D24" s="207"/>
      <c r="E24" s="207"/>
      <c r="F24" s="207"/>
      <c r="G24" s="207"/>
      <c r="H24" s="207"/>
      <c r="I24" s="207"/>
      <c r="J24" s="207"/>
      <c r="K24" s="207"/>
    </row>
    <row r="25" spans="1:15" ht="15" customHeight="1">
      <c r="A25" s="1054"/>
      <c r="B25" s="1012"/>
      <c r="C25" s="1012"/>
      <c r="D25" s="207"/>
      <c r="E25" s="207"/>
      <c r="F25" s="207"/>
      <c r="G25" s="207"/>
      <c r="H25" s="207"/>
      <c r="I25" s="207"/>
      <c r="J25" s="207"/>
      <c r="K25" s="207"/>
    </row>
    <row r="26" spans="1:15" s="207" customFormat="1" ht="13.5" customHeight="1">
      <c r="A26" s="1054" t="s">
        <v>9</v>
      </c>
      <c r="B26" s="1012"/>
      <c r="C26" s="1012"/>
    </row>
    <row r="27" spans="1:15" s="207" customFormat="1" ht="13.5" customHeight="1">
      <c r="A27" s="1054" t="s">
        <v>10</v>
      </c>
      <c r="B27" s="1012"/>
      <c r="C27" s="1012"/>
    </row>
    <row r="28" spans="1:15" s="207" customFormat="1" ht="13.5" customHeight="1">
      <c r="A28" s="1054" t="s">
        <v>11</v>
      </c>
      <c r="B28" s="1012"/>
      <c r="C28" s="1012"/>
    </row>
    <row r="29" spans="1:15" s="207" customFormat="1" ht="13.5" customHeight="1">
      <c r="A29" s="1054" t="s">
        <v>12</v>
      </c>
      <c r="B29" s="1012"/>
      <c r="C29" s="1012"/>
    </row>
    <row r="30" spans="1:15" s="207" customFormat="1" ht="13.5" customHeight="1">
      <c r="A30" s="1054" t="s">
        <v>13</v>
      </c>
      <c r="B30" s="1012"/>
      <c r="C30" s="1012"/>
    </row>
    <row r="31" spans="1:15" ht="13.5" customHeight="1">
      <c r="A31" s="1060" t="s">
        <v>14</v>
      </c>
      <c r="B31" s="961"/>
      <c r="C31" s="961"/>
      <c r="D31" s="660"/>
      <c r="E31" s="660"/>
      <c r="F31" s="660"/>
      <c r="G31" s="660"/>
      <c r="H31" s="660"/>
      <c r="I31" s="660"/>
      <c r="J31" s="660"/>
    </row>
    <row r="32" spans="1:15" ht="13.5" customHeight="1">
      <c r="A32" s="1060" t="s">
        <v>15</v>
      </c>
      <c r="B32" s="961"/>
      <c r="C32" s="961"/>
      <c r="D32" s="660"/>
      <c r="E32" s="660"/>
      <c r="F32" s="660"/>
      <c r="G32" s="660"/>
      <c r="H32" s="660"/>
      <c r="I32" s="660"/>
      <c r="J32" s="660"/>
    </row>
    <row r="33" spans="1:15" ht="13.5" customHeight="1">
      <c r="A33" s="1060" t="s">
        <v>16</v>
      </c>
      <c r="B33" s="961"/>
      <c r="C33" s="961"/>
      <c r="D33" s="660"/>
      <c r="E33" s="660"/>
      <c r="F33" s="660"/>
      <c r="G33" s="660"/>
      <c r="H33" s="660"/>
      <c r="I33" s="660"/>
      <c r="J33" s="660"/>
    </row>
    <row r="34" spans="1:15" ht="13.5" customHeight="1">
      <c r="A34" s="1060" t="s">
        <v>17</v>
      </c>
      <c r="B34" s="961"/>
      <c r="C34" s="961"/>
      <c r="D34" s="660"/>
      <c r="E34" s="660"/>
      <c r="F34" s="660"/>
      <c r="G34" s="660"/>
      <c r="H34" s="660"/>
      <c r="I34" s="660"/>
      <c r="J34" s="660"/>
    </row>
    <row r="35" spans="1:15" ht="13.5" customHeight="1">
      <c r="A35" s="1060" t="s">
        <v>18</v>
      </c>
      <c r="B35" s="961"/>
      <c r="C35" s="961"/>
      <c r="D35" s="660"/>
      <c r="E35" s="660"/>
      <c r="F35" s="660"/>
      <c r="G35" s="660"/>
      <c r="H35" s="660"/>
      <c r="I35" s="660"/>
      <c r="J35" s="660"/>
    </row>
    <row r="36" spans="1:15" ht="13.5" customHeight="1">
      <c r="A36" s="1060" t="s">
        <v>19</v>
      </c>
      <c r="B36" s="961"/>
      <c r="C36" s="961"/>
      <c r="D36" s="660"/>
      <c r="E36" s="660"/>
      <c r="F36" s="660"/>
      <c r="G36" s="660"/>
      <c r="H36" s="660"/>
      <c r="I36" s="660"/>
      <c r="J36" s="660"/>
    </row>
    <row r="37" spans="1:15" ht="13.5" customHeight="1">
      <c r="A37" s="1060"/>
      <c r="B37" s="961"/>
      <c r="C37" s="961"/>
      <c r="D37" s="660"/>
      <c r="E37" s="660"/>
      <c r="F37" s="660"/>
      <c r="G37" s="660"/>
      <c r="H37" s="660"/>
      <c r="I37" s="660"/>
      <c r="J37" s="660"/>
    </row>
    <row r="38" spans="1:15" ht="12.75" customHeight="1">
      <c r="A38" s="1054" t="s">
        <v>20</v>
      </c>
      <c r="B38" s="1012"/>
      <c r="C38" s="1012"/>
      <c r="D38" s="207"/>
      <c r="E38" s="207"/>
      <c r="F38" s="207"/>
      <c r="G38" s="207"/>
      <c r="H38" s="207"/>
      <c r="I38" s="207"/>
      <c r="J38" s="207"/>
      <c r="K38" s="207"/>
    </row>
    <row r="39" spans="1:15" ht="12.75" customHeight="1">
      <c r="A39" s="1061" t="s">
        <v>21</v>
      </c>
      <c r="B39" s="1012"/>
      <c r="C39" s="1012"/>
      <c r="D39" s="207"/>
      <c r="E39" s="207"/>
      <c r="F39" s="207"/>
      <c r="G39" s="207"/>
      <c r="H39" s="207"/>
      <c r="I39" s="207"/>
      <c r="J39" s="207"/>
      <c r="K39" s="207"/>
    </row>
    <row r="40" spans="1:15" ht="12.75" customHeight="1">
      <c r="A40" s="1061" t="s">
        <v>22</v>
      </c>
      <c r="B40" s="1044"/>
      <c r="C40" s="1044"/>
      <c r="D40" s="207"/>
      <c r="E40" s="207"/>
      <c r="F40" s="207"/>
      <c r="G40" s="207"/>
      <c r="H40" s="207"/>
      <c r="I40" s="207"/>
      <c r="J40" s="207"/>
      <c r="K40" s="207"/>
    </row>
    <row r="41" spans="1:15" ht="12.75" customHeight="1">
      <c r="A41" s="1061"/>
      <c r="B41" s="1044"/>
      <c r="C41" s="1044"/>
      <c r="D41" s="207"/>
      <c r="E41" s="207"/>
      <c r="F41" s="207"/>
      <c r="G41" s="207"/>
      <c r="H41" s="207"/>
      <c r="I41" s="207"/>
      <c r="J41" s="207"/>
      <c r="K41" s="207"/>
    </row>
    <row r="42" spans="1:15" ht="17.25" customHeight="1">
      <c r="A42" s="843"/>
      <c r="B42" s="1044"/>
      <c r="C42" s="1044"/>
      <c r="D42" s="207"/>
      <c r="E42" s="207"/>
      <c r="F42" s="207"/>
      <c r="G42" s="207"/>
      <c r="H42" s="207"/>
      <c r="I42" s="207"/>
      <c r="J42" s="207"/>
      <c r="K42" s="207"/>
    </row>
    <row r="43" spans="1:15" ht="18.75" customHeight="1">
      <c r="A43" s="720" t="s">
        <v>1955</v>
      </c>
      <c r="B43" s="1044"/>
      <c r="C43" s="1044"/>
      <c r="D43" s="207"/>
      <c r="E43" s="207"/>
      <c r="F43" s="207"/>
      <c r="G43" s="207"/>
      <c r="H43" s="207"/>
      <c r="I43" s="207"/>
      <c r="J43" s="207"/>
      <c r="K43" s="207"/>
    </row>
    <row r="44" spans="1:15" ht="31" customHeight="1">
      <c r="A44" s="207"/>
      <c r="B44" s="1044"/>
      <c r="C44" s="1044"/>
      <c r="D44" s="207"/>
      <c r="E44" s="207"/>
      <c r="F44" s="207"/>
      <c r="G44" s="207"/>
      <c r="H44" s="207"/>
      <c r="I44" s="207"/>
      <c r="J44" s="207"/>
      <c r="K44" s="207"/>
      <c r="O44" s="1"/>
    </row>
    <row r="45" spans="1:15" ht="31" customHeight="1">
      <c r="A45" s="207"/>
      <c r="B45" s="1044"/>
      <c r="C45" s="1044"/>
      <c r="D45" s="207"/>
      <c r="E45" s="207"/>
      <c r="F45" s="207"/>
      <c r="G45" s="207"/>
      <c r="H45" s="207"/>
      <c r="I45" s="207"/>
      <c r="J45" s="207"/>
      <c r="K45" s="207"/>
    </row>
    <row r="46" spans="1:15" ht="31" customHeight="1">
      <c r="A46" s="207"/>
      <c r="B46" s="1044"/>
      <c r="C46" s="1044"/>
      <c r="D46" s="207"/>
      <c r="E46" s="207"/>
      <c r="F46" s="207"/>
      <c r="G46" s="207"/>
      <c r="H46" s="207"/>
      <c r="I46" s="207"/>
      <c r="J46" s="207"/>
      <c r="K46" s="207"/>
    </row>
    <row r="47" spans="1:15" ht="31" customHeight="1">
      <c r="A47" s="207"/>
      <c r="B47" s="1044"/>
      <c r="C47" s="1044"/>
      <c r="D47" s="207"/>
      <c r="E47" s="207"/>
      <c r="F47" s="207"/>
      <c r="G47" s="207"/>
      <c r="H47" s="207"/>
      <c r="I47" s="207"/>
      <c r="J47" s="207"/>
      <c r="K47" s="207"/>
    </row>
    <row r="48" spans="1:15" ht="31" customHeight="1">
      <c r="A48" s="207"/>
      <c r="B48" s="1044"/>
      <c r="C48" s="1044"/>
      <c r="D48" s="207"/>
      <c r="E48" s="207"/>
      <c r="F48" s="207"/>
      <c r="G48" s="207"/>
      <c r="H48" s="207"/>
      <c r="I48" s="207"/>
      <c r="J48" s="207"/>
      <c r="K48" s="207"/>
    </row>
    <row r="49" spans="1:11" ht="31" customHeight="1">
      <c r="A49" s="207"/>
      <c r="B49" s="1044"/>
      <c r="C49" s="1044"/>
      <c r="D49" s="207"/>
      <c r="E49" s="207"/>
      <c r="F49" s="207"/>
      <c r="G49" s="207"/>
      <c r="H49" s="207"/>
      <c r="I49" s="207"/>
      <c r="J49" s="207"/>
      <c r="K49" s="207"/>
    </row>
    <row r="50" spans="1:11" ht="31" customHeight="1">
      <c r="A50" s="207"/>
      <c r="B50" s="1044"/>
      <c r="C50" s="1044"/>
      <c r="D50" s="207"/>
      <c r="E50" s="207"/>
      <c r="F50" s="207"/>
      <c r="G50" s="207"/>
      <c r="H50" s="207"/>
      <c r="I50" s="207"/>
      <c r="J50" s="207"/>
      <c r="K50" s="207"/>
    </row>
    <row r="51" spans="1:11">
      <c r="A51" s="207"/>
      <c r="B51" s="1044"/>
      <c r="C51" s="1044"/>
      <c r="D51" s="207"/>
      <c r="E51" s="207"/>
      <c r="F51" s="207"/>
      <c r="G51" s="207"/>
      <c r="H51" s="207"/>
      <c r="I51" s="207"/>
      <c r="J51" s="207"/>
      <c r="K51" s="207"/>
    </row>
    <row r="52" spans="1:11">
      <c r="A52" s="207"/>
      <c r="B52" s="1044"/>
      <c r="C52" s="1044"/>
      <c r="D52" s="207"/>
      <c r="E52" s="207"/>
      <c r="F52" s="207"/>
      <c r="G52" s="207"/>
      <c r="H52" s="207"/>
      <c r="I52" s="207"/>
      <c r="J52" s="207"/>
      <c r="K52" s="207"/>
    </row>
    <row r="53" spans="1:11">
      <c r="A53" s="207"/>
      <c r="B53" s="1044"/>
      <c r="C53" s="1044"/>
      <c r="D53" s="207"/>
      <c r="E53" s="207"/>
      <c r="F53" s="207"/>
      <c r="G53" s="207"/>
      <c r="H53" s="207"/>
      <c r="I53" s="207"/>
      <c r="J53" s="207"/>
      <c r="K53" s="207"/>
    </row>
    <row r="54" spans="1:11">
      <c r="A54" s="207"/>
      <c r="B54" s="1044"/>
      <c r="C54" s="1044"/>
      <c r="D54" s="207"/>
      <c r="E54" s="207"/>
      <c r="F54" s="207"/>
      <c r="G54" s="207"/>
      <c r="H54" s="207"/>
      <c r="I54" s="207"/>
      <c r="J54" s="207"/>
      <c r="K54" s="207"/>
    </row>
    <row r="55" spans="1:11">
      <c r="A55" s="207"/>
      <c r="B55" s="1044"/>
      <c r="C55" s="1044"/>
      <c r="D55" s="207"/>
      <c r="E55" s="207"/>
      <c r="F55" s="207"/>
      <c r="G55" s="207"/>
      <c r="H55" s="207"/>
      <c r="I55" s="207"/>
      <c r="J55" s="207"/>
      <c r="K55" s="207"/>
    </row>
    <row r="56" spans="1:11">
      <c r="A56" s="207"/>
      <c r="B56" s="1044"/>
      <c r="C56" s="1044"/>
      <c r="D56" s="207"/>
      <c r="E56" s="207"/>
      <c r="F56" s="207"/>
      <c r="G56" s="207"/>
      <c r="H56" s="207"/>
      <c r="I56" s="207"/>
      <c r="J56" s="207"/>
      <c r="K56" s="207"/>
    </row>
    <row r="57" spans="1:11">
      <c r="A57" s="207"/>
      <c r="B57" s="1044"/>
      <c r="C57" s="1044"/>
      <c r="D57" s="207"/>
      <c r="E57" s="207"/>
      <c r="F57" s="207"/>
      <c r="G57" s="207"/>
      <c r="H57" s="207"/>
      <c r="I57" s="207"/>
      <c r="J57" s="207"/>
      <c r="K57" s="207"/>
    </row>
    <row r="58" spans="1:11">
      <c r="A58" s="207"/>
      <c r="B58" s="1044"/>
      <c r="C58" s="1044"/>
      <c r="D58" s="207"/>
      <c r="E58" s="207"/>
      <c r="F58" s="207"/>
      <c r="G58" s="207"/>
      <c r="H58" s="207"/>
      <c r="I58" s="207"/>
      <c r="J58" s="207"/>
      <c r="K58" s="207"/>
    </row>
    <row r="59" spans="1:11">
      <c r="A59" s="207"/>
      <c r="B59" s="1044"/>
      <c r="C59" s="1044"/>
      <c r="D59" s="207"/>
      <c r="E59" s="207"/>
      <c r="F59" s="207"/>
      <c r="G59" s="207"/>
      <c r="H59" s="207"/>
      <c r="I59" s="207"/>
      <c r="J59" s="207"/>
      <c r="K59" s="207"/>
    </row>
    <row r="60" spans="1:11">
      <c r="A60" s="207"/>
      <c r="B60" s="1044"/>
      <c r="C60" s="1044"/>
      <c r="D60" s="207"/>
      <c r="E60" s="207"/>
      <c r="F60" s="207"/>
      <c r="G60" s="207"/>
      <c r="H60" s="207"/>
      <c r="I60" s="207"/>
      <c r="J60" s="207"/>
      <c r="K60" s="207"/>
    </row>
    <row r="61" spans="1:11">
      <c r="A61" s="207"/>
      <c r="B61" s="1044"/>
      <c r="C61" s="1044"/>
      <c r="D61" s="207"/>
      <c r="E61" s="207"/>
      <c r="F61" s="207"/>
      <c r="G61" s="207"/>
      <c r="H61" s="207"/>
      <c r="I61" s="207"/>
      <c r="J61" s="207"/>
      <c r="K61" s="207"/>
    </row>
    <row r="62" spans="1:11">
      <c r="A62" s="207"/>
      <c r="B62" s="1044"/>
      <c r="C62" s="1044"/>
      <c r="D62" s="207"/>
      <c r="E62" s="207"/>
      <c r="F62" s="207"/>
      <c r="G62" s="207"/>
      <c r="H62" s="207"/>
      <c r="I62" s="207"/>
      <c r="J62" s="207"/>
      <c r="K62" s="207"/>
    </row>
    <row r="63" spans="1:11">
      <c r="A63" s="207"/>
      <c r="B63" s="1044"/>
      <c r="C63" s="1044"/>
      <c r="D63" s="207"/>
      <c r="E63" s="207"/>
      <c r="F63" s="207"/>
      <c r="G63" s="207"/>
      <c r="H63" s="207"/>
      <c r="I63" s="207"/>
      <c r="J63" s="207"/>
      <c r="K63" s="207"/>
    </row>
    <row r="64" spans="1:11">
      <c r="A64" s="207"/>
      <c r="B64" s="1044"/>
      <c r="C64" s="1044"/>
      <c r="D64" s="207"/>
      <c r="E64" s="207"/>
      <c r="F64" s="207"/>
      <c r="G64" s="207"/>
      <c r="H64" s="207"/>
      <c r="I64" s="207"/>
      <c r="J64" s="207"/>
      <c r="K64" s="207"/>
    </row>
    <row r="65" spans="1:11">
      <c r="A65" s="207"/>
      <c r="B65" s="1044"/>
      <c r="C65" s="1044"/>
      <c r="D65" s="207"/>
      <c r="E65" s="207"/>
      <c r="F65" s="207"/>
      <c r="G65" s="207"/>
      <c r="H65" s="207"/>
      <c r="I65" s="207"/>
      <c r="J65" s="207"/>
      <c r="K65" s="207"/>
    </row>
    <row r="66" spans="1:11">
      <c r="A66" s="207"/>
      <c r="B66" s="1044"/>
      <c r="C66" s="1044"/>
      <c r="D66" s="207"/>
      <c r="E66" s="207"/>
      <c r="F66" s="207"/>
      <c r="G66" s="207"/>
      <c r="H66" s="207"/>
      <c r="I66" s="207"/>
      <c r="J66" s="207"/>
      <c r="K66" s="207"/>
    </row>
    <row r="67" spans="1:11">
      <c r="A67" s="207"/>
      <c r="B67" s="1044"/>
      <c r="C67" s="1044"/>
      <c r="D67" s="207"/>
      <c r="E67" s="207"/>
      <c r="F67" s="207"/>
      <c r="G67" s="207"/>
      <c r="H67" s="207"/>
      <c r="I67" s="207"/>
      <c r="J67" s="207"/>
      <c r="K67" s="207"/>
    </row>
    <row r="68" spans="1:11">
      <c r="A68" s="207"/>
      <c r="B68" s="1044"/>
      <c r="C68" s="1044"/>
      <c r="D68" s="207"/>
      <c r="E68" s="207"/>
      <c r="F68" s="207"/>
      <c r="G68" s="207"/>
      <c r="H68" s="207"/>
      <c r="I68" s="207"/>
      <c r="J68" s="207"/>
      <c r="K68" s="207"/>
    </row>
    <row r="69" spans="1:11">
      <c r="A69" s="207"/>
      <c r="B69" s="1044"/>
      <c r="C69" s="1044"/>
      <c r="D69" s="207"/>
      <c r="E69" s="207"/>
      <c r="F69" s="207"/>
      <c r="G69" s="207"/>
      <c r="H69" s="207"/>
      <c r="I69" s="207"/>
      <c r="J69" s="207"/>
      <c r="K69" s="207"/>
    </row>
    <row r="70" spans="1:11">
      <c r="A70" s="207"/>
      <c r="B70" s="1044"/>
      <c r="C70" s="1044"/>
      <c r="D70" s="207"/>
      <c r="E70" s="207"/>
      <c r="F70" s="207"/>
      <c r="G70" s="207"/>
      <c r="H70" s="207"/>
      <c r="I70" s="207"/>
      <c r="J70" s="207"/>
      <c r="K70" s="207"/>
    </row>
    <row r="71" spans="1:11">
      <c r="A71" s="207"/>
      <c r="B71" s="1044"/>
      <c r="C71" s="1044"/>
      <c r="D71" s="207"/>
      <c r="E71" s="207"/>
      <c r="F71" s="207"/>
      <c r="G71" s="207"/>
      <c r="H71" s="207"/>
      <c r="I71" s="207"/>
      <c r="J71" s="207"/>
      <c r="K71" s="207"/>
    </row>
    <row r="72" spans="1:11">
      <c r="A72" s="207"/>
      <c r="B72" s="1044"/>
      <c r="C72" s="1044"/>
      <c r="D72" s="207"/>
      <c r="E72" s="207"/>
      <c r="F72" s="207"/>
      <c r="G72" s="207"/>
      <c r="H72" s="207"/>
      <c r="I72" s="207"/>
      <c r="J72" s="207"/>
      <c r="K72" s="207"/>
    </row>
    <row r="73" spans="1:11">
      <c r="A73" s="207"/>
      <c r="B73" s="1044"/>
      <c r="C73" s="1044"/>
      <c r="D73" s="207"/>
      <c r="E73" s="207"/>
      <c r="F73" s="207"/>
      <c r="G73" s="207"/>
      <c r="H73" s="207"/>
      <c r="I73" s="207"/>
      <c r="J73" s="207"/>
      <c r="K73" s="207"/>
    </row>
    <row r="74" spans="1:11">
      <c r="A74" s="207"/>
      <c r="B74" s="1044"/>
      <c r="C74" s="1044"/>
      <c r="D74" s="207"/>
      <c r="E74" s="207"/>
      <c r="F74" s="207"/>
      <c r="G74" s="207"/>
      <c r="H74" s="207"/>
      <c r="I74" s="207"/>
      <c r="J74" s="207"/>
      <c r="K74" s="207"/>
    </row>
    <row r="75" spans="1:11">
      <c r="A75" s="207"/>
      <c r="B75" s="1044"/>
      <c r="C75" s="1044"/>
      <c r="D75" s="207"/>
      <c r="E75" s="207"/>
      <c r="F75" s="207"/>
      <c r="G75" s="207"/>
      <c r="H75" s="207"/>
      <c r="I75" s="207"/>
      <c r="J75" s="207"/>
      <c r="K75" s="207"/>
    </row>
    <row r="76" spans="1:11">
      <c r="A76" s="207"/>
      <c r="B76" s="1044"/>
      <c r="C76" s="1044"/>
      <c r="D76" s="207"/>
      <c r="E76" s="207"/>
      <c r="F76" s="207"/>
      <c r="G76" s="207"/>
      <c r="H76" s="207"/>
      <c r="I76" s="207"/>
      <c r="J76" s="207"/>
      <c r="K76" s="207"/>
    </row>
    <row r="77" spans="1:11">
      <c r="A77" s="207"/>
      <c r="B77" s="1044"/>
      <c r="C77" s="1044"/>
      <c r="D77" s="207"/>
      <c r="E77" s="207"/>
      <c r="F77" s="207"/>
      <c r="G77" s="207"/>
      <c r="H77" s="207"/>
      <c r="I77" s="207"/>
      <c r="J77" s="207"/>
      <c r="K77" s="207"/>
    </row>
    <row r="78" spans="1:11">
      <c r="A78" s="207"/>
      <c r="B78" s="1044"/>
      <c r="C78" s="1044"/>
      <c r="D78" s="207"/>
      <c r="E78" s="207"/>
      <c r="F78" s="207"/>
      <c r="G78" s="207"/>
      <c r="H78" s="207"/>
      <c r="I78" s="207"/>
      <c r="J78" s="207"/>
      <c r="K78" s="207"/>
    </row>
    <row r="79" spans="1:11">
      <c r="A79" s="207"/>
      <c r="B79" s="1044"/>
      <c r="C79" s="1044"/>
      <c r="D79" s="207"/>
      <c r="E79" s="207"/>
      <c r="F79" s="207"/>
      <c r="G79" s="207"/>
      <c r="H79" s="207"/>
      <c r="I79" s="207"/>
      <c r="J79" s="207"/>
      <c r="K79" s="207"/>
    </row>
    <row r="80" spans="1:11">
      <c r="A80" s="207"/>
      <c r="B80" s="1044"/>
      <c r="C80" s="1044"/>
      <c r="D80" s="207"/>
      <c r="E80" s="207"/>
      <c r="F80" s="207"/>
      <c r="G80" s="207"/>
      <c r="H80" s="207"/>
      <c r="I80" s="207"/>
      <c r="J80" s="207"/>
      <c r="K80" s="207"/>
    </row>
    <row r="81" spans="1:11">
      <c r="A81" s="207"/>
      <c r="B81" s="1044"/>
      <c r="C81" s="1044"/>
      <c r="D81" s="207"/>
      <c r="E81" s="207"/>
      <c r="F81" s="207"/>
      <c r="G81" s="207"/>
      <c r="H81" s="207"/>
      <c r="I81" s="207"/>
      <c r="J81" s="207"/>
      <c r="K81" s="207"/>
    </row>
    <row r="82" spans="1:11">
      <c r="A82" s="207"/>
      <c r="B82" s="1044"/>
      <c r="C82" s="1044"/>
      <c r="D82" s="207"/>
      <c r="E82" s="207"/>
      <c r="F82" s="207"/>
      <c r="G82" s="207"/>
      <c r="H82" s="207"/>
      <c r="I82" s="207"/>
      <c r="J82" s="207"/>
      <c r="K82" s="207"/>
    </row>
    <row r="83" spans="1:11">
      <c r="A83" s="207"/>
      <c r="B83" s="1044"/>
      <c r="C83" s="1044"/>
      <c r="D83" s="207"/>
      <c r="E83" s="207"/>
      <c r="F83" s="207"/>
      <c r="G83" s="207"/>
      <c r="H83" s="207"/>
      <c r="I83" s="207"/>
      <c r="J83" s="207"/>
      <c r="K83" s="207"/>
    </row>
    <row r="84" spans="1:11">
      <c r="A84" s="207"/>
      <c r="B84" s="1044"/>
      <c r="C84" s="1044"/>
      <c r="D84" s="207"/>
      <c r="E84" s="207"/>
      <c r="F84" s="207"/>
      <c r="G84" s="207"/>
      <c r="H84" s="207"/>
      <c r="I84" s="207"/>
      <c r="J84" s="207"/>
      <c r="K84" s="207"/>
    </row>
    <row r="85" spans="1:11">
      <c r="A85" s="207"/>
      <c r="B85" s="1044"/>
      <c r="C85" s="1044"/>
      <c r="D85" s="207"/>
      <c r="E85" s="207"/>
      <c r="F85" s="207"/>
      <c r="G85" s="207"/>
      <c r="H85" s="207"/>
      <c r="I85" s="207"/>
      <c r="J85" s="207"/>
      <c r="K85" s="207"/>
    </row>
    <row r="86" spans="1:11">
      <c r="A86" s="207"/>
      <c r="B86" s="1044"/>
      <c r="C86" s="1044"/>
      <c r="D86" s="207"/>
      <c r="E86" s="207"/>
      <c r="F86" s="207"/>
      <c r="G86" s="207"/>
      <c r="H86" s="207"/>
      <c r="I86" s="207"/>
      <c r="J86" s="207"/>
      <c r="K86" s="207"/>
    </row>
    <row r="87" spans="1:11">
      <c r="A87" s="207"/>
      <c r="B87" s="1044"/>
      <c r="C87" s="1044"/>
      <c r="D87" s="207"/>
      <c r="E87" s="207"/>
      <c r="F87" s="207"/>
      <c r="G87" s="207"/>
      <c r="H87" s="207"/>
      <c r="I87" s="207"/>
      <c r="J87" s="207"/>
      <c r="K87" s="207"/>
    </row>
    <row r="88" spans="1:11">
      <c r="A88" s="207"/>
      <c r="B88" s="1044"/>
      <c r="C88" s="1044"/>
      <c r="D88" s="207"/>
      <c r="E88" s="207"/>
      <c r="F88" s="207"/>
      <c r="G88" s="207"/>
      <c r="H88" s="207"/>
      <c r="I88" s="207"/>
      <c r="J88" s="207"/>
      <c r="K88" s="207"/>
    </row>
    <row r="89" spans="1:11">
      <c r="A89" s="207"/>
      <c r="B89" s="1044"/>
      <c r="C89" s="1044"/>
      <c r="D89" s="207"/>
      <c r="E89" s="207"/>
      <c r="F89" s="207"/>
      <c r="G89" s="207"/>
      <c r="H89" s="207"/>
      <c r="I89" s="207"/>
      <c r="J89" s="207"/>
      <c r="K89" s="207"/>
    </row>
    <row r="90" spans="1:11">
      <c r="A90" s="207"/>
      <c r="B90" s="1044"/>
      <c r="C90" s="1044"/>
      <c r="D90" s="207"/>
      <c r="E90" s="207"/>
      <c r="F90" s="207"/>
      <c r="G90" s="207"/>
      <c r="H90" s="207"/>
      <c r="I90" s="207"/>
      <c r="J90" s="207"/>
      <c r="K90" s="207"/>
    </row>
    <row r="91" spans="1:11">
      <c r="A91" s="207"/>
      <c r="B91" s="1044"/>
      <c r="C91" s="1044"/>
      <c r="D91" s="207"/>
      <c r="E91" s="207"/>
      <c r="F91" s="207"/>
      <c r="G91" s="207"/>
      <c r="H91" s="207"/>
      <c r="I91" s="207"/>
      <c r="J91" s="207"/>
      <c r="K91" s="207"/>
    </row>
    <row r="92" spans="1:11">
      <c r="A92" s="207"/>
      <c r="B92" s="1044"/>
      <c r="C92" s="1044"/>
      <c r="D92" s="207"/>
      <c r="E92" s="207"/>
      <c r="F92" s="207"/>
      <c r="G92" s="207"/>
      <c r="H92" s="207"/>
      <c r="I92" s="207"/>
      <c r="J92" s="207"/>
      <c r="K92" s="207"/>
    </row>
    <row r="93" spans="1:11">
      <c r="A93" s="207"/>
      <c r="B93" s="1044"/>
      <c r="C93" s="1044"/>
      <c r="D93" s="207"/>
      <c r="E93" s="207"/>
      <c r="F93" s="207"/>
      <c r="G93" s="207"/>
      <c r="H93" s="207"/>
      <c r="I93" s="207"/>
      <c r="J93" s="207"/>
      <c r="K93" s="207"/>
    </row>
    <row r="94" spans="1:11">
      <c r="A94" s="207"/>
      <c r="B94" s="1044"/>
      <c r="C94" s="1044"/>
      <c r="D94" s="207"/>
      <c r="E94" s="207"/>
      <c r="F94" s="207"/>
      <c r="G94" s="207"/>
      <c r="H94" s="207"/>
      <c r="I94" s="207"/>
      <c r="J94" s="207"/>
      <c r="K94" s="207"/>
    </row>
    <row r="95" spans="1:11">
      <c r="A95" s="207"/>
      <c r="B95" s="1044"/>
      <c r="C95" s="1044"/>
      <c r="D95" s="207"/>
      <c r="E95" s="207"/>
      <c r="F95" s="207"/>
      <c r="G95" s="207"/>
      <c r="H95" s="207"/>
      <c r="I95" s="207"/>
      <c r="J95" s="207"/>
      <c r="K95" s="207"/>
    </row>
    <row r="96" spans="1:11">
      <c r="A96" s="207"/>
      <c r="B96" s="1044"/>
      <c r="C96" s="1044"/>
      <c r="D96" s="207"/>
      <c r="E96" s="207"/>
      <c r="F96" s="207"/>
      <c r="G96" s="207"/>
      <c r="H96" s="207"/>
      <c r="I96" s="207"/>
      <c r="J96" s="207"/>
      <c r="K96" s="207"/>
    </row>
    <row r="97" spans="1:11">
      <c r="A97" s="207"/>
      <c r="B97" s="1044"/>
      <c r="C97" s="1044"/>
      <c r="D97" s="207"/>
      <c r="E97" s="207"/>
      <c r="F97" s="207"/>
      <c r="G97" s="207"/>
      <c r="H97" s="207"/>
      <c r="I97" s="207"/>
      <c r="J97" s="207"/>
      <c r="K97" s="207"/>
    </row>
    <row r="98" spans="1:11">
      <c r="A98" s="207"/>
      <c r="B98" s="1044"/>
      <c r="C98" s="1044"/>
      <c r="D98" s="207"/>
      <c r="E98" s="207"/>
      <c r="F98" s="207"/>
      <c r="G98" s="207"/>
      <c r="H98" s="207"/>
      <c r="I98" s="207"/>
      <c r="J98" s="207"/>
      <c r="K98" s="207"/>
    </row>
    <row r="99" spans="1:11">
      <c r="A99" s="207"/>
      <c r="B99" s="1044"/>
      <c r="C99" s="1044"/>
      <c r="D99" s="207"/>
      <c r="E99" s="207"/>
      <c r="F99" s="207"/>
      <c r="G99" s="207"/>
      <c r="H99" s="207"/>
      <c r="I99" s="207"/>
      <c r="J99" s="207"/>
      <c r="K99" s="207"/>
    </row>
    <row r="100" spans="1:11">
      <c r="A100" s="207"/>
      <c r="B100" s="1044"/>
      <c r="C100" s="1044"/>
      <c r="D100" s="207"/>
      <c r="E100" s="207"/>
      <c r="F100" s="207"/>
      <c r="G100" s="207"/>
      <c r="H100" s="207"/>
      <c r="I100" s="207"/>
      <c r="J100" s="207"/>
      <c r="K100" s="207"/>
    </row>
    <row r="101" spans="1:11">
      <c r="A101" s="207"/>
      <c r="B101" s="1044"/>
      <c r="C101" s="1044"/>
      <c r="D101" s="207"/>
      <c r="E101" s="207"/>
      <c r="F101" s="207"/>
      <c r="G101" s="207"/>
      <c r="H101" s="207"/>
      <c r="I101" s="207"/>
      <c r="J101" s="207"/>
      <c r="K101" s="207"/>
    </row>
    <row r="102" spans="1:11">
      <c r="A102" s="207"/>
      <c r="B102" s="1044"/>
      <c r="C102" s="1044"/>
      <c r="D102" s="207"/>
      <c r="E102" s="207"/>
      <c r="F102" s="207"/>
      <c r="G102" s="207"/>
      <c r="H102" s="207"/>
      <c r="I102" s="207"/>
      <c r="J102" s="207"/>
      <c r="K102" s="207"/>
    </row>
    <row r="103" spans="1:11">
      <c r="A103" s="207"/>
      <c r="B103" s="1044"/>
      <c r="C103" s="1044"/>
      <c r="D103" s="207"/>
      <c r="E103" s="207"/>
      <c r="F103" s="207"/>
      <c r="G103" s="207"/>
      <c r="H103" s="207"/>
      <c r="I103" s="207"/>
      <c r="J103" s="207"/>
      <c r="K103" s="207"/>
    </row>
    <row r="104" spans="1:11">
      <c r="A104" s="207"/>
      <c r="B104" s="1044"/>
      <c r="C104" s="1044"/>
      <c r="D104" s="207"/>
      <c r="E104" s="207"/>
      <c r="F104" s="207"/>
      <c r="G104" s="207"/>
      <c r="H104" s="207"/>
      <c r="I104" s="207"/>
      <c r="J104" s="207"/>
      <c r="K104" s="207"/>
    </row>
    <row r="105" spans="1:11">
      <c r="A105" s="207"/>
      <c r="B105" s="1044"/>
      <c r="C105" s="1044"/>
      <c r="D105" s="207"/>
      <c r="E105" s="207"/>
      <c r="F105" s="207"/>
      <c r="G105" s="207"/>
      <c r="H105" s="207"/>
      <c r="I105" s="207"/>
      <c r="J105" s="207"/>
      <c r="K105" s="207"/>
    </row>
    <row r="106" spans="1:11">
      <c r="A106" s="207"/>
      <c r="B106" s="1044"/>
      <c r="C106" s="1044"/>
      <c r="D106" s="207"/>
      <c r="E106" s="207"/>
      <c r="F106" s="207"/>
      <c r="G106" s="207"/>
      <c r="H106" s="207"/>
      <c r="I106" s="207"/>
      <c r="J106" s="207"/>
      <c r="K106" s="207"/>
    </row>
  </sheetData>
  <mergeCells count="1">
    <mergeCell ref="A2:L2"/>
  </mergeCells>
  <phoneticPr fontId="0" type="noConversion"/>
  <pageMargins left="0.49" right="0.51" top="0.77" bottom="0.49" header="0.47" footer="0.4921259845"/>
  <pageSetup paperSize="9" scale="73" orientation="portrait" horizontalDpi="1200" verticalDpi="1200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6529-4D3F-6F43-843E-33129506104D}">
  <sheetPr>
    <pageSetUpPr fitToPage="1"/>
  </sheetPr>
  <dimension ref="A1:G35"/>
  <sheetViews>
    <sheetView zoomScale="75" workbookViewId="0">
      <selection activeCell="I5" sqref="I5"/>
    </sheetView>
  </sheetViews>
  <sheetFormatPr baseColWidth="10" defaultColWidth="10.796875" defaultRowHeight="13"/>
  <cols>
    <col min="1" max="1" width="35.796875" style="2" customWidth="1"/>
    <col min="2" max="3" width="12.796875" style="8" customWidth="1"/>
    <col min="4" max="4" width="14.19921875" style="8" customWidth="1"/>
    <col min="5" max="5" width="12.796875" style="8" customWidth="1"/>
    <col min="6" max="6" width="14.19921875" style="8" customWidth="1"/>
    <col min="7" max="7" width="12.796875" style="2" customWidth="1"/>
    <col min="8" max="16384" width="10.796875" style="2"/>
  </cols>
  <sheetData>
    <row r="1" spans="1:7" ht="14" customHeight="1">
      <c r="A1" s="346"/>
    </row>
    <row r="2" spans="1:7" ht="28" customHeight="1">
      <c r="A2" s="58" t="s">
        <v>1882</v>
      </c>
      <c r="G2" s="265">
        <v>2006</v>
      </c>
    </row>
    <row r="3" spans="1:7" s="97" customFormat="1" ht="25" customHeight="1">
      <c r="A3" s="853" t="s">
        <v>1883</v>
      </c>
      <c r="B3" s="142" t="s">
        <v>115</v>
      </c>
      <c r="C3" s="177" t="s">
        <v>116</v>
      </c>
      <c r="D3" s="142" t="s">
        <v>44</v>
      </c>
      <c r="E3" s="115" t="s">
        <v>2392</v>
      </c>
      <c r="F3" s="427" t="s">
        <v>1951</v>
      </c>
      <c r="G3" s="115" t="s">
        <v>45</v>
      </c>
    </row>
    <row r="4" spans="1:7" s="97" customFormat="1" ht="15" customHeight="1">
      <c r="A4" s="854"/>
      <c r="B4" s="143"/>
      <c r="C4" s="180"/>
      <c r="D4" s="143"/>
      <c r="E4" s="180"/>
      <c r="F4" s="117"/>
      <c r="G4" s="118" t="s">
        <v>46</v>
      </c>
    </row>
    <row r="5" spans="1:7" s="97" customFormat="1" ht="15" customHeight="1">
      <c r="A5" s="854"/>
      <c r="B5" s="143"/>
      <c r="C5" s="180"/>
      <c r="D5" s="143"/>
      <c r="E5" s="180"/>
      <c r="F5" s="117"/>
      <c r="G5" s="118" t="s">
        <v>50</v>
      </c>
    </row>
    <row r="6" spans="1:7" s="97" customFormat="1" ht="24" customHeight="1">
      <c r="A6" s="855"/>
      <c r="B6" s="856"/>
      <c r="C6" s="857"/>
      <c r="D6" s="856"/>
      <c r="E6" s="857"/>
      <c r="F6" s="348"/>
      <c r="G6" s="122"/>
    </row>
    <row r="7" spans="1:7" ht="30" customHeight="1" thickBot="1">
      <c r="A7" s="858" t="s">
        <v>2393</v>
      </c>
      <c r="B7" s="270">
        <v>2886537</v>
      </c>
      <c r="C7" s="271">
        <v>3073653</v>
      </c>
      <c r="D7" s="270">
        <v>5960190</v>
      </c>
      <c r="E7" s="271">
        <v>1518236</v>
      </c>
      <c r="F7" s="317">
        <v>7478427</v>
      </c>
      <c r="G7" s="269">
        <v>2.675077680088758E-3</v>
      </c>
    </row>
    <row r="8" spans="1:7" ht="24" customHeight="1" thickBot="1">
      <c r="A8" s="859" t="s">
        <v>1333</v>
      </c>
      <c r="B8" s="147">
        <v>2061360</v>
      </c>
      <c r="C8" s="204">
        <v>2725345</v>
      </c>
      <c r="D8" s="147">
        <v>4786705</v>
      </c>
      <c r="E8" s="204">
        <v>1353070</v>
      </c>
      <c r="F8" s="255">
        <v>6139775</v>
      </c>
      <c r="G8" s="269">
        <v>5.8515180968985057E-3</v>
      </c>
    </row>
    <row r="9" spans="1:7" ht="20" customHeight="1" thickBot="1">
      <c r="A9" s="859" t="s">
        <v>1884</v>
      </c>
      <c r="B9" s="638">
        <v>71.400000000000006</v>
      </c>
      <c r="C9" s="546">
        <v>88.7</v>
      </c>
      <c r="D9" s="638">
        <v>80.311282022888534</v>
      </c>
      <c r="E9" s="546">
        <v>89.1</v>
      </c>
      <c r="F9" s="860">
        <v>82.1</v>
      </c>
      <c r="G9" s="269">
        <v>3.6674816625916523E-3</v>
      </c>
    </row>
    <row r="10" spans="1:7" ht="24" customHeight="1" thickBot="1">
      <c r="A10" s="859" t="s">
        <v>1334</v>
      </c>
      <c r="B10" s="147">
        <v>461799</v>
      </c>
      <c r="C10" s="204">
        <v>611753</v>
      </c>
      <c r="D10" s="147">
        <v>1073552</v>
      </c>
      <c r="E10" s="204">
        <v>74381</v>
      </c>
      <c r="F10" s="255">
        <v>1147933</v>
      </c>
      <c r="G10" s="269">
        <v>-5.8650790722084865E-2</v>
      </c>
    </row>
    <row r="11" spans="1:7" ht="20" customHeight="1" thickBot="1">
      <c r="A11" s="859" t="s">
        <v>1367</v>
      </c>
      <c r="B11" s="147" t="s">
        <v>1412</v>
      </c>
      <c r="C11" s="204">
        <v>85264</v>
      </c>
      <c r="D11" s="147">
        <v>85264</v>
      </c>
      <c r="E11" s="204">
        <v>628</v>
      </c>
      <c r="F11" s="255">
        <v>85892</v>
      </c>
      <c r="G11" s="269">
        <v>-5.6494754764650962E-2</v>
      </c>
    </row>
    <row r="12" spans="1:7" ht="20" customHeight="1" thickBot="1">
      <c r="A12" s="861" t="s">
        <v>1885</v>
      </c>
      <c r="B12" s="638">
        <v>16</v>
      </c>
      <c r="C12" s="546">
        <v>19.899999999999999</v>
      </c>
      <c r="D12" s="638">
        <v>18.012043240232277</v>
      </c>
      <c r="E12" s="546">
        <v>4.9000000000000004</v>
      </c>
      <c r="F12" s="860">
        <v>15.3</v>
      </c>
      <c r="G12" s="269">
        <v>-8.9285714285714288E-2</v>
      </c>
    </row>
    <row r="13" spans="1:7" ht="24" customHeight="1" thickBot="1">
      <c r="A13" s="859" t="s">
        <v>1335</v>
      </c>
      <c r="B13" s="147">
        <v>4642698</v>
      </c>
      <c r="C13" s="204">
        <v>5980295</v>
      </c>
      <c r="D13" s="147">
        <v>10622993</v>
      </c>
      <c r="E13" s="204">
        <v>427120</v>
      </c>
      <c r="F13" s="255">
        <v>11050113</v>
      </c>
      <c r="G13" s="269">
        <v>-3.8523824613921231E-2</v>
      </c>
    </row>
    <row r="14" spans="1:7" ht="20" customHeight="1" thickBot="1">
      <c r="A14" s="859" t="s">
        <v>1367</v>
      </c>
      <c r="B14" s="862" t="s">
        <v>1412</v>
      </c>
      <c r="C14" s="204">
        <v>489825</v>
      </c>
      <c r="D14" s="147">
        <v>489825</v>
      </c>
      <c r="E14" s="204">
        <v>3069</v>
      </c>
      <c r="F14" s="255">
        <v>492894</v>
      </c>
      <c r="G14" s="269">
        <v>-3.8047264871025728E-2</v>
      </c>
    </row>
    <row r="15" spans="1:7" ht="20" customHeight="1" thickBot="1">
      <c r="A15" s="859" t="s">
        <v>1886</v>
      </c>
      <c r="B15" s="638">
        <v>160.80000000000001</v>
      </c>
      <c r="C15" s="546">
        <v>194.6</v>
      </c>
      <c r="D15" s="638">
        <v>178.23245567674857</v>
      </c>
      <c r="E15" s="546">
        <v>28.1</v>
      </c>
      <c r="F15" s="860">
        <v>147.80000000000001</v>
      </c>
      <c r="G15" s="269">
        <v>-4.0882543802725393E-2</v>
      </c>
    </row>
    <row r="16" spans="1:7" ht="30" customHeight="1" thickBot="1">
      <c r="A16" s="358" t="s">
        <v>1887</v>
      </c>
      <c r="B16" s="863">
        <v>10.1</v>
      </c>
      <c r="C16" s="864">
        <v>9.8000000000000007</v>
      </c>
      <c r="D16" s="863">
        <v>9.8951825342414708</v>
      </c>
      <c r="E16" s="864">
        <v>5.7</v>
      </c>
      <c r="F16" s="844">
        <v>9.6</v>
      </c>
      <c r="G16" s="865">
        <v>1.8612074172647292E-2</v>
      </c>
    </row>
    <row r="17" spans="1:7" ht="20" customHeight="1">
      <c r="A17" s="136" t="s">
        <v>453</v>
      </c>
      <c r="B17" s="190"/>
      <c r="C17" s="190"/>
      <c r="D17" s="190"/>
      <c r="E17" s="190"/>
      <c r="F17" s="190"/>
      <c r="G17" s="136"/>
    </row>
    <row r="18" spans="1:7" ht="13.5" customHeight="1">
      <c r="A18" s="3"/>
      <c r="B18" s="191"/>
      <c r="C18" s="191"/>
      <c r="D18" s="191"/>
      <c r="E18" s="191"/>
      <c r="F18" s="191"/>
      <c r="G18" s="3"/>
    </row>
    <row r="19" spans="1:7" ht="13.5" customHeight="1">
      <c r="A19" s="3" t="s">
        <v>1888</v>
      </c>
      <c r="B19" s="191"/>
      <c r="C19" s="191"/>
      <c r="D19" s="191"/>
      <c r="E19" s="191"/>
      <c r="F19" s="191"/>
      <c r="G19" s="3"/>
    </row>
    <row r="20" spans="1:7" ht="12.75" customHeight="1">
      <c r="A20" s="3" t="s">
        <v>1889</v>
      </c>
      <c r="B20" s="191"/>
      <c r="C20" s="191"/>
      <c r="D20" s="191"/>
      <c r="E20" s="191"/>
      <c r="F20" s="191"/>
      <c r="G20" s="3"/>
    </row>
    <row r="21" spans="1:7" ht="12.75" customHeight="1">
      <c r="A21" s="3" t="s">
        <v>1324</v>
      </c>
      <c r="B21" s="191"/>
      <c r="C21" s="191"/>
      <c r="D21" s="191"/>
      <c r="E21" s="191"/>
      <c r="F21" s="191"/>
      <c r="G21" s="3"/>
    </row>
    <row r="22" spans="1:7" ht="12.75" customHeight="1">
      <c r="A22" s="866" t="s">
        <v>1325</v>
      </c>
    </row>
    <row r="23" spans="1:7" ht="12.75" customHeight="1">
      <c r="A23" s="866" t="s">
        <v>1326</v>
      </c>
    </row>
    <row r="24" spans="1:7" ht="12.75" customHeight="1">
      <c r="A24" s="866" t="s">
        <v>1327</v>
      </c>
    </row>
    <row r="25" spans="1:7" ht="12.75" customHeight="1">
      <c r="A25" s="866" t="s">
        <v>1328</v>
      </c>
    </row>
    <row r="26" spans="1:7" ht="12.75" customHeight="1">
      <c r="A26" s="866" t="s">
        <v>2386</v>
      </c>
    </row>
    <row r="27" spans="1:7" ht="12.75" customHeight="1">
      <c r="A27" s="866" t="s">
        <v>2387</v>
      </c>
    </row>
    <row r="28" spans="1:7" ht="12.75" customHeight="1">
      <c r="A28" s="866" t="s">
        <v>2388</v>
      </c>
    </row>
    <row r="29" spans="1:7" ht="12.75" customHeight="1">
      <c r="A29" s="866" t="s">
        <v>2389</v>
      </c>
    </row>
    <row r="30" spans="1:7" ht="12.75" customHeight="1">
      <c r="A30" s="866" t="s">
        <v>2390</v>
      </c>
    </row>
    <row r="32" spans="1:7">
      <c r="A32" s="2" t="s">
        <v>2391</v>
      </c>
    </row>
    <row r="35" spans="1:1">
      <c r="A35" s="207" t="s">
        <v>1955</v>
      </c>
    </row>
  </sheetData>
  <phoneticPr fontId="0" type="noConversion"/>
  <pageMargins left="0.57999999999999996" right="0.65" top="0.85" bottom="0.47244094488188981" header="0.49" footer="0.51181102362204722"/>
  <pageSetup paperSize="9" scale="79" orientation="portrait" horizontalDpi="1200" verticalDpi="1200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952D-163C-F448-96AB-B487214C5AC4}">
  <sheetPr>
    <pageSetUpPr fitToPage="1"/>
  </sheetPr>
  <dimension ref="A1:K30"/>
  <sheetViews>
    <sheetView topLeftCell="A9" zoomScale="75" workbookViewId="0">
      <selection activeCell="A19" sqref="A19"/>
    </sheetView>
  </sheetViews>
  <sheetFormatPr baseColWidth="10" defaultColWidth="11.3984375" defaultRowHeight="13"/>
  <cols>
    <col min="1" max="1" width="20.796875" style="2" customWidth="1"/>
    <col min="2" max="7" width="14.19921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58" t="s">
        <v>1338</v>
      </c>
      <c r="G2" s="265">
        <v>2006</v>
      </c>
    </row>
    <row r="3" spans="1:11" ht="24" customHeight="1">
      <c r="A3" s="113" t="s">
        <v>758</v>
      </c>
      <c r="B3" s="114" t="s">
        <v>263</v>
      </c>
      <c r="C3" s="115" t="s">
        <v>45</v>
      </c>
      <c r="D3" s="114" t="s">
        <v>1339</v>
      </c>
      <c r="E3" s="115" t="s">
        <v>45</v>
      </c>
      <c r="F3" s="114" t="s">
        <v>264</v>
      </c>
      <c r="G3" s="115" t="s">
        <v>45</v>
      </c>
    </row>
    <row r="4" spans="1:11" ht="15" customHeight="1">
      <c r="A4" s="248"/>
      <c r="B4" s="117"/>
      <c r="C4" s="118" t="s">
        <v>46</v>
      </c>
      <c r="D4" s="117" t="s">
        <v>265</v>
      </c>
      <c r="E4" s="118" t="s">
        <v>46</v>
      </c>
      <c r="F4" s="117"/>
      <c r="G4" s="118" t="s">
        <v>46</v>
      </c>
    </row>
    <row r="5" spans="1:11" ht="15" customHeight="1">
      <c r="A5" s="248"/>
      <c r="B5" s="117"/>
      <c r="C5" s="118" t="s">
        <v>50</v>
      </c>
      <c r="D5" s="117"/>
      <c r="E5" s="118" t="s">
        <v>50</v>
      </c>
      <c r="F5" s="117"/>
      <c r="G5" s="118" t="s">
        <v>50</v>
      </c>
    </row>
    <row r="6" spans="1:11" ht="24" customHeight="1">
      <c r="A6" s="249"/>
      <c r="B6" s="123"/>
      <c r="C6" s="122"/>
      <c r="D6" s="123"/>
      <c r="E6" s="122"/>
      <c r="F6" s="123"/>
      <c r="G6" s="122"/>
    </row>
    <row r="7" spans="1:11" ht="23.25" customHeight="1" thickBot="1">
      <c r="A7" s="250">
        <v>1996</v>
      </c>
      <c r="B7" s="145">
        <v>5599991</v>
      </c>
      <c r="C7" s="146">
        <v>-1.7950663164953688E-2</v>
      </c>
      <c r="D7" s="145">
        <v>1117084</v>
      </c>
      <c r="E7" s="146">
        <v>-7.0395014962435803E-2</v>
      </c>
      <c r="F7" s="145">
        <v>18812841</v>
      </c>
      <c r="G7" s="146">
        <v>-0.15548674078736344</v>
      </c>
    </row>
    <row r="8" spans="1:11" ht="20" customHeight="1" thickBot="1">
      <c r="A8" s="251">
        <v>1997</v>
      </c>
      <c r="B8" s="147">
        <v>5669325</v>
      </c>
      <c r="C8" s="148">
        <v>1.2381091326753918E-2</v>
      </c>
      <c r="D8" s="147">
        <v>1150122</v>
      </c>
      <c r="E8" s="148">
        <v>2.9575215471710273E-2</v>
      </c>
      <c r="F8" s="147">
        <v>18987651</v>
      </c>
      <c r="G8" s="148">
        <v>9.2920574835028899E-3</v>
      </c>
      <c r="I8" s="9"/>
      <c r="J8" s="9"/>
      <c r="K8" s="9"/>
    </row>
    <row r="9" spans="1:11" ht="20" customHeight="1" thickBot="1">
      <c r="A9" s="251">
        <v>1998</v>
      </c>
      <c r="B9" s="147">
        <v>5768621</v>
      </c>
      <c r="C9" s="148">
        <v>1.7514607118131346E-2</v>
      </c>
      <c r="D9" s="147">
        <v>1154759</v>
      </c>
      <c r="E9" s="148">
        <v>4.0317461973599323E-3</v>
      </c>
      <c r="F9" s="147">
        <v>17067058</v>
      </c>
      <c r="G9" s="148">
        <v>-0.10114958401120813</v>
      </c>
    </row>
    <row r="10" spans="1:11" ht="20" customHeight="1" thickBot="1">
      <c r="A10" s="251">
        <v>1999</v>
      </c>
      <c r="B10" s="147">
        <v>5833167</v>
      </c>
      <c r="C10" s="148">
        <v>1.1189155952523141E-2</v>
      </c>
      <c r="D10" s="147">
        <v>1096033</v>
      </c>
      <c r="E10" s="148">
        <v>-5.085563308014919E-2</v>
      </c>
      <c r="F10" s="147">
        <v>12747160</v>
      </c>
      <c r="G10" s="148">
        <v>-0.25311321963047173</v>
      </c>
    </row>
    <row r="11" spans="1:11" ht="19.5" customHeight="1" thickBot="1">
      <c r="A11" s="251">
        <v>2000</v>
      </c>
      <c r="B11" s="147">
        <v>5947035</v>
      </c>
      <c r="C11" s="148">
        <v>1.9520785192674923E-2</v>
      </c>
      <c r="D11" s="147">
        <v>1097932</v>
      </c>
      <c r="E11" s="148">
        <v>1.7326120655126261E-3</v>
      </c>
      <c r="F11" s="147">
        <v>12447351</v>
      </c>
      <c r="G11" s="148">
        <v>-2.3519670263807781E-2</v>
      </c>
    </row>
    <row r="12" spans="1:11" ht="19.5" customHeight="1" thickBot="1">
      <c r="A12" s="251">
        <v>2001</v>
      </c>
      <c r="B12" s="147">
        <v>6043905</v>
      </c>
      <c r="C12" s="148">
        <v>1.6288789287434831E-2</v>
      </c>
      <c r="D12" s="147">
        <v>1193315</v>
      </c>
      <c r="E12" s="148">
        <v>8.6875143451507014E-2</v>
      </c>
      <c r="F12" s="147">
        <v>12514126</v>
      </c>
      <c r="G12" s="148">
        <v>5.3645952460085683E-3</v>
      </c>
    </row>
    <row r="13" spans="1:11" ht="19.5" customHeight="1" thickBot="1">
      <c r="A13" s="251">
        <v>2002</v>
      </c>
      <c r="B13" s="147">
        <v>6170788</v>
      </c>
      <c r="C13" s="148">
        <v>2.0993546390950885E-2</v>
      </c>
      <c r="D13" s="147">
        <v>1207239</v>
      </c>
      <c r="E13" s="148">
        <v>1.1668335686721444E-2</v>
      </c>
      <c r="F13" s="147">
        <v>12391461</v>
      </c>
      <c r="G13" s="148">
        <v>-9.8021228170469109E-3</v>
      </c>
    </row>
    <row r="14" spans="1:11" ht="19.5" customHeight="1" thickBot="1">
      <c r="A14" s="251">
        <v>2003</v>
      </c>
      <c r="B14" s="147">
        <v>6105077</v>
      </c>
      <c r="C14" s="148">
        <v>-1.0648721038544834E-2</v>
      </c>
      <c r="D14" s="147">
        <v>1148028</v>
      </c>
      <c r="E14" s="148">
        <v>-4.904662622728391E-2</v>
      </c>
      <c r="F14" s="147">
        <v>11395671</v>
      </c>
      <c r="G14" s="148">
        <v>-8.0360984067980368E-2</v>
      </c>
    </row>
    <row r="15" spans="1:11" ht="19.5" customHeight="1" thickBot="1">
      <c r="A15" s="251">
        <v>2004</v>
      </c>
      <c r="B15" s="147">
        <v>6076231</v>
      </c>
      <c r="C15" s="148">
        <v>-4.7249199313948043E-3</v>
      </c>
      <c r="D15" s="147">
        <v>1196146</v>
      </c>
      <c r="E15" s="148">
        <v>4.191361186312529E-2</v>
      </c>
      <c r="F15" s="147">
        <v>11754955</v>
      </c>
      <c r="G15" s="148">
        <v>3.1528112736845422E-2</v>
      </c>
    </row>
    <row r="16" spans="1:11" ht="19.5" customHeight="1" thickBot="1">
      <c r="A16" s="251">
        <v>2005</v>
      </c>
      <c r="B16" s="147">
        <v>6104057</v>
      </c>
      <c r="C16" s="148">
        <v>4.5794835647294807E-3</v>
      </c>
      <c r="D16" s="147">
        <v>1219455</v>
      </c>
      <c r="E16" s="148">
        <v>1.948675161727742E-2</v>
      </c>
      <c r="F16" s="147">
        <v>11492862</v>
      </c>
      <c r="G16" s="148">
        <v>-2.2296384801132829E-2</v>
      </c>
    </row>
    <row r="17" spans="1:7" ht="30" customHeight="1" thickBot="1">
      <c r="A17" s="361">
        <v>2006</v>
      </c>
      <c r="B17" s="282">
        <v>6139775</v>
      </c>
      <c r="C17" s="150">
        <v>5.8515180968985447E-3</v>
      </c>
      <c r="D17" s="282">
        <v>1147933</v>
      </c>
      <c r="E17" s="150">
        <v>-5.86507907220849E-2</v>
      </c>
      <c r="F17" s="282">
        <v>11050113</v>
      </c>
      <c r="G17" s="150">
        <v>-3.8523824613921231E-2</v>
      </c>
    </row>
    <row r="18" spans="1:7" ht="19.5" customHeight="1">
      <c r="A18" s="136" t="s">
        <v>453</v>
      </c>
      <c r="B18" s="136"/>
      <c r="C18" s="136"/>
      <c r="D18" s="136"/>
      <c r="E18" s="136"/>
      <c r="F18" s="136"/>
      <c r="G18" s="136"/>
    </row>
    <row r="19" spans="1:7" ht="12.75" customHeight="1">
      <c r="A19" s="3"/>
      <c r="B19" s="3"/>
      <c r="C19" s="3"/>
      <c r="D19" s="3"/>
      <c r="E19" s="3"/>
      <c r="F19" s="3"/>
      <c r="G19" s="3"/>
    </row>
    <row r="20" spans="1:7" ht="12.75" customHeight="1">
      <c r="A20" s="3" t="s">
        <v>1340</v>
      </c>
      <c r="B20" s="3"/>
      <c r="C20" s="3"/>
      <c r="D20" s="3"/>
      <c r="E20" s="3"/>
      <c r="F20" s="3"/>
      <c r="G20" s="3"/>
    </row>
    <row r="21" spans="1:7" ht="12.75" customHeight="1">
      <c r="A21" s="3" t="s">
        <v>2416</v>
      </c>
      <c r="B21" s="3"/>
      <c r="C21" s="3"/>
      <c r="D21" s="3"/>
      <c r="E21" s="3"/>
      <c r="F21" s="3"/>
      <c r="G21" s="3"/>
    </row>
    <row r="22" spans="1:7" ht="12.75" customHeight="1">
      <c r="A22" s="2" t="s">
        <v>2417</v>
      </c>
    </row>
    <row r="23" spans="1:7" ht="12.75" customHeight="1">
      <c r="A23" s="2" t="s">
        <v>2418</v>
      </c>
    </row>
    <row r="24" spans="1:7" ht="12.75" customHeight="1">
      <c r="A24" s="2" t="s">
        <v>260</v>
      </c>
    </row>
    <row r="25" spans="1:7" ht="12.75" customHeight="1">
      <c r="A25" s="2" t="s">
        <v>261</v>
      </c>
    </row>
    <row r="27" spans="1:7">
      <c r="A27" s="2" t="s">
        <v>262</v>
      </c>
    </row>
    <row r="30" spans="1:7">
      <c r="A30" s="2" t="s">
        <v>1955</v>
      </c>
    </row>
  </sheetData>
  <phoneticPr fontId="0" type="noConversion"/>
  <pageMargins left="0.53" right="0.47" top="0.92" bottom="0.49" header="0.54" footer="0.4921259845"/>
  <pageSetup paperSize="9" scale="88" orientation="portrait" horizontalDpi="4294967292" verticalDpi="4294967292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5011-57E9-B442-BFC6-B6B749D81015}">
  <dimension ref="A1:B18"/>
  <sheetViews>
    <sheetView workbookViewId="0">
      <selection activeCell="B5" sqref="B5"/>
    </sheetView>
  </sheetViews>
  <sheetFormatPr baseColWidth="10" defaultColWidth="11.3984375" defaultRowHeight="13"/>
  <cols>
    <col min="1" max="1" width="5.59765625" style="241" customWidth="1"/>
    <col min="2" max="16384" width="11.3984375" style="241"/>
  </cols>
  <sheetData>
    <row r="1" spans="1:2" ht="16">
      <c r="A1" s="240" t="s">
        <v>2285</v>
      </c>
    </row>
    <row r="2" spans="1:2" ht="16">
      <c r="A2" s="240"/>
    </row>
    <row r="3" spans="1:2" s="244" customFormat="1">
      <c r="A3" s="242" t="s">
        <v>1415</v>
      </c>
      <c r="B3" s="243" t="s">
        <v>2286</v>
      </c>
    </row>
    <row r="4" spans="1:2" s="244" customFormat="1">
      <c r="A4" s="242" t="s">
        <v>1416</v>
      </c>
      <c r="B4" s="243" t="s">
        <v>2287</v>
      </c>
    </row>
    <row r="5" spans="1:2">
      <c r="A5" s="242" t="s">
        <v>1417</v>
      </c>
      <c r="B5" s="243" t="s">
        <v>2288</v>
      </c>
    </row>
    <row r="6" spans="1:2" s="244" customFormat="1">
      <c r="A6" s="243"/>
      <c r="B6" s="243"/>
    </row>
    <row r="7" spans="1:2" s="244" customFormat="1">
      <c r="A7" s="243"/>
      <c r="B7" s="243"/>
    </row>
    <row r="8" spans="1:2" s="244" customFormat="1">
      <c r="A8" s="243"/>
      <c r="B8" s="243"/>
    </row>
    <row r="9" spans="1:2" s="244" customFormat="1">
      <c r="A9" s="243"/>
      <c r="B9" s="243"/>
    </row>
    <row r="10" spans="1:2" s="244" customFormat="1">
      <c r="A10" s="243"/>
      <c r="B10" s="243"/>
    </row>
    <row r="11" spans="1:2" s="244" customFormat="1">
      <c r="A11" s="243"/>
      <c r="B11" s="243"/>
    </row>
    <row r="12" spans="1:2" s="244" customFormat="1">
      <c r="A12" s="243"/>
      <c r="B12" s="243"/>
    </row>
    <row r="13" spans="1:2">
      <c r="A13" s="245"/>
      <c r="B13" s="246"/>
    </row>
    <row r="14" spans="1:2">
      <c r="A14" s="245"/>
      <c r="B14" s="246"/>
    </row>
    <row r="15" spans="1:2">
      <c r="A15" s="243"/>
      <c r="B15" s="243"/>
    </row>
    <row r="18" spans="1:1">
      <c r="A18" s="247" t="s">
        <v>1955</v>
      </c>
    </row>
  </sheetData>
  <phoneticPr fontId="30" type="noConversion"/>
  <pageMargins left="0.46" right="0.35" top="0.88" bottom="0.984251969" header="0.4921259845" footer="0.4921259845"/>
  <pageSetup paperSize="9" orientation="portrait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2D38-5E35-E04C-B135-04E5C3F9E036}">
  <dimension ref="A1:K26"/>
  <sheetViews>
    <sheetView topLeftCell="A5" zoomScale="75" workbookViewId="0">
      <selection activeCell="A24" sqref="A24"/>
    </sheetView>
  </sheetViews>
  <sheetFormatPr baseColWidth="10" defaultColWidth="11.3984375" defaultRowHeight="13"/>
  <cols>
    <col min="1" max="1" width="21.796875" style="2" customWidth="1"/>
    <col min="2" max="7" width="12.796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58" t="s">
        <v>2289</v>
      </c>
      <c r="G2" s="176">
        <v>2006</v>
      </c>
    </row>
    <row r="3" spans="1:11" ht="24" customHeight="1">
      <c r="A3" s="113" t="s">
        <v>2290</v>
      </c>
      <c r="B3" s="114" t="s">
        <v>2291</v>
      </c>
      <c r="C3" s="115" t="s">
        <v>2292</v>
      </c>
      <c r="D3" s="114" t="s">
        <v>2291</v>
      </c>
      <c r="E3" s="115" t="s">
        <v>2292</v>
      </c>
      <c r="F3" s="114" t="s">
        <v>1951</v>
      </c>
      <c r="G3" s="115" t="s">
        <v>45</v>
      </c>
    </row>
    <row r="4" spans="1:11" ht="15" customHeight="1">
      <c r="A4" s="248" t="s">
        <v>2293</v>
      </c>
      <c r="B4" s="117" t="s">
        <v>2298</v>
      </c>
      <c r="C4" s="118" t="s">
        <v>2294</v>
      </c>
      <c r="D4" s="117" t="s">
        <v>2299</v>
      </c>
      <c r="E4" s="118" t="s">
        <v>2294</v>
      </c>
      <c r="F4" s="117"/>
      <c r="G4" s="118" t="s">
        <v>46</v>
      </c>
    </row>
    <row r="5" spans="1:11" ht="15" customHeight="1">
      <c r="A5" s="248" t="s">
        <v>2295</v>
      </c>
      <c r="B5" s="117"/>
      <c r="C5" s="118"/>
      <c r="D5" s="117"/>
      <c r="E5" s="118"/>
      <c r="F5" s="117"/>
      <c r="G5" s="118" t="s">
        <v>50</v>
      </c>
    </row>
    <row r="6" spans="1:11" ht="14.25" customHeight="1">
      <c r="A6" s="249"/>
      <c r="B6" s="123"/>
      <c r="C6" s="122"/>
      <c r="D6" s="123"/>
      <c r="E6" s="122"/>
      <c r="F6" s="123"/>
      <c r="G6" s="122"/>
    </row>
    <row r="7" spans="1:11" ht="24.75" customHeight="1" thickBot="1">
      <c r="A7" s="250">
        <v>1996</v>
      </c>
      <c r="B7" s="184">
        <v>82</v>
      </c>
      <c r="C7" s="146">
        <v>0.56551724137931036</v>
      </c>
      <c r="D7" s="145">
        <v>63</v>
      </c>
      <c r="E7" s="146">
        <v>0.43448275862068964</v>
      </c>
      <c r="F7" s="145">
        <v>145</v>
      </c>
      <c r="G7" s="146">
        <v>-0.12650602409638553</v>
      </c>
      <c r="I7" s="9"/>
      <c r="J7" s="9"/>
      <c r="K7" s="9"/>
    </row>
    <row r="8" spans="1:11" ht="20" customHeight="1" thickBot="1">
      <c r="A8" s="251">
        <v>1997</v>
      </c>
      <c r="B8" s="194">
        <v>60</v>
      </c>
      <c r="C8" s="148">
        <v>0.46511627906976744</v>
      </c>
      <c r="D8" s="147">
        <v>69</v>
      </c>
      <c r="E8" s="148">
        <v>0.53488372093023251</v>
      </c>
      <c r="F8" s="147">
        <v>129</v>
      </c>
      <c r="G8" s="148">
        <v>-0.1103448275862069</v>
      </c>
    </row>
    <row r="9" spans="1:11" ht="20" customHeight="1" thickBot="1">
      <c r="A9" s="251">
        <v>1998</v>
      </c>
      <c r="B9" s="194">
        <v>62</v>
      </c>
      <c r="C9" s="148">
        <v>0.52542372881355937</v>
      </c>
      <c r="D9" s="147">
        <v>56</v>
      </c>
      <c r="E9" s="148">
        <v>0.47457627118644069</v>
      </c>
      <c r="F9" s="147">
        <v>118</v>
      </c>
      <c r="G9" s="148">
        <v>-8.5271317829457363E-2</v>
      </c>
    </row>
    <row r="10" spans="1:11" ht="20" customHeight="1" thickBot="1">
      <c r="A10" s="251">
        <v>1999</v>
      </c>
      <c r="B10" s="194">
        <v>59</v>
      </c>
      <c r="C10" s="148">
        <v>0.54128440366972475</v>
      </c>
      <c r="D10" s="147">
        <v>50</v>
      </c>
      <c r="E10" s="148">
        <v>0.45871559633027525</v>
      </c>
      <c r="F10" s="147">
        <v>109</v>
      </c>
      <c r="G10" s="148">
        <v>-7.6271186440677971E-2</v>
      </c>
    </row>
    <row r="11" spans="1:11" ht="19.5" customHeight="1" thickBot="1">
      <c r="A11" s="251">
        <v>2000</v>
      </c>
      <c r="B11" s="194">
        <v>59</v>
      </c>
      <c r="C11" s="148">
        <v>0.58415841584158412</v>
      </c>
      <c r="D11" s="147">
        <v>42</v>
      </c>
      <c r="E11" s="148">
        <v>0.41584158415841582</v>
      </c>
      <c r="F11" s="147">
        <v>101</v>
      </c>
      <c r="G11" s="148">
        <v>-7.3394495412844041E-2</v>
      </c>
    </row>
    <row r="12" spans="1:11" ht="20" customHeight="1" thickBot="1">
      <c r="A12" s="251">
        <v>2001</v>
      </c>
      <c r="B12" s="194">
        <v>64</v>
      </c>
      <c r="C12" s="148">
        <v>0.64646464646464652</v>
      </c>
      <c r="D12" s="147">
        <v>35</v>
      </c>
      <c r="E12" s="148">
        <v>0.35353535353535354</v>
      </c>
      <c r="F12" s="147">
        <v>99</v>
      </c>
      <c r="G12" s="148">
        <v>-1.9801980198019802E-2</v>
      </c>
    </row>
    <row r="13" spans="1:11" ht="20" customHeight="1" thickBot="1">
      <c r="A13" s="251">
        <v>2002</v>
      </c>
      <c r="B13" s="194">
        <v>68</v>
      </c>
      <c r="C13" s="148">
        <v>0.73118279569892475</v>
      </c>
      <c r="D13" s="147">
        <v>25</v>
      </c>
      <c r="E13" s="148">
        <v>0.26881720430107525</v>
      </c>
      <c r="F13" s="147">
        <v>93</v>
      </c>
      <c r="G13" s="148">
        <v>-6.0606060606060608E-2</v>
      </c>
    </row>
    <row r="14" spans="1:11" ht="20" customHeight="1" thickBot="1">
      <c r="A14" s="251">
        <v>2003</v>
      </c>
      <c r="B14" s="194">
        <v>70</v>
      </c>
      <c r="C14" s="148">
        <v>0.75268817204301075</v>
      </c>
      <c r="D14" s="147">
        <v>23</v>
      </c>
      <c r="E14" s="148">
        <v>0.24731182795698925</v>
      </c>
      <c r="F14" s="147">
        <v>93</v>
      </c>
      <c r="G14" s="148">
        <v>0</v>
      </c>
    </row>
    <row r="15" spans="1:11" ht="20" customHeight="1" thickBot="1">
      <c r="A15" s="251">
        <v>2004</v>
      </c>
      <c r="B15" s="194">
        <v>72</v>
      </c>
      <c r="C15" s="148">
        <v>0.77419354838709675</v>
      </c>
      <c r="D15" s="147">
        <v>21</v>
      </c>
      <c r="E15" s="148">
        <v>0.22580645161290322</v>
      </c>
      <c r="F15" s="147">
        <v>93</v>
      </c>
      <c r="G15" s="148">
        <v>0</v>
      </c>
    </row>
    <row r="16" spans="1:11" ht="20" customHeight="1" thickBot="1">
      <c r="A16" s="251">
        <v>2005</v>
      </c>
      <c r="B16" s="194">
        <v>65</v>
      </c>
      <c r="C16" s="148">
        <v>0.76470588235294112</v>
      </c>
      <c r="D16" s="147">
        <v>20</v>
      </c>
      <c r="E16" s="148">
        <v>0.23529411764705882</v>
      </c>
      <c r="F16" s="147">
        <v>85</v>
      </c>
      <c r="G16" s="148">
        <v>-8.6021505376344093E-2</v>
      </c>
    </row>
    <row r="17" spans="1:7" ht="24.75" customHeight="1" thickBot="1">
      <c r="A17" s="252">
        <v>2006</v>
      </c>
      <c r="B17" s="253">
        <v>66</v>
      </c>
      <c r="C17" s="254">
        <v>0.75862068965517238</v>
      </c>
      <c r="D17" s="255">
        <v>21</v>
      </c>
      <c r="E17" s="254">
        <v>0.2413793103448276</v>
      </c>
      <c r="F17" s="255">
        <v>87</v>
      </c>
      <c r="G17" s="254">
        <v>2.3529411764705882E-2</v>
      </c>
    </row>
    <row r="18" spans="1:7">
      <c r="A18" s="136" t="s">
        <v>2284</v>
      </c>
      <c r="B18" s="136"/>
      <c r="C18" s="136"/>
      <c r="D18" s="136"/>
      <c r="E18" s="136"/>
      <c r="F18" s="136"/>
      <c r="G18" s="136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 t="s">
        <v>77</v>
      </c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2" t="s">
        <v>2296</v>
      </c>
    </row>
    <row r="23" spans="1:7">
      <c r="A23" s="2" t="s">
        <v>2297</v>
      </c>
    </row>
    <row r="26" spans="1:7">
      <c r="A26" s="3" t="s">
        <v>1955</v>
      </c>
    </row>
  </sheetData>
  <phoneticPr fontId="0" type="noConversion"/>
  <pageMargins left="0.56000000000000005" right="0.56999999999999995" top="0.81" bottom="0.49" header="0.47" footer="0.4921259845"/>
  <pageSetup paperSize="9" scale="80" orientation="portrait" horizontalDpi="1200" verticalDpi="1200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A1D4-627F-614D-A399-FAF0475EB150}">
  <dimension ref="A1:K27"/>
  <sheetViews>
    <sheetView topLeftCell="A6" zoomScale="75" workbookViewId="0">
      <selection activeCell="H12" sqref="H12"/>
    </sheetView>
  </sheetViews>
  <sheetFormatPr baseColWidth="10" defaultColWidth="11.3984375" defaultRowHeight="13"/>
  <cols>
    <col min="1" max="1" width="21.796875" style="2" customWidth="1"/>
    <col min="2" max="2" width="15.19921875" style="2" customWidth="1"/>
    <col min="3" max="4" width="12.796875" style="2" customWidth="1"/>
    <col min="5" max="5" width="13" style="2" customWidth="1"/>
    <col min="6" max="6" width="15.19921875" style="2" customWidth="1"/>
    <col min="7" max="7" width="13" style="2" customWidth="1"/>
    <col min="8" max="16384" width="11.3984375" style="2"/>
  </cols>
  <sheetData>
    <row r="1" spans="1:11" s="1" customFormat="1" ht="14" customHeight="1"/>
    <row r="2" spans="1:11" s="1" customFormat="1" ht="39" customHeight="1">
      <c r="A2" s="1695" t="s">
        <v>2300</v>
      </c>
      <c r="B2" s="1699"/>
      <c r="C2" s="1699"/>
      <c r="D2" s="1699"/>
      <c r="E2" s="1699"/>
      <c r="F2" s="1699"/>
      <c r="G2" s="176">
        <v>2006</v>
      </c>
    </row>
    <row r="3" spans="1:11" ht="24" customHeight="1">
      <c r="A3" s="113" t="s">
        <v>2290</v>
      </c>
      <c r="B3" s="256" t="s">
        <v>2311</v>
      </c>
      <c r="C3" s="115"/>
      <c r="D3" s="114"/>
      <c r="E3" s="115"/>
      <c r="F3" s="256" t="s">
        <v>2312</v>
      </c>
      <c r="G3" s="115"/>
    </row>
    <row r="4" spans="1:11" ht="15" customHeight="1">
      <c r="A4" s="248" t="s">
        <v>2293</v>
      </c>
      <c r="B4" s="117" t="s">
        <v>2301</v>
      </c>
      <c r="C4" s="118" t="s">
        <v>45</v>
      </c>
      <c r="D4" s="117" t="s">
        <v>2302</v>
      </c>
      <c r="E4" s="118" t="s">
        <v>45</v>
      </c>
      <c r="F4" s="117" t="s">
        <v>2303</v>
      </c>
      <c r="G4" s="118" t="s">
        <v>45</v>
      </c>
    </row>
    <row r="5" spans="1:11" ht="15" customHeight="1">
      <c r="A5" s="248" t="s">
        <v>2295</v>
      </c>
      <c r="B5" s="117" t="s">
        <v>2304</v>
      </c>
      <c r="C5" s="118" t="s">
        <v>46</v>
      </c>
      <c r="D5" s="117" t="s">
        <v>2305</v>
      </c>
      <c r="E5" s="118" t="s">
        <v>46</v>
      </c>
      <c r="F5" s="117" t="s">
        <v>2306</v>
      </c>
      <c r="G5" s="118" t="s">
        <v>46</v>
      </c>
    </row>
    <row r="6" spans="1:11" ht="24" customHeight="1">
      <c r="A6" s="249"/>
      <c r="B6" s="123"/>
      <c r="C6" s="122" t="s">
        <v>50</v>
      </c>
      <c r="D6" s="123"/>
      <c r="E6" s="122" t="s">
        <v>2307</v>
      </c>
      <c r="F6" s="123"/>
      <c r="G6" s="122" t="s">
        <v>2307</v>
      </c>
    </row>
    <row r="7" spans="1:11" ht="23.25" customHeight="1" thickBot="1">
      <c r="A7" s="250">
        <v>1996</v>
      </c>
      <c r="B7" s="145">
        <v>913.21658500000001</v>
      </c>
      <c r="C7" s="146">
        <v>0.93069045454545452</v>
      </c>
      <c r="D7" s="145">
        <v>2674.048675</v>
      </c>
      <c r="E7" s="257" t="s">
        <v>860</v>
      </c>
      <c r="F7" s="145">
        <v>530</v>
      </c>
      <c r="G7" s="146">
        <v>0.4887640449438202</v>
      </c>
      <c r="I7" s="9"/>
      <c r="J7" s="9"/>
      <c r="K7" s="9"/>
    </row>
    <row r="8" spans="1:11" ht="20" customHeight="1" thickBot="1">
      <c r="A8" s="251">
        <v>1997</v>
      </c>
      <c r="B8" s="147">
        <v>951.20448216581099</v>
      </c>
      <c r="C8" s="148">
        <v>4.1597905458332182E-2</v>
      </c>
      <c r="D8" s="147">
        <v>2894.7924399622598</v>
      </c>
      <c r="E8" s="148">
        <v>8.2550391481658339E-2</v>
      </c>
      <c r="F8" s="147">
        <v>532</v>
      </c>
      <c r="G8" s="148">
        <v>3.7735849056603774E-3</v>
      </c>
    </row>
    <row r="9" spans="1:11" ht="20" customHeight="1" thickBot="1">
      <c r="A9" s="251">
        <v>1998</v>
      </c>
      <c r="B9" s="147">
        <v>1005.42211</v>
      </c>
      <c r="C9" s="148">
        <v>5.6998919633704945E-2</v>
      </c>
      <c r="D9" s="147">
        <v>3172.9022279999999</v>
      </c>
      <c r="E9" s="148">
        <v>9.6072445194504488E-2</v>
      </c>
      <c r="F9" s="147">
        <v>609.28660000000002</v>
      </c>
      <c r="G9" s="148">
        <v>0.14527556390977447</v>
      </c>
    </row>
    <row r="10" spans="1:11" ht="20" customHeight="1" thickBot="1">
      <c r="A10" s="251">
        <v>1999</v>
      </c>
      <c r="B10" s="147">
        <v>1043.283537</v>
      </c>
      <c r="C10" s="148">
        <v>3.7657245273828376E-2</v>
      </c>
      <c r="D10" s="147">
        <v>3340.3853559999998</v>
      </c>
      <c r="E10" s="148">
        <v>5.2785467677512014E-2</v>
      </c>
      <c r="F10" s="147">
        <v>659.60795700000006</v>
      </c>
      <c r="G10" s="148">
        <v>8.2590618273896119E-2</v>
      </c>
    </row>
    <row r="11" spans="1:11" ht="23.25" customHeight="1" thickBot="1">
      <c r="A11" s="251">
        <v>2000</v>
      </c>
      <c r="B11" s="147">
        <v>1090.4996369999999</v>
      </c>
      <c r="C11" s="148">
        <v>4.5257207964549594E-2</v>
      </c>
      <c r="D11" s="147">
        <v>3554.1311930000002</v>
      </c>
      <c r="E11" s="148">
        <v>6.3988376854805129E-2</v>
      </c>
      <c r="F11" s="147">
        <v>732.09943699999997</v>
      </c>
      <c r="G11" s="148">
        <v>0.10990085736640061</v>
      </c>
    </row>
    <row r="12" spans="1:11" ht="20" customHeight="1" thickBot="1">
      <c r="A12" s="251">
        <v>2001</v>
      </c>
      <c r="B12" s="147">
        <v>1148.4065562125586</v>
      </c>
      <c r="C12" s="148">
        <v>5.3101273258432738E-2</v>
      </c>
      <c r="D12" s="147">
        <v>3804.1073437743612</v>
      </c>
      <c r="E12" s="148">
        <v>7.0333968331472624E-2</v>
      </c>
      <c r="F12" s="147">
        <v>844.73803099999998</v>
      </c>
      <c r="G12" s="148">
        <v>0.15385696028065654</v>
      </c>
    </row>
    <row r="13" spans="1:11" ht="20" customHeight="1" thickBot="1">
      <c r="A13" s="251">
        <v>2002</v>
      </c>
      <c r="B13" s="147">
        <v>1176.9857406315903</v>
      </c>
      <c r="C13" s="148">
        <v>2.4885946761994921E-2</v>
      </c>
      <c r="D13" s="147">
        <v>3992.1493332093432</v>
      </c>
      <c r="E13" s="148">
        <v>4.9431304756087785E-2</v>
      </c>
      <c r="F13" s="147">
        <v>928.34341900000004</v>
      </c>
      <c r="G13" s="148">
        <v>9.8971971110414073E-2</v>
      </c>
    </row>
    <row r="14" spans="1:11" ht="20" customHeight="1" thickBot="1">
      <c r="A14" s="251">
        <v>2003</v>
      </c>
      <c r="B14" s="147">
        <v>1165.5985248499421</v>
      </c>
      <c r="C14" s="148">
        <v>-9.6748969749944191E-3</v>
      </c>
      <c r="D14" s="147">
        <v>4231.4747261964076</v>
      </c>
      <c r="E14" s="148">
        <v>5.9949008168656705E-2</v>
      </c>
      <c r="F14" s="147">
        <v>1008.669965</v>
      </c>
      <c r="G14" s="148">
        <v>8.652675761576116E-2</v>
      </c>
    </row>
    <row r="15" spans="1:11" ht="20" customHeight="1" thickBot="1">
      <c r="A15" s="251">
        <v>2004</v>
      </c>
      <c r="B15" s="147">
        <v>1233.4256947047143</v>
      </c>
      <c r="C15" s="148">
        <v>5.8190850802169757E-2</v>
      </c>
      <c r="D15" s="147">
        <v>4554.5751523643485</v>
      </c>
      <c r="E15" s="148">
        <v>7.6356458935622609E-2</v>
      </c>
      <c r="F15" s="147">
        <v>1102.909758</v>
      </c>
      <c r="G15" s="148">
        <v>9.3429760248685462E-2</v>
      </c>
    </row>
    <row r="16" spans="1:11" ht="20" customHeight="1" thickBot="1">
      <c r="A16" s="251">
        <v>2005</v>
      </c>
      <c r="B16" s="147">
        <v>1249.2878390447622</v>
      </c>
      <c r="C16" s="148">
        <v>1.286023504143507E-2</v>
      </c>
      <c r="D16" s="147">
        <v>4844.6728040822618</v>
      </c>
      <c r="E16" s="148">
        <v>6.3693679874251119E-2</v>
      </c>
      <c r="F16" s="147">
        <v>1201.552809</v>
      </c>
      <c r="G16" s="148">
        <v>8.9438914004059442E-2</v>
      </c>
    </row>
    <row r="17" spans="1:7" ht="24" customHeight="1" thickBot="1">
      <c r="A17" s="252">
        <v>2006</v>
      </c>
      <c r="B17" s="255">
        <v>1280.5357003449858</v>
      </c>
      <c r="C17" s="254">
        <v>2.5012539403342388E-2</v>
      </c>
      <c r="D17" s="255">
        <v>4994.7882609152675</v>
      </c>
      <c r="E17" s="254">
        <v>3.0985674967876901E-2</v>
      </c>
      <c r="F17" s="255">
        <v>1236.2073047456083</v>
      </c>
      <c r="G17" s="254">
        <v>2.884142543385149E-2</v>
      </c>
    </row>
    <row r="18" spans="1:7">
      <c r="A18" s="136" t="s">
        <v>2284</v>
      </c>
      <c r="B18" s="136"/>
      <c r="C18" s="136"/>
      <c r="D18" s="136"/>
      <c r="E18" s="136"/>
      <c r="F18" s="136"/>
      <c r="G18" s="136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 t="s">
        <v>77</v>
      </c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 t="s">
        <v>2308</v>
      </c>
    </row>
    <row r="23" spans="1:7">
      <c r="A23" s="103" t="s">
        <v>2309</v>
      </c>
    </row>
    <row r="24" spans="1:7">
      <c r="A24" s="103" t="s">
        <v>2310</v>
      </c>
    </row>
    <row r="27" spans="1:7">
      <c r="A27" s="3" t="s">
        <v>1955</v>
      </c>
    </row>
  </sheetData>
  <mergeCells count="1">
    <mergeCell ref="A2:F2"/>
  </mergeCells>
  <phoneticPr fontId="0" type="noConversion"/>
  <pageMargins left="0.62" right="0.66" top="0.89" bottom="0.49" header="0.53" footer="0.4921259845"/>
  <pageSetup paperSize="9" scale="80" orientation="portrait" horizontalDpi="1200" verticalDpi="1200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A06A-13E4-FE4C-AFB9-CC5C680CAE67}">
  <dimension ref="A1:J34"/>
  <sheetViews>
    <sheetView topLeftCell="A13" zoomScale="75" workbookViewId="0">
      <selection activeCell="A3" sqref="A3"/>
    </sheetView>
  </sheetViews>
  <sheetFormatPr baseColWidth="10" defaultColWidth="11.3984375" defaultRowHeight="13"/>
  <cols>
    <col min="1" max="1" width="14.796875" style="2" customWidth="1"/>
    <col min="2" max="2" width="14.796875" style="158" customWidth="1"/>
    <col min="3" max="3" width="14.3984375" style="159" customWidth="1"/>
    <col min="4" max="4" width="14.796875" style="158" customWidth="1"/>
    <col min="5" max="5" width="14.796875" style="159" customWidth="1"/>
    <col min="6" max="6" width="14.796875" style="158" customWidth="1"/>
    <col min="7" max="7" width="14.796875" style="159" customWidth="1"/>
    <col min="8" max="8" width="7.59765625" style="2" customWidth="1"/>
    <col min="9" max="9" width="6.3984375" style="2" customWidth="1"/>
    <col min="10" max="10" width="8.796875" style="2" customWidth="1"/>
    <col min="11" max="16384" width="11.3984375" style="2"/>
  </cols>
  <sheetData>
    <row r="1" spans="1:10" s="1" customFormat="1" ht="18.75" customHeight="1">
      <c r="A1" s="137"/>
      <c r="B1" s="138"/>
      <c r="C1" s="201"/>
      <c r="D1" s="202"/>
      <c r="E1" s="201"/>
      <c r="F1" s="202"/>
      <c r="G1" s="201"/>
    </row>
    <row r="2" spans="1:10" s="1" customFormat="1" ht="40.5" customHeight="1">
      <c r="A2" s="1701" t="s">
        <v>859</v>
      </c>
      <c r="B2" s="1699"/>
      <c r="C2" s="1699"/>
      <c r="D2" s="1699"/>
      <c r="E2" s="1699"/>
      <c r="F2" s="1699"/>
      <c r="G2" s="176">
        <v>2006</v>
      </c>
    </row>
    <row r="3" spans="1:10" ht="27" customHeight="1">
      <c r="A3" s="113" t="s">
        <v>92</v>
      </c>
      <c r="B3" s="142" t="s">
        <v>93</v>
      </c>
      <c r="C3" s="115" t="s">
        <v>45</v>
      </c>
      <c r="D3" s="142" t="s">
        <v>95</v>
      </c>
      <c r="E3" s="115" t="s">
        <v>45</v>
      </c>
      <c r="F3" s="142" t="s">
        <v>1951</v>
      </c>
      <c r="G3" s="115" t="s">
        <v>45</v>
      </c>
    </row>
    <row r="4" spans="1:10" ht="15" customHeight="1">
      <c r="A4" s="116"/>
      <c r="B4" s="143"/>
      <c r="C4" s="118" t="s">
        <v>2313</v>
      </c>
      <c r="D4" s="143"/>
      <c r="E4" s="118" t="s">
        <v>2313</v>
      </c>
      <c r="F4" s="143"/>
      <c r="G4" s="118" t="s">
        <v>2313</v>
      </c>
    </row>
    <row r="5" spans="1:10" ht="15" customHeight="1">
      <c r="A5" s="116"/>
      <c r="B5" s="143"/>
      <c r="C5" s="118" t="s">
        <v>50</v>
      </c>
      <c r="D5" s="143"/>
      <c r="E5" s="118" t="s">
        <v>50</v>
      </c>
      <c r="F5" s="143"/>
      <c r="G5" s="118" t="s">
        <v>50</v>
      </c>
    </row>
    <row r="6" spans="1:10" ht="23" customHeight="1">
      <c r="A6" s="120"/>
      <c r="B6" s="144"/>
      <c r="C6" s="122"/>
      <c r="D6" s="144"/>
      <c r="E6" s="122"/>
      <c r="F6" s="144"/>
      <c r="G6" s="122"/>
    </row>
    <row r="7" spans="1:10" ht="30" customHeight="1" thickBot="1">
      <c r="A7" s="125" t="s">
        <v>97</v>
      </c>
      <c r="B7" s="145">
        <v>0</v>
      </c>
      <c r="C7" s="146">
        <v>0</v>
      </c>
      <c r="D7" s="145">
        <v>0</v>
      </c>
      <c r="E7" s="146">
        <v>0</v>
      </c>
      <c r="F7" s="145">
        <v>0</v>
      </c>
      <c r="G7" s="146">
        <v>0</v>
      </c>
      <c r="H7" s="203"/>
      <c r="I7" s="203"/>
      <c r="J7" s="203"/>
    </row>
    <row r="8" spans="1:10" ht="20" customHeight="1" thickBot="1">
      <c r="A8" s="130" t="s">
        <v>98</v>
      </c>
      <c r="B8" s="147">
        <v>-176.87858850694158</v>
      </c>
      <c r="C8" s="148">
        <v>-1.299935113750042E-2</v>
      </c>
      <c r="D8" s="147">
        <v>-136.77452781486156</v>
      </c>
      <c r="E8" s="148">
        <v>-3.5976302027891031E-2</v>
      </c>
      <c r="F8" s="147">
        <v>-156.88696919491613</v>
      </c>
      <c r="G8" s="148">
        <v>-2.2370405649028098E-2</v>
      </c>
      <c r="H8" s="203"/>
      <c r="I8" s="203"/>
      <c r="J8" s="203"/>
    </row>
    <row r="9" spans="1:10" ht="20" customHeight="1" thickBot="1">
      <c r="A9" s="130" t="s">
        <v>99</v>
      </c>
      <c r="B9" s="147">
        <v>-171.00075095520145</v>
      </c>
      <c r="C9" s="148">
        <v>-2.179421270706251E-2</v>
      </c>
      <c r="D9" s="147">
        <v>-92.361736169628216</v>
      </c>
      <c r="E9" s="148">
        <v>-6.1897523411531263E-2</v>
      </c>
      <c r="F9" s="147">
        <v>-131.70657426921809</v>
      </c>
      <c r="G9" s="148">
        <v>-3.6115899318619728E-2</v>
      </c>
      <c r="H9" s="203"/>
      <c r="I9" s="203"/>
      <c r="J9" s="203"/>
    </row>
    <row r="10" spans="1:10" ht="20" customHeight="1" thickBot="1">
      <c r="A10" s="130" t="s">
        <v>100</v>
      </c>
      <c r="B10" s="147">
        <v>-159.2688472185846</v>
      </c>
      <c r="C10" s="148">
        <v>-2.1173294251837543E-2</v>
      </c>
      <c r="D10" s="147">
        <v>-68.35592959321761</v>
      </c>
      <c r="E10" s="148">
        <v>-1.0428737194259902E-2</v>
      </c>
      <c r="F10" s="147">
        <v>-113.73924095801267</v>
      </c>
      <c r="G10" s="148">
        <v>-1.8256709463502836E-2</v>
      </c>
      <c r="H10" s="203"/>
      <c r="I10" s="203"/>
      <c r="J10" s="203"/>
    </row>
    <row r="11" spans="1:10" ht="20" customHeight="1" thickBot="1">
      <c r="A11" s="130" t="s">
        <v>101</v>
      </c>
      <c r="B11" s="147">
        <v>-144.80279534556371</v>
      </c>
      <c r="C11" s="148">
        <v>-2.7123673700637858E-2</v>
      </c>
      <c r="D11" s="147">
        <v>-80.558833347980197</v>
      </c>
      <c r="E11" s="148">
        <v>-2.9737066270522163E-2</v>
      </c>
      <c r="F11" s="147">
        <v>-112.68402541310253</v>
      </c>
      <c r="G11" s="148">
        <v>-2.7425607168317545E-2</v>
      </c>
      <c r="H11" s="203"/>
      <c r="I11" s="203"/>
      <c r="J11" s="203"/>
    </row>
    <row r="12" spans="1:10" ht="20" customHeight="1" thickBot="1">
      <c r="A12" s="130" t="s">
        <v>102</v>
      </c>
      <c r="B12" s="147">
        <v>-125.63965780691005</v>
      </c>
      <c r="C12" s="148">
        <v>-2.8781218195524184E-2</v>
      </c>
      <c r="D12" s="147">
        <v>-81.865965279412279</v>
      </c>
      <c r="E12" s="148">
        <v>-1.3391193541796192E-2</v>
      </c>
      <c r="F12" s="147">
        <v>-104.01006280105855</v>
      </c>
      <c r="G12" s="148">
        <v>-2.3018037076823501E-2</v>
      </c>
      <c r="H12" s="203"/>
      <c r="I12" s="203"/>
      <c r="J12" s="203"/>
    </row>
    <row r="13" spans="1:10" ht="20" customHeight="1" thickBot="1">
      <c r="A13" s="130" t="s">
        <v>103</v>
      </c>
      <c r="B13" s="147">
        <v>-98.804387960666645</v>
      </c>
      <c r="C13" s="148">
        <v>-3.8243887742738319E-2</v>
      </c>
      <c r="D13" s="147">
        <v>-56.283002962567053</v>
      </c>
      <c r="E13" s="148">
        <v>-4.4260713775935323E-2</v>
      </c>
      <c r="F13" s="147">
        <v>-77.832891366218647</v>
      </c>
      <c r="G13" s="148">
        <v>-4.0276928214340958E-2</v>
      </c>
      <c r="H13" s="203"/>
      <c r="I13" s="203"/>
      <c r="J13" s="203"/>
    </row>
    <row r="14" spans="1:10" ht="20" customHeight="1" thickBot="1">
      <c r="A14" s="130" t="s">
        <v>104</v>
      </c>
      <c r="B14" s="147">
        <v>-58.48304782984232</v>
      </c>
      <c r="C14" s="148">
        <v>-3.3980925723700636E-2</v>
      </c>
      <c r="D14" s="147">
        <v>-22.701154776034031</v>
      </c>
      <c r="E14" s="148">
        <v>-0.14146656226961363</v>
      </c>
      <c r="F14" s="147">
        <v>-40.66381264683384</v>
      </c>
      <c r="G14" s="148">
        <v>-6.236511343301946E-2</v>
      </c>
      <c r="H14" s="203"/>
      <c r="I14" s="203"/>
      <c r="J14" s="203"/>
    </row>
    <row r="15" spans="1:10" ht="20" customHeight="1" thickBot="1">
      <c r="A15" s="130" t="s">
        <v>105</v>
      </c>
      <c r="B15" s="147">
        <v>-2.3800158574088357</v>
      </c>
      <c r="C15" s="148">
        <v>-2.8664851280911563</v>
      </c>
      <c r="D15" s="147">
        <v>16.846743577802073</v>
      </c>
      <c r="E15" s="148">
        <v>-0.11657948902114633</v>
      </c>
      <c r="F15" s="147">
        <v>7.2605771545937561</v>
      </c>
      <c r="G15" s="148">
        <v>-0.2142972872197805</v>
      </c>
      <c r="H15" s="203"/>
      <c r="I15" s="203"/>
      <c r="J15" s="203"/>
    </row>
    <row r="16" spans="1:10" ht="20" customHeight="1" thickBot="1">
      <c r="A16" s="130" t="s">
        <v>106</v>
      </c>
      <c r="B16" s="147">
        <v>63.582937519124499</v>
      </c>
      <c r="C16" s="148">
        <v>-2.7478869021796255E-2</v>
      </c>
      <c r="D16" s="147">
        <v>67.968317255434073</v>
      </c>
      <c r="E16" s="148">
        <v>-1.8675137477823761E-2</v>
      </c>
      <c r="F16" s="147">
        <v>65.809853052005593</v>
      </c>
      <c r="G16" s="148">
        <v>-2.3026787239817409E-2</v>
      </c>
      <c r="H16" s="203"/>
      <c r="I16" s="203"/>
      <c r="J16" s="203"/>
    </row>
    <row r="17" spans="1:10" ht="20" customHeight="1" thickBot="1">
      <c r="A17" s="130" t="s">
        <v>107</v>
      </c>
      <c r="B17" s="147">
        <v>145.29800031802793</v>
      </c>
      <c r="C17" s="148">
        <v>-1.8157039673164444E-2</v>
      </c>
      <c r="D17" s="147">
        <v>128.86060575853006</v>
      </c>
      <c r="E17" s="148">
        <v>3.5057343503439422E-3</v>
      </c>
      <c r="F17" s="147">
        <v>136.56220199040729</v>
      </c>
      <c r="G17" s="148">
        <v>-7.3048968532985967E-3</v>
      </c>
      <c r="H17" s="203"/>
      <c r="I17" s="203"/>
      <c r="J17" s="203"/>
    </row>
    <row r="18" spans="1:10" ht="20" customHeight="1" thickBot="1">
      <c r="A18" s="130" t="s">
        <v>108</v>
      </c>
      <c r="B18" s="147">
        <v>248.52774276528581</v>
      </c>
      <c r="C18" s="148">
        <v>-9.8090272434672495E-3</v>
      </c>
      <c r="D18" s="147">
        <v>218.66157607695195</v>
      </c>
      <c r="E18" s="148">
        <v>2.5001901381670796E-2</v>
      </c>
      <c r="F18" s="147">
        <v>232.00344648670165</v>
      </c>
      <c r="G18" s="148">
        <v>8.6456687661206916E-3</v>
      </c>
      <c r="H18" s="203"/>
      <c r="I18" s="203"/>
      <c r="J18" s="203"/>
    </row>
    <row r="19" spans="1:10" ht="20" customHeight="1" thickBot="1">
      <c r="A19" s="130" t="s">
        <v>109</v>
      </c>
      <c r="B19" s="147">
        <v>353.72636007945414</v>
      </c>
      <c r="C19" s="148">
        <v>1.1279097600218904E-2</v>
      </c>
      <c r="D19" s="147">
        <v>331.10640911289988</v>
      </c>
      <c r="E19" s="148">
        <v>1.8368695396632311E-2</v>
      </c>
      <c r="F19" s="147">
        <v>340.32586945445496</v>
      </c>
      <c r="G19" s="148">
        <v>1.55675903070004E-2</v>
      </c>
      <c r="H19" s="203"/>
      <c r="I19" s="203"/>
      <c r="J19" s="203"/>
    </row>
    <row r="20" spans="1:10" ht="20" customHeight="1" thickBot="1">
      <c r="A20" s="130" t="s">
        <v>110</v>
      </c>
      <c r="B20" s="147">
        <v>458.14075789517449</v>
      </c>
      <c r="C20" s="148">
        <v>2.0500256400143618E-2</v>
      </c>
      <c r="D20" s="147">
        <v>497.55204005941357</v>
      </c>
      <c r="E20" s="148">
        <v>1.5617651230453134E-2</v>
      </c>
      <c r="F20" s="147">
        <v>483.17666802693429</v>
      </c>
      <c r="G20" s="148">
        <v>1.7207309270667371E-2</v>
      </c>
      <c r="H20" s="203"/>
      <c r="I20" s="203"/>
      <c r="J20" s="203"/>
    </row>
    <row r="21" spans="1:10" ht="20" customHeight="1" thickBot="1">
      <c r="A21" s="130" t="s">
        <v>111</v>
      </c>
      <c r="B21" s="147">
        <v>609.16955604087332</v>
      </c>
      <c r="C21" s="148">
        <v>2.0801932967977044E-2</v>
      </c>
      <c r="D21" s="147">
        <v>747.81533892977234</v>
      </c>
      <c r="E21" s="148">
        <v>1.5305861329965149E-2</v>
      </c>
      <c r="F21" s="147">
        <v>703.13000323847575</v>
      </c>
      <c r="G21" s="148">
        <v>1.6260473848906779E-2</v>
      </c>
      <c r="H21" s="203"/>
      <c r="I21" s="203"/>
      <c r="J21" s="203"/>
    </row>
    <row r="22" spans="1:10" ht="20" customHeight="1" thickBot="1">
      <c r="A22" s="130" t="s">
        <v>112</v>
      </c>
      <c r="B22" s="147">
        <v>863.74809221396674</v>
      </c>
      <c r="C22" s="148">
        <v>1.9168547421697425E-2</v>
      </c>
      <c r="D22" s="147">
        <v>1145.8061537219814</v>
      </c>
      <c r="E22" s="148">
        <v>3.2266557399460917E-2</v>
      </c>
      <c r="F22" s="147">
        <v>1076.1754452066564</v>
      </c>
      <c r="G22" s="148">
        <v>2.9300751167826822E-2</v>
      </c>
      <c r="H22" s="203"/>
      <c r="I22" s="203"/>
      <c r="J22" s="203"/>
    </row>
    <row r="23" spans="1:10" ht="20" customHeight="1">
      <c r="A23" s="136" t="s">
        <v>2284</v>
      </c>
      <c r="B23" s="153"/>
      <c r="C23" s="154"/>
      <c r="D23" s="153"/>
      <c r="E23" s="154"/>
      <c r="F23" s="153"/>
      <c r="G23" s="154"/>
    </row>
    <row r="24" spans="1:10" ht="11.25" customHeight="1">
      <c r="A24" s="3"/>
      <c r="B24" s="155"/>
      <c r="C24" s="156"/>
      <c r="D24" s="155"/>
      <c r="E24" s="156"/>
      <c r="F24" s="155"/>
      <c r="G24" s="156"/>
    </row>
    <row r="25" spans="1:10" ht="15.75" customHeight="1">
      <c r="A25" s="3" t="s">
        <v>77</v>
      </c>
      <c r="B25" s="155"/>
      <c r="C25" s="156"/>
      <c r="D25" s="155"/>
      <c r="E25" s="156"/>
      <c r="F25" s="155"/>
      <c r="G25" s="156"/>
    </row>
    <row r="26" spans="1:10">
      <c r="A26" s="192"/>
      <c r="B26" s="155"/>
      <c r="C26" s="156"/>
      <c r="D26" s="155"/>
      <c r="E26" s="156"/>
      <c r="F26" s="155"/>
      <c r="G26" s="156"/>
    </row>
    <row r="27" spans="1:10">
      <c r="A27" s="192" t="s">
        <v>2314</v>
      </c>
      <c r="B27" s="155"/>
      <c r="C27" s="156"/>
      <c r="D27" s="155"/>
      <c r="E27" s="156"/>
      <c r="F27" s="155"/>
      <c r="G27" s="156"/>
    </row>
    <row r="28" spans="1:10">
      <c r="A28" s="192" t="s">
        <v>2315</v>
      </c>
      <c r="B28" s="155"/>
      <c r="C28" s="156"/>
      <c r="D28" s="155"/>
      <c r="E28" s="156"/>
      <c r="F28" s="155"/>
      <c r="G28" s="156"/>
    </row>
    <row r="29" spans="1:10">
      <c r="A29" s="192" t="s">
        <v>2316</v>
      </c>
      <c r="B29" s="155"/>
      <c r="C29" s="156"/>
      <c r="D29" s="155"/>
      <c r="E29" s="156"/>
      <c r="F29" s="155"/>
      <c r="G29" s="156"/>
    </row>
    <row r="30" spans="1:10">
      <c r="A30" s="192" t="s">
        <v>2317</v>
      </c>
      <c r="B30" s="155"/>
      <c r="C30" s="156"/>
      <c r="D30" s="155"/>
      <c r="E30" s="156"/>
      <c r="F30" s="155"/>
      <c r="G30" s="156"/>
    </row>
    <row r="31" spans="1:10">
      <c r="A31" s="192" t="s">
        <v>858</v>
      </c>
      <c r="B31" s="155"/>
      <c r="C31" s="156"/>
      <c r="D31" s="155"/>
      <c r="E31" s="156"/>
      <c r="F31" s="155"/>
      <c r="G31" s="156"/>
    </row>
    <row r="32" spans="1:10">
      <c r="A32" s="192"/>
      <c r="B32" s="155"/>
      <c r="C32" s="156"/>
      <c r="D32" s="155"/>
      <c r="E32" s="156"/>
      <c r="F32" s="155"/>
      <c r="G32" s="156"/>
    </row>
    <row r="33" spans="1:7">
      <c r="A33" s="192"/>
      <c r="B33" s="155"/>
      <c r="C33" s="156"/>
      <c r="D33" s="155"/>
      <c r="E33" s="156"/>
      <c r="F33" s="155"/>
      <c r="G33" s="156"/>
    </row>
    <row r="34" spans="1:7">
      <c r="A34" s="3" t="s">
        <v>1955</v>
      </c>
    </row>
  </sheetData>
  <mergeCells count="1">
    <mergeCell ref="A2:F2"/>
  </mergeCells>
  <phoneticPr fontId="0" type="noConversion"/>
  <pageMargins left="0.62" right="0.54" top="0.74" bottom="0.86614173228346458" header="0.4" footer="0.51181102362204722"/>
  <pageSetup paperSize="9" scale="80" orientation="portrait" horizontalDpi="1200" verticalDpi="1200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1DAA-154D-7D4B-90FF-890D6AE76C61}">
  <sheetPr>
    <pageSetUpPr fitToPage="1"/>
  </sheetPr>
  <dimension ref="A1:B24"/>
  <sheetViews>
    <sheetView topLeftCell="A2" workbookViewId="0">
      <selection activeCell="B16" sqref="B16"/>
    </sheetView>
  </sheetViews>
  <sheetFormatPr baseColWidth="10" defaultColWidth="11.3984375" defaultRowHeight="13"/>
  <cols>
    <col min="1" max="1" width="5.59765625" style="105" customWidth="1"/>
    <col min="2" max="16384" width="11.3984375" style="105"/>
  </cols>
  <sheetData>
    <row r="1" spans="1:2" ht="16">
      <c r="A1" s="104" t="s">
        <v>1957</v>
      </c>
    </row>
    <row r="3" spans="1:2">
      <c r="A3" s="106">
        <v>11.01</v>
      </c>
      <c r="B3" s="107" t="s">
        <v>1958</v>
      </c>
    </row>
    <row r="4" spans="1:2">
      <c r="A4" s="106">
        <v>11.02</v>
      </c>
      <c r="B4" s="107" t="s">
        <v>1959</v>
      </c>
    </row>
    <row r="5" spans="1:2">
      <c r="A5" s="106">
        <v>11.03</v>
      </c>
      <c r="B5" s="107" t="s">
        <v>1960</v>
      </c>
    </row>
    <row r="6" spans="1:2">
      <c r="A6" s="106">
        <v>11.04</v>
      </c>
      <c r="B6" s="107" t="s">
        <v>27</v>
      </c>
    </row>
    <row r="7" spans="1:2">
      <c r="A7" s="106">
        <v>11.05</v>
      </c>
      <c r="B7" s="107" t="s">
        <v>28</v>
      </c>
    </row>
    <row r="8" spans="1:2">
      <c r="A8" s="106">
        <v>11.06</v>
      </c>
      <c r="B8" s="107" t="s">
        <v>29</v>
      </c>
    </row>
    <row r="9" spans="1:2">
      <c r="A9" s="106">
        <v>11.07</v>
      </c>
      <c r="B9" s="107" t="s">
        <v>30</v>
      </c>
    </row>
    <row r="10" spans="1:2">
      <c r="A10" s="106">
        <v>11.08</v>
      </c>
      <c r="B10" s="107" t="s">
        <v>31</v>
      </c>
    </row>
    <row r="11" spans="1:2">
      <c r="A11" s="106">
        <v>11.09</v>
      </c>
      <c r="B11" s="107" t="s">
        <v>32</v>
      </c>
    </row>
    <row r="12" spans="1:2">
      <c r="A12" s="106">
        <v>11.1</v>
      </c>
      <c r="B12" s="107" t="s">
        <v>33</v>
      </c>
    </row>
    <row r="13" spans="1:2">
      <c r="A13" s="106">
        <v>11.11</v>
      </c>
      <c r="B13" s="107" t="s">
        <v>34</v>
      </c>
    </row>
    <row r="14" spans="1:2">
      <c r="A14" s="106">
        <v>11.12</v>
      </c>
      <c r="B14" s="107" t="s">
        <v>35</v>
      </c>
    </row>
    <row r="15" spans="1:2">
      <c r="A15" s="106">
        <v>11.13</v>
      </c>
      <c r="B15" s="107" t="s">
        <v>498</v>
      </c>
    </row>
    <row r="16" spans="1:2">
      <c r="A16" s="106">
        <v>11.14</v>
      </c>
      <c r="B16" s="108" t="s">
        <v>36</v>
      </c>
    </row>
    <row r="17" spans="1:2">
      <c r="A17" s="106">
        <v>11.15</v>
      </c>
      <c r="B17" s="108" t="s">
        <v>37</v>
      </c>
    </row>
    <row r="18" spans="1:2">
      <c r="A18" s="106">
        <v>11.16</v>
      </c>
      <c r="B18" s="108" t="s">
        <v>38</v>
      </c>
    </row>
    <row r="19" spans="1:2">
      <c r="A19" s="106">
        <v>11.17</v>
      </c>
      <c r="B19" s="107" t="s">
        <v>39</v>
      </c>
    </row>
    <row r="20" spans="1:2">
      <c r="A20" s="106">
        <v>11.18</v>
      </c>
      <c r="B20" s="109" t="s">
        <v>40</v>
      </c>
    </row>
    <row r="21" spans="1:2">
      <c r="A21" s="929">
        <v>11.19</v>
      </c>
      <c r="B21" s="928" t="s">
        <v>1148</v>
      </c>
    </row>
    <row r="22" spans="1:2">
      <c r="A22" s="106"/>
      <c r="B22" s="110"/>
    </row>
    <row r="24" spans="1:2">
      <c r="A24" s="111" t="s">
        <v>1955</v>
      </c>
    </row>
  </sheetData>
  <phoneticPr fontId="30" type="noConversion"/>
  <pageMargins left="0.46" right="0.46" top="0.63" bottom="0.984251969" header="0.38" footer="0.4921259845"/>
  <pageSetup paperSize="9" orientation="portrait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F605-26A7-C549-B8FD-B1D0E8D0ED5C}">
  <sheetPr>
    <pageSetUpPr fitToPage="1"/>
  </sheetPr>
  <dimension ref="A1:K26"/>
  <sheetViews>
    <sheetView topLeftCell="A7" zoomScale="75" workbookViewId="0">
      <selection activeCell="I11" sqref="I11"/>
    </sheetView>
  </sheetViews>
  <sheetFormatPr baseColWidth="10" defaultColWidth="11.3984375" defaultRowHeight="13"/>
  <cols>
    <col min="1" max="1" width="20.796875" style="2" customWidth="1"/>
    <col min="2" max="5" width="14" style="2" customWidth="1"/>
    <col min="6" max="6" width="14.796875" style="2" customWidth="1"/>
    <col min="7" max="7" width="13.796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12" t="s">
        <v>2380</v>
      </c>
      <c r="G2" s="347">
        <v>2006</v>
      </c>
    </row>
    <row r="3" spans="1:11" ht="24" customHeight="1">
      <c r="A3" s="113" t="s">
        <v>183</v>
      </c>
      <c r="B3" s="114" t="s">
        <v>115</v>
      </c>
      <c r="C3" s="115" t="s">
        <v>116</v>
      </c>
      <c r="D3" s="114" t="s">
        <v>44</v>
      </c>
      <c r="E3" s="115" t="s">
        <v>42</v>
      </c>
      <c r="F3" s="114" t="s">
        <v>1951</v>
      </c>
      <c r="G3" s="115" t="s">
        <v>45</v>
      </c>
    </row>
    <row r="4" spans="1:11" ht="15" customHeight="1">
      <c r="A4" s="248"/>
      <c r="B4" s="117"/>
      <c r="C4" s="118"/>
      <c r="D4" s="117"/>
      <c r="E4" s="180"/>
      <c r="F4" s="117"/>
      <c r="G4" s="118" t="s">
        <v>46</v>
      </c>
    </row>
    <row r="5" spans="1:11" ht="15" customHeight="1">
      <c r="A5" s="248"/>
      <c r="B5" s="117"/>
      <c r="C5" s="118"/>
      <c r="D5" s="117"/>
      <c r="E5" s="180"/>
      <c r="F5" s="117"/>
      <c r="G5" s="118" t="s">
        <v>50</v>
      </c>
    </row>
    <row r="6" spans="1:11" ht="24" customHeight="1">
      <c r="A6" s="249"/>
      <c r="B6" s="123"/>
      <c r="C6" s="122"/>
      <c r="D6" s="123"/>
      <c r="E6" s="183"/>
      <c r="F6" s="123"/>
      <c r="G6" s="122"/>
    </row>
    <row r="7" spans="1:11" ht="21.75" customHeight="1" thickBot="1">
      <c r="A7" s="250">
        <v>1996</v>
      </c>
      <c r="B7" s="145">
        <v>2792349</v>
      </c>
      <c r="C7" s="198">
        <v>2968829</v>
      </c>
      <c r="D7" s="145">
        <v>5761178</v>
      </c>
      <c r="E7" s="198">
        <v>1471489</v>
      </c>
      <c r="F7" s="145">
        <v>7232667</v>
      </c>
      <c r="G7" s="146">
        <v>1.8350297937143788E-2</v>
      </c>
    </row>
    <row r="8" spans="1:11" ht="20" customHeight="1" thickBot="1">
      <c r="A8" s="251">
        <v>1997</v>
      </c>
      <c r="B8" s="147">
        <v>2750986</v>
      </c>
      <c r="C8" s="204">
        <v>2929423</v>
      </c>
      <c r="D8" s="147">
        <v>5680409</v>
      </c>
      <c r="E8" s="204">
        <v>1556062</v>
      </c>
      <c r="F8" s="147">
        <v>7236471</v>
      </c>
      <c r="G8" s="148">
        <v>5.2594706765844463E-4</v>
      </c>
      <c r="I8" s="9"/>
      <c r="J8" s="9"/>
      <c r="K8" s="9"/>
    </row>
    <row r="9" spans="1:11" ht="20" customHeight="1" thickBot="1">
      <c r="A9" s="251">
        <v>1998</v>
      </c>
      <c r="B9" s="147">
        <v>2746839</v>
      </c>
      <c r="C9" s="204">
        <v>2927739</v>
      </c>
      <c r="D9" s="147">
        <v>5674578</v>
      </c>
      <c r="E9" s="204">
        <v>1572038</v>
      </c>
      <c r="F9" s="147">
        <v>7246616</v>
      </c>
      <c r="G9" s="148">
        <v>1.401926436242196E-3</v>
      </c>
    </row>
    <row r="10" spans="1:11" ht="20" customHeight="1" thickBot="1">
      <c r="A10" s="251">
        <v>1999</v>
      </c>
      <c r="B10" s="147">
        <v>2760031</v>
      </c>
      <c r="C10" s="204">
        <v>2940891</v>
      </c>
      <c r="D10" s="147">
        <v>5700922</v>
      </c>
      <c r="E10" s="204">
        <v>1569600</v>
      </c>
      <c r="F10" s="147">
        <v>7270522</v>
      </c>
      <c r="G10" s="148">
        <v>3.298919109278041E-3</v>
      </c>
    </row>
    <row r="11" spans="1:11" ht="20" customHeight="1" thickBot="1">
      <c r="A11" s="251">
        <v>2000</v>
      </c>
      <c r="B11" s="147">
        <v>2758998</v>
      </c>
      <c r="C11" s="204">
        <v>2947662</v>
      </c>
      <c r="D11" s="147">
        <v>5706660</v>
      </c>
      <c r="E11" s="204">
        <v>1558453</v>
      </c>
      <c r="F11" s="147">
        <v>7265113</v>
      </c>
      <c r="G11" s="148">
        <v>-7.4396308820742166E-4</v>
      </c>
    </row>
    <row r="12" spans="1:11" ht="20" customHeight="1" thickBot="1">
      <c r="A12" s="251">
        <v>2001</v>
      </c>
      <c r="B12" s="147">
        <v>2778660</v>
      </c>
      <c r="C12" s="204">
        <v>2968477</v>
      </c>
      <c r="D12" s="147">
        <v>5747137</v>
      </c>
      <c r="E12" s="204">
        <v>1553913</v>
      </c>
      <c r="F12" s="147">
        <v>7301050</v>
      </c>
      <c r="G12" s="148">
        <v>4.9465163170896312E-3</v>
      </c>
    </row>
    <row r="13" spans="1:11" ht="20" customHeight="1" thickBot="1">
      <c r="A13" s="251">
        <v>2002</v>
      </c>
      <c r="B13" s="147">
        <v>2803463</v>
      </c>
      <c r="C13" s="204">
        <v>2992002</v>
      </c>
      <c r="D13" s="147">
        <v>5795465</v>
      </c>
      <c r="E13" s="204">
        <v>1549167</v>
      </c>
      <c r="F13" s="147">
        <v>7344632</v>
      </c>
      <c r="G13" s="148">
        <v>5.9692783914642418E-3</v>
      </c>
    </row>
    <row r="14" spans="1:11" ht="20" customHeight="1" thickBot="1">
      <c r="A14" s="251">
        <v>2003</v>
      </c>
      <c r="B14" s="147">
        <v>2880411</v>
      </c>
      <c r="C14" s="204">
        <v>2950352</v>
      </c>
      <c r="D14" s="147">
        <v>5830763</v>
      </c>
      <c r="E14" s="204">
        <v>1541742</v>
      </c>
      <c r="F14" s="147">
        <v>7372505</v>
      </c>
      <c r="G14" s="148">
        <v>3.7950165508632699E-3</v>
      </c>
    </row>
    <row r="15" spans="1:11" ht="20" customHeight="1" thickBot="1">
      <c r="A15" s="251">
        <v>2004</v>
      </c>
      <c r="B15" s="147">
        <v>2832331</v>
      </c>
      <c r="C15" s="204">
        <v>3021580</v>
      </c>
      <c r="D15" s="147">
        <v>5853911</v>
      </c>
      <c r="E15" s="204">
        <v>1529663</v>
      </c>
      <c r="F15" s="147">
        <v>7383574</v>
      </c>
      <c r="G15" s="148">
        <v>1.5013892835610148E-3</v>
      </c>
    </row>
    <row r="16" spans="1:11" ht="20" customHeight="1" thickBot="1">
      <c r="A16" s="251">
        <v>2005</v>
      </c>
      <c r="B16" s="147">
        <v>2861206</v>
      </c>
      <c r="C16" s="204">
        <v>3049366</v>
      </c>
      <c r="D16" s="147">
        <v>5910572</v>
      </c>
      <c r="E16" s="204">
        <v>1525293</v>
      </c>
      <c r="F16" s="147">
        <v>7435865</v>
      </c>
      <c r="G16" s="148">
        <v>7.0820716363104719E-3</v>
      </c>
    </row>
    <row r="17" spans="1:7" ht="30" customHeight="1" thickBot="1">
      <c r="A17" s="361">
        <v>2006</v>
      </c>
      <c r="B17" s="282">
        <v>2886537</v>
      </c>
      <c r="C17" s="283">
        <v>3073653</v>
      </c>
      <c r="D17" s="282">
        <v>5960190</v>
      </c>
      <c r="E17" s="283">
        <v>1518236</v>
      </c>
      <c r="F17" s="282">
        <v>7478426</v>
      </c>
      <c r="G17" s="150">
        <v>5.7237456570284895E-3</v>
      </c>
    </row>
    <row r="18" spans="1:7" ht="20" customHeight="1">
      <c r="A18" s="136" t="s">
        <v>453</v>
      </c>
      <c r="B18" s="279"/>
      <c r="C18" s="279"/>
      <c r="D18" s="279"/>
      <c r="E18" s="279"/>
      <c r="F18" s="279"/>
      <c r="G18" s="589"/>
    </row>
    <row r="19" spans="1:7" ht="20" customHeight="1">
      <c r="A19" s="3"/>
      <c r="B19" s="281"/>
      <c r="C19" s="281"/>
      <c r="D19" s="281"/>
      <c r="E19" s="281"/>
      <c r="F19" s="281"/>
      <c r="G19" s="590"/>
    </row>
    <row r="20" spans="1:7" ht="12.75" customHeight="1">
      <c r="A20" s="849" t="s">
        <v>2377</v>
      </c>
      <c r="B20" s="281"/>
      <c r="C20" s="281"/>
      <c r="D20" s="281"/>
      <c r="E20" s="281"/>
      <c r="F20" s="281"/>
      <c r="G20" s="590"/>
    </row>
    <row r="21" spans="1:7" ht="12.75" customHeight="1">
      <c r="A21" s="324" t="s">
        <v>2378</v>
      </c>
    </row>
    <row r="23" spans="1:7">
      <c r="A23" s="2" t="s">
        <v>2379</v>
      </c>
    </row>
    <row r="26" spans="1:7">
      <c r="A26" s="2" t="s">
        <v>1955</v>
      </c>
    </row>
  </sheetData>
  <phoneticPr fontId="0" type="noConversion"/>
  <pageMargins left="0.5" right="0.49" top="1.03" bottom="0.49" header="0.56000000000000005" footer="0.4921259845"/>
  <pageSetup paperSize="9" scale="89" orientation="portrait" horizontalDpi="1200" verticalDpi="1200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A882-35CD-9345-833B-10448ACA4F5B}">
  <sheetPr>
    <pageSetUpPr fitToPage="1"/>
  </sheetPr>
  <dimension ref="A1:K28"/>
  <sheetViews>
    <sheetView topLeftCell="A8" zoomScale="75" workbookViewId="0">
      <selection activeCell="F27" sqref="F27"/>
    </sheetView>
  </sheetViews>
  <sheetFormatPr baseColWidth="10" defaultColWidth="11.3984375" defaultRowHeight="13"/>
  <cols>
    <col min="1" max="1" width="20.796875" style="2" customWidth="1"/>
    <col min="2" max="3" width="14" style="2" customWidth="1"/>
    <col min="4" max="4" width="15.3984375" style="2" customWidth="1"/>
    <col min="5" max="5" width="14" style="2" customWidth="1"/>
    <col min="6" max="6" width="14.796875" style="2" customWidth="1"/>
    <col min="7" max="7" width="13.796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12" t="s">
        <v>381</v>
      </c>
      <c r="G2" s="265">
        <v>2006</v>
      </c>
    </row>
    <row r="3" spans="1:11" ht="24" customHeight="1">
      <c r="A3" s="113" t="s">
        <v>183</v>
      </c>
      <c r="B3" s="114" t="s">
        <v>115</v>
      </c>
      <c r="C3" s="115" t="s">
        <v>116</v>
      </c>
      <c r="D3" s="114" t="s">
        <v>44</v>
      </c>
      <c r="E3" s="115" t="s">
        <v>387</v>
      </c>
      <c r="F3" s="114" t="s">
        <v>1951</v>
      </c>
      <c r="G3" s="115" t="s">
        <v>45</v>
      </c>
    </row>
    <row r="4" spans="1:11" ht="15" customHeight="1">
      <c r="A4" s="248"/>
      <c r="B4" s="117"/>
      <c r="C4" s="118"/>
      <c r="D4" s="117"/>
      <c r="E4" s="180"/>
      <c r="F4" s="117"/>
      <c r="G4" s="118" t="s">
        <v>46</v>
      </c>
    </row>
    <row r="5" spans="1:11" ht="15" customHeight="1">
      <c r="A5" s="248"/>
      <c r="B5" s="117"/>
      <c r="C5" s="118"/>
      <c r="D5" s="117"/>
      <c r="E5" s="180"/>
      <c r="F5" s="117"/>
      <c r="G5" s="118" t="s">
        <v>50</v>
      </c>
    </row>
    <row r="6" spans="1:11" ht="24" customHeight="1">
      <c r="A6" s="249"/>
      <c r="B6" s="123"/>
      <c r="C6" s="122"/>
      <c r="D6" s="123"/>
      <c r="E6" s="183"/>
      <c r="F6" s="123"/>
      <c r="G6" s="122"/>
    </row>
    <row r="7" spans="1:11" ht="21.75" customHeight="1" thickBot="1">
      <c r="A7" s="250">
        <v>1996</v>
      </c>
      <c r="B7" s="145">
        <v>2760146</v>
      </c>
      <c r="C7" s="198">
        <v>2938608</v>
      </c>
      <c r="D7" s="145">
        <v>5698754</v>
      </c>
      <c r="E7" s="198">
        <v>1496000</v>
      </c>
      <c r="F7" s="145">
        <v>7194754</v>
      </c>
      <c r="G7" s="146">
        <v>4.3855246833913626E-3</v>
      </c>
    </row>
    <row r="8" spans="1:11" ht="20" customHeight="1" thickBot="1">
      <c r="A8" s="251">
        <v>1997</v>
      </c>
      <c r="B8" s="147">
        <v>2725064</v>
      </c>
      <c r="C8" s="204">
        <v>2902973</v>
      </c>
      <c r="D8" s="147">
        <v>5628037</v>
      </c>
      <c r="E8" s="204">
        <v>1586768</v>
      </c>
      <c r="F8" s="147">
        <v>7214805</v>
      </c>
      <c r="G8" s="148">
        <v>2.7868916713483186E-3</v>
      </c>
      <c r="I8" s="9"/>
      <c r="J8" s="9"/>
      <c r="K8" s="9"/>
    </row>
    <row r="9" spans="1:11" ht="20" customHeight="1" thickBot="1">
      <c r="A9" s="251">
        <v>1998</v>
      </c>
      <c r="B9" s="147">
        <v>2736949</v>
      </c>
      <c r="C9" s="204">
        <v>2915969</v>
      </c>
      <c r="D9" s="147">
        <v>5652918</v>
      </c>
      <c r="E9" s="204">
        <v>1595685</v>
      </c>
      <c r="F9" s="147">
        <v>7248603</v>
      </c>
      <c r="G9" s="148">
        <v>4.6845340934370365E-3</v>
      </c>
    </row>
    <row r="10" spans="1:11" ht="20" customHeight="1" thickBot="1">
      <c r="A10" s="251">
        <v>1999</v>
      </c>
      <c r="B10" s="147">
        <v>2741177</v>
      </c>
      <c r="C10" s="204">
        <v>2926032</v>
      </c>
      <c r="D10" s="147">
        <v>5667209</v>
      </c>
      <c r="E10" s="204">
        <v>1599325</v>
      </c>
      <c r="F10" s="147">
        <v>7266534</v>
      </c>
      <c r="G10" s="148">
        <v>2.4737180391863093E-3</v>
      </c>
    </row>
    <row r="11" spans="1:11" ht="20" customHeight="1" thickBot="1">
      <c r="A11" s="251">
        <v>2000</v>
      </c>
      <c r="B11" s="147">
        <v>2746615</v>
      </c>
      <c r="C11" s="204">
        <v>2936748</v>
      </c>
      <c r="D11" s="147">
        <v>5683363</v>
      </c>
      <c r="E11" s="204">
        <v>1584748</v>
      </c>
      <c r="F11" s="147">
        <v>7268111</v>
      </c>
      <c r="G11" s="148">
        <v>2.1702231077429761E-4</v>
      </c>
    </row>
    <row r="12" spans="1:11" ht="20" customHeight="1" thickBot="1">
      <c r="A12" s="251">
        <v>2001</v>
      </c>
      <c r="B12" s="147">
        <v>2775829</v>
      </c>
      <c r="C12" s="204">
        <v>2962533</v>
      </c>
      <c r="D12" s="147">
        <v>5738362</v>
      </c>
      <c r="E12" s="204">
        <v>1582925</v>
      </c>
      <c r="F12" s="147">
        <v>7321287</v>
      </c>
      <c r="G12" s="148">
        <v>7.3163439578729601E-3</v>
      </c>
    </row>
    <row r="13" spans="1:11" ht="20" customHeight="1" thickBot="1">
      <c r="A13" s="251">
        <v>2002</v>
      </c>
      <c r="B13" s="147">
        <v>2798041</v>
      </c>
      <c r="C13" s="204">
        <v>2982916</v>
      </c>
      <c r="D13" s="147">
        <v>5780957</v>
      </c>
      <c r="E13" s="204">
        <v>1578408</v>
      </c>
      <c r="F13" s="147">
        <v>7359365</v>
      </c>
      <c r="G13" s="148">
        <v>5.2009981305199482E-3</v>
      </c>
    </row>
    <row r="14" spans="1:11" ht="19.5" customHeight="1" thickBot="1">
      <c r="A14" s="251">
        <v>2003</v>
      </c>
      <c r="B14" s="147">
        <v>2818135</v>
      </c>
      <c r="C14" s="204">
        <v>3002978</v>
      </c>
      <c r="D14" s="147">
        <v>5821113</v>
      </c>
      <c r="E14" s="204">
        <v>1572075</v>
      </c>
      <c r="F14" s="147">
        <v>7393188</v>
      </c>
      <c r="G14" s="148">
        <v>4.5959128267180661E-3</v>
      </c>
    </row>
    <row r="15" spans="1:11" ht="19.5" customHeight="1" thickBot="1">
      <c r="A15" s="251">
        <v>2004</v>
      </c>
      <c r="B15" s="147">
        <v>2834642</v>
      </c>
      <c r="C15" s="204">
        <v>3021025</v>
      </c>
      <c r="D15" s="147">
        <v>5855667</v>
      </c>
      <c r="E15" s="204">
        <v>1564307</v>
      </c>
      <c r="F15" s="147">
        <v>7419974</v>
      </c>
      <c r="G15" s="148">
        <v>3.623064907858423E-3</v>
      </c>
    </row>
    <row r="16" spans="1:11" ht="19.5" customHeight="1" thickBot="1">
      <c r="A16" s="251">
        <v>2005</v>
      </c>
      <c r="B16" s="147">
        <v>2858735</v>
      </c>
      <c r="C16" s="204">
        <v>3042765</v>
      </c>
      <c r="D16" s="147">
        <v>5901500</v>
      </c>
      <c r="E16" s="204">
        <v>1556975</v>
      </c>
      <c r="F16" s="147">
        <v>7458475</v>
      </c>
      <c r="G16" s="148">
        <v>5.1888321980642083E-3</v>
      </c>
    </row>
    <row r="17" spans="1:7" ht="30" customHeight="1" thickBot="1">
      <c r="A17" s="361">
        <v>2006</v>
      </c>
      <c r="B17" s="282">
        <v>2887156</v>
      </c>
      <c r="C17" s="283">
        <v>3068025</v>
      </c>
      <c r="D17" s="282">
        <v>5955181</v>
      </c>
      <c r="E17" s="283">
        <v>1552364</v>
      </c>
      <c r="F17" s="282">
        <v>7507545</v>
      </c>
      <c r="G17" s="150">
        <v>6.5790929110842722E-3</v>
      </c>
    </row>
    <row r="18" spans="1:7" ht="20" customHeight="1">
      <c r="A18" s="136" t="s">
        <v>453</v>
      </c>
      <c r="B18" s="279"/>
      <c r="C18" s="279"/>
      <c r="D18" s="279"/>
      <c r="E18" s="279"/>
      <c r="F18" s="279"/>
      <c r="G18" s="589"/>
    </row>
    <row r="19" spans="1:7" ht="13.5" customHeight="1">
      <c r="A19" s="3"/>
      <c r="B19" s="281"/>
      <c r="C19" s="281"/>
      <c r="D19" s="281"/>
      <c r="E19" s="281"/>
      <c r="F19" s="281"/>
      <c r="G19" s="590"/>
    </row>
    <row r="20" spans="1:7" ht="12.75" customHeight="1">
      <c r="A20" s="2" t="s">
        <v>382</v>
      </c>
    </row>
    <row r="21" spans="1:7" ht="12.75" customHeight="1">
      <c r="A21" s="157" t="s">
        <v>383</v>
      </c>
    </row>
    <row r="22" spans="1:7" ht="12.75" customHeight="1">
      <c r="A22" s="660" t="s">
        <v>384</v>
      </c>
    </row>
    <row r="23" spans="1:7">
      <c r="A23" s="660" t="s">
        <v>385</v>
      </c>
    </row>
    <row r="24" spans="1:7">
      <c r="A24" s="525"/>
    </row>
    <row r="25" spans="1:7">
      <c r="A25" s="2" t="s">
        <v>386</v>
      </c>
    </row>
    <row r="28" spans="1:7">
      <c r="A28" s="2" t="s">
        <v>1955</v>
      </c>
    </row>
  </sheetData>
  <phoneticPr fontId="0" type="noConversion"/>
  <pageMargins left="0.49" right="0.56000000000000005" top="0.96" bottom="0.49" header="0.53" footer="0.4921259845"/>
  <pageSetup paperSize="9" scale="87" orientation="portrait" horizontalDpi="1200" verticalDpi="1200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2472-67FE-ED48-921E-AF61F4247DCA}">
  <sheetPr>
    <pageSetUpPr fitToPage="1"/>
  </sheetPr>
  <dimension ref="A1:F43"/>
  <sheetViews>
    <sheetView topLeftCell="A23" zoomScale="75" workbookViewId="0">
      <selection activeCell="A3" sqref="A3"/>
    </sheetView>
  </sheetViews>
  <sheetFormatPr baseColWidth="10" defaultColWidth="11.3984375" defaultRowHeight="13"/>
  <cols>
    <col min="1" max="1" width="16.19921875" style="2" customWidth="1"/>
    <col min="2" max="5" width="17.3984375" style="2" customWidth="1"/>
    <col min="6" max="6" width="17.3984375" style="446" customWidth="1"/>
    <col min="7" max="8" width="11.3984375" style="2"/>
    <col min="9" max="9" width="14.796875" style="2" customWidth="1"/>
    <col min="10" max="16384" width="11.3984375" style="2"/>
  </cols>
  <sheetData>
    <row r="1" spans="1:6" s="1" customFormat="1" ht="14" customHeight="1">
      <c r="F1" s="452"/>
    </row>
    <row r="2" spans="1:6" s="1" customFormat="1" ht="28" customHeight="1">
      <c r="A2" s="112" t="s">
        <v>373</v>
      </c>
      <c r="F2" s="265">
        <v>2006</v>
      </c>
    </row>
    <row r="3" spans="1:6" ht="27" customHeight="1">
      <c r="A3" s="113" t="s">
        <v>41</v>
      </c>
      <c r="B3" s="114" t="s">
        <v>115</v>
      </c>
      <c r="C3" s="115" t="s">
        <v>116</v>
      </c>
      <c r="D3" s="114" t="s">
        <v>42</v>
      </c>
      <c r="E3" s="115" t="s">
        <v>1951</v>
      </c>
      <c r="F3" s="454" t="s">
        <v>374</v>
      </c>
    </row>
    <row r="4" spans="1:6" ht="12" customHeight="1">
      <c r="A4" s="116"/>
      <c r="B4" s="119"/>
      <c r="C4" s="116"/>
      <c r="D4" s="119"/>
      <c r="E4" s="116"/>
      <c r="F4" s="456" t="s">
        <v>375</v>
      </c>
    </row>
    <row r="5" spans="1:6" ht="30.75" customHeight="1">
      <c r="A5" s="120"/>
      <c r="B5" s="121"/>
      <c r="C5" s="120"/>
      <c r="D5" s="121"/>
      <c r="E5" s="120"/>
      <c r="F5" s="457" t="s">
        <v>50</v>
      </c>
    </row>
    <row r="6" spans="1:6" ht="30" customHeight="1" thickBot="1">
      <c r="A6" s="125" t="s">
        <v>51</v>
      </c>
      <c r="B6" s="126">
        <v>506327</v>
      </c>
      <c r="C6" s="127">
        <v>535837</v>
      </c>
      <c r="D6" s="126">
        <v>247847</v>
      </c>
      <c r="E6" s="127">
        <v>1290011</v>
      </c>
      <c r="F6" s="778">
        <v>8.7707568453114781E-3</v>
      </c>
    </row>
    <row r="7" spans="1:6" ht="20" customHeight="1" thickBot="1">
      <c r="A7" s="130" t="s">
        <v>52</v>
      </c>
      <c r="B7" s="194">
        <v>370388</v>
      </c>
      <c r="C7" s="195">
        <v>401935</v>
      </c>
      <c r="D7" s="194">
        <v>188998</v>
      </c>
      <c r="E7" s="195">
        <v>961321</v>
      </c>
      <c r="F7" s="897">
        <v>1.6608889819709205E-3</v>
      </c>
    </row>
    <row r="8" spans="1:6" ht="20" customHeight="1" thickBot="1">
      <c r="A8" s="130" t="s">
        <v>53</v>
      </c>
      <c r="B8" s="194">
        <v>137654</v>
      </c>
      <c r="C8" s="195">
        <v>144768</v>
      </c>
      <c r="D8" s="194">
        <v>79285</v>
      </c>
      <c r="E8" s="195">
        <v>361707</v>
      </c>
      <c r="F8" s="897">
        <v>6.4890434782609585E-3</v>
      </c>
    </row>
    <row r="9" spans="1:6" ht="20" customHeight="1" thickBot="1">
      <c r="A9" s="130" t="s">
        <v>54</v>
      </c>
      <c r="B9" s="194">
        <v>13755</v>
      </c>
      <c r="C9" s="195">
        <v>13808</v>
      </c>
      <c r="D9" s="194">
        <v>7607</v>
      </c>
      <c r="E9" s="195">
        <v>35170</v>
      </c>
      <c r="F9" s="897">
        <v>-2.5524673851389235E-3</v>
      </c>
    </row>
    <row r="10" spans="1:6" ht="20" customHeight="1" thickBot="1">
      <c r="A10" s="130" t="s">
        <v>55</v>
      </c>
      <c r="B10" s="194">
        <v>55084</v>
      </c>
      <c r="C10" s="195">
        <v>53798</v>
      </c>
      <c r="D10" s="194">
        <v>30673</v>
      </c>
      <c r="E10" s="195">
        <v>139555</v>
      </c>
      <c r="F10" s="897">
        <v>1.3191711800665029E-2</v>
      </c>
    </row>
    <row r="11" spans="1:6" ht="20" customHeight="1" thickBot="1">
      <c r="A11" s="130" t="s">
        <v>56</v>
      </c>
      <c r="B11" s="194">
        <v>13314</v>
      </c>
      <c r="C11" s="195">
        <v>13282</v>
      </c>
      <c r="D11" s="194">
        <v>7739</v>
      </c>
      <c r="E11" s="195">
        <v>34335</v>
      </c>
      <c r="F11" s="897">
        <v>9.8826436071648427E-3</v>
      </c>
    </row>
    <row r="12" spans="1:6" ht="20" customHeight="1" thickBot="1">
      <c r="A12" s="130" t="s">
        <v>57</v>
      </c>
      <c r="B12" s="194">
        <v>15806</v>
      </c>
      <c r="C12" s="195">
        <v>15644</v>
      </c>
      <c r="D12" s="194">
        <v>8224</v>
      </c>
      <c r="E12" s="195">
        <v>39674</v>
      </c>
      <c r="F12" s="897">
        <v>4.0237884347715802E-3</v>
      </c>
    </row>
    <row r="13" spans="1:6" ht="20" customHeight="1" thickBot="1">
      <c r="A13" s="130" t="s">
        <v>58</v>
      </c>
      <c r="B13" s="194">
        <v>14891</v>
      </c>
      <c r="C13" s="195">
        <v>15379</v>
      </c>
      <c r="D13" s="194">
        <v>8117</v>
      </c>
      <c r="E13" s="195">
        <v>38387</v>
      </c>
      <c r="F13" s="897">
        <v>-4.305760900578437E-3</v>
      </c>
    </row>
    <row r="14" spans="1:6" ht="20" customHeight="1" thickBot="1">
      <c r="A14" s="130" t="s">
        <v>59</v>
      </c>
      <c r="B14" s="194">
        <v>42833</v>
      </c>
      <c r="C14" s="195">
        <v>42715</v>
      </c>
      <c r="D14" s="194">
        <v>21899</v>
      </c>
      <c r="E14" s="195">
        <v>107447</v>
      </c>
      <c r="F14" s="897">
        <v>1.1837272812882604E-2</v>
      </c>
    </row>
    <row r="15" spans="1:6" ht="20" customHeight="1" thickBot="1">
      <c r="A15" s="130" t="s">
        <v>60</v>
      </c>
      <c r="B15" s="194">
        <v>97011</v>
      </c>
      <c r="C15" s="195">
        <v>100607</v>
      </c>
      <c r="D15" s="194">
        <v>61788</v>
      </c>
      <c r="E15" s="195">
        <v>259406</v>
      </c>
      <c r="F15" s="897">
        <v>1.5585788391895949E-2</v>
      </c>
    </row>
    <row r="16" spans="1:6" ht="20" customHeight="1" thickBot="1">
      <c r="A16" s="130" t="s">
        <v>61</v>
      </c>
      <c r="B16" s="194">
        <v>97467</v>
      </c>
      <c r="C16" s="195">
        <v>102272</v>
      </c>
      <c r="D16" s="194">
        <v>51304</v>
      </c>
      <c r="E16" s="195">
        <v>251043</v>
      </c>
      <c r="F16" s="897">
        <v>3.5538108525148271E-3</v>
      </c>
    </row>
    <row r="17" spans="1:6" ht="20" customHeight="1" thickBot="1">
      <c r="A17" s="130" t="s">
        <v>62</v>
      </c>
      <c r="B17" s="194">
        <v>68489</v>
      </c>
      <c r="C17" s="195">
        <v>78948</v>
      </c>
      <c r="D17" s="194">
        <v>28766</v>
      </c>
      <c r="E17" s="195">
        <v>176203</v>
      </c>
      <c r="F17" s="897">
        <v>-7.0553097968498735E-3</v>
      </c>
    </row>
    <row r="18" spans="1:6" ht="20" customHeight="1" thickBot="1">
      <c r="A18" s="130" t="s">
        <v>63</v>
      </c>
      <c r="B18" s="194">
        <v>104334</v>
      </c>
      <c r="C18" s="195">
        <v>111262</v>
      </c>
      <c r="D18" s="194">
        <v>51510</v>
      </c>
      <c r="E18" s="195">
        <v>267106</v>
      </c>
      <c r="F18" s="897">
        <v>3.7239539296920476E-3</v>
      </c>
    </row>
    <row r="19" spans="1:6" ht="20" customHeight="1" thickBot="1">
      <c r="A19" s="130" t="s">
        <v>64</v>
      </c>
      <c r="B19" s="194">
        <v>28756</v>
      </c>
      <c r="C19" s="195">
        <v>30986</v>
      </c>
      <c r="D19" s="194">
        <v>14655</v>
      </c>
      <c r="E19" s="195">
        <v>74397</v>
      </c>
      <c r="F19" s="897">
        <v>1.615574134658182E-3</v>
      </c>
    </row>
    <row r="20" spans="1:6" ht="20" customHeight="1" thickBot="1">
      <c r="A20" s="130" t="s">
        <v>65</v>
      </c>
      <c r="B20" s="194">
        <v>20385</v>
      </c>
      <c r="C20" s="195">
        <v>21146</v>
      </c>
      <c r="D20" s="194">
        <v>11680</v>
      </c>
      <c r="E20" s="195">
        <v>53211</v>
      </c>
      <c r="F20" s="897">
        <v>-3.4646790021723994E-3</v>
      </c>
    </row>
    <row r="21" spans="1:6" ht="20" customHeight="1" thickBot="1">
      <c r="A21" s="130" t="s">
        <v>66</v>
      </c>
      <c r="B21" s="194">
        <v>5866</v>
      </c>
      <c r="C21" s="195">
        <v>5630</v>
      </c>
      <c r="D21" s="194">
        <v>3795</v>
      </c>
      <c r="E21" s="195">
        <v>15291</v>
      </c>
      <c r="F21" s="897">
        <v>5.7221783741121524E-3</v>
      </c>
    </row>
    <row r="22" spans="1:6" ht="20" customHeight="1" thickBot="1">
      <c r="A22" s="130" t="s">
        <v>67</v>
      </c>
      <c r="B22" s="194">
        <v>177115</v>
      </c>
      <c r="C22" s="195">
        <v>184810</v>
      </c>
      <c r="D22" s="194">
        <v>103570</v>
      </c>
      <c r="E22" s="195">
        <v>465495</v>
      </c>
      <c r="F22" s="897">
        <v>3.0663345342964998E-3</v>
      </c>
    </row>
    <row r="23" spans="1:6" ht="20" customHeight="1" thickBot="1">
      <c r="A23" s="130" t="s">
        <v>68</v>
      </c>
      <c r="B23" s="194">
        <v>77835</v>
      </c>
      <c r="C23" s="195">
        <v>79530</v>
      </c>
      <c r="D23" s="194">
        <v>37868</v>
      </c>
      <c r="E23" s="195">
        <v>195233</v>
      </c>
      <c r="F23" s="897">
        <v>1.9980122339835482E-4</v>
      </c>
    </row>
    <row r="24" spans="1:6" ht="20" customHeight="1" thickBot="1">
      <c r="A24" s="130" t="s">
        <v>69</v>
      </c>
      <c r="B24" s="194">
        <v>225482</v>
      </c>
      <c r="C24" s="195">
        <v>231891</v>
      </c>
      <c r="D24" s="194">
        <v>122865</v>
      </c>
      <c r="E24" s="195">
        <v>580238</v>
      </c>
      <c r="F24" s="897">
        <v>9.4027308800990195E-3</v>
      </c>
    </row>
    <row r="25" spans="1:6" ht="20" customHeight="1" thickBot="1">
      <c r="A25" s="130" t="s">
        <v>70</v>
      </c>
      <c r="B25" s="194">
        <v>90531</v>
      </c>
      <c r="C25" s="195">
        <v>92823</v>
      </c>
      <c r="D25" s="194">
        <v>53753</v>
      </c>
      <c r="E25" s="195">
        <v>237107</v>
      </c>
      <c r="F25" s="897">
        <v>7.529691716064324E-3</v>
      </c>
    </row>
    <row r="26" spans="1:6" ht="20" customHeight="1" thickBot="1">
      <c r="A26" s="130" t="s">
        <v>71</v>
      </c>
      <c r="B26" s="194">
        <v>123378</v>
      </c>
      <c r="C26" s="195">
        <v>137584</v>
      </c>
      <c r="D26" s="194">
        <v>59157</v>
      </c>
      <c r="E26" s="195">
        <v>320119</v>
      </c>
      <c r="F26" s="897">
        <v>6.2996086320985523E-3</v>
      </c>
    </row>
    <row r="27" spans="1:6" ht="20" customHeight="1" thickBot="1">
      <c r="A27" s="130" t="s">
        <v>72</v>
      </c>
      <c r="B27" s="194">
        <v>243439</v>
      </c>
      <c r="C27" s="195">
        <v>267049</v>
      </c>
      <c r="D27" s="194">
        <v>146305</v>
      </c>
      <c r="E27" s="195">
        <v>656793</v>
      </c>
      <c r="F27" s="897">
        <v>1.1926625293505078E-2</v>
      </c>
    </row>
    <row r="28" spans="1:6" ht="20" customHeight="1" thickBot="1">
      <c r="A28" s="130" t="s">
        <v>73</v>
      </c>
      <c r="B28" s="194">
        <v>116099</v>
      </c>
      <c r="C28" s="195">
        <v>121273</v>
      </c>
      <c r="D28" s="194">
        <v>63231</v>
      </c>
      <c r="E28" s="195">
        <v>300603</v>
      </c>
      <c r="F28" s="897">
        <v>1.2284689599434184E-2</v>
      </c>
    </row>
    <row r="29" spans="1:6" ht="20" customHeight="1" thickBot="1">
      <c r="A29" s="130" t="s">
        <v>74</v>
      </c>
      <c r="B29" s="194">
        <v>62686</v>
      </c>
      <c r="C29" s="195">
        <v>69059</v>
      </c>
      <c r="D29" s="194">
        <v>36682</v>
      </c>
      <c r="E29" s="195">
        <v>168427</v>
      </c>
      <c r="F29" s="897">
        <v>-3.7619112401885424E-3</v>
      </c>
    </row>
    <row r="30" spans="1:6" ht="20" customHeight="1" thickBot="1">
      <c r="A30" s="130" t="s">
        <v>75</v>
      </c>
      <c r="B30" s="194">
        <v>150041</v>
      </c>
      <c r="C30" s="195">
        <v>167332</v>
      </c>
      <c r="D30" s="194">
        <v>88660</v>
      </c>
      <c r="E30" s="195">
        <v>406033</v>
      </c>
      <c r="F30" s="897">
        <v>1.1809296924449431E-2</v>
      </c>
    </row>
    <row r="31" spans="1:6" ht="22" customHeight="1" thickBot="1">
      <c r="A31" s="131" t="s">
        <v>76</v>
      </c>
      <c r="B31" s="898">
        <v>26021</v>
      </c>
      <c r="C31" s="502">
        <v>27743</v>
      </c>
      <c r="D31" s="898">
        <v>15944</v>
      </c>
      <c r="E31" s="502">
        <v>69708</v>
      </c>
      <c r="F31" s="899">
        <v>2.6321467098167073E-3</v>
      </c>
    </row>
    <row r="32" spans="1:6" ht="21.75" customHeight="1" thickBot="1">
      <c r="A32" s="131" t="s">
        <v>376</v>
      </c>
      <c r="B32" s="898">
        <v>2884987</v>
      </c>
      <c r="C32" s="502">
        <v>3067111</v>
      </c>
      <c r="D32" s="898">
        <v>1551922</v>
      </c>
      <c r="E32" s="502">
        <v>7504020</v>
      </c>
      <c r="F32" s="899">
        <v>6.6273031367409807E-3</v>
      </c>
    </row>
    <row r="33" spans="1:6" ht="18.75" customHeight="1" thickBot="1">
      <c r="A33" s="340" t="s">
        <v>380</v>
      </c>
      <c r="B33" s="898">
        <v>2169</v>
      </c>
      <c r="C33" s="502">
        <v>914</v>
      </c>
      <c r="D33" s="898">
        <v>442</v>
      </c>
      <c r="E33" s="502">
        <v>3525</v>
      </c>
      <c r="F33" s="899">
        <v>-8.6550919927442349E-2</v>
      </c>
    </row>
    <row r="34" spans="1:6" ht="22" customHeight="1" thickBot="1">
      <c r="A34" s="131" t="s">
        <v>377</v>
      </c>
      <c r="B34" s="898">
        <v>0</v>
      </c>
      <c r="C34" s="502">
        <v>0</v>
      </c>
      <c r="D34" s="898">
        <v>0</v>
      </c>
      <c r="E34" s="502">
        <v>0</v>
      </c>
      <c r="F34" s="786" t="s">
        <v>1412</v>
      </c>
    </row>
    <row r="35" spans="1:6" s="151" customFormat="1" ht="30" customHeight="1" thickBot="1">
      <c r="A35" s="900" t="s">
        <v>1716</v>
      </c>
      <c r="B35" s="277">
        <v>2887156</v>
      </c>
      <c r="C35" s="645">
        <v>3068025</v>
      </c>
      <c r="D35" s="277">
        <v>1552364</v>
      </c>
      <c r="E35" s="901">
        <v>7507545</v>
      </c>
      <c r="F35" s="902">
        <v>7.1001645155162052E-3</v>
      </c>
    </row>
    <row r="36" spans="1:6">
      <c r="A36" s="3" t="s">
        <v>453</v>
      </c>
    </row>
    <row r="38" spans="1:6">
      <c r="A38" s="3" t="s">
        <v>378</v>
      </c>
    </row>
    <row r="40" spans="1:6">
      <c r="A40" s="2" t="s">
        <v>379</v>
      </c>
    </row>
    <row r="43" spans="1:6">
      <c r="A43" s="207" t="s">
        <v>1955</v>
      </c>
    </row>
  </sheetData>
  <phoneticPr fontId="0" type="noConversion"/>
  <pageMargins left="0.62" right="0.52" top="0.74803149606299213" bottom="0.47244094488188981" header="0.43307086614173229" footer="0.31496062992125984"/>
  <pageSetup paperSize="9" scale="89" orientation="portrait" horizontalDpi="1200" verticalDpi="1200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6E35-559B-9B42-B205-E2B2C0F0D91E}">
  <sheetPr>
    <pageSetUpPr fitToPage="1"/>
  </sheetPr>
  <dimension ref="A1:G41"/>
  <sheetViews>
    <sheetView topLeftCell="A20" zoomScale="75" workbookViewId="0">
      <selection activeCell="A32" sqref="A32"/>
    </sheetView>
  </sheetViews>
  <sheetFormatPr baseColWidth="10" defaultColWidth="11.3984375" defaultRowHeight="13"/>
  <cols>
    <col min="1" max="1" width="18.3984375" style="2" customWidth="1"/>
    <col min="2" max="7" width="14.3984375" style="2" customWidth="1"/>
    <col min="8" max="16384" width="11.3984375" style="2"/>
  </cols>
  <sheetData>
    <row r="1" spans="1:7" ht="14" customHeight="1">
      <c r="A1" s="1"/>
      <c r="B1" s="3"/>
      <c r="C1" s="3"/>
      <c r="D1" s="3"/>
      <c r="E1" s="3"/>
      <c r="F1" s="3"/>
      <c r="G1" s="3"/>
    </row>
    <row r="2" spans="1:7" ht="28" customHeight="1">
      <c r="A2" s="112" t="s">
        <v>402</v>
      </c>
      <c r="G2" s="265">
        <v>2006</v>
      </c>
    </row>
    <row r="3" spans="1:7" ht="36" customHeight="1">
      <c r="A3" s="903" t="s">
        <v>388</v>
      </c>
      <c r="B3" s="904" t="s">
        <v>891</v>
      </c>
      <c r="C3" s="905"/>
      <c r="D3" s="904" t="s">
        <v>892</v>
      </c>
      <c r="E3" s="905"/>
      <c r="F3" s="904" t="s">
        <v>1951</v>
      </c>
      <c r="G3" s="905"/>
    </row>
    <row r="4" spans="1:7" ht="15" customHeight="1">
      <c r="A4" s="491"/>
      <c r="B4" s="906" t="s">
        <v>1549</v>
      </c>
      <c r="C4" s="907" t="s">
        <v>893</v>
      </c>
      <c r="D4" s="906" t="s">
        <v>1549</v>
      </c>
      <c r="E4" s="907" t="s">
        <v>893</v>
      </c>
      <c r="F4" s="906" t="s">
        <v>1549</v>
      </c>
      <c r="G4" s="907" t="s">
        <v>893</v>
      </c>
    </row>
    <row r="5" spans="1:7" ht="15" customHeight="1">
      <c r="A5" s="248"/>
      <c r="B5" s="117" t="s">
        <v>268</v>
      </c>
      <c r="C5" s="118" t="s">
        <v>894</v>
      </c>
      <c r="D5" s="117" t="s">
        <v>268</v>
      </c>
      <c r="E5" s="118" t="s">
        <v>894</v>
      </c>
      <c r="F5" s="143" t="s">
        <v>268</v>
      </c>
      <c r="G5" s="118" t="s">
        <v>894</v>
      </c>
    </row>
    <row r="6" spans="1:7" ht="21" customHeight="1">
      <c r="A6" s="249"/>
      <c r="B6" s="123"/>
      <c r="C6" s="122" t="s">
        <v>734</v>
      </c>
      <c r="D6" s="123"/>
      <c r="E6" s="122" t="s">
        <v>734</v>
      </c>
      <c r="F6" s="123"/>
      <c r="G6" s="122" t="s">
        <v>734</v>
      </c>
    </row>
    <row r="7" spans="1:7" ht="30" customHeight="1" thickBot="1">
      <c r="A7" s="125" t="s">
        <v>389</v>
      </c>
      <c r="B7" s="126">
        <v>226587</v>
      </c>
      <c r="C7" s="269">
        <v>3.0181237674899053E-2</v>
      </c>
      <c r="D7" s="126">
        <v>215243</v>
      </c>
      <c r="E7" s="269">
        <v>2.8670224420899244E-2</v>
      </c>
      <c r="F7" s="126">
        <v>441830</v>
      </c>
      <c r="G7" s="269">
        <v>5.8851462095798293E-2</v>
      </c>
    </row>
    <row r="8" spans="1:7" ht="20" customHeight="1" thickBot="1">
      <c r="A8" s="908" t="s">
        <v>390</v>
      </c>
      <c r="B8" s="194">
        <v>207517</v>
      </c>
      <c r="C8" s="269">
        <v>2.7641126360214957E-2</v>
      </c>
      <c r="D8" s="194">
        <v>196940</v>
      </c>
      <c r="E8" s="269">
        <v>2.6232276996008681E-2</v>
      </c>
      <c r="F8" s="194">
        <v>404457</v>
      </c>
      <c r="G8" s="269">
        <v>5.3873403356223641E-2</v>
      </c>
    </row>
    <row r="9" spans="1:7" ht="20" customHeight="1" thickBot="1">
      <c r="A9" s="130" t="s">
        <v>391</v>
      </c>
      <c r="B9" s="194">
        <v>223818</v>
      </c>
      <c r="C9" s="269">
        <v>2.9812408716830868E-2</v>
      </c>
      <c r="D9" s="194">
        <v>212879</v>
      </c>
      <c r="E9" s="269">
        <v>2.835534119342608E-2</v>
      </c>
      <c r="F9" s="194">
        <v>436697</v>
      </c>
      <c r="G9" s="269">
        <v>5.8167749910256951E-2</v>
      </c>
    </row>
    <row r="10" spans="1:7" ht="20" customHeight="1" thickBot="1">
      <c r="A10" s="130" t="s">
        <v>392</v>
      </c>
      <c r="B10" s="194">
        <v>137957</v>
      </c>
      <c r="C10" s="269">
        <v>1.8375780631351528E-2</v>
      </c>
      <c r="D10" s="194">
        <v>131423</v>
      </c>
      <c r="E10" s="269">
        <v>1.7505456177751847E-2</v>
      </c>
      <c r="F10" s="194">
        <v>269380</v>
      </c>
      <c r="G10" s="269">
        <v>3.5881236809103378E-2</v>
      </c>
    </row>
    <row r="11" spans="1:7" ht="31" customHeight="1" thickBot="1">
      <c r="A11" s="131" t="s">
        <v>393</v>
      </c>
      <c r="B11" s="898">
        <v>795879</v>
      </c>
      <c r="C11" s="865">
        <v>0.1060105533832964</v>
      </c>
      <c r="D11" s="898">
        <v>756485</v>
      </c>
      <c r="E11" s="865">
        <v>0.10076329878808585</v>
      </c>
      <c r="F11" s="898">
        <v>1552364</v>
      </c>
      <c r="G11" s="865">
        <v>0.20677385217138225</v>
      </c>
    </row>
    <row r="12" spans="1:7" ht="19" customHeight="1" thickBot="1">
      <c r="A12" s="130" t="s">
        <v>394</v>
      </c>
      <c r="B12" s="194">
        <v>88035</v>
      </c>
      <c r="C12" s="269">
        <v>1.1726203439340024E-2</v>
      </c>
      <c r="D12" s="194">
        <v>86085</v>
      </c>
      <c r="E12" s="269">
        <v>1.1466464736475106E-2</v>
      </c>
      <c r="F12" s="194">
        <v>174120</v>
      </c>
      <c r="G12" s="269">
        <v>2.3192668175815129E-2</v>
      </c>
    </row>
    <row r="13" spans="1:7" ht="19" customHeight="1" thickBot="1">
      <c r="A13" s="130" t="s">
        <v>395</v>
      </c>
      <c r="B13" s="194">
        <v>231861</v>
      </c>
      <c r="C13" s="269">
        <v>3.0883730966647552E-2</v>
      </c>
      <c r="D13" s="194">
        <v>225866</v>
      </c>
      <c r="E13" s="269">
        <v>3.0085200954506432E-2</v>
      </c>
      <c r="F13" s="194">
        <v>457727</v>
      </c>
      <c r="G13" s="269">
        <v>6.0968931921153983E-2</v>
      </c>
    </row>
    <row r="14" spans="1:7" ht="19" customHeight="1" thickBot="1">
      <c r="A14" s="130" t="s">
        <v>99</v>
      </c>
      <c r="B14" s="194">
        <v>241745</v>
      </c>
      <c r="C14" s="269">
        <v>3.2200273191835681E-2</v>
      </c>
      <c r="D14" s="194">
        <v>241135</v>
      </c>
      <c r="E14" s="269">
        <v>3.2119021597606143E-2</v>
      </c>
      <c r="F14" s="194">
        <v>482880</v>
      </c>
      <c r="G14" s="269">
        <v>6.4319294789441817E-2</v>
      </c>
    </row>
    <row r="15" spans="1:7" ht="19" customHeight="1" thickBot="1">
      <c r="A15" s="130" t="s">
        <v>100</v>
      </c>
      <c r="B15" s="194">
        <v>262821</v>
      </c>
      <c r="C15" s="269">
        <v>3.5007582372133632E-2</v>
      </c>
      <c r="D15" s="194">
        <v>263534</v>
      </c>
      <c r="E15" s="269">
        <v>3.5102553497847834E-2</v>
      </c>
      <c r="F15" s="194">
        <v>526355</v>
      </c>
      <c r="G15" s="269">
        <v>7.0110135869981466E-2</v>
      </c>
    </row>
    <row r="16" spans="1:7" ht="19" customHeight="1" thickBot="1">
      <c r="A16" s="130" t="s">
        <v>101</v>
      </c>
      <c r="B16" s="194">
        <v>305009</v>
      </c>
      <c r="C16" s="269">
        <v>4.062699590878243E-2</v>
      </c>
      <c r="D16" s="194">
        <v>305122</v>
      </c>
      <c r="E16" s="269">
        <v>4.0642047433615117E-2</v>
      </c>
      <c r="F16" s="194">
        <v>610131</v>
      </c>
      <c r="G16" s="269">
        <v>8.1269043342397554E-2</v>
      </c>
    </row>
    <row r="17" spans="1:7" ht="19" customHeight="1" thickBot="1">
      <c r="A17" s="130" t="s">
        <v>102</v>
      </c>
      <c r="B17" s="194">
        <v>321068</v>
      </c>
      <c r="C17" s="269">
        <v>4.2766044026376134E-2</v>
      </c>
      <c r="D17" s="194">
        <v>314184</v>
      </c>
      <c r="E17" s="269">
        <v>4.184909980559557E-2</v>
      </c>
      <c r="F17" s="194">
        <v>635252</v>
      </c>
      <c r="G17" s="269">
        <v>8.4615143831971704E-2</v>
      </c>
    </row>
    <row r="18" spans="1:7" ht="19" customHeight="1" thickBot="1">
      <c r="A18" s="130" t="s">
        <v>103</v>
      </c>
      <c r="B18" s="194">
        <v>284341</v>
      </c>
      <c r="C18" s="269">
        <v>3.7874032057083909E-2</v>
      </c>
      <c r="D18" s="194">
        <v>277243</v>
      </c>
      <c r="E18" s="269">
        <v>3.6928583178655605E-2</v>
      </c>
      <c r="F18" s="194">
        <v>561584</v>
      </c>
      <c r="G18" s="269">
        <v>7.4802615235739514E-2</v>
      </c>
    </row>
    <row r="19" spans="1:7" ht="19" customHeight="1" thickBot="1">
      <c r="A19" s="130" t="s">
        <v>104</v>
      </c>
      <c r="B19" s="194">
        <v>246278</v>
      </c>
      <c r="C19" s="269">
        <v>3.2804065776495514E-2</v>
      </c>
      <c r="D19" s="194">
        <v>244799</v>
      </c>
      <c r="E19" s="269">
        <v>3.2607063960322584E-2</v>
      </c>
      <c r="F19" s="194">
        <v>491077</v>
      </c>
      <c r="G19" s="269">
        <v>6.5411129736818091E-2</v>
      </c>
    </row>
    <row r="20" spans="1:7" ht="19" customHeight="1" thickBot="1">
      <c r="A20" s="130" t="s">
        <v>105</v>
      </c>
      <c r="B20" s="194">
        <v>235109</v>
      </c>
      <c r="C20" s="269">
        <v>3.1316362406086144E-2</v>
      </c>
      <c r="D20" s="194">
        <v>236985</v>
      </c>
      <c r="E20" s="269">
        <v>3.1566244358175677E-2</v>
      </c>
      <c r="F20" s="194">
        <v>472094</v>
      </c>
      <c r="G20" s="269">
        <v>6.2882606764261814E-2</v>
      </c>
    </row>
    <row r="21" spans="1:7" ht="19" customHeight="1" thickBot="1">
      <c r="A21" s="130" t="s">
        <v>106</v>
      </c>
      <c r="B21" s="194">
        <v>203476</v>
      </c>
      <c r="C21" s="269">
        <v>2.7102867848277964E-2</v>
      </c>
      <c r="D21" s="194">
        <v>210691</v>
      </c>
      <c r="E21" s="269">
        <v>2.8063901048878161E-2</v>
      </c>
      <c r="F21" s="194">
        <v>414167</v>
      </c>
      <c r="G21" s="269">
        <v>5.5166768897156125E-2</v>
      </c>
    </row>
    <row r="22" spans="1:7" ht="30" customHeight="1" thickBot="1">
      <c r="A22" s="131" t="s">
        <v>396</v>
      </c>
      <c r="B22" s="898">
        <v>2419743</v>
      </c>
      <c r="C22" s="865">
        <v>0.32230815799305901</v>
      </c>
      <c r="D22" s="898">
        <v>2405644</v>
      </c>
      <c r="E22" s="865">
        <v>0.32043018057167821</v>
      </c>
      <c r="F22" s="898">
        <v>4825387</v>
      </c>
      <c r="G22" s="865">
        <v>0.64273833856473717</v>
      </c>
    </row>
    <row r="23" spans="1:7" ht="20" customHeight="1" thickBot="1">
      <c r="A23" s="130" t="s">
        <v>107</v>
      </c>
      <c r="B23" s="194">
        <v>149552</v>
      </c>
      <c r="C23" s="269">
        <v>1.9920226918386769E-2</v>
      </c>
      <c r="D23" s="194">
        <v>170388</v>
      </c>
      <c r="E23" s="269">
        <v>2.2695568258332119E-2</v>
      </c>
      <c r="F23" s="194">
        <v>319940</v>
      </c>
      <c r="G23" s="269">
        <v>4.2615795176718888E-2</v>
      </c>
    </row>
    <row r="24" spans="1:7" ht="20" customHeight="1" thickBot="1">
      <c r="A24" s="130" t="s">
        <v>108</v>
      </c>
      <c r="B24" s="194">
        <v>125256</v>
      </c>
      <c r="C24" s="269">
        <v>1.6684015880024695E-2</v>
      </c>
      <c r="D24" s="194">
        <v>155981</v>
      </c>
      <c r="E24" s="269">
        <v>2.0776565441832182E-2</v>
      </c>
      <c r="F24" s="194">
        <v>281237</v>
      </c>
      <c r="G24" s="269">
        <v>3.7460581321856881E-2</v>
      </c>
    </row>
    <row r="25" spans="1:7" ht="20" customHeight="1" thickBot="1">
      <c r="A25" s="130" t="s">
        <v>109</v>
      </c>
      <c r="B25" s="194">
        <v>93613</v>
      </c>
      <c r="C25" s="269">
        <v>1.2469189328868492E-2</v>
      </c>
      <c r="D25" s="194">
        <v>137274</v>
      </c>
      <c r="E25" s="269">
        <v>1.8284805485681406E-2</v>
      </c>
      <c r="F25" s="194">
        <v>230887</v>
      </c>
      <c r="G25" s="269">
        <v>3.0753994814549896E-2</v>
      </c>
    </row>
    <row r="26" spans="1:7" ht="20" customHeight="1" thickBot="1">
      <c r="A26" s="130" t="s">
        <v>110</v>
      </c>
      <c r="B26" s="194">
        <v>61349</v>
      </c>
      <c r="C26" s="269">
        <v>8.1716459907999212E-3</v>
      </c>
      <c r="D26" s="194">
        <v>108274</v>
      </c>
      <c r="E26" s="269">
        <v>1.4422024776408266E-2</v>
      </c>
      <c r="F26" s="194">
        <v>169623</v>
      </c>
      <c r="G26" s="269">
        <v>2.2593670767208189E-2</v>
      </c>
    </row>
    <row r="27" spans="1:7" ht="20" customHeight="1" thickBot="1">
      <c r="A27" s="130" t="s">
        <v>111</v>
      </c>
      <c r="B27" s="194">
        <v>27416</v>
      </c>
      <c r="C27" s="269">
        <v>3.6517929629459431E-3</v>
      </c>
      <c r="D27" s="194">
        <v>58634</v>
      </c>
      <c r="E27" s="269">
        <v>7.8100097968110752E-3</v>
      </c>
      <c r="F27" s="194">
        <v>86050</v>
      </c>
      <c r="G27" s="269">
        <v>1.1461802759757018E-2</v>
      </c>
    </row>
    <row r="28" spans="1:7" ht="20" customHeight="1" thickBot="1">
      <c r="A28" s="130" t="s">
        <v>397</v>
      </c>
      <c r="B28" s="194">
        <v>8796</v>
      </c>
      <c r="C28" s="269">
        <v>1.1716213489229835E-3</v>
      </c>
      <c r="D28" s="194">
        <v>25695</v>
      </c>
      <c r="E28" s="269">
        <v>3.4225569077508027E-3</v>
      </c>
      <c r="F28" s="194">
        <v>34491</v>
      </c>
      <c r="G28" s="269">
        <v>4.5941782566737864E-3</v>
      </c>
    </row>
    <row r="29" spans="1:7" ht="20" customHeight="1" thickBot="1">
      <c r="A29" s="130" t="s">
        <v>398</v>
      </c>
      <c r="B29" s="194">
        <v>1337</v>
      </c>
      <c r="C29" s="269">
        <v>1.7808751063097192E-4</v>
      </c>
      <c r="D29" s="194">
        <v>5600</v>
      </c>
      <c r="E29" s="269">
        <v>7.459162748941232E-4</v>
      </c>
      <c r="F29" s="194">
        <v>6937</v>
      </c>
      <c r="G29" s="269">
        <v>9.2400378552509512E-4</v>
      </c>
    </row>
    <row r="30" spans="1:7" ht="20" customHeight="1" thickBot="1">
      <c r="A30" s="130" t="s">
        <v>399</v>
      </c>
      <c r="B30" s="194">
        <v>94</v>
      </c>
      <c r="C30" s="269">
        <v>1.2520737471437068E-5</v>
      </c>
      <c r="D30" s="194">
        <v>535</v>
      </c>
      <c r="E30" s="269">
        <v>7.1261644119349269E-5</v>
      </c>
      <c r="F30" s="194">
        <v>629</v>
      </c>
      <c r="G30" s="269">
        <v>8.3782381590786332E-5</v>
      </c>
    </row>
    <row r="31" spans="1:7" ht="30" customHeight="1" thickBot="1">
      <c r="A31" s="131" t="s">
        <v>400</v>
      </c>
      <c r="B31" s="898">
        <v>467413</v>
      </c>
      <c r="C31" s="865">
        <v>6.2259100678051217E-2</v>
      </c>
      <c r="D31" s="898">
        <v>662381</v>
      </c>
      <c r="E31" s="865">
        <v>8.8228708585829319E-2</v>
      </c>
      <c r="F31" s="898">
        <v>1129794</v>
      </c>
      <c r="G31" s="865">
        <v>0.15048780926388053</v>
      </c>
    </row>
    <row r="32" spans="1:7" ht="27" customHeight="1" thickBot="1">
      <c r="A32" s="131" t="s">
        <v>377</v>
      </c>
      <c r="B32" s="898">
        <v>0</v>
      </c>
      <c r="C32" s="865">
        <v>0</v>
      </c>
      <c r="D32" s="898">
        <v>0</v>
      </c>
      <c r="E32" s="865">
        <v>0</v>
      </c>
      <c r="F32" s="898">
        <v>0</v>
      </c>
      <c r="G32" s="865">
        <v>0</v>
      </c>
    </row>
    <row r="33" spans="1:7" s="151" customFormat="1" ht="30" customHeight="1" thickBot="1">
      <c r="A33" s="909" t="s">
        <v>1951</v>
      </c>
      <c r="B33" s="781">
        <v>3683035</v>
      </c>
      <c r="C33" s="709">
        <v>0.49057781205440659</v>
      </c>
      <c r="D33" s="781">
        <v>3824510</v>
      </c>
      <c r="E33" s="709">
        <v>0.50942218794559335</v>
      </c>
      <c r="F33" s="781">
        <v>7507545</v>
      </c>
      <c r="G33" s="709">
        <v>1</v>
      </c>
    </row>
    <row r="34" spans="1:7" ht="19.5" customHeight="1">
      <c r="A34" s="136" t="s">
        <v>453</v>
      </c>
    </row>
    <row r="35" spans="1:7" ht="10.5" customHeight="1"/>
    <row r="36" spans="1:7">
      <c r="A36" s="324" t="s">
        <v>2359</v>
      </c>
    </row>
    <row r="38" spans="1:7">
      <c r="A38" s="2" t="s">
        <v>401</v>
      </c>
    </row>
    <row r="41" spans="1:7">
      <c r="A41" s="207" t="s">
        <v>1955</v>
      </c>
    </row>
  </sheetData>
  <phoneticPr fontId="0" type="noConversion"/>
  <pageMargins left="0.57999999999999996" right="0.65" top="0.74" bottom="0.49" header="0.42" footer="0.4921259845"/>
  <pageSetup paperSize="9" scale="87" orientation="portrait" horizontalDpi="1200" verticalDpi="1200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9A9B-CB15-4744-A490-AA3DA9361435}">
  <sheetPr>
    <pageSetUpPr fitToPage="1"/>
  </sheetPr>
  <dimension ref="A1:G25"/>
  <sheetViews>
    <sheetView zoomScale="75" workbookViewId="0">
      <selection activeCell="A3" sqref="A3"/>
    </sheetView>
  </sheetViews>
  <sheetFormatPr baseColWidth="10" defaultColWidth="11.3984375" defaultRowHeight="13"/>
  <cols>
    <col min="1" max="1" width="18.19921875" style="2" customWidth="1"/>
    <col min="2" max="7" width="14.796875" style="2" customWidth="1"/>
    <col min="8" max="16384" width="11.3984375" style="2"/>
  </cols>
  <sheetData>
    <row r="1" spans="1:7" s="1" customFormat="1" ht="14" customHeight="1"/>
    <row r="2" spans="1:7" s="1" customFormat="1" ht="28" customHeight="1">
      <c r="A2" s="112" t="s">
        <v>124</v>
      </c>
      <c r="G2" s="265">
        <v>2006</v>
      </c>
    </row>
    <row r="3" spans="1:7" ht="24" customHeight="1">
      <c r="A3" s="113" t="s">
        <v>740</v>
      </c>
      <c r="B3" s="114" t="s">
        <v>741</v>
      </c>
      <c r="C3" s="115" t="s">
        <v>742</v>
      </c>
      <c r="D3" s="114" t="s">
        <v>743</v>
      </c>
      <c r="E3" s="177" t="s">
        <v>744</v>
      </c>
      <c r="F3" s="114" t="s">
        <v>1951</v>
      </c>
      <c r="G3" s="115" t="s">
        <v>45</v>
      </c>
    </row>
    <row r="4" spans="1:7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  <c r="G4" s="118" t="s">
        <v>46</v>
      </c>
    </row>
    <row r="5" spans="1:7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  <c r="G5" s="118" t="s">
        <v>50</v>
      </c>
    </row>
    <row r="6" spans="1:7" ht="24" customHeight="1">
      <c r="A6" s="249"/>
      <c r="B6" s="123"/>
      <c r="C6" s="122"/>
      <c r="D6" s="123"/>
      <c r="E6" s="183" t="s">
        <v>753</v>
      </c>
      <c r="F6" s="123"/>
      <c r="G6" s="122"/>
    </row>
    <row r="7" spans="1:7" ht="22.5" customHeight="1" thickBot="1">
      <c r="A7" s="250">
        <v>1996</v>
      </c>
      <c r="B7" s="145">
        <v>4739640</v>
      </c>
      <c r="C7" s="198">
        <v>2305688</v>
      </c>
      <c r="D7" s="145">
        <v>27828</v>
      </c>
      <c r="E7" s="198">
        <v>121598</v>
      </c>
      <c r="F7" s="184">
        <v>7194754</v>
      </c>
      <c r="G7" s="146">
        <v>3.9681470970374319E-3</v>
      </c>
    </row>
    <row r="8" spans="1:7" ht="20" customHeight="1" thickBot="1">
      <c r="A8" s="251">
        <v>1997</v>
      </c>
      <c r="B8" s="147">
        <v>4083854</v>
      </c>
      <c r="C8" s="204">
        <v>2736364</v>
      </c>
      <c r="D8" s="147">
        <v>11494</v>
      </c>
      <c r="E8" s="204">
        <v>383093</v>
      </c>
      <c r="F8" s="147">
        <v>7214805</v>
      </c>
      <c r="G8" s="148">
        <v>2.7868916713483186E-3</v>
      </c>
    </row>
    <row r="9" spans="1:7" ht="20" customHeight="1" thickBot="1">
      <c r="A9" s="251">
        <v>1998</v>
      </c>
      <c r="B9" s="147">
        <v>4016267</v>
      </c>
      <c r="C9" s="204">
        <v>2726468</v>
      </c>
      <c r="D9" s="147">
        <v>11828</v>
      </c>
      <c r="E9" s="204">
        <v>494040</v>
      </c>
      <c r="F9" s="147">
        <v>7248603</v>
      </c>
      <c r="G9" s="148">
        <v>4.6845340934370365E-3</v>
      </c>
    </row>
    <row r="10" spans="1:7" ht="20" customHeight="1" thickBot="1">
      <c r="A10" s="251">
        <v>1999</v>
      </c>
      <c r="B10" s="147">
        <v>3998744</v>
      </c>
      <c r="C10" s="204">
        <v>2715642</v>
      </c>
      <c r="D10" s="147">
        <v>10258</v>
      </c>
      <c r="E10" s="204">
        <v>541890</v>
      </c>
      <c r="F10" s="147">
        <v>7266534</v>
      </c>
      <c r="G10" s="148">
        <v>2.4737180391863093E-3</v>
      </c>
    </row>
    <row r="11" spans="1:7" ht="20" customHeight="1" thickBot="1">
      <c r="A11" s="251">
        <v>2000</v>
      </c>
      <c r="B11" s="147">
        <v>3921920</v>
      </c>
      <c r="C11" s="204">
        <v>2758539</v>
      </c>
      <c r="D11" s="147">
        <v>9811</v>
      </c>
      <c r="E11" s="204">
        <v>577841</v>
      </c>
      <c r="F11" s="147">
        <v>7268111</v>
      </c>
      <c r="G11" s="148">
        <v>2.1702231077429761E-4</v>
      </c>
    </row>
    <row r="12" spans="1:7" ht="20" customHeight="1" thickBot="1">
      <c r="A12" s="251">
        <v>2001</v>
      </c>
      <c r="B12" s="147">
        <v>3882191</v>
      </c>
      <c r="C12" s="204">
        <v>2833816</v>
      </c>
      <c r="D12" s="147">
        <v>9341</v>
      </c>
      <c r="E12" s="204">
        <v>595939</v>
      </c>
      <c r="F12" s="147">
        <v>7321287</v>
      </c>
      <c r="G12" s="148">
        <v>7.3163439578729601E-3</v>
      </c>
    </row>
    <row r="13" spans="1:7" ht="20" customHeight="1" thickBot="1">
      <c r="A13" s="251">
        <v>2002</v>
      </c>
      <c r="B13" s="147">
        <v>3812675</v>
      </c>
      <c r="C13" s="204">
        <v>2980820</v>
      </c>
      <c r="D13" s="147">
        <v>8835</v>
      </c>
      <c r="E13" s="204">
        <v>557035</v>
      </c>
      <c r="F13" s="147">
        <v>7359365</v>
      </c>
      <c r="G13" s="148">
        <v>5.2009981305199482E-3</v>
      </c>
    </row>
    <row r="14" spans="1:7" ht="20" customHeight="1" thickBot="1">
      <c r="A14" s="251">
        <v>2003</v>
      </c>
      <c r="B14" s="147">
        <v>3674270</v>
      </c>
      <c r="C14" s="204">
        <v>3107097</v>
      </c>
      <c r="D14" s="147">
        <v>8317</v>
      </c>
      <c r="E14" s="204">
        <v>603504</v>
      </c>
      <c r="F14" s="147">
        <v>7393188</v>
      </c>
      <c r="G14" s="148">
        <v>4.5959128267180661E-3</v>
      </c>
    </row>
    <row r="15" spans="1:7" ht="20" customHeight="1" thickBot="1">
      <c r="A15" s="251">
        <v>2004</v>
      </c>
      <c r="B15" s="147">
        <v>3639287</v>
      </c>
      <c r="C15" s="204">
        <v>3024823</v>
      </c>
      <c r="D15" s="147">
        <v>8098</v>
      </c>
      <c r="E15" s="204">
        <v>747766</v>
      </c>
      <c r="F15" s="147">
        <v>7419974</v>
      </c>
      <c r="G15" s="148">
        <v>3.623064907858423E-3</v>
      </c>
    </row>
    <row r="16" spans="1:7" ht="20" customHeight="1" thickBot="1">
      <c r="A16" s="251">
        <v>2005</v>
      </c>
      <c r="B16" s="147">
        <v>3605578</v>
      </c>
      <c r="C16" s="204">
        <v>2939073</v>
      </c>
      <c r="D16" s="147">
        <v>7711</v>
      </c>
      <c r="E16" s="204">
        <v>906113</v>
      </c>
      <c r="F16" s="147">
        <v>7458475</v>
      </c>
      <c r="G16" s="148">
        <v>5.1888321980643063E-3</v>
      </c>
    </row>
    <row r="17" spans="1:7" ht="30" customHeight="1" thickBot="1">
      <c r="A17" s="361">
        <v>2006</v>
      </c>
      <c r="B17" s="282">
        <v>3356090</v>
      </c>
      <c r="C17" s="283">
        <v>2787429</v>
      </c>
      <c r="D17" s="282">
        <v>7220</v>
      </c>
      <c r="E17" s="283">
        <v>1356806</v>
      </c>
      <c r="F17" s="282">
        <v>7507545</v>
      </c>
      <c r="G17" s="150">
        <v>6.5790929110843702E-3</v>
      </c>
    </row>
    <row r="18" spans="1:7" ht="19.5" customHeight="1">
      <c r="A18" s="136" t="s">
        <v>453</v>
      </c>
      <c r="B18" s="136"/>
      <c r="C18" s="136"/>
      <c r="D18" s="136"/>
      <c r="E18" s="136"/>
      <c r="F18" s="136"/>
      <c r="G18" s="136"/>
    </row>
    <row r="20" spans="1:7">
      <c r="A20" s="867" t="s">
        <v>123</v>
      </c>
    </row>
    <row r="22" spans="1:7">
      <c r="A22" s="2" t="s">
        <v>754</v>
      </c>
    </row>
    <row r="25" spans="1:7">
      <c r="A25" s="2" t="s">
        <v>1955</v>
      </c>
    </row>
  </sheetData>
  <phoneticPr fontId="0" type="noConversion"/>
  <pageMargins left="0.56000000000000005" right="0.54" top="0.96" bottom="0.49" header="0.57999999999999996" footer="0.4921259845"/>
  <pageSetup paperSize="9" scale="87" orientation="portrait" horizontalDpi="4294967292" verticalDpi="4294967292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291A-F97D-6744-AE77-BE6B13795A76}">
  <sheetPr>
    <pageSetUpPr fitToPage="1"/>
  </sheetPr>
  <dimension ref="A1:G22"/>
  <sheetViews>
    <sheetView zoomScale="75" workbookViewId="0">
      <selection activeCell="J12" sqref="J12"/>
    </sheetView>
  </sheetViews>
  <sheetFormatPr baseColWidth="10" defaultColWidth="11.3984375" defaultRowHeight="13"/>
  <cols>
    <col min="1" max="1" width="19.3984375" style="2" customWidth="1"/>
    <col min="2" max="7" width="14.3984375" style="2" customWidth="1"/>
    <col min="8" max="16384" width="11.3984375" style="2"/>
  </cols>
  <sheetData>
    <row r="1" spans="1:7" ht="14" customHeight="1">
      <c r="A1" s="346"/>
      <c r="B1" s="3"/>
      <c r="C1" s="3"/>
      <c r="D1" s="3"/>
      <c r="E1" s="3"/>
      <c r="F1" s="3"/>
      <c r="G1" s="3"/>
    </row>
    <row r="2" spans="1:7" ht="30" customHeight="1">
      <c r="A2" s="1695" t="s">
        <v>125</v>
      </c>
      <c r="B2" s="1699"/>
      <c r="C2" s="1699"/>
      <c r="D2" s="1699"/>
      <c r="E2" s="1699"/>
      <c r="F2" s="1699"/>
      <c r="G2" s="347">
        <v>2006</v>
      </c>
    </row>
    <row r="3" spans="1:7" ht="24" customHeight="1">
      <c r="A3" s="113" t="s">
        <v>733</v>
      </c>
      <c r="B3" s="114" t="s">
        <v>115</v>
      </c>
      <c r="C3" s="115" t="s">
        <v>116</v>
      </c>
      <c r="D3" s="114" t="s">
        <v>42</v>
      </c>
      <c r="E3" s="115" t="s">
        <v>1951</v>
      </c>
      <c r="F3" s="114" t="s">
        <v>893</v>
      </c>
      <c r="G3" s="115" t="s">
        <v>45</v>
      </c>
    </row>
    <row r="4" spans="1:7" ht="15" customHeight="1">
      <c r="A4" s="248"/>
      <c r="B4" s="117"/>
      <c r="C4" s="118"/>
      <c r="D4" s="117"/>
      <c r="E4" s="180"/>
      <c r="F4" s="117" t="s">
        <v>894</v>
      </c>
      <c r="G4" s="118" t="s">
        <v>46</v>
      </c>
    </row>
    <row r="5" spans="1:7" ht="15" customHeight="1">
      <c r="A5" s="116"/>
      <c r="B5" s="117"/>
      <c r="C5" s="118"/>
      <c r="D5" s="117"/>
      <c r="E5" s="118"/>
      <c r="F5" s="117" t="s">
        <v>734</v>
      </c>
      <c r="G5" s="118" t="s">
        <v>50</v>
      </c>
    </row>
    <row r="6" spans="1:7" ht="24" customHeight="1">
      <c r="A6" s="315"/>
      <c r="B6" s="348"/>
      <c r="C6" s="349"/>
      <c r="D6" s="348"/>
      <c r="E6" s="349"/>
      <c r="F6" s="348"/>
      <c r="G6" s="122"/>
    </row>
    <row r="7" spans="1:7" ht="37.5" customHeight="1" thickBot="1">
      <c r="A7" s="350" t="s">
        <v>735</v>
      </c>
      <c r="B7" s="184">
        <v>980114</v>
      </c>
      <c r="C7" s="185">
        <v>1272618</v>
      </c>
      <c r="D7" s="184">
        <v>1103358</v>
      </c>
      <c r="E7" s="185">
        <v>3356090</v>
      </c>
      <c r="F7" s="351">
        <v>0.44702895553739602</v>
      </c>
      <c r="G7" s="352">
        <v>-6.9195008400872199E-2</v>
      </c>
    </row>
    <row r="8" spans="1:7" ht="34.5" customHeight="1" thickBot="1">
      <c r="A8" s="350" t="s">
        <v>736</v>
      </c>
      <c r="B8" s="184">
        <v>1373135</v>
      </c>
      <c r="C8" s="185">
        <v>1254428</v>
      </c>
      <c r="D8" s="184">
        <v>159866</v>
      </c>
      <c r="E8" s="185">
        <v>2787429</v>
      </c>
      <c r="F8" s="351">
        <v>0.37128368860925909</v>
      </c>
      <c r="G8" s="352">
        <v>-5.1595860327388943E-2</v>
      </c>
    </row>
    <row r="9" spans="1:7" ht="31.5" customHeight="1" thickBot="1">
      <c r="A9" s="350" t="s">
        <v>737</v>
      </c>
      <c r="B9" s="184">
        <v>4609</v>
      </c>
      <c r="C9" s="185">
        <v>2461</v>
      </c>
      <c r="D9" s="184">
        <v>150</v>
      </c>
      <c r="E9" s="185">
        <v>7220</v>
      </c>
      <c r="F9" s="351">
        <v>9.6169919727420879E-4</v>
      </c>
      <c r="G9" s="352">
        <v>-6.3675269096096485E-2</v>
      </c>
    </row>
    <row r="10" spans="1:7" ht="33" customHeight="1" thickBot="1">
      <c r="A10" s="350" t="s">
        <v>738</v>
      </c>
      <c r="B10" s="184">
        <v>529298</v>
      </c>
      <c r="C10" s="185">
        <v>538518</v>
      </c>
      <c r="D10" s="184">
        <v>288990</v>
      </c>
      <c r="E10" s="185">
        <v>1356806</v>
      </c>
      <c r="F10" s="351">
        <v>0.18072565665607065</v>
      </c>
      <c r="G10" s="352">
        <v>0.49739160568273494</v>
      </c>
    </row>
    <row r="11" spans="1:7" ht="15" customHeight="1">
      <c r="A11" s="353"/>
      <c r="B11" s="354"/>
      <c r="C11" s="355"/>
      <c r="D11" s="354"/>
      <c r="E11" s="355"/>
      <c r="F11" s="356"/>
      <c r="G11" s="357" t="s">
        <v>967</v>
      </c>
    </row>
    <row r="12" spans="1:7" ht="23.25" customHeight="1" thickBot="1">
      <c r="A12" s="358" t="s">
        <v>1951</v>
      </c>
      <c r="B12" s="291">
        <v>2887156</v>
      </c>
      <c r="C12" s="290">
        <v>3068025</v>
      </c>
      <c r="D12" s="291">
        <v>1552364</v>
      </c>
      <c r="E12" s="290">
        <v>7507545</v>
      </c>
      <c r="F12" s="359">
        <v>1</v>
      </c>
      <c r="G12" s="360">
        <v>6.5790929110843702E-3</v>
      </c>
    </row>
    <row r="13" spans="1:7" ht="19.5" customHeight="1">
      <c r="A13" s="136" t="s">
        <v>453</v>
      </c>
      <c r="B13" s="136"/>
      <c r="C13" s="136"/>
      <c r="D13" s="136"/>
      <c r="E13" s="136"/>
      <c r="F13" s="136"/>
      <c r="G13" s="136"/>
    </row>
    <row r="15" spans="1:7">
      <c r="A15" s="745" t="s">
        <v>126</v>
      </c>
    </row>
    <row r="16" spans="1:7">
      <c r="A16" s="745" t="s">
        <v>127</v>
      </c>
    </row>
    <row r="17" spans="1:1">
      <c r="A17" s="745" t="s">
        <v>128</v>
      </c>
    </row>
    <row r="19" spans="1:1">
      <c r="A19" s="2" t="s">
        <v>739</v>
      </c>
    </row>
    <row r="22" spans="1:1">
      <c r="A22" s="2" t="s">
        <v>1955</v>
      </c>
    </row>
  </sheetData>
  <mergeCells count="1">
    <mergeCell ref="A2:F2"/>
  </mergeCells>
  <phoneticPr fontId="0" type="noConversion"/>
  <pageMargins left="0.53" right="0.54" top="0.79" bottom="0.49" header="0.42" footer="0.4921259845"/>
  <pageSetup paperSize="9" scale="88" orientation="portrait" horizontalDpi="1200" verticalDpi="1200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45FF-1EB5-094B-A469-0C467CE170E9}">
  <sheetPr>
    <pageSetUpPr fitToPage="1"/>
  </sheetPr>
  <dimension ref="A1:J28"/>
  <sheetViews>
    <sheetView zoomScale="75" workbookViewId="0">
      <selection activeCell="J2" sqref="J2"/>
    </sheetView>
  </sheetViews>
  <sheetFormatPr baseColWidth="10" defaultColWidth="11.3984375" defaultRowHeight="13"/>
  <cols>
    <col min="1" max="1" width="14.796875" style="2" customWidth="1"/>
    <col min="2" max="2" width="14.796875" style="151" customWidth="1"/>
    <col min="3" max="3" width="12.3984375" style="2" customWidth="1"/>
    <col min="4" max="4" width="13.19921875" style="2" customWidth="1"/>
    <col min="5" max="5" width="12.796875" style="2" customWidth="1"/>
    <col min="6" max="6" width="13.59765625" style="2" customWidth="1"/>
    <col min="7" max="7" width="12.796875" style="2" customWidth="1"/>
    <col min="8" max="8" width="14.796875" style="193" customWidth="1"/>
    <col min="9" max="9" width="15.19921875" style="151" customWidth="1"/>
    <col min="10" max="10" width="11.59765625" style="2" customWidth="1"/>
    <col min="11" max="16384" width="11.3984375" style="2"/>
  </cols>
  <sheetData>
    <row r="1" spans="1:10" s="1" customFormat="1" ht="14" customHeight="1">
      <c r="B1" s="17"/>
      <c r="H1" s="934"/>
      <c r="I1" s="17"/>
    </row>
    <row r="2" spans="1:10" s="1" customFormat="1" ht="28" customHeight="1">
      <c r="A2" s="112" t="s">
        <v>508</v>
      </c>
      <c r="B2" s="17"/>
      <c r="H2" s="934"/>
      <c r="I2" s="17"/>
      <c r="J2" s="1694"/>
    </row>
    <row r="3" spans="1:10" ht="27" customHeight="1">
      <c r="A3" s="113" t="s">
        <v>1226</v>
      </c>
      <c r="B3" s="427" t="s">
        <v>741</v>
      </c>
      <c r="C3" s="1718" t="s">
        <v>736</v>
      </c>
      <c r="D3" s="1704"/>
      <c r="E3" s="1704"/>
      <c r="F3" s="1704"/>
      <c r="G3" s="1704"/>
      <c r="H3" s="1704"/>
      <c r="I3" s="284" t="s">
        <v>2035</v>
      </c>
      <c r="J3" s="114" t="s">
        <v>1951</v>
      </c>
    </row>
    <row r="4" spans="1:10" ht="15" customHeight="1">
      <c r="A4" s="116"/>
      <c r="B4" s="493" t="s">
        <v>745</v>
      </c>
      <c r="C4" s="116"/>
      <c r="D4" s="119"/>
      <c r="E4" s="118"/>
      <c r="F4" s="117"/>
      <c r="G4" s="118"/>
      <c r="H4" s="493" t="s">
        <v>1951</v>
      </c>
      <c r="I4" s="292" t="s">
        <v>747</v>
      </c>
      <c r="J4" s="119"/>
    </row>
    <row r="5" spans="1:10" ht="15" customHeight="1">
      <c r="A5" s="116"/>
      <c r="B5" s="493" t="s">
        <v>749</v>
      </c>
      <c r="C5" s="118" t="s">
        <v>2050</v>
      </c>
      <c r="D5" s="117" t="s">
        <v>2051</v>
      </c>
      <c r="E5" s="118" t="s">
        <v>2052</v>
      </c>
      <c r="F5" s="117" t="s">
        <v>2053</v>
      </c>
      <c r="G5" s="118" t="s">
        <v>2054</v>
      </c>
      <c r="H5" s="935"/>
      <c r="I5" s="292" t="s">
        <v>2041</v>
      </c>
      <c r="J5" s="119"/>
    </row>
    <row r="6" spans="1:10" ht="24" customHeight="1">
      <c r="A6" s="120"/>
      <c r="B6" s="495"/>
      <c r="C6" s="120"/>
      <c r="D6" s="121"/>
      <c r="E6" s="122"/>
      <c r="F6" s="123"/>
      <c r="G6" s="122"/>
      <c r="H6" s="936"/>
      <c r="I6" s="293"/>
      <c r="J6" s="121"/>
    </row>
    <row r="7" spans="1:10" ht="20" customHeight="1" thickBot="1">
      <c r="A7" s="330">
        <v>1996</v>
      </c>
      <c r="B7" s="937">
        <v>0.60572223331626529</v>
      </c>
      <c r="C7" s="369" t="s">
        <v>1412</v>
      </c>
      <c r="D7" s="641" t="s">
        <v>1412</v>
      </c>
      <c r="E7" s="369" t="s">
        <v>1412</v>
      </c>
      <c r="F7" s="641" t="s">
        <v>1412</v>
      </c>
      <c r="G7" s="369" t="s">
        <v>1412</v>
      </c>
      <c r="H7" s="937">
        <v>0.37321719800503761</v>
      </c>
      <c r="I7" s="938">
        <v>2.1060568678697135E-2</v>
      </c>
      <c r="J7" s="641">
        <v>1</v>
      </c>
    </row>
    <row r="8" spans="1:10" ht="20" customHeight="1" thickBot="1">
      <c r="A8" s="330">
        <v>1997</v>
      </c>
      <c r="B8" s="937">
        <v>0.47310000000000002</v>
      </c>
      <c r="C8" s="369">
        <v>0.2923</v>
      </c>
      <c r="D8" s="641">
        <v>8.3000000000000004E-2</v>
      </c>
      <c r="E8" s="369">
        <v>2.1299999999999999E-2</v>
      </c>
      <c r="F8" s="641">
        <v>5.2400000000000002E-2</v>
      </c>
      <c r="G8" s="369" t="s">
        <v>1412</v>
      </c>
      <c r="H8" s="937">
        <v>0.44900000000000001</v>
      </c>
      <c r="I8" s="938">
        <v>7.7799999999999994E-2</v>
      </c>
      <c r="J8" s="641">
        <v>1</v>
      </c>
    </row>
    <row r="9" spans="1:10" ht="20" customHeight="1" thickBot="1">
      <c r="A9" s="130">
        <v>1998</v>
      </c>
      <c r="B9" s="937">
        <v>0.47549999999999998</v>
      </c>
      <c r="C9" s="369">
        <v>0.30769999999999997</v>
      </c>
      <c r="D9" s="641">
        <v>7.5800000000000006E-2</v>
      </c>
      <c r="E9" s="369">
        <v>3.1699999999999999E-2</v>
      </c>
      <c r="F9" s="641">
        <v>3.9199999999999999E-2</v>
      </c>
      <c r="G9" s="369" t="s">
        <v>1412</v>
      </c>
      <c r="H9" s="937">
        <v>0.45440000000000003</v>
      </c>
      <c r="I9" s="938">
        <v>7.0099999999999996E-2</v>
      </c>
      <c r="J9" s="641">
        <v>1</v>
      </c>
    </row>
    <row r="10" spans="1:10" ht="20" customHeight="1" thickBot="1">
      <c r="A10" s="130">
        <v>1999</v>
      </c>
      <c r="B10" s="937">
        <v>0.47310000000000002</v>
      </c>
      <c r="C10" s="369">
        <v>0.2923</v>
      </c>
      <c r="D10" s="641">
        <v>8.3000000000000004E-2</v>
      </c>
      <c r="E10" s="369">
        <v>2.1299999999999999E-2</v>
      </c>
      <c r="F10" s="641">
        <v>5.2400000000000002E-2</v>
      </c>
      <c r="G10" s="369" t="s">
        <v>1412</v>
      </c>
      <c r="H10" s="937">
        <v>0.44900000000000001</v>
      </c>
      <c r="I10" s="938">
        <v>7.7799999999999994E-2</v>
      </c>
      <c r="J10" s="641">
        <v>1</v>
      </c>
    </row>
    <row r="11" spans="1:10" ht="20" customHeight="1" thickBot="1">
      <c r="A11" s="130">
        <v>2000</v>
      </c>
      <c r="B11" s="937">
        <v>0.45929999999999999</v>
      </c>
      <c r="C11" s="369">
        <v>0.27900000000000003</v>
      </c>
      <c r="D11" s="641">
        <v>8.9399999999999993E-2</v>
      </c>
      <c r="E11" s="369">
        <v>2.23E-2</v>
      </c>
      <c r="F11" s="641">
        <v>6.8099999999999994E-2</v>
      </c>
      <c r="G11" s="369" t="s">
        <v>1412</v>
      </c>
      <c r="H11" s="937">
        <v>0.4587</v>
      </c>
      <c r="I11" s="938">
        <v>8.2000000000000003E-2</v>
      </c>
      <c r="J11" s="641">
        <v>1</v>
      </c>
    </row>
    <row r="12" spans="1:10" ht="20" customHeight="1" thickBot="1">
      <c r="A12" s="130">
        <v>2001</v>
      </c>
      <c r="B12" s="937">
        <v>0.45299999999999996</v>
      </c>
      <c r="C12" s="369">
        <v>0.26100000000000001</v>
      </c>
      <c r="D12" s="641">
        <v>9.1999999999999998E-2</v>
      </c>
      <c r="E12" s="369">
        <v>2.3E-2</v>
      </c>
      <c r="F12" s="641">
        <v>8.8000000000000009E-2</v>
      </c>
      <c r="G12" s="369" t="s">
        <v>1412</v>
      </c>
      <c r="H12" s="937">
        <v>0.46299999999999997</v>
      </c>
      <c r="I12" s="938">
        <v>8.4000000000000005E-2</v>
      </c>
      <c r="J12" s="641">
        <v>1</v>
      </c>
    </row>
    <row r="13" spans="1:10" ht="20" customHeight="1" thickBot="1">
      <c r="A13" s="130">
        <v>2002</v>
      </c>
      <c r="B13" s="937">
        <v>0.436</v>
      </c>
      <c r="C13" s="369">
        <v>0.24199999999999999</v>
      </c>
      <c r="D13" s="641">
        <v>9.9000000000000005E-2</v>
      </c>
      <c r="E13" s="369">
        <v>2.5000000000000001E-2</v>
      </c>
      <c r="F13" s="641">
        <v>0.114</v>
      </c>
      <c r="G13" s="369" t="s">
        <v>1412</v>
      </c>
      <c r="H13" s="937">
        <v>0.47899999999999998</v>
      </c>
      <c r="I13" s="938">
        <v>8.4000000000000005E-2</v>
      </c>
      <c r="J13" s="641">
        <v>1</v>
      </c>
    </row>
    <row r="14" spans="1:10" ht="20" customHeight="1" thickBot="1">
      <c r="A14" s="130">
        <v>2003</v>
      </c>
      <c r="B14" s="937">
        <v>0.41799999999999998</v>
      </c>
      <c r="C14" s="369">
        <v>0.221</v>
      </c>
      <c r="D14" s="641">
        <v>0.10199999999999999</v>
      </c>
      <c r="E14" s="369">
        <v>2.6000000000000002E-2</v>
      </c>
      <c r="F14" s="641">
        <v>0.15</v>
      </c>
      <c r="G14" s="369" t="s">
        <v>1412</v>
      </c>
      <c r="H14" s="937">
        <v>0.5</v>
      </c>
      <c r="I14" s="938">
        <v>8.3000000000000004E-2</v>
      </c>
      <c r="J14" s="641">
        <v>1</v>
      </c>
    </row>
    <row r="15" spans="1:10" ht="20" customHeight="1" thickBot="1">
      <c r="A15" s="130">
        <v>2004</v>
      </c>
      <c r="B15" s="937">
        <v>0.42599999999999999</v>
      </c>
      <c r="C15" s="369">
        <v>0.19</v>
      </c>
      <c r="D15" s="641">
        <v>9.9000000000000005E-2</v>
      </c>
      <c r="E15" s="369">
        <v>2.4E-2</v>
      </c>
      <c r="F15" s="641">
        <v>0.17</v>
      </c>
      <c r="G15" s="369" t="s">
        <v>1412</v>
      </c>
      <c r="H15" s="937">
        <v>0.48399999999999999</v>
      </c>
      <c r="I15" s="938">
        <v>0.09</v>
      </c>
      <c r="J15" s="641">
        <v>1</v>
      </c>
    </row>
    <row r="16" spans="1:10" ht="20" customHeight="1" thickBot="1">
      <c r="A16" s="130">
        <v>2005</v>
      </c>
      <c r="B16" s="937">
        <v>0.43010910660017726</v>
      </c>
      <c r="C16" s="369">
        <v>0.24137084865070785</v>
      </c>
      <c r="D16" s="641">
        <v>2.7927552911429284E-2</v>
      </c>
      <c r="E16" s="369">
        <v>0.14970772549575295</v>
      </c>
      <c r="F16" s="641">
        <v>7.737346283222017E-3</v>
      </c>
      <c r="G16" s="369">
        <v>4.3513188407514357E-2</v>
      </c>
      <c r="H16" s="937">
        <v>0.47025666174862646</v>
      </c>
      <c r="I16" s="938">
        <v>9.963405737620637E-2</v>
      </c>
      <c r="J16" s="641">
        <v>1</v>
      </c>
    </row>
    <row r="17" spans="1:10" ht="30" customHeight="1" thickBot="1">
      <c r="A17" s="900">
        <v>2006</v>
      </c>
      <c r="B17" s="939">
        <v>0.41037998146431881</v>
      </c>
      <c r="C17" s="371">
        <v>0.21169194562327648</v>
      </c>
      <c r="D17" s="939">
        <v>2.9641721677945529E-2</v>
      </c>
      <c r="E17" s="371">
        <v>0.13468351468595566</v>
      </c>
      <c r="F17" s="939">
        <v>1.2271783803364918E-2</v>
      </c>
      <c r="G17" s="371">
        <v>6.8287663028127055E-2</v>
      </c>
      <c r="H17" s="939">
        <v>0.45657662881866962</v>
      </c>
      <c r="I17" s="940">
        <v>0.13304408005895521</v>
      </c>
      <c r="J17" s="902">
        <v>1</v>
      </c>
    </row>
    <row r="18" spans="1:10" ht="20" customHeight="1">
      <c r="A18" s="660" t="s">
        <v>1245</v>
      </c>
      <c r="B18" s="506"/>
      <c r="C18" s="136"/>
      <c r="D18" s="136"/>
      <c r="E18" s="136"/>
      <c r="F18" s="136"/>
      <c r="G18" s="136"/>
      <c r="H18" s="941"/>
      <c r="J18" s="124"/>
    </row>
    <row r="19" spans="1:10" ht="17.25" customHeight="1">
      <c r="A19" s="3"/>
    </row>
    <row r="20" spans="1:10" ht="12" customHeight="1">
      <c r="A20" s="2" t="s">
        <v>2055</v>
      </c>
    </row>
    <row r="21" spans="1:10" ht="12" customHeight="1">
      <c r="A21" s="2" t="s">
        <v>504</v>
      </c>
    </row>
    <row r="22" spans="1:10" ht="12" customHeight="1">
      <c r="A22" s="2" t="s">
        <v>505</v>
      </c>
    </row>
    <row r="23" spans="1:10" ht="12" customHeight="1">
      <c r="A23" s="2" t="s">
        <v>506</v>
      </c>
    </row>
    <row r="24" spans="1:10" ht="12" customHeight="1"/>
    <row r="25" spans="1:10" ht="12" customHeight="1">
      <c r="A25" s="2" t="s">
        <v>507</v>
      </c>
    </row>
    <row r="28" spans="1:10">
      <c r="A28" s="2" t="s">
        <v>1955</v>
      </c>
    </row>
  </sheetData>
  <mergeCells count="1">
    <mergeCell ref="C3:H3"/>
  </mergeCells>
  <phoneticPr fontId="0" type="noConversion"/>
  <pageMargins left="0.51" right="0.57999999999999996" top="0.85" bottom="0.49" header="0.4" footer="0.4921259845"/>
  <pageSetup paperSize="9" scale="68" orientation="portrait" horizontalDpi="4294967292" verticalDpi="4294967292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C1A9-A913-9741-B922-D83DE1E19CCE}">
  <sheetPr>
    <pageSetUpPr fitToPage="1"/>
  </sheetPr>
  <dimension ref="A1:L39"/>
  <sheetViews>
    <sheetView topLeftCell="A5" zoomScale="75" workbookViewId="0">
      <selection activeCell="A3" sqref="A3"/>
    </sheetView>
  </sheetViews>
  <sheetFormatPr baseColWidth="10" defaultColWidth="11.3984375" defaultRowHeight="13"/>
  <cols>
    <col min="1" max="1" width="11.19921875" style="2" customWidth="1"/>
    <col min="2" max="2" width="14.796875" style="151" customWidth="1"/>
    <col min="3" max="3" width="12.3984375" style="2" customWidth="1"/>
    <col min="4" max="4" width="13.19921875" style="2" customWidth="1"/>
    <col min="5" max="5" width="12.796875" style="2" customWidth="1"/>
    <col min="6" max="6" width="13.59765625" style="2" customWidth="1"/>
    <col min="7" max="7" width="12.796875" style="2" customWidth="1"/>
    <col min="8" max="8" width="14.796875" style="193" customWidth="1"/>
    <col min="9" max="9" width="15.19921875" style="151" customWidth="1"/>
    <col min="10" max="10" width="12.19921875" style="2" customWidth="1"/>
    <col min="11" max="16384" width="11.3984375" style="2"/>
  </cols>
  <sheetData>
    <row r="1" spans="1:10" s="1" customFormat="1" ht="14" customHeight="1">
      <c r="B1" s="17"/>
      <c r="H1" s="934"/>
      <c r="I1" s="17"/>
    </row>
    <row r="2" spans="1:10" s="1" customFormat="1" ht="28" customHeight="1">
      <c r="A2" s="112" t="s">
        <v>2033</v>
      </c>
      <c r="B2" s="17"/>
      <c r="H2" s="934"/>
      <c r="I2" s="17"/>
      <c r="J2" s="112">
        <v>2006</v>
      </c>
    </row>
    <row r="3" spans="1:10" ht="27" customHeight="1">
      <c r="A3" s="113" t="s">
        <v>41</v>
      </c>
      <c r="B3" s="427" t="s">
        <v>2034</v>
      </c>
      <c r="C3" s="1719" t="s">
        <v>736</v>
      </c>
      <c r="D3" s="1720"/>
      <c r="E3" s="1720"/>
      <c r="F3" s="1720"/>
      <c r="G3" s="1720"/>
      <c r="H3" s="1720"/>
      <c r="I3" s="284" t="s">
        <v>2035</v>
      </c>
      <c r="J3" s="114" t="s">
        <v>1951</v>
      </c>
    </row>
    <row r="4" spans="1:10" ht="15" customHeight="1">
      <c r="A4" s="116"/>
      <c r="B4" s="493" t="s">
        <v>745</v>
      </c>
      <c r="C4" s="116"/>
      <c r="D4" s="119"/>
      <c r="E4" s="118"/>
      <c r="F4" s="117"/>
      <c r="G4" s="118"/>
      <c r="H4" s="493" t="s">
        <v>1951</v>
      </c>
      <c r="I4" s="292" t="s">
        <v>747</v>
      </c>
      <c r="J4" s="119"/>
    </row>
    <row r="5" spans="1:10" ht="15" customHeight="1">
      <c r="A5" s="116"/>
      <c r="B5" s="493" t="s">
        <v>749</v>
      </c>
      <c r="C5" s="116" t="s">
        <v>2036</v>
      </c>
      <c r="D5" s="119" t="s">
        <v>2037</v>
      </c>
      <c r="E5" s="118" t="s">
        <v>2038</v>
      </c>
      <c r="F5" s="117" t="s">
        <v>2039</v>
      </c>
      <c r="G5" s="118" t="s">
        <v>2040</v>
      </c>
      <c r="H5" s="935"/>
      <c r="I5" s="292" t="s">
        <v>2041</v>
      </c>
      <c r="J5" s="119"/>
    </row>
    <row r="6" spans="1:10" ht="24" customHeight="1">
      <c r="A6" s="120"/>
      <c r="B6" s="495" t="s">
        <v>2042</v>
      </c>
      <c r="C6" s="120"/>
      <c r="D6" s="121"/>
      <c r="E6" s="122"/>
      <c r="F6" s="123"/>
      <c r="G6" s="122"/>
      <c r="H6" s="936"/>
      <c r="I6" s="293"/>
      <c r="J6" s="121"/>
    </row>
    <row r="7" spans="1:10" ht="30" customHeight="1" thickBot="1">
      <c r="A7" s="125" t="s">
        <v>51</v>
      </c>
      <c r="B7" s="937">
        <v>0.41637320370471209</v>
      </c>
      <c r="C7" s="369">
        <v>0.18450191526113213</v>
      </c>
      <c r="D7" s="641">
        <v>2.9156028508711282E-2</v>
      </c>
      <c r="E7" s="369">
        <v>0.13026904341783452</v>
      </c>
      <c r="F7" s="641">
        <v>1.4373605195764964E-2</v>
      </c>
      <c r="G7" s="369">
        <v>8.036424601804612E-2</v>
      </c>
      <c r="H7" s="937">
        <v>0.43866483840148901</v>
      </c>
      <c r="I7" s="938">
        <v>0.14496195789379893</v>
      </c>
      <c r="J7" s="641">
        <v>1</v>
      </c>
    </row>
    <row r="8" spans="1:10" ht="20" customHeight="1" thickBot="1">
      <c r="A8" s="130" t="s">
        <v>52</v>
      </c>
      <c r="B8" s="937">
        <v>0.34173278367236604</v>
      </c>
      <c r="C8" s="369">
        <v>0.26863002780297168</v>
      </c>
      <c r="D8" s="641">
        <v>3.5157912118439341E-2</v>
      </c>
      <c r="E8" s="369">
        <v>0.13056451212419964</v>
      </c>
      <c r="F8" s="641">
        <v>1.3990696608276046E-2</v>
      </c>
      <c r="G8" s="369">
        <v>6.1777821813099862E-2</v>
      </c>
      <c r="H8" s="937">
        <v>0.51012097046698657</v>
      </c>
      <c r="I8" s="938">
        <v>0.14814759748597689</v>
      </c>
      <c r="J8" s="641">
        <v>1</v>
      </c>
    </row>
    <row r="9" spans="1:10" ht="20" customHeight="1" thickBot="1">
      <c r="A9" s="130" t="s">
        <v>53</v>
      </c>
      <c r="B9" s="937">
        <v>0.4875961689433192</v>
      </c>
      <c r="C9" s="369">
        <v>0.12867408279590797</v>
      </c>
      <c r="D9" s="641">
        <v>2.1549196566769211E-2</v>
      </c>
      <c r="E9" s="369">
        <v>0.13630571808823078</v>
      </c>
      <c r="F9" s="641">
        <v>9.6841097044301598E-3</v>
      </c>
      <c r="G9" s="369">
        <v>5.1233330846917093E-2</v>
      </c>
      <c r="H9" s="937">
        <v>0.34744643800225522</v>
      </c>
      <c r="I9" s="938">
        <v>0.16496096147532793</v>
      </c>
      <c r="J9" s="641">
        <v>1</v>
      </c>
    </row>
    <row r="10" spans="1:10" ht="20" customHeight="1" thickBot="1">
      <c r="A10" s="130" t="s">
        <v>54</v>
      </c>
      <c r="B10" s="937">
        <v>0.44770454711334939</v>
      </c>
      <c r="C10" s="369">
        <v>0.19646385784958972</v>
      </c>
      <c r="D10" s="641">
        <v>2.970311669568463E-2</v>
      </c>
      <c r="E10" s="369">
        <v>0.11760828637615671</v>
      </c>
      <c r="F10" s="641">
        <v>8.5022434767745934E-3</v>
      </c>
      <c r="G10" s="369">
        <v>4.273015927597875E-2</v>
      </c>
      <c r="H10" s="937">
        <v>0.39500766367418438</v>
      </c>
      <c r="I10" s="938">
        <v>0.15725129552587402</v>
      </c>
      <c r="J10" s="641">
        <v>1</v>
      </c>
    </row>
    <row r="11" spans="1:10" ht="20" customHeight="1" thickBot="1">
      <c r="A11" s="130" t="s">
        <v>55</v>
      </c>
      <c r="B11" s="937">
        <v>0.49509179467965531</v>
      </c>
      <c r="C11" s="369">
        <v>0.17427288884301007</v>
      </c>
      <c r="D11" s="641">
        <v>2.6200458518434357E-2</v>
      </c>
      <c r="E11" s="369">
        <v>0.14054507140139044</v>
      </c>
      <c r="F11" s="641">
        <v>1.0733282648875613E-2</v>
      </c>
      <c r="G11" s="369">
        <v>6.0481344672965461E-2</v>
      </c>
      <c r="H11" s="937">
        <v>0.41223304608467592</v>
      </c>
      <c r="I11" s="938">
        <v>9.2675159235668783E-2</v>
      </c>
      <c r="J11" s="641">
        <v>1</v>
      </c>
    </row>
    <row r="12" spans="1:10" ht="20" customHeight="1" thickBot="1">
      <c r="A12" s="130" t="s">
        <v>56</v>
      </c>
      <c r="B12" s="937">
        <v>0.49432146294513957</v>
      </c>
      <c r="C12" s="369">
        <v>0.19385886410015177</v>
      </c>
      <c r="D12" s="641">
        <v>3.060929433160291E-2</v>
      </c>
      <c r="E12" s="369">
        <v>0.12486281951872732</v>
      </c>
      <c r="F12" s="641">
        <v>7.0074107778009169E-3</v>
      </c>
      <c r="G12" s="369">
        <v>4.4200591059975015E-2</v>
      </c>
      <c r="H12" s="937">
        <v>0.40053897978825792</v>
      </c>
      <c r="I12" s="938">
        <v>0.10517805582290664</v>
      </c>
      <c r="J12" s="641">
        <v>1</v>
      </c>
    </row>
    <row r="13" spans="1:10" ht="20" customHeight="1" thickBot="1">
      <c r="A13" s="130" t="s">
        <v>57</v>
      </c>
      <c r="B13" s="937">
        <v>0.50485783915515836</v>
      </c>
      <c r="C13" s="369">
        <v>0.15807667220851485</v>
      </c>
      <c r="D13" s="641">
        <v>3.2531815148175033E-2</v>
      </c>
      <c r="E13" s="369">
        <v>0.13591213881085715</v>
      </c>
      <c r="F13" s="641">
        <v>7.7673364839299028E-3</v>
      </c>
      <c r="G13" s="369">
        <v>5.6223816389952858E-2</v>
      </c>
      <c r="H13" s="937">
        <v>0.39051177904142975</v>
      </c>
      <c r="I13" s="938">
        <v>0.10463038180341186</v>
      </c>
      <c r="J13" s="641">
        <v>1</v>
      </c>
    </row>
    <row r="14" spans="1:10" ht="20" customHeight="1" thickBot="1">
      <c r="A14" s="130" t="s">
        <v>58</v>
      </c>
      <c r="B14" s="937">
        <v>0.53702633814783352</v>
      </c>
      <c r="C14" s="369">
        <v>0.17297778347510873</v>
      </c>
      <c r="D14" s="641">
        <v>3.5915166997584513E-2</v>
      </c>
      <c r="E14" s="369">
        <v>0.13532807716229997</v>
      </c>
      <c r="F14" s="641">
        <v>1.6155023033951367E-2</v>
      </c>
      <c r="G14" s="369">
        <v>4.1764985864615321E-2</v>
      </c>
      <c r="H14" s="937">
        <v>0.40214103653355993</v>
      </c>
      <c r="I14" s="938">
        <v>6.0832625318606628E-2</v>
      </c>
      <c r="J14" s="641">
        <v>1</v>
      </c>
    </row>
    <row r="15" spans="1:10" ht="20" customHeight="1" thickBot="1">
      <c r="A15" s="130" t="s">
        <v>59</v>
      </c>
      <c r="B15" s="937">
        <v>0.46768083555406842</v>
      </c>
      <c r="C15" s="369">
        <v>0.18185739794504308</v>
      </c>
      <c r="D15" s="641">
        <v>3.0092372008919427E-2</v>
      </c>
      <c r="E15" s="369">
        <v>0.14744903614859092</v>
      </c>
      <c r="F15" s="641">
        <v>1.969095617746933E-2</v>
      </c>
      <c r="G15" s="369">
        <v>6.2002002875747385E-2</v>
      </c>
      <c r="H15" s="937">
        <v>0.44109176515577014</v>
      </c>
      <c r="I15" s="938">
        <v>9.1227399290161451E-2</v>
      </c>
      <c r="J15" s="641">
        <v>1</v>
      </c>
    </row>
    <row r="16" spans="1:10" ht="20" customHeight="1" thickBot="1">
      <c r="A16" s="130" t="s">
        <v>60</v>
      </c>
      <c r="B16" s="937">
        <v>0.3855504740543349</v>
      </c>
      <c r="C16" s="369">
        <v>0.3105985263893295</v>
      </c>
      <c r="D16" s="641">
        <v>3.4528097377773202E-2</v>
      </c>
      <c r="E16" s="369">
        <v>0.15249781050174308</v>
      </c>
      <c r="F16" s="641">
        <v>1.4771296017223493E-2</v>
      </c>
      <c r="G16" s="369">
        <v>3.9534182722516659E-2</v>
      </c>
      <c r="H16" s="937">
        <v>0.55192991300858596</v>
      </c>
      <c r="I16" s="938">
        <v>6.2519612937079125E-2</v>
      </c>
      <c r="J16" s="641">
        <v>1</v>
      </c>
    </row>
    <row r="17" spans="1:10" ht="20" customHeight="1" thickBot="1">
      <c r="A17" s="130" t="s">
        <v>61</v>
      </c>
      <c r="B17" s="937">
        <v>0.45539682128133996</v>
      </c>
      <c r="C17" s="369">
        <v>0.25103013192795748</v>
      </c>
      <c r="D17" s="641">
        <v>2.8739151968503619E-2</v>
      </c>
      <c r="E17" s="369">
        <v>0.13774543135906639</v>
      </c>
      <c r="F17" s="641">
        <v>1.6215423956212612E-2</v>
      </c>
      <c r="G17" s="369">
        <v>4.9129151928813231E-2</v>
      </c>
      <c r="H17" s="937">
        <v>0.48285929114055332</v>
      </c>
      <c r="I17" s="938">
        <v>6.1749073089787138E-2</v>
      </c>
      <c r="J17" s="641">
        <v>1</v>
      </c>
    </row>
    <row r="18" spans="1:10" ht="20" customHeight="1" thickBot="1">
      <c r="A18" s="130" t="s">
        <v>62</v>
      </c>
      <c r="B18" s="937">
        <v>0.43100537638053654</v>
      </c>
      <c r="C18" s="369">
        <v>0.14955114498705782</v>
      </c>
      <c r="D18" s="641">
        <v>2.426051907567827E-2</v>
      </c>
      <c r="E18" s="369">
        <v>0.14148691317800513</v>
      </c>
      <c r="F18" s="641">
        <v>7.9150197823082309E-3</v>
      </c>
      <c r="G18" s="369">
        <v>7.1038489460065482E-2</v>
      </c>
      <c r="H18" s="937">
        <v>0.39425208648311494</v>
      </c>
      <c r="I18" s="938">
        <v>0.17474253713634855</v>
      </c>
      <c r="J18" s="641">
        <v>1</v>
      </c>
    </row>
    <row r="19" spans="1:10" ht="20" customHeight="1" thickBot="1">
      <c r="A19" s="130" t="s">
        <v>63</v>
      </c>
      <c r="B19" s="937">
        <v>0.39008655809361309</v>
      </c>
      <c r="C19" s="369">
        <v>0.20602666659449215</v>
      </c>
      <c r="D19" s="641">
        <v>3.0613210449043131E-2</v>
      </c>
      <c r="E19" s="369">
        <v>0.14879890153266306</v>
      </c>
      <c r="F19" s="641">
        <v>1.482954736396091E-2</v>
      </c>
      <c r="G19" s="369">
        <v>7.396554386803264E-2</v>
      </c>
      <c r="H19" s="937">
        <v>0.47423386980819188</v>
      </c>
      <c r="I19" s="938">
        <v>0.13568436490515035</v>
      </c>
      <c r="J19" s="641">
        <v>1</v>
      </c>
    </row>
    <row r="20" spans="1:10" ht="20" customHeight="1" thickBot="1">
      <c r="A20" s="130" t="s">
        <v>64</v>
      </c>
      <c r="B20" s="937">
        <v>0.37260580984397895</v>
      </c>
      <c r="C20" s="369">
        <v>0.17527464353433775</v>
      </c>
      <c r="D20" s="641">
        <v>2.6843242651518655E-2</v>
      </c>
      <c r="E20" s="369">
        <v>0.1103402185084276</v>
      </c>
      <c r="F20" s="641">
        <v>1.5457291398303801E-2</v>
      </c>
      <c r="G20" s="369">
        <v>5.8396128775957998E-2</v>
      </c>
      <c r="H20" s="937">
        <v>0.38631152486854581</v>
      </c>
      <c r="I20" s="938">
        <v>0.24109990518058788</v>
      </c>
      <c r="J20" s="641">
        <v>1</v>
      </c>
    </row>
    <row r="21" spans="1:10" ht="20" customHeight="1" thickBot="1">
      <c r="A21" s="130" t="s">
        <v>65</v>
      </c>
      <c r="B21" s="937">
        <v>0.49633399682531681</v>
      </c>
      <c r="C21" s="369">
        <v>0.14038567693768289</v>
      </c>
      <c r="D21" s="641">
        <v>2.8934067706366241E-2</v>
      </c>
      <c r="E21" s="369">
        <v>9.7413041537548359E-2</v>
      </c>
      <c r="F21" s="641">
        <v>1.1215731819976461E-2</v>
      </c>
      <c r="G21" s="369">
        <v>3.9822148933849007E-2</v>
      </c>
      <c r="H21" s="937">
        <v>0.31777066693542294</v>
      </c>
      <c r="I21" s="938">
        <v>0.18589533623926024</v>
      </c>
      <c r="J21" s="641">
        <v>1</v>
      </c>
    </row>
    <row r="22" spans="1:10" ht="20" customHeight="1" thickBot="1">
      <c r="A22" s="130" t="s">
        <v>66</v>
      </c>
      <c r="B22" s="937">
        <v>0.5418706060336389</v>
      </c>
      <c r="C22" s="369">
        <v>0.12693863283519685</v>
      </c>
      <c r="D22" s="641">
        <v>2.3500560356586233E-2</v>
      </c>
      <c r="E22" s="369">
        <v>0.10949124711591313</v>
      </c>
      <c r="F22" s="641">
        <v>8.7236928596418593E-3</v>
      </c>
      <c r="G22" s="369">
        <v>4.1393032446259838E-2</v>
      </c>
      <c r="H22" s="937">
        <v>0.31004716561359791</v>
      </c>
      <c r="I22" s="938">
        <v>0.14817122007653288</v>
      </c>
      <c r="J22" s="641">
        <v>1</v>
      </c>
    </row>
    <row r="23" spans="1:10" ht="20" customHeight="1" thickBot="1">
      <c r="A23" s="130" t="s">
        <v>67</v>
      </c>
      <c r="B23" s="937">
        <v>0.4339908996086434</v>
      </c>
      <c r="C23" s="369">
        <v>0.13371335470904386</v>
      </c>
      <c r="D23" s="641">
        <v>2.3426399717244556E-2</v>
      </c>
      <c r="E23" s="369">
        <v>0.10739283751700353</v>
      </c>
      <c r="F23" s="641">
        <v>1.0482630223669742E-2</v>
      </c>
      <c r="G23" s="369">
        <v>4.7821303313849907E-2</v>
      </c>
      <c r="H23" s="937">
        <v>0.3228365254808116</v>
      </c>
      <c r="I23" s="938">
        <v>0.24317257491054503</v>
      </c>
      <c r="J23" s="641">
        <v>1</v>
      </c>
    </row>
    <row r="24" spans="1:10" ht="20" customHeight="1" thickBot="1">
      <c r="A24" s="130" t="s">
        <v>68</v>
      </c>
      <c r="B24" s="937">
        <v>0.54605885409034594</v>
      </c>
      <c r="C24" s="369">
        <v>9.9336234593656897E-2</v>
      </c>
      <c r="D24" s="641">
        <v>2.3746058628460218E-2</v>
      </c>
      <c r="E24" s="369">
        <v>0.10774699125633352</v>
      </c>
      <c r="F24" s="641">
        <v>8.1575009153060079E-3</v>
      </c>
      <c r="G24" s="369">
        <v>4.4952895158283518E-2</v>
      </c>
      <c r="H24" s="937">
        <v>0.28393968055204016</v>
      </c>
      <c r="I24" s="938">
        <v>0.17000812607404053</v>
      </c>
      <c r="J24" s="641">
        <v>1</v>
      </c>
    </row>
    <row r="25" spans="1:10" ht="20" customHeight="1" thickBot="1">
      <c r="A25" s="130" t="s">
        <v>69</v>
      </c>
      <c r="B25" s="937">
        <v>0.43311393806564613</v>
      </c>
      <c r="C25" s="369">
        <v>0.14857608846940584</v>
      </c>
      <c r="D25" s="641">
        <v>2.6960982549351708E-2</v>
      </c>
      <c r="E25" s="369">
        <v>0.1206749234086465</v>
      </c>
      <c r="F25" s="641">
        <v>1.1977107645323528E-2</v>
      </c>
      <c r="G25" s="369">
        <v>5.1553341042186084E-2</v>
      </c>
      <c r="H25" s="937">
        <v>0.35974244311491366</v>
      </c>
      <c r="I25" s="938">
        <v>0.20714361881944018</v>
      </c>
      <c r="J25" s="641">
        <v>1</v>
      </c>
    </row>
    <row r="26" spans="1:10" ht="20" customHeight="1" thickBot="1">
      <c r="A26" s="130" t="s">
        <v>70</v>
      </c>
      <c r="B26" s="937">
        <v>0.35897378595213086</v>
      </c>
      <c r="C26" s="369">
        <v>0.11302920841709131</v>
      </c>
      <c r="D26" s="641">
        <v>2.4197707563462453E-2</v>
      </c>
      <c r="E26" s="369">
        <v>0.11674244031486881</v>
      </c>
      <c r="F26" s="641">
        <v>1.2777556288726814E-2</v>
      </c>
      <c r="G26" s="369">
        <v>5.8733007857444453E-2</v>
      </c>
      <c r="H26" s="937">
        <v>0.32547992044159385</v>
      </c>
      <c r="I26" s="938">
        <v>0.31555188057299932</v>
      </c>
      <c r="J26" s="641">
        <v>1</v>
      </c>
    </row>
    <row r="27" spans="1:10" ht="20" customHeight="1" thickBot="1">
      <c r="A27" s="130" t="s">
        <v>71</v>
      </c>
      <c r="B27" s="937">
        <v>0.4170174477740396</v>
      </c>
      <c r="C27" s="369">
        <v>0.24995816246146213</v>
      </c>
      <c r="D27" s="641">
        <v>2.1446670109148806E-2</v>
      </c>
      <c r="E27" s="369">
        <v>0.1493012169601324</v>
      </c>
      <c r="F27" s="641">
        <v>8.0278305479703303E-3</v>
      </c>
      <c r="G27" s="369">
        <v>0.11335985280603716</v>
      </c>
      <c r="H27" s="937">
        <v>0.54209373288475082</v>
      </c>
      <c r="I27" s="938">
        <v>4.0888819341209609E-2</v>
      </c>
      <c r="J27" s="641">
        <v>1</v>
      </c>
    </row>
    <row r="28" spans="1:10" ht="20" customHeight="1" thickBot="1">
      <c r="A28" s="130" t="s">
        <v>72</v>
      </c>
      <c r="B28" s="937">
        <v>0.31439763556946926</v>
      </c>
      <c r="C28" s="369">
        <v>0.28420102245256046</v>
      </c>
      <c r="D28" s="641">
        <v>4.1301303449124124E-2</v>
      </c>
      <c r="E28" s="369">
        <v>0.17171111489038748</v>
      </c>
      <c r="F28" s="641">
        <v>1.2275285082813153E-2</v>
      </c>
      <c r="G28" s="369">
        <v>0.10338607318272272</v>
      </c>
      <c r="H28" s="937">
        <v>0.61287479905760789</v>
      </c>
      <c r="I28" s="938">
        <v>7.2729577311768032E-2</v>
      </c>
      <c r="J28" s="641">
        <v>1</v>
      </c>
    </row>
    <row r="29" spans="1:10" ht="20" customHeight="1" thickBot="1">
      <c r="A29" s="130" t="s">
        <v>73</v>
      </c>
      <c r="B29" s="937">
        <v>0.54864625398285882</v>
      </c>
      <c r="C29" s="369">
        <v>0.26768004387448402</v>
      </c>
      <c r="D29" s="641">
        <v>2.6607405732928489E-2</v>
      </c>
      <c r="E29" s="369">
        <v>8.9411277446115281E-2</v>
      </c>
      <c r="F29" s="641">
        <v>9.6785183837997963E-3</v>
      </c>
      <c r="G29" s="369">
        <v>3.5531919823624164E-2</v>
      </c>
      <c r="H29" s="937">
        <v>0.4289091652609518</v>
      </c>
      <c r="I29" s="938">
        <v>2.2444580756189405E-2</v>
      </c>
      <c r="J29" s="641">
        <v>1</v>
      </c>
    </row>
    <row r="30" spans="1:10" ht="20" customHeight="1" thickBot="1">
      <c r="A30" s="130" t="s">
        <v>74</v>
      </c>
      <c r="B30" s="937">
        <v>0.38714266257055946</v>
      </c>
      <c r="C30" s="369">
        <v>0.27848677276511052</v>
      </c>
      <c r="D30" s="641">
        <v>3.354614993254898E-2</v>
      </c>
      <c r="E30" s="369">
        <v>0.16280439198034261</v>
      </c>
      <c r="F30" s="641">
        <v>1.4430974040462645E-2</v>
      </c>
      <c r="G30" s="369">
        <v>0.10964361975472642</v>
      </c>
      <c r="H30" s="937">
        <v>0.5989119084731912</v>
      </c>
      <c r="I30" s="938">
        <v>1.3952995656713933E-2</v>
      </c>
      <c r="J30" s="641">
        <v>1</v>
      </c>
    </row>
    <row r="31" spans="1:10" ht="20" customHeight="1" thickBot="1">
      <c r="A31" s="130" t="s">
        <v>75</v>
      </c>
      <c r="B31" s="937">
        <v>0.36293296353493648</v>
      </c>
      <c r="C31" s="369">
        <v>0.29387199161984445</v>
      </c>
      <c r="D31" s="641">
        <v>3.117020019477262E-2</v>
      </c>
      <c r="E31" s="369">
        <v>0.14866854942180038</v>
      </c>
      <c r="F31" s="641">
        <v>7.1004744930839503E-3</v>
      </c>
      <c r="G31" s="369">
        <v>8.1261336194605974E-2</v>
      </c>
      <c r="H31" s="937">
        <v>0.56207255192410732</v>
      </c>
      <c r="I31" s="938">
        <v>7.4997636231838388E-2</v>
      </c>
      <c r="J31" s="641">
        <v>1</v>
      </c>
    </row>
    <row r="32" spans="1:10" ht="20" customHeight="1" thickBot="1">
      <c r="A32" s="131" t="s">
        <v>76</v>
      </c>
      <c r="B32" s="937">
        <v>0.33388927307488914</v>
      </c>
      <c r="C32" s="369">
        <v>0.29078865957929872</v>
      </c>
      <c r="D32" s="641">
        <v>3.0307435840315831E-2</v>
      </c>
      <c r="E32" s="369">
        <v>0.22828211572876816</v>
      </c>
      <c r="F32" s="641">
        <v>1.7655606919056467E-2</v>
      </c>
      <c r="G32" s="369">
        <v>6.8405306530860494E-2</v>
      </c>
      <c r="H32" s="937">
        <v>0.63543912459829965</v>
      </c>
      <c r="I32" s="938">
        <v>3.0671602326811213E-2</v>
      </c>
      <c r="J32" s="641">
        <v>1</v>
      </c>
    </row>
    <row r="33" spans="1:12" ht="30" customHeight="1" thickBot="1">
      <c r="A33" s="900" t="s">
        <v>1944</v>
      </c>
      <c r="B33" s="939">
        <v>0.41037998146431881</v>
      </c>
      <c r="C33" s="371">
        <v>0.21169194562327648</v>
      </c>
      <c r="D33" s="939">
        <v>2.9641721677945529E-2</v>
      </c>
      <c r="E33" s="371">
        <v>0.13468351468595566</v>
      </c>
      <c r="F33" s="939">
        <v>1.2271783803364918E-2</v>
      </c>
      <c r="G33" s="371">
        <v>6.8287663028127055E-2</v>
      </c>
      <c r="H33" s="939">
        <v>0.45657662881866962</v>
      </c>
      <c r="I33" s="940">
        <v>0.13304408005895521</v>
      </c>
      <c r="J33" s="902">
        <v>1</v>
      </c>
    </row>
    <row r="34" spans="1:12" ht="20" customHeight="1">
      <c r="A34" s="660" t="s">
        <v>1245</v>
      </c>
      <c r="B34" s="506"/>
      <c r="C34" s="136"/>
      <c r="D34" s="136"/>
      <c r="E34" s="136"/>
      <c r="F34" s="136"/>
      <c r="G34" s="136"/>
      <c r="H34" s="941"/>
      <c r="J34" s="124"/>
      <c r="L34" s="930" t="s">
        <v>2043</v>
      </c>
    </row>
    <row r="35" spans="1:12" ht="11.25" customHeight="1">
      <c r="B35" s="507"/>
      <c r="C35" s="3"/>
      <c r="D35" s="3"/>
      <c r="E35" s="3"/>
      <c r="F35" s="3"/>
      <c r="G35" s="3"/>
      <c r="H35" s="235"/>
      <c r="J35" s="124"/>
      <c r="L35" s="931"/>
    </row>
    <row r="36" spans="1:12" ht="12" customHeight="1">
      <c r="A36" s="3" t="s">
        <v>2352</v>
      </c>
      <c r="L36" s="931"/>
    </row>
    <row r="37" spans="1:12" ht="12" customHeight="1">
      <c r="L37" s="931"/>
    </row>
    <row r="38" spans="1:12" ht="12" customHeight="1"/>
    <row r="39" spans="1:12" ht="12" customHeight="1">
      <c r="A39" s="2" t="s">
        <v>1955</v>
      </c>
    </row>
  </sheetData>
  <mergeCells count="1">
    <mergeCell ref="C3:H3"/>
  </mergeCells>
  <phoneticPr fontId="0" type="noConversion"/>
  <pageMargins left="0.49" right="0.48" top="0.65" bottom="0.49" header="0.35" footer="0.4921259845"/>
  <pageSetup paperSize="9" scale="71" orientation="portrait" horizontalDpi="4294967292" verticalDpi="4294967292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3518-46F0-3B49-9BD5-2611CBE00E6A}">
  <sheetPr>
    <pageSetUpPr fitToPage="1"/>
  </sheetPr>
  <dimension ref="A1:K27"/>
  <sheetViews>
    <sheetView topLeftCell="A7" zoomScale="75" workbookViewId="0">
      <selection activeCell="K2" sqref="K2"/>
    </sheetView>
  </sheetViews>
  <sheetFormatPr baseColWidth="10" defaultColWidth="11.3984375" defaultRowHeight="13"/>
  <cols>
    <col min="1" max="1" width="14.19921875" style="2" customWidth="1"/>
    <col min="2" max="2" width="14.19921875" style="151" customWidth="1"/>
    <col min="3" max="8" width="11" style="2" customWidth="1"/>
    <col min="9" max="9" width="14.796875" style="151" customWidth="1"/>
    <col min="10" max="10" width="16" style="193" customWidth="1"/>
    <col min="11" max="11" width="12.796875" style="2" customWidth="1"/>
    <col min="12" max="16384" width="11.3984375" style="2"/>
  </cols>
  <sheetData>
    <row r="1" spans="1:11" s="1" customFormat="1" ht="14" customHeight="1">
      <c r="A1" s="718"/>
      <c r="B1" s="719"/>
      <c r="C1" s="718"/>
      <c r="D1" s="718"/>
      <c r="E1" s="718"/>
      <c r="F1" s="718"/>
      <c r="G1" s="718"/>
      <c r="H1" s="718"/>
      <c r="I1" s="719"/>
      <c r="J1" s="932"/>
    </row>
    <row r="2" spans="1:11" s="1" customFormat="1" ht="28" customHeight="1">
      <c r="A2" s="748" t="s">
        <v>509</v>
      </c>
      <c r="B2" s="719"/>
      <c r="C2" s="718"/>
      <c r="D2" s="718"/>
      <c r="E2" s="718"/>
      <c r="F2" s="718"/>
      <c r="G2" s="718"/>
      <c r="H2" s="718"/>
      <c r="I2" s="933"/>
      <c r="J2" s="942"/>
      <c r="K2" s="748"/>
    </row>
    <row r="3" spans="1:11" ht="27" customHeight="1">
      <c r="A3" s="113" t="s">
        <v>1226</v>
      </c>
      <c r="B3" s="427" t="s">
        <v>2034</v>
      </c>
      <c r="C3" s="1718" t="s">
        <v>736</v>
      </c>
      <c r="D3" s="1721"/>
      <c r="E3" s="1721"/>
      <c r="F3" s="1721"/>
      <c r="G3" s="1721"/>
      <c r="H3" s="1721"/>
      <c r="I3" s="1721"/>
      <c r="J3" s="427" t="s">
        <v>2035</v>
      </c>
      <c r="K3" s="115" t="s">
        <v>1951</v>
      </c>
    </row>
    <row r="4" spans="1:11" ht="15" customHeight="1">
      <c r="A4" s="116"/>
      <c r="B4" s="493" t="s">
        <v>745</v>
      </c>
      <c r="C4" s="116"/>
      <c r="D4" s="119"/>
      <c r="E4" s="118"/>
      <c r="F4" s="119"/>
      <c r="G4" s="116"/>
      <c r="H4" s="117"/>
      <c r="I4" s="292" t="s">
        <v>1951</v>
      </c>
      <c r="J4" s="493" t="s">
        <v>747</v>
      </c>
      <c r="K4" s="118"/>
    </row>
    <row r="5" spans="1:11" ht="15" customHeight="1">
      <c r="A5" s="116"/>
      <c r="B5" s="493" t="s">
        <v>749</v>
      </c>
      <c r="C5" s="118" t="s">
        <v>2050</v>
      </c>
      <c r="D5" s="117" t="s">
        <v>2051</v>
      </c>
      <c r="E5" s="118" t="s">
        <v>2052</v>
      </c>
      <c r="F5" s="117" t="s">
        <v>2053</v>
      </c>
      <c r="G5" s="118" t="s">
        <v>2054</v>
      </c>
      <c r="H5" s="117" t="s">
        <v>510</v>
      </c>
      <c r="I5" s="292"/>
      <c r="J5" s="493" t="s">
        <v>2041</v>
      </c>
      <c r="K5" s="118"/>
    </row>
    <row r="6" spans="1:11" ht="24" customHeight="1">
      <c r="A6" s="120"/>
      <c r="B6" s="495"/>
      <c r="C6" s="120"/>
      <c r="D6" s="121"/>
      <c r="E6" s="122"/>
      <c r="F6" s="121"/>
      <c r="G6" s="120"/>
      <c r="H6" s="123"/>
      <c r="I6" s="293"/>
      <c r="J6" s="936"/>
      <c r="K6" s="122"/>
    </row>
    <row r="7" spans="1:11" ht="22.5" customHeight="1" thickBot="1">
      <c r="A7" s="330">
        <v>1996</v>
      </c>
      <c r="B7" s="937">
        <v>0.86081417112299463</v>
      </c>
      <c r="C7" s="369" t="s">
        <v>1412</v>
      </c>
      <c r="D7" s="641" t="s">
        <v>1412</v>
      </c>
      <c r="E7" s="369" t="s">
        <v>1412</v>
      </c>
      <c r="F7" s="641" t="s">
        <v>1412</v>
      </c>
      <c r="G7" s="369" t="s">
        <v>1412</v>
      </c>
      <c r="H7" s="641" t="s">
        <v>1412</v>
      </c>
      <c r="I7" s="938">
        <v>0.11952874331550802</v>
      </c>
      <c r="J7" s="937">
        <v>1.9657085561497329E-2</v>
      </c>
      <c r="K7" s="369">
        <v>1</v>
      </c>
    </row>
    <row r="8" spans="1:11" ht="20" customHeight="1" thickBot="1">
      <c r="A8" s="330">
        <v>1997</v>
      </c>
      <c r="B8" s="937">
        <v>0.8206</v>
      </c>
      <c r="C8" s="369">
        <v>9.915910780669146E-2</v>
      </c>
      <c r="D8" s="641">
        <v>2.4563271375464685E-2</v>
      </c>
      <c r="E8" s="369">
        <v>1.1677620817843865E-2</v>
      </c>
      <c r="F8" s="641" t="s">
        <v>1412</v>
      </c>
      <c r="G8" s="369" t="s">
        <v>1412</v>
      </c>
      <c r="H8" s="641" t="s">
        <v>1412</v>
      </c>
      <c r="I8" s="938">
        <v>0.13550000000000001</v>
      </c>
      <c r="J8" s="937">
        <v>4.3900000000000002E-2</v>
      </c>
      <c r="K8" s="369">
        <v>1</v>
      </c>
    </row>
    <row r="9" spans="1:11" ht="20" customHeight="1" thickBot="1">
      <c r="A9" s="130">
        <v>1998</v>
      </c>
      <c r="B9" s="937">
        <v>0.8075</v>
      </c>
      <c r="C9" s="369">
        <v>8.9319669551534225E-2</v>
      </c>
      <c r="D9" s="641">
        <v>2.1300078678206137E-2</v>
      </c>
      <c r="E9" s="369">
        <v>1.7080251770259638E-2</v>
      </c>
      <c r="F9" s="641" t="s">
        <v>1412</v>
      </c>
      <c r="G9" s="369" t="s">
        <v>1412</v>
      </c>
      <c r="H9" s="641" t="s">
        <v>1412</v>
      </c>
      <c r="I9" s="938">
        <v>0.12759999999999999</v>
      </c>
      <c r="J9" s="937">
        <v>6.4899999999999999E-2</v>
      </c>
      <c r="K9" s="369">
        <v>1</v>
      </c>
    </row>
    <row r="10" spans="1:11" ht="20" customHeight="1" thickBot="1">
      <c r="A10" s="130">
        <v>1999</v>
      </c>
      <c r="B10" s="937">
        <v>0.80579999999999996</v>
      </c>
      <c r="C10" s="369">
        <v>8.0600000000000005E-2</v>
      </c>
      <c r="D10" s="641">
        <v>1.9599999999999999E-2</v>
      </c>
      <c r="E10" s="369">
        <v>2.2200000000000001E-2</v>
      </c>
      <c r="F10" s="641" t="s">
        <v>1412</v>
      </c>
      <c r="G10" s="369" t="s">
        <v>1412</v>
      </c>
      <c r="H10" s="641" t="s">
        <v>1412</v>
      </c>
      <c r="I10" s="938">
        <v>0.1226</v>
      </c>
      <c r="J10" s="937">
        <v>7.17E-2</v>
      </c>
      <c r="K10" s="369">
        <v>1</v>
      </c>
    </row>
    <row r="11" spans="1:11" ht="20" customHeight="1" thickBot="1">
      <c r="A11" s="130">
        <v>2000</v>
      </c>
      <c r="B11" s="937">
        <v>0.8034</v>
      </c>
      <c r="C11" s="369">
        <v>7.5622923588039861E-2</v>
      </c>
      <c r="D11" s="641">
        <v>1.9056976744186046E-2</v>
      </c>
      <c r="E11" s="369">
        <v>2.6720099667774087E-2</v>
      </c>
      <c r="F11" s="641" t="s">
        <v>1412</v>
      </c>
      <c r="G11" s="369" t="s">
        <v>1412</v>
      </c>
      <c r="H11" s="641" t="s">
        <v>1412</v>
      </c>
      <c r="I11" s="938">
        <v>0.12139999999999999</v>
      </c>
      <c r="J11" s="937">
        <v>7.5200000000000003E-2</v>
      </c>
      <c r="K11" s="369">
        <v>1</v>
      </c>
    </row>
    <row r="12" spans="1:11" ht="20" customHeight="1" thickBot="1">
      <c r="A12" s="130">
        <v>2001</v>
      </c>
      <c r="B12" s="937">
        <v>0.80599999999999994</v>
      </c>
      <c r="C12" s="369">
        <v>7.0999999999999994E-2</v>
      </c>
      <c r="D12" s="641">
        <v>1.6E-2</v>
      </c>
      <c r="E12" s="369">
        <v>2.8999999999999998E-2</v>
      </c>
      <c r="F12" s="641" t="s">
        <v>1412</v>
      </c>
      <c r="G12" s="369" t="s">
        <v>1412</v>
      </c>
      <c r="H12" s="641" t="s">
        <v>1412</v>
      </c>
      <c r="I12" s="938">
        <v>0.11599999999999999</v>
      </c>
      <c r="J12" s="937">
        <v>7.8E-2</v>
      </c>
      <c r="K12" s="369">
        <v>1</v>
      </c>
    </row>
    <row r="13" spans="1:11" ht="20" customHeight="1" thickBot="1">
      <c r="A13" s="130">
        <v>2002</v>
      </c>
      <c r="B13" s="937">
        <v>0.80900000000000005</v>
      </c>
      <c r="C13" s="369">
        <v>6.5000000000000002E-2</v>
      </c>
      <c r="D13" s="641">
        <v>1.4999999999999999E-2</v>
      </c>
      <c r="E13" s="369">
        <v>3.2000000000000001E-2</v>
      </c>
      <c r="F13" s="641" t="s">
        <v>1412</v>
      </c>
      <c r="G13" s="369" t="s">
        <v>1412</v>
      </c>
      <c r="H13" s="641" t="s">
        <v>1412</v>
      </c>
      <c r="I13" s="938">
        <v>0.111</v>
      </c>
      <c r="J13" s="937">
        <v>0.08</v>
      </c>
      <c r="K13" s="369">
        <v>1</v>
      </c>
    </row>
    <row r="14" spans="1:11" ht="20" customHeight="1" thickBot="1">
      <c r="A14" s="130">
        <v>2003</v>
      </c>
      <c r="B14" s="937">
        <v>0.80299999999999994</v>
      </c>
      <c r="C14" s="369">
        <v>6.0999999999999999E-2</v>
      </c>
      <c r="D14" s="641">
        <v>1.3999999999999999E-2</v>
      </c>
      <c r="E14" s="369">
        <v>0.04</v>
      </c>
      <c r="F14" s="641" t="s">
        <v>1412</v>
      </c>
      <c r="G14" s="369" t="s">
        <v>1412</v>
      </c>
      <c r="H14" s="641" t="s">
        <v>1412</v>
      </c>
      <c r="I14" s="938">
        <v>0.114</v>
      </c>
      <c r="J14" s="937">
        <v>8.3000000000000004E-2</v>
      </c>
      <c r="K14" s="369">
        <v>1</v>
      </c>
    </row>
    <row r="15" spans="1:11" ht="20" customHeight="1" thickBot="1">
      <c r="A15" s="130">
        <v>2004</v>
      </c>
      <c r="B15" s="937">
        <v>0.79900000000000004</v>
      </c>
      <c r="C15" s="369">
        <v>5.4000000000000006E-2</v>
      </c>
      <c r="D15" s="641">
        <v>1.3000000000000001E-2</v>
      </c>
      <c r="E15" s="369">
        <v>4.5999999999999999E-2</v>
      </c>
      <c r="F15" s="641" t="s">
        <v>1412</v>
      </c>
      <c r="G15" s="369" t="s">
        <v>1412</v>
      </c>
      <c r="H15" s="641" t="s">
        <v>1412</v>
      </c>
      <c r="I15" s="938">
        <v>0.113</v>
      </c>
      <c r="J15" s="937">
        <v>8.8000000000000009E-2</v>
      </c>
      <c r="K15" s="369">
        <v>1</v>
      </c>
    </row>
    <row r="16" spans="1:11" ht="20" customHeight="1" thickBot="1">
      <c r="A16" s="130">
        <v>2005</v>
      </c>
      <c r="B16" s="937">
        <v>0.78678222481464166</v>
      </c>
      <c r="C16" s="369">
        <v>1.0689053573474754E-2</v>
      </c>
      <c r="D16" s="641">
        <v>4.4155082812931047E-2</v>
      </c>
      <c r="E16" s="369">
        <v>1.2891775074074864E-2</v>
      </c>
      <c r="F16" s="641">
        <v>3.4716999765286694E-2</v>
      </c>
      <c r="G16" s="369">
        <v>2.0870050151784673E-3</v>
      </c>
      <c r="H16" s="641">
        <v>9.1977488086917164E-3</v>
      </c>
      <c r="I16" s="938">
        <v>0.11373766504963753</v>
      </c>
      <c r="J16" s="937">
        <v>9.948011013572082E-2</v>
      </c>
      <c r="K16" s="369">
        <v>1</v>
      </c>
    </row>
    <row r="17" spans="1:11" ht="30" customHeight="1" thickBot="1">
      <c r="A17" s="900">
        <v>2006</v>
      </c>
      <c r="B17" s="939">
        <v>0.75748399734661198</v>
      </c>
      <c r="C17" s="371">
        <v>1.1391986249934519E-2</v>
      </c>
      <c r="D17" s="939">
        <v>3.8132346282157621E-2</v>
      </c>
      <c r="E17" s="371">
        <v>1.2305262070692491E-2</v>
      </c>
      <c r="F17" s="939">
        <v>3.0449601709034713E-2</v>
      </c>
      <c r="G17" s="371">
        <v>3.4456650718702182E-3</v>
      </c>
      <c r="H17" s="939">
        <v>1.2888553674355003E-2</v>
      </c>
      <c r="I17" s="371">
        <v>0.10861341505804456</v>
      </c>
      <c r="J17" s="939">
        <v>0.13390258759534343</v>
      </c>
      <c r="K17" s="760">
        <v>1</v>
      </c>
    </row>
    <row r="18" spans="1:11" ht="20" customHeight="1">
      <c r="A18" s="660" t="s">
        <v>1245</v>
      </c>
      <c r="B18" s="943"/>
      <c r="C18" s="846"/>
      <c r="D18" s="846"/>
      <c r="E18" s="846"/>
      <c r="F18" s="846"/>
      <c r="G18" s="846"/>
      <c r="H18" s="846"/>
      <c r="I18" s="943"/>
      <c r="J18" s="944"/>
    </row>
    <row r="19" spans="1:11" ht="12" customHeight="1"/>
    <row r="20" spans="1:11" ht="12" customHeight="1">
      <c r="A20" s="2" t="s">
        <v>511</v>
      </c>
    </row>
    <row r="21" spans="1:11" ht="12" customHeight="1">
      <c r="A21" s="2" t="s">
        <v>512</v>
      </c>
    </row>
    <row r="22" spans="1:11" ht="12" customHeight="1"/>
    <row r="23" spans="1:11" ht="12" customHeight="1"/>
    <row r="24" spans="1:11" ht="12" customHeight="1">
      <c r="A24" s="2" t="s">
        <v>513</v>
      </c>
    </row>
    <row r="27" spans="1:11">
      <c r="A27" s="2" t="s">
        <v>1955</v>
      </c>
    </row>
  </sheetData>
  <mergeCells count="1">
    <mergeCell ref="C3:I3"/>
  </mergeCells>
  <phoneticPr fontId="0" type="noConversion"/>
  <pageMargins left="0.6" right="0.62" top="0.9" bottom="0.49" header="0.49" footer="0.4921259845"/>
  <pageSetup paperSize="9" scale="66" orientation="portrait" horizontalDpi="4294967292" verticalDpi="4294967292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71F12-EEB8-114F-86E4-AE2E8091ACC7}">
  <sheetPr>
    <pageSetUpPr fitToPage="1"/>
  </sheetPr>
  <dimension ref="A1:K39"/>
  <sheetViews>
    <sheetView topLeftCell="A20" zoomScale="75" workbookViewId="0">
      <selection activeCell="A3" sqref="A3"/>
    </sheetView>
  </sheetViews>
  <sheetFormatPr baseColWidth="10" defaultColWidth="11.3984375" defaultRowHeight="13"/>
  <cols>
    <col min="1" max="1" width="14.796875" style="2" customWidth="1"/>
    <col min="2" max="2" width="14.796875" style="151" customWidth="1"/>
    <col min="3" max="4" width="12.19921875" style="2" customWidth="1"/>
    <col min="5" max="5" width="12.59765625" style="2" customWidth="1"/>
    <col min="6" max="7" width="12.19921875" style="2" customWidth="1"/>
    <col min="8" max="8" width="12.59765625" style="2" customWidth="1"/>
    <col min="9" max="9" width="14.796875" style="151" customWidth="1"/>
    <col min="10" max="10" width="15.3984375" style="193" customWidth="1"/>
    <col min="11" max="11" width="13.796875" style="2" customWidth="1"/>
    <col min="12" max="16384" width="11.3984375" style="2"/>
  </cols>
  <sheetData>
    <row r="1" spans="1:11" s="1" customFormat="1" ht="14" customHeight="1">
      <c r="A1" s="718"/>
      <c r="B1" s="719"/>
      <c r="C1" s="718"/>
      <c r="D1" s="718"/>
      <c r="E1" s="718"/>
      <c r="F1" s="718"/>
      <c r="G1" s="718"/>
      <c r="H1" s="718"/>
      <c r="I1" s="719"/>
      <c r="J1" s="932"/>
    </row>
    <row r="2" spans="1:11" s="1" customFormat="1" ht="28" customHeight="1">
      <c r="A2" s="748" t="s">
        <v>2044</v>
      </c>
      <c r="B2" s="719"/>
      <c r="C2" s="718"/>
      <c r="D2" s="718"/>
      <c r="E2" s="718"/>
      <c r="F2" s="718"/>
      <c r="G2" s="718"/>
      <c r="H2" s="718"/>
      <c r="I2" s="933"/>
      <c r="J2" s="942"/>
      <c r="K2" s="748">
        <v>2006</v>
      </c>
    </row>
    <row r="3" spans="1:11" ht="27" customHeight="1">
      <c r="A3" s="113" t="s">
        <v>41</v>
      </c>
      <c r="B3" s="427" t="s">
        <v>2034</v>
      </c>
      <c r="C3" s="1718" t="s">
        <v>736</v>
      </c>
      <c r="D3" s="1721"/>
      <c r="E3" s="1721"/>
      <c r="F3" s="1721"/>
      <c r="G3" s="1721"/>
      <c r="H3" s="1721"/>
      <c r="I3" s="1721"/>
      <c r="J3" s="427" t="s">
        <v>2035</v>
      </c>
      <c r="K3" s="115" t="s">
        <v>1951</v>
      </c>
    </row>
    <row r="4" spans="1:11" ht="15" customHeight="1">
      <c r="A4" s="116"/>
      <c r="B4" s="493" t="s">
        <v>745</v>
      </c>
      <c r="C4" s="116"/>
      <c r="D4" s="119"/>
      <c r="E4" s="118"/>
      <c r="F4" s="119"/>
      <c r="G4" s="116"/>
      <c r="H4" s="117"/>
      <c r="I4" s="292" t="s">
        <v>1951</v>
      </c>
      <c r="J4" s="493" t="s">
        <v>747</v>
      </c>
      <c r="K4" s="118"/>
    </row>
    <row r="5" spans="1:11" ht="15" customHeight="1">
      <c r="A5" s="116"/>
      <c r="B5" s="493" t="s">
        <v>749</v>
      </c>
      <c r="C5" s="118" t="s">
        <v>2045</v>
      </c>
      <c r="D5" s="117" t="s">
        <v>2046</v>
      </c>
      <c r="E5" s="118" t="s">
        <v>2042</v>
      </c>
      <c r="F5" s="117" t="s">
        <v>2047</v>
      </c>
      <c r="G5" s="118" t="s">
        <v>2036</v>
      </c>
      <c r="H5" s="117" t="s">
        <v>2048</v>
      </c>
      <c r="I5" s="292"/>
      <c r="J5" s="493" t="s">
        <v>2041</v>
      </c>
      <c r="K5" s="118"/>
    </row>
    <row r="6" spans="1:11" ht="24" customHeight="1">
      <c r="A6" s="120"/>
      <c r="B6" s="495" t="s">
        <v>2049</v>
      </c>
      <c r="C6" s="120"/>
      <c r="D6" s="121"/>
      <c r="E6" s="122"/>
      <c r="F6" s="121"/>
      <c r="G6" s="120"/>
      <c r="H6" s="123"/>
      <c r="I6" s="293"/>
      <c r="J6" s="936"/>
      <c r="K6" s="122"/>
    </row>
    <row r="7" spans="1:11" ht="30" customHeight="1" thickBot="1">
      <c r="A7" s="125" t="s">
        <v>51</v>
      </c>
      <c r="B7" s="937">
        <v>0.76546470202394779</v>
      </c>
      <c r="C7" s="369">
        <v>1.1303130128682098E-2</v>
      </c>
      <c r="D7" s="641">
        <v>2.8353173812054554E-2</v>
      </c>
      <c r="E7" s="369">
        <v>9.0797766946276812E-3</v>
      </c>
      <c r="F7" s="641">
        <v>1.8662299974733555E-2</v>
      </c>
      <c r="G7" s="369">
        <v>4.0176386615369264E-3</v>
      </c>
      <c r="H7" s="641">
        <v>8.9974302711441859E-3</v>
      </c>
      <c r="I7" s="938">
        <v>8.0413449542779E-2</v>
      </c>
      <c r="J7" s="937">
        <v>0.15412184843327317</v>
      </c>
      <c r="K7" s="369">
        <v>1</v>
      </c>
    </row>
    <row r="8" spans="1:11" ht="20" customHeight="1" thickBot="1">
      <c r="A8" s="130" t="s">
        <v>52</v>
      </c>
      <c r="B8" s="937">
        <v>0.76259799062894218</v>
      </c>
      <c r="C8" s="369">
        <v>1.0983148125037232E-2</v>
      </c>
      <c r="D8" s="641">
        <v>4.3068178064382109E-2</v>
      </c>
      <c r="E8" s="369">
        <v>9.937941127541405E-3</v>
      </c>
      <c r="F8" s="641">
        <v>1.8276998037291894E-2</v>
      </c>
      <c r="G8" s="369">
        <v>4.5876112538735759E-3</v>
      </c>
      <c r="H8" s="641">
        <v>7.9548727160763492E-3</v>
      </c>
      <c r="I8" s="938">
        <v>9.4808749324202565E-2</v>
      </c>
      <c r="J8" s="937">
        <v>0.1425932600468553</v>
      </c>
      <c r="K8" s="369">
        <v>1</v>
      </c>
    </row>
    <row r="9" spans="1:11" ht="20" customHeight="1" thickBot="1">
      <c r="A9" s="130" t="s">
        <v>53</v>
      </c>
      <c r="B9" s="937">
        <v>0.73490200174973563</v>
      </c>
      <c r="C9" s="369">
        <v>5.1803548531234485E-3</v>
      </c>
      <c r="D9" s="641">
        <v>9.2708168670183264E-3</v>
      </c>
      <c r="E9" s="369">
        <v>7.3197741301276771E-3</v>
      </c>
      <c r="F9" s="641">
        <v>5.6472595632621067E-2</v>
      </c>
      <c r="G9" s="369">
        <v>1.4801013866066995E-3</v>
      </c>
      <c r="H9" s="641">
        <v>5.9742274150306777E-3</v>
      </c>
      <c r="I9" s="938">
        <v>8.5697870284527897E-2</v>
      </c>
      <c r="J9" s="937">
        <v>0.17940012796573651</v>
      </c>
      <c r="K9" s="369">
        <v>1</v>
      </c>
    </row>
    <row r="10" spans="1:11" ht="20" customHeight="1" thickBot="1">
      <c r="A10" s="130" t="s">
        <v>54</v>
      </c>
      <c r="B10" s="937">
        <v>0.68097745375995677</v>
      </c>
      <c r="C10" s="369">
        <v>2.5198064860356985E-3</v>
      </c>
      <c r="D10" s="641">
        <v>1.1199139937936439E-2</v>
      </c>
      <c r="E10" s="369">
        <v>1.8058613149922506E-2</v>
      </c>
      <c r="F10" s="641">
        <v>7.5174226833398347E-2</v>
      </c>
      <c r="G10" s="369">
        <v>1.819860239914671E-3</v>
      </c>
      <c r="H10" s="641">
        <v>5.0396129720713971E-3</v>
      </c>
      <c r="I10" s="938">
        <v>0.11381125961927906</v>
      </c>
      <c r="J10" s="937">
        <v>0.20507627919535573</v>
      </c>
      <c r="K10" s="369">
        <v>1</v>
      </c>
    </row>
    <row r="11" spans="1:11" ht="20" customHeight="1" thickBot="1">
      <c r="A11" s="130" t="s">
        <v>55</v>
      </c>
      <c r="B11" s="937">
        <v>0.78471844396082702</v>
      </c>
      <c r="C11" s="369">
        <v>2.6546808720099039E-3</v>
      </c>
      <c r="D11" s="641">
        <v>1.6102735289428495E-2</v>
      </c>
      <c r="E11" s="369">
        <v>7.0558623177105336E-3</v>
      </c>
      <c r="F11" s="641">
        <v>5.3058687428724258E-2</v>
      </c>
      <c r="G11" s="369">
        <v>2.7594709064313475E-3</v>
      </c>
      <c r="H11" s="641">
        <v>5.6237318472841386E-3</v>
      </c>
      <c r="I11" s="938">
        <v>8.7255168661588681E-2</v>
      </c>
      <c r="J11" s="937">
        <v>0.12802638737758434</v>
      </c>
      <c r="K11" s="369">
        <v>1</v>
      </c>
    </row>
    <row r="12" spans="1:11" ht="20" customHeight="1" thickBot="1">
      <c r="A12" s="130" t="s">
        <v>56</v>
      </c>
      <c r="B12" s="937">
        <v>0.81836461126005366</v>
      </c>
      <c r="C12" s="369">
        <v>4.5788062649922386E-3</v>
      </c>
      <c r="D12" s="641">
        <v>1.3320163679977423E-2</v>
      </c>
      <c r="E12" s="369">
        <v>9.0188608249847126E-3</v>
      </c>
      <c r="F12" s="641">
        <v>2.2894031324961196E-2</v>
      </c>
      <c r="G12" s="369">
        <v>9.7126193499835376E-4</v>
      </c>
      <c r="H12" s="641">
        <v>4.5788062649922386E-3</v>
      </c>
      <c r="I12" s="938">
        <v>5.5361930294906166E-2</v>
      </c>
      <c r="J12" s="937">
        <v>0.12613941018766756</v>
      </c>
      <c r="K12" s="369">
        <v>1</v>
      </c>
    </row>
    <row r="13" spans="1:11" ht="20" customHeight="1" thickBot="1">
      <c r="A13" s="130" t="s">
        <v>57</v>
      </c>
      <c r="B13" s="937">
        <v>0.75789339128211686</v>
      </c>
      <c r="C13" s="369">
        <v>6.8443094448274637E-3</v>
      </c>
      <c r="D13" s="641">
        <v>1.0718446866427915E-2</v>
      </c>
      <c r="E13" s="369">
        <v>5.55293030429398E-3</v>
      </c>
      <c r="F13" s="641">
        <v>3.2026202685230397E-2</v>
      </c>
      <c r="G13" s="369">
        <v>6.4568957026674178E-4</v>
      </c>
      <c r="H13" s="641">
        <v>7.2317231869875095E-3</v>
      </c>
      <c r="I13" s="938">
        <v>6.3019302058034007E-2</v>
      </c>
      <c r="J13" s="937">
        <v>0.17921513485874985</v>
      </c>
      <c r="K13" s="369">
        <v>1</v>
      </c>
    </row>
    <row r="14" spans="1:11" ht="20" customHeight="1" thickBot="1">
      <c r="A14" s="130" t="s">
        <v>58</v>
      </c>
      <c r="B14" s="937">
        <v>0.84599128252542599</v>
      </c>
      <c r="C14" s="369">
        <v>6.225571630815138E-3</v>
      </c>
      <c r="D14" s="641">
        <v>1.8406037865018668E-2</v>
      </c>
      <c r="E14" s="369">
        <v>7.8496337953756091E-3</v>
      </c>
      <c r="F14" s="641">
        <v>1.9894761515865767E-2</v>
      </c>
      <c r="G14" s="369">
        <v>9.4736959599360786E-4</v>
      </c>
      <c r="H14" s="641">
        <v>2.3548901386126826E-2</v>
      </c>
      <c r="I14" s="938">
        <v>7.6872275789195615E-2</v>
      </c>
      <c r="J14" s="937">
        <v>7.7268524633469823E-2</v>
      </c>
      <c r="K14" s="369">
        <v>1</v>
      </c>
    </row>
    <row r="15" spans="1:11" ht="20" customHeight="1" thickBot="1">
      <c r="A15" s="130" t="s">
        <v>59</v>
      </c>
      <c r="B15" s="937">
        <v>0.79532360284232761</v>
      </c>
      <c r="C15" s="369">
        <v>6.0316979608318194E-3</v>
      </c>
      <c r="D15" s="641">
        <v>2.0497965427867481E-2</v>
      </c>
      <c r="E15" s="369">
        <v>7.846111168561716E-3</v>
      </c>
      <c r="F15" s="641">
        <v>3.6141149570187409E-2</v>
      </c>
      <c r="G15" s="369">
        <v>2.2067187661579829E-3</v>
      </c>
      <c r="H15" s="641">
        <v>7.6009201945441626E-3</v>
      </c>
      <c r="I15" s="938">
        <v>8.0324563088150572E-2</v>
      </c>
      <c r="J15" s="937">
        <v>0.1243518340695218</v>
      </c>
      <c r="K15" s="369">
        <v>1</v>
      </c>
    </row>
    <row r="16" spans="1:11" ht="20" customHeight="1" thickBot="1">
      <c r="A16" s="130" t="s">
        <v>60</v>
      </c>
      <c r="B16" s="937">
        <v>0.82858247986142641</v>
      </c>
      <c r="C16" s="369">
        <v>7.1262639650265221E-3</v>
      </c>
      <c r="D16" s="641">
        <v>4.9218957098161653E-2</v>
      </c>
      <c r="E16" s="369">
        <v>1.4798079238380434E-2</v>
      </c>
      <c r="F16" s="641">
        <v>2.5027166269518984E-2</v>
      </c>
      <c r="G16" s="369">
        <v>3.7847622015212633E-3</v>
      </c>
      <c r="H16" s="641">
        <v>1.0365474858220397E-2</v>
      </c>
      <c r="I16" s="938">
        <v>0.11032070363082926</v>
      </c>
      <c r="J16" s="937">
        <v>6.109681650774431E-2</v>
      </c>
      <c r="K16" s="369">
        <v>1</v>
      </c>
    </row>
    <row r="17" spans="1:11" ht="20" customHeight="1" thickBot="1">
      <c r="A17" s="130" t="s">
        <v>61</v>
      </c>
      <c r="B17" s="937">
        <v>0.83142621938670513</v>
      </c>
      <c r="C17" s="369">
        <v>6.4291655387316519E-3</v>
      </c>
      <c r="D17" s="641">
        <v>2.5507923014058697E-2</v>
      </c>
      <c r="E17" s="369">
        <v>1.0228217902527629E-2</v>
      </c>
      <c r="F17" s="641">
        <v>2.4693840364673848E-2</v>
      </c>
      <c r="G17" s="369">
        <v>3.5903132229280657E-3</v>
      </c>
      <c r="H17" s="641">
        <v>1.0040352675746508E-2</v>
      </c>
      <c r="I17" s="938">
        <v>8.0489812718666398E-2</v>
      </c>
      <c r="J17" s="937">
        <v>8.8083967894628523E-2</v>
      </c>
      <c r="K17" s="369">
        <v>1</v>
      </c>
    </row>
    <row r="18" spans="1:11" ht="20" customHeight="1" thickBot="1">
      <c r="A18" s="130" t="s">
        <v>62</v>
      </c>
      <c r="B18" s="937">
        <v>0.68698924731182798</v>
      </c>
      <c r="C18" s="369">
        <v>1.5626300243113223E-2</v>
      </c>
      <c r="D18" s="641">
        <v>2.9061326199261148E-2</v>
      </c>
      <c r="E18" s="369">
        <v>7.7592663276148431E-3</v>
      </c>
      <c r="F18" s="641">
        <v>4.1203141100806598E-2</v>
      </c>
      <c r="G18" s="369">
        <v>2.7660347556775133E-3</v>
      </c>
      <c r="H18" s="641">
        <v>1.5913680477469331E-2</v>
      </c>
      <c r="I18" s="938">
        <v>0.11232974910394265</v>
      </c>
      <c r="J18" s="937">
        <v>0.20071684587813621</v>
      </c>
      <c r="K18" s="369">
        <v>1</v>
      </c>
    </row>
    <row r="19" spans="1:11" ht="20" customHeight="1" thickBot="1">
      <c r="A19" s="130" t="s">
        <v>63</v>
      </c>
      <c r="B19" s="937">
        <v>0.76165088889339361</v>
      </c>
      <c r="C19" s="369">
        <v>1.5948171036914833E-2</v>
      </c>
      <c r="D19" s="641">
        <v>2.5954065797591238E-2</v>
      </c>
      <c r="E19" s="369">
        <v>7.2083282663648355E-3</v>
      </c>
      <c r="F19" s="641">
        <v>3.2958192130064713E-2</v>
      </c>
      <c r="G19" s="369">
        <v>4.635383899333761E-3</v>
      </c>
      <c r="H19" s="641">
        <v>1.6111532584027918E-2</v>
      </c>
      <c r="I19" s="938">
        <v>0.1028156737142973</v>
      </c>
      <c r="J19" s="937">
        <v>0.13553343739230911</v>
      </c>
      <c r="K19" s="369">
        <v>1</v>
      </c>
    </row>
    <row r="20" spans="1:11" ht="20" customHeight="1" thickBot="1">
      <c r="A20" s="130" t="s">
        <v>64</v>
      </c>
      <c r="B20" s="937">
        <v>0.70869533998707546</v>
      </c>
      <c r="C20" s="369">
        <v>2.0691308502165887E-2</v>
      </c>
      <c r="D20" s="641">
        <v>1.2256175767833451E-2</v>
      </c>
      <c r="E20" s="369">
        <v>4.253613942953963E-3</v>
      </c>
      <c r="F20" s="641">
        <v>2.2061116382100211E-2</v>
      </c>
      <c r="G20" s="369">
        <v>4.1094236398029806E-3</v>
      </c>
      <c r="H20" s="641">
        <v>7.4978957638510528E-3</v>
      </c>
      <c r="I20" s="938">
        <v>7.0869533998707546E-2</v>
      </c>
      <c r="J20" s="937">
        <v>0.22050692898686006</v>
      </c>
      <c r="K20" s="369">
        <v>1</v>
      </c>
    </row>
    <row r="21" spans="1:11" ht="20" customHeight="1" thickBot="1">
      <c r="A21" s="130" t="s">
        <v>65</v>
      </c>
      <c r="B21" s="937">
        <v>0.73220802919708028</v>
      </c>
      <c r="C21" s="369">
        <v>6.3903705783267834E-3</v>
      </c>
      <c r="D21" s="641">
        <v>1.3151197422063814E-2</v>
      </c>
      <c r="E21" s="369">
        <v>1.0835845763249762E-2</v>
      </c>
      <c r="F21" s="641">
        <v>1.6114847545345798E-2</v>
      </c>
      <c r="G21" s="369">
        <v>2.6858079242243001E-3</v>
      </c>
      <c r="H21" s="641">
        <v>6.2051424456216579E-3</v>
      </c>
      <c r="I21" s="938">
        <v>5.5383211678832117E-2</v>
      </c>
      <c r="J21" s="937">
        <v>0.2124087591240876</v>
      </c>
      <c r="K21" s="369">
        <v>1</v>
      </c>
    </row>
    <row r="22" spans="1:11" ht="20" customHeight="1" thickBot="1">
      <c r="A22" s="130" t="s">
        <v>66</v>
      </c>
      <c r="B22" s="937">
        <v>0.7796423658872077</v>
      </c>
      <c r="C22" s="369">
        <v>2.5309491059147182E-3</v>
      </c>
      <c r="D22" s="641">
        <v>5.9055479138010094E-3</v>
      </c>
      <c r="E22" s="369">
        <v>1.0967446125630444E-2</v>
      </c>
      <c r="F22" s="641">
        <v>9.5613632890111568E-3</v>
      </c>
      <c r="G22" s="369">
        <v>0</v>
      </c>
      <c r="H22" s="641">
        <v>8.9989301543634426E-3</v>
      </c>
      <c r="I22" s="938">
        <v>3.7964236588720772E-2</v>
      </c>
      <c r="J22" s="937">
        <v>0.18239339752407152</v>
      </c>
      <c r="K22" s="369">
        <v>1</v>
      </c>
    </row>
    <row r="23" spans="1:11" ht="20" customHeight="1" thickBot="1">
      <c r="A23" s="130" t="s">
        <v>67</v>
      </c>
      <c r="B23" s="937">
        <v>0.69332142965841193</v>
      </c>
      <c r="C23" s="369">
        <v>7.4609785267652816E-3</v>
      </c>
      <c r="D23" s="641">
        <v>1.126929440899457E-2</v>
      </c>
      <c r="E23" s="369">
        <v>6.7242198683503509E-3</v>
      </c>
      <c r="F23" s="641">
        <v>4.2597102715398447E-2</v>
      </c>
      <c r="G23" s="369">
        <v>1.6084167894973834E-3</v>
      </c>
      <c r="H23" s="641">
        <v>8.4882898955410298E-3</v>
      </c>
      <c r="I23" s="938">
        <v>7.8148302204547063E-2</v>
      </c>
      <c r="J23" s="937">
        <v>0.22853026813704105</v>
      </c>
      <c r="K23" s="369">
        <v>1</v>
      </c>
    </row>
    <row r="24" spans="1:11" ht="20" customHeight="1" thickBot="1">
      <c r="A24" s="130" t="s">
        <v>68</v>
      </c>
      <c r="B24" s="937">
        <v>0.76049663276335111</v>
      </c>
      <c r="C24" s="369">
        <v>6.7251657478897215E-3</v>
      </c>
      <c r="D24" s="641">
        <v>9.320354190021439E-3</v>
      </c>
      <c r="E24" s="369">
        <v>3.2091039875822326E-3</v>
      </c>
      <c r="F24" s="641">
        <v>1.2194595152812482E-2</v>
      </c>
      <c r="G24" s="369">
        <v>1.8138413842856097E-3</v>
      </c>
      <c r="H24" s="641">
        <v>1.1190006078438916E-2</v>
      </c>
      <c r="I24" s="938">
        <v>4.44530665410304E-2</v>
      </c>
      <c r="J24" s="937">
        <v>0.19505030069561843</v>
      </c>
      <c r="K24" s="369">
        <v>1</v>
      </c>
    </row>
    <row r="25" spans="1:11" ht="20" customHeight="1" thickBot="1">
      <c r="A25" s="130" t="s">
        <v>69</v>
      </c>
      <c r="B25" s="937">
        <v>0.7818265243400947</v>
      </c>
      <c r="C25" s="369">
        <v>1.1417781235014546E-2</v>
      </c>
      <c r="D25" s="641">
        <v>1.9893016997425034E-2</v>
      </c>
      <c r="E25" s="369">
        <v>6.9422929114131646E-3</v>
      </c>
      <c r="F25" s="641">
        <v>1.5725879247300123E-2</v>
      </c>
      <c r="G25" s="369">
        <v>2.7046750302079209E-3</v>
      </c>
      <c r="H25" s="641">
        <v>5.2595797818701263E-3</v>
      </c>
      <c r="I25" s="938">
        <v>6.1943225203230916E-2</v>
      </c>
      <c r="J25" s="937">
        <v>0.15622159312261383</v>
      </c>
      <c r="K25" s="369">
        <v>1</v>
      </c>
    </row>
    <row r="26" spans="1:11" ht="20" customHeight="1" thickBot="1">
      <c r="A26" s="130" t="s">
        <v>70</v>
      </c>
      <c r="B26" s="937">
        <v>0.60204341772400138</v>
      </c>
      <c r="C26" s="369">
        <v>1.4480875189928811E-2</v>
      </c>
      <c r="D26" s="641">
        <v>1.2110912260093027E-2</v>
      </c>
      <c r="E26" s="369">
        <v>7.1299732211161275E-3</v>
      </c>
      <c r="F26" s="641">
        <v>2.5205961669016171E-2</v>
      </c>
      <c r="G26" s="369">
        <v>4.4788282487574545E-3</v>
      </c>
      <c r="H26" s="641">
        <v>1.7212357888722597E-2</v>
      </c>
      <c r="I26" s="938">
        <v>8.0618908477634185E-2</v>
      </c>
      <c r="J26" s="937">
        <v>0.31735728433314375</v>
      </c>
      <c r="K26" s="369">
        <v>1</v>
      </c>
    </row>
    <row r="27" spans="1:11" ht="20" customHeight="1" thickBot="1">
      <c r="A27" s="130" t="s">
        <v>71</v>
      </c>
      <c r="B27" s="937">
        <v>0.80096140201504185</v>
      </c>
      <c r="C27" s="369">
        <v>1.2059360439047375E-2</v>
      </c>
      <c r="D27" s="641">
        <v>5.4302695310341639E-2</v>
      </c>
      <c r="E27" s="369">
        <v>1.1703627092762792E-2</v>
      </c>
      <c r="F27" s="641">
        <v>3.134010780767179E-2</v>
      </c>
      <c r="G27" s="369">
        <v>3.2549601185039375E-3</v>
      </c>
      <c r="H27" s="641">
        <v>2.3602907525982101E-2</v>
      </c>
      <c r="I27" s="938">
        <v>0.13626365829430964</v>
      </c>
      <c r="J27" s="937">
        <v>6.2774939690648499E-2</v>
      </c>
      <c r="K27" s="369">
        <v>1</v>
      </c>
    </row>
    <row r="28" spans="1:11" ht="20" customHeight="1" thickBot="1">
      <c r="A28" s="130" t="s">
        <v>72</v>
      </c>
      <c r="B28" s="937">
        <v>0.66701572193054037</v>
      </c>
      <c r="C28" s="369">
        <v>2.3903769264720397E-2</v>
      </c>
      <c r="D28" s="641">
        <v>9.1301942507470923E-2</v>
      </c>
      <c r="E28" s="369">
        <v>3.595731026697916E-2</v>
      </c>
      <c r="F28" s="641">
        <v>5.7385020807741584E-2</v>
      </c>
      <c r="G28" s="369">
        <v>4.465619106258519E-3</v>
      </c>
      <c r="H28" s="641">
        <v>3.2275897442795312E-2</v>
      </c>
      <c r="I28" s="938">
        <v>0.24528955939596589</v>
      </c>
      <c r="J28" s="937">
        <v>8.769471867349371E-2</v>
      </c>
      <c r="K28" s="369">
        <v>1</v>
      </c>
    </row>
    <row r="29" spans="1:11" ht="20" customHeight="1" thickBot="1">
      <c r="A29" s="130" t="s">
        <v>73</v>
      </c>
      <c r="B29" s="937">
        <v>0.87086657231085951</v>
      </c>
      <c r="C29" s="369">
        <v>6.9259688163675935E-3</v>
      </c>
      <c r="D29" s="641">
        <v>6.8771943880833145E-2</v>
      </c>
      <c r="E29" s="369">
        <v>8.6005575207944995E-3</v>
      </c>
      <c r="F29" s="641">
        <v>1.4144584202440861E-2</v>
      </c>
      <c r="G29" s="369">
        <v>2.4874958424982202E-3</v>
      </c>
      <c r="H29" s="641">
        <v>6.7959036742761833E-3</v>
      </c>
      <c r="I29" s="938">
        <v>0.1077264539372105</v>
      </c>
      <c r="J29" s="937">
        <v>2.1406973751930004E-2</v>
      </c>
      <c r="K29" s="369">
        <v>1</v>
      </c>
    </row>
    <row r="30" spans="1:11" ht="20" customHeight="1" thickBot="1">
      <c r="A30" s="130" t="s">
        <v>74</v>
      </c>
      <c r="B30" s="937">
        <v>0.82086685410461269</v>
      </c>
      <c r="C30" s="369">
        <v>1.6135947844327165E-2</v>
      </c>
      <c r="D30" s="641">
        <v>5.1903499478459646E-2</v>
      </c>
      <c r="E30" s="369">
        <v>1.6555426557784542E-2</v>
      </c>
      <c r="F30" s="641">
        <v>3.6047204109770734E-2</v>
      </c>
      <c r="G30" s="369">
        <v>5.2295012944353209E-3</v>
      </c>
      <c r="H30" s="641">
        <v>2.6259367462431901E-2</v>
      </c>
      <c r="I30" s="938">
        <v>0.15213094674720931</v>
      </c>
      <c r="J30" s="937">
        <v>2.6974361829468586E-2</v>
      </c>
      <c r="K30" s="369">
        <v>1</v>
      </c>
    </row>
    <row r="31" spans="1:11" ht="20" customHeight="1" thickBot="1">
      <c r="A31" s="130" t="s">
        <v>75</v>
      </c>
      <c r="B31" s="937">
        <v>0.79992703650528396</v>
      </c>
      <c r="C31" s="369">
        <v>1.183824254930247E-2</v>
      </c>
      <c r="D31" s="641">
        <v>7.5372898225170085E-2</v>
      </c>
      <c r="E31" s="369">
        <v>2.1575580638210287E-2</v>
      </c>
      <c r="F31" s="641">
        <v>3.6907462065472414E-2</v>
      </c>
      <c r="G31" s="369">
        <v>3.3402020353465599E-3</v>
      </c>
      <c r="H31" s="641">
        <v>1.589841746152585E-2</v>
      </c>
      <c r="I31" s="938">
        <v>0.16493280297502766</v>
      </c>
      <c r="J31" s="937">
        <v>3.5140160519688372E-2</v>
      </c>
      <c r="K31" s="369">
        <v>1</v>
      </c>
    </row>
    <row r="32" spans="1:11" ht="20" customHeight="1" thickBot="1">
      <c r="A32" s="131" t="s">
        <v>76</v>
      </c>
      <c r="B32" s="937">
        <v>0.76400318555880009</v>
      </c>
      <c r="C32" s="369">
        <v>6.5463174153055394E-3</v>
      </c>
      <c r="D32" s="641">
        <v>4.5824221907138772E-2</v>
      </c>
      <c r="E32" s="369">
        <v>2.1343722406152434E-2</v>
      </c>
      <c r="F32" s="641">
        <v>6.3212877541544116E-2</v>
      </c>
      <c r="G32" s="369">
        <v>5.0461196742980201E-3</v>
      </c>
      <c r="H32" s="641">
        <v>4.1528201103344514E-2</v>
      </c>
      <c r="I32" s="938">
        <v>0.18350146004778339</v>
      </c>
      <c r="J32" s="937">
        <v>5.2495354393416509E-2</v>
      </c>
      <c r="K32" s="369">
        <v>1</v>
      </c>
    </row>
    <row r="33" spans="1:11" ht="30" customHeight="1" thickBot="1">
      <c r="A33" s="900" t="s">
        <v>1944</v>
      </c>
      <c r="B33" s="939">
        <v>0.75748399734661198</v>
      </c>
      <c r="C33" s="371">
        <v>1.1391986249934519E-2</v>
      </c>
      <c r="D33" s="939">
        <v>3.8132346282157621E-2</v>
      </c>
      <c r="E33" s="371">
        <v>1.2305262070692491E-2</v>
      </c>
      <c r="F33" s="939">
        <v>3.0449601709034713E-2</v>
      </c>
      <c r="G33" s="371">
        <v>3.4456650718702182E-3</v>
      </c>
      <c r="H33" s="939">
        <v>1.2888553674355003E-2</v>
      </c>
      <c r="I33" s="371">
        <v>0.10861341505804456</v>
      </c>
      <c r="J33" s="939">
        <v>0.13390258759534343</v>
      </c>
      <c r="K33" s="760">
        <v>1</v>
      </c>
    </row>
    <row r="34" spans="1:11" ht="20" customHeight="1">
      <c r="A34" s="660" t="s">
        <v>1245</v>
      </c>
      <c r="B34" s="943"/>
      <c r="C34" s="846"/>
      <c r="D34" s="846"/>
      <c r="E34" s="846"/>
      <c r="F34" s="846"/>
      <c r="G34" s="846"/>
      <c r="H34" s="846"/>
      <c r="I34" s="943"/>
      <c r="J34" s="944"/>
    </row>
    <row r="35" spans="1:11" ht="13.5" customHeight="1">
      <c r="A35" s="207"/>
      <c r="B35" s="665"/>
      <c r="C35" s="41"/>
      <c r="D35" s="41"/>
      <c r="E35" s="41"/>
      <c r="F35" s="41"/>
      <c r="G35" s="41"/>
      <c r="H35" s="41"/>
      <c r="I35" s="665"/>
      <c r="J35" s="945"/>
    </row>
    <row r="36" spans="1:11" ht="12" customHeight="1">
      <c r="A36" s="3" t="s">
        <v>2352</v>
      </c>
    </row>
    <row r="37" spans="1:11" ht="12" customHeight="1"/>
    <row r="38" spans="1:11" ht="12" customHeight="1"/>
    <row r="39" spans="1:11">
      <c r="A39" s="2" t="s">
        <v>1955</v>
      </c>
    </row>
  </sheetData>
  <mergeCells count="1">
    <mergeCell ref="C3:I3"/>
  </mergeCells>
  <phoneticPr fontId="0" type="noConversion"/>
  <pageMargins left="0.56000000000000005" right="0.55000000000000004" top="0.81" bottom="0.49" header="0.38" footer="0.4921259845"/>
  <pageSetup paperSize="9" scale="63" orientation="portrait" horizontalDpi="1200" verticalDpi="1200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1100-8B37-F04D-A876-BF75074E68D1}">
  <sheetPr>
    <pageSetUpPr fitToPage="1"/>
  </sheetPr>
  <dimension ref="A1:F23"/>
  <sheetViews>
    <sheetView topLeftCell="A4" zoomScale="75" workbookViewId="0">
      <selection activeCell="A16" sqref="A16:IV16"/>
    </sheetView>
  </sheetViews>
  <sheetFormatPr baseColWidth="10" defaultColWidth="11.3984375" defaultRowHeight="13"/>
  <cols>
    <col min="1" max="1" width="18.19921875" style="2" customWidth="1"/>
    <col min="2" max="6" width="14.796875" style="2" customWidth="1"/>
    <col min="7" max="7" width="17.796875" style="2" customWidth="1"/>
    <col min="8" max="16384" width="11.3984375" style="2"/>
  </cols>
  <sheetData>
    <row r="1" spans="1:6" s="1" customFormat="1" ht="14" customHeight="1"/>
    <row r="2" spans="1:6" s="1" customFormat="1" ht="39.75" customHeight="1">
      <c r="A2" s="1695" t="s">
        <v>403</v>
      </c>
      <c r="B2" s="1699"/>
      <c r="C2" s="1699"/>
      <c r="D2" s="1699"/>
      <c r="E2" s="1699"/>
      <c r="F2" s="58">
        <v>2006</v>
      </c>
    </row>
    <row r="3" spans="1:6" ht="24" customHeight="1">
      <c r="A3" s="113" t="s">
        <v>740</v>
      </c>
      <c r="B3" s="114" t="s">
        <v>741</v>
      </c>
      <c r="C3" s="115" t="s">
        <v>742</v>
      </c>
      <c r="D3" s="114" t="s">
        <v>743</v>
      </c>
      <c r="E3" s="177" t="s">
        <v>744</v>
      </c>
      <c r="F3" s="114" t="s">
        <v>1951</v>
      </c>
    </row>
    <row r="4" spans="1:6" ht="15" customHeight="1">
      <c r="A4" s="248"/>
      <c r="B4" s="117" t="s">
        <v>745</v>
      </c>
      <c r="C4" s="118" t="s">
        <v>746</v>
      </c>
      <c r="D4" s="117" t="s">
        <v>747</v>
      </c>
      <c r="E4" s="180" t="s">
        <v>748</v>
      </c>
      <c r="F4" s="117"/>
    </row>
    <row r="5" spans="1:6" ht="15" customHeight="1">
      <c r="A5" s="248"/>
      <c r="B5" s="117" t="s">
        <v>749</v>
      </c>
      <c r="C5" s="118" t="s">
        <v>750</v>
      </c>
      <c r="D5" s="117" t="s">
        <v>751</v>
      </c>
      <c r="E5" s="180" t="s">
        <v>752</v>
      </c>
      <c r="F5" s="117"/>
    </row>
    <row r="6" spans="1:6" ht="24" customHeight="1">
      <c r="A6" s="249"/>
      <c r="B6" s="123"/>
      <c r="C6" s="122"/>
      <c r="D6" s="123"/>
      <c r="E6" s="183" t="s">
        <v>753</v>
      </c>
      <c r="F6" s="123"/>
    </row>
    <row r="7" spans="1:6" ht="23.25" customHeight="1" thickBot="1">
      <c r="A7" s="250">
        <v>1996</v>
      </c>
      <c r="B7" s="459">
        <v>0.65876331560467527</v>
      </c>
      <c r="C7" s="146">
        <v>0.32046794094697328</v>
      </c>
      <c r="D7" s="459">
        <v>3.8678181352691143E-3</v>
      </c>
      <c r="E7" s="146">
        <v>1.6900925313082283E-2</v>
      </c>
      <c r="F7" s="351">
        <v>1</v>
      </c>
    </row>
    <row r="8" spans="1:6" ht="20" customHeight="1" thickBot="1">
      <c r="A8" s="251">
        <v>1997</v>
      </c>
      <c r="B8" s="461">
        <v>0.56603802874783171</v>
      </c>
      <c r="C8" s="148">
        <v>0.37927068021935451</v>
      </c>
      <c r="D8" s="461">
        <v>1.5931130501794573E-3</v>
      </c>
      <c r="E8" s="148">
        <v>5.3098177982634318E-2</v>
      </c>
      <c r="F8" s="461">
        <v>1</v>
      </c>
    </row>
    <row r="9" spans="1:6" ht="20" customHeight="1" thickBot="1">
      <c r="A9" s="251">
        <v>1998</v>
      </c>
      <c r="B9" s="461">
        <v>0.55407462651768902</v>
      </c>
      <c r="C9" s="148">
        <v>0.37613702943863803</v>
      </c>
      <c r="D9" s="461">
        <v>1.6317626996539885E-3</v>
      </c>
      <c r="E9" s="148">
        <v>6.8156581344018974E-2</v>
      </c>
      <c r="F9" s="461">
        <v>1</v>
      </c>
    </row>
    <row r="10" spans="1:6" ht="20" customHeight="1" thickBot="1">
      <c r="A10" s="251">
        <v>1999</v>
      </c>
      <c r="B10" s="461">
        <v>0.55029591824658086</v>
      </c>
      <c r="C10" s="148">
        <v>0.37371902477852575</v>
      </c>
      <c r="D10" s="461">
        <v>1.4116771489681326E-3</v>
      </c>
      <c r="E10" s="148">
        <v>7.4573379825925268E-2</v>
      </c>
      <c r="F10" s="461">
        <v>1</v>
      </c>
    </row>
    <row r="11" spans="1:6" ht="20" customHeight="1" thickBot="1">
      <c r="A11" s="251">
        <v>2000</v>
      </c>
      <c r="B11" s="461">
        <v>0.53960650848618019</v>
      </c>
      <c r="C11" s="148">
        <v>0.37954002078394233</v>
      </c>
      <c r="D11" s="461">
        <v>1.3498693126728527E-3</v>
      </c>
      <c r="E11" s="148">
        <v>7.9503601417204556E-2</v>
      </c>
      <c r="F11" s="461">
        <v>1</v>
      </c>
    </row>
    <row r="12" spans="1:6" ht="20" customHeight="1" thickBot="1">
      <c r="A12" s="251">
        <v>2001</v>
      </c>
      <c r="B12" s="461">
        <v>0.53026073148068087</v>
      </c>
      <c r="C12" s="148">
        <v>0.38706527964277321</v>
      </c>
      <c r="D12" s="461">
        <v>1.2758685733806091E-3</v>
      </c>
      <c r="E12" s="148">
        <v>8.1398120303165275E-2</v>
      </c>
      <c r="F12" s="461">
        <v>1</v>
      </c>
    </row>
    <row r="13" spans="1:6" ht="20" customHeight="1" thickBot="1">
      <c r="A13" s="251">
        <v>2002</v>
      </c>
      <c r="B13" s="461">
        <v>0.51807119228357335</v>
      </c>
      <c r="C13" s="148">
        <v>0.40503766289618737</v>
      </c>
      <c r="D13" s="461">
        <v>1.2005111854079802E-3</v>
      </c>
      <c r="E13" s="148">
        <v>7.5690633634831264E-2</v>
      </c>
      <c r="F13" s="461">
        <v>1</v>
      </c>
    </row>
    <row r="14" spans="1:6" ht="20" customHeight="1" thickBot="1">
      <c r="A14" s="251">
        <v>2003</v>
      </c>
      <c r="B14" s="461">
        <v>0.49698046363760801</v>
      </c>
      <c r="C14" s="148">
        <v>0.42026484379945434</v>
      </c>
      <c r="D14" s="461">
        <v>1.1249544851287428E-3</v>
      </c>
      <c r="E14" s="148">
        <v>8.1629738077808919E-2</v>
      </c>
      <c r="F14" s="461">
        <v>1</v>
      </c>
    </row>
    <row r="15" spans="1:6" ht="20" customHeight="1" thickBot="1">
      <c r="A15" s="251">
        <v>2004</v>
      </c>
      <c r="B15" s="461">
        <v>0.49047166472550979</v>
      </c>
      <c r="C15" s="148">
        <v>0.40765951470988981</v>
      </c>
      <c r="D15" s="461">
        <v>1.0913784873100634E-3</v>
      </c>
      <c r="E15" s="148">
        <v>0.10077744207729029</v>
      </c>
      <c r="F15" s="461">
        <v>1</v>
      </c>
    </row>
    <row r="16" spans="1:6" ht="20" customHeight="1" thickBot="1">
      <c r="A16" s="251">
        <v>2005</v>
      </c>
      <c r="B16" s="461">
        <v>0.48342027022950401</v>
      </c>
      <c r="C16" s="148">
        <v>0.39405816872752136</v>
      </c>
      <c r="D16" s="461">
        <v>1.0338574574561153E-3</v>
      </c>
      <c r="E16" s="148">
        <v>0.12148770358551848</v>
      </c>
      <c r="F16" s="461">
        <v>1</v>
      </c>
    </row>
    <row r="17" spans="1:6" ht="30" customHeight="1" thickBot="1">
      <c r="A17" s="361">
        <v>2006</v>
      </c>
      <c r="B17" s="462">
        <v>0.44702895553739602</v>
      </c>
      <c r="C17" s="910">
        <v>0.37128368860925909</v>
      </c>
      <c r="D17" s="462">
        <v>9.6169919727420879E-4</v>
      </c>
      <c r="E17" s="910">
        <v>0.18072565665607065</v>
      </c>
      <c r="F17" s="462">
        <v>1</v>
      </c>
    </row>
    <row r="18" spans="1:6" ht="19.5" customHeight="1">
      <c r="A18" s="136" t="s">
        <v>453</v>
      </c>
      <c r="B18" s="136"/>
      <c r="C18" s="136"/>
      <c r="D18" s="136"/>
      <c r="E18" s="136"/>
      <c r="F18" s="136"/>
    </row>
    <row r="20" spans="1:6">
      <c r="A20" s="2" t="s">
        <v>404</v>
      </c>
    </row>
    <row r="23" spans="1:6">
      <c r="A23" s="2" t="s">
        <v>1955</v>
      </c>
    </row>
  </sheetData>
  <mergeCells count="1">
    <mergeCell ref="A2:E2"/>
  </mergeCells>
  <phoneticPr fontId="0" type="noConversion"/>
  <pageMargins left="0.65" right="0.72" top="1.05" bottom="0.49" header="0.6" footer="0.4921259845"/>
  <pageSetup paperSize="9" scale="82" orientation="portrait" horizontalDpi="4294967292" verticalDpi="4294967292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7236-719D-6140-BEC1-AC457C579E83}">
  <sheetPr>
    <pageSetUpPr fitToPage="1"/>
  </sheetPr>
  <dimension ref="A1:G19"/>
  <sheetViews>
    <sheetView topLeftCell="A2" zoomScale="75" workbookViewId="0">
      <selection activeCell="A2" sqref="A2"/>
    </sheetView>
  </sheetViews>
  <sheetFormatPr baseColWidth="10" defaultColWidth="11.3984375" defaultRowHeight="13"/>
  <cols>
    <col min="1" max="1" width="19.3984375" style="2" customWidth="1"/>
    <col min="2" max="2" width="17.3984375" style="2" customWidth="1"/>
    <col min="3" max="3" width="16.3984375" style="2" customWidth="1"/>
    <col min="4" max="4" width="17.796875" style="2" customWidth="1"/>
    <col min="5" max="5" width="18.796875" style="446" customWidth="1"/>
    <col min="6" max="6" width="25.19921875" style="446" customWidth="1"/>
    <col min="7" max="7" width="18.19921875" style="2" customWidth="1"/>
    <col min="8" max="16384" width="11.3984375" style="2"/>
  </cols>
  <sheetData>
    <row r="1" spans="1:7" ht="19.5" customHeight="1">
      <c r="A1" s="58" t="s">
        <v>1147</v>
      </c>
      <c r="B1" s="327"/>
      <c r="C1" s="327"/>
      <c r="D1" s="327"/>
      <c r="E1" s="327"/>
      <c r="F1" s="327"/>
    </row>
    <row r="2" spans="1:7" ht="19.5" customHeight="1">
      <c r="A2" s="326"/>
      <c r="B2" s="327"/>
      <c r="C2" s="327"/>
      <c r="D2" s="327"/>
      <c r="E2" s="327"/>
      <c r="F2" s="327"/>
    </row>
    <row r="3" spans="1:7" ht="42" customHeight="1">
      <c r="A3" s="1722" t="s">
        <v>2269</v>
      </c>
      <c r="B3" s="1698"/>
      <c r="C3" s="1698"/>
      <c r="D3" s="1698"/>
      <c r="E3" s="1698"/>
      <c r="F3" s="216"/>
    </row>
    <row r="4" spans="1:7" ht="12.75" customHeight="1">
      <c r="A4" s="425"/>
      <c r="B4" s="258"/>
      <c r="C4" s="258"/>
      <c r="D4" s="258"/>
      <c r="E4" s="258"/>
      <c r="F4" s="426"/>
    </row>
    <row r="5" spans="1:7" ht="24" customHeight="1">
      <c r="A5" s="328" t="s">
        <v>2305</v>
      </c>
      <c r="B5" s="427" t="s">
        <v>891</v>
      </c>
      <c r="C5" s="284" t="s">
        <v>892</v>
      </c>
      <c r="D5" s="427" t="s">
        <v>1951</v>
      </c>
      <c r="E5" s="428" t="s">
        <v>1379</v>
      </c>
      <c r="F5" s="206"/>
    </row>
    <row r="6" spans="1:7" ht="15" customHeight="1">
      <c r="A6" s="248"/>
      <c r="B6" s="117"/>
      <c r="C6" s="118"/>
      <c r="D6" s="143"/>
      <c r="E6" s="429" t="s">
        <v>2294</v>
      </c>
      <c r="F6" s="206"/>
    </row>
    <row r="7" spans="1:7" ht="15" customHeight="1">
      <c r="A7" s="116"/>
      <c r="B7" s="117"/>
      <c r="C7" s="118"/>
      <c r="D7" s="117"/>
      <c r="E7" s="429"/>
      <c r="F7" s="206"/>
    </row>
    <row r="8" spans="1:7" ht="24" customHeight="1">
      <c r="A8" s="315"/>
      <c r="B8" s="348"/>
      <c r="C8" s="349"/>
      <c r="D8" s="348"/>
      <c r="E8" s="430"/>
      <c r="F8" s="206"/>
    </row>
    <row r="9" spans="1:7" ht="45" customHeight="1" thickBot="1">
      <c r="A9" s="431" t="s">
        <v>42</v>
      </c>
      <c r="B9" s="432">
        <v>757805</v>
      </c>
      <c r="C9" s="433">
        <v>720422</v>
      </c>
      <c r="D9" s="432">
        <v>1478227</v>
      </c>
      <c r="E9" s="434">
        <v>0.19583800828090039</v>
      </c>
      <c r="F9" s="206"/>
    </row>
    <row r="10" spans="1:7" ht="34.5" customHeight="1" thickBot="1">
      <c r="A10" s="431" t="s">
        <v>1380</v>
      </c>
      <c r="B10" s="432">
        <v>321119</v>
      </c>
      <c r="C10" s="433">
        <v>312301</v>
      </c>
      <c r="D10" s="432">
        <v>633420</v>
      </c>
      <c r="E10" s="434">
        <v>8.3916550844550894E-2</v>
      </c>
      <c r="F10" s="206"/>
    </row>
    <row r="11" spans="1:7" ht="32.25" customHeight="1" thickBot="1">
      <c r="A11" s="431" t="s">
        <v>44</v>
      </c>
      <c r="B11" s="432">
        <v>2624219</v>
      </c>
      <c r="C11" s="433">
        <v>2812347</v>
      </c>
      <c r="D11" s="432">
        <v>5436566</v>
      </c>
      <c r="E11" s="434">
        <v>0.72024544087454867</v>
      </c>
      <c r="F11" s="206"/>
    </row>
    <row r="12" spans="1:7" s="188" customFormat="1" ht="36" customHeight="1" thickBot="1">
      <c r="A12" s="435" t="s">
        <v>1951</v>
      </c>
      <c r="B12" s="291">
        <v>3703143</v>
      </c>
      <c r="C12" s="290">
        <v>3845070</v>
      </c>
      <c r="D12" s="291">
        <v>7548213</v>
      </c>
      <c r="E12" s="389">
        <v>1</v>
      </c>
      <c r="F12" s="206"/>
    </row>
    <row r="13" spans="1:7" ht="19.5" customHeight="1">
      <c r="B13" s="136"/>
      <c r="C13" s="136"/>
      <c r="D13" s="136"/>
      <c r="E13" s="436"/>
      <c r="F13" s="437"/>
    </row>
    <row r="14" spans="1:7">
      <c r="A14" s="3" t="s">
        <v>453</v>
      </c>
      <c r="D14"/>
      <c r="E14"/>
      <c r="F14"/>
      <c r="G14"/>
    </row>
    <row r="15" spans="1:7">
      <c r="D15"/>
      <c r="E15"/>
      <c r="F15"/>
      <c r="G15"/>
    </row>
    <row r="16" spans="1:7">
      <c r="A16" s="2" t="s">
        <v>2270</v>
      </c>
      <c r="D16"/>
      <c r="E16"/>
      <c r="F16"/>
      <c r="G16"/>
    </row>
    <row r="19" spans="1:1">
      <c r="A19" s="207" t="s">
        <v>1955</v>
      </c>
    </row>
  </sheetData>
  <mergeCells count="1">
    <mergeCell ref="A3:E3"/>
  </mergeCells>
  <phoneticPr fontId="0" type="noConversion"/>
  <pageMargins left="0.67" right="0.67" top="0.87" bottom="0.49" header="0.56000000000000005" footer="0.4921259845"/>
  <pageSetup paperSize="9" scale="78" orientation="portrait" horizontalDpi="1200" verticalDpi="1200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961B-7ACE-8247-B241-FCB90ED2610E}">
  <sheetPr>
    <pageSetUpPr fitToPage="1"/>
  </sheetPr>
  <dimension ref="A1:G38"/>
  <sheetViews>
    <sheetView zoomScale="75" workbookViewId="0">
      <selection activeCell="H3" sqref="H3"/>
    </sheetView>
  </sheetViews>
  <sheetFormatPr baseColWidth="10" defaultColWidth="11.3984375" defaultRowHeight="13"/>
  <cols>
    <col min="1" max="1" width="19.3984375" style="2" customWidth="1"/>
    <col min="2" max="2" width="17.3984375" style="2" customWidth="1"/>
    <col min="3" max="3" width="16.3984375" style="2" customWidth="1"/>
    <col min="4" max="4" width="17.796875" style="2" customWidth="1"/>
    <col min="5" max="5" width="18.796875" style="446" customWidth="1"/>
    <col min="6" max="6" width="19.796875" style="446" customWidth="1"/>
    <col min="7" max="7" width="18.19921875" style="2" customWidth="1"/>
    <col min="8" max="16384" width="11.3984375" style="2"/>
  </cols>
  <sheetData>
    <row r="1" spans="1:6" ht="51.75" customHeight="1">
      <c r="A1" s="1697" t="s">
        <v>503</v>
      </c>
      <c r="B1" s="1710"/>
      <c r="C1" s="1710"/>
      <c r="D1" s="1710"/>
      <c r="E1" s="265">
        <v>2006</v>
      </c>
      <c r="F1" s="327"/>
    </row>
    <row r="2" spans="1:6" ht="19.5" customHeight="1">
      <c r="A2" s="326"/>
      <c r="B2" s="327"/>
      <c r="C2" s="327"/>
      <c r="D2" s="327"/>
      <c r="E2" s="327"/>
      <c r="F2" s="327"/>
    </row>
    <row r="3" spans="1:6" ht="39.75" customHeight="1">
      <c r="A3" s="1724" t="s">
        <v>1386</v>
      </c>
      <c r="B3" s="1698"/>
      <c r="C3" s="1698"/>
      <c r="D3" s="1698"/>
      <c r="E3" s="1698"/>
      <c r="F3" s="216"/>
    </row>
    <row r="4" spans="1:6" ht="12.75" customHeight="1">
      <c r="A4" s="425"/>
      <c r="B4" s="258"/>
      <c r="C4" s="258"/>
      <c r="D4" s="258"/>
      <c r="E4" s="258"/>
      <c r="F4" s="426"/>
    </row>
    <row r="5" spans="1:6" ht="24" customHeight="1">
      <c r="A5" s="328" t="s">
        <v>2305</v>
      </c>
      <c r="B5" s="427" t="s">
        <v>891</v>
      </c>
      <c r="C5" s="284" t="s">
        <v>892</v>
      </c>
      <c r="D5" s="427" t="s">
        <v>1951</v>
      </c>
      <c r="E5" s="428" t="s">
        <v>1379</v>
      </c>
      <c r="F5" s="206"/>
    </row>
    <row r="6" spans="1:6" ht="15" customHeight="1">
      <c r="A6" s="248"/>
      <c r="B6" s="117"/>
      <c r="C6" s="118"/>
      <c r="D6" s="143"/>
      <c r="E6" s="429" t="s">
        <v>2294</v>
      </c>
      <c r="F6" s="206"/>
    </row>
    <row r="7" spans="1:6" ht="15" customHeight="1">
      <c r="A7" s="116"/>
      <c r="B7" s="117"/>
      <c r="C7" s="118"/>
      <c r="D7" s="117"/>
      <c r="E7" s="429"/>
      <c r="F7" s="206"/>
    </row>
    <row r="8" spans="1:6" ht="24" customHeight="1">
      <c r="A8" s="315"/>
      <c r="B8" s="348"/>
      <c r="C8" s="349"/>
      <c r="D8" s="348"/>
      <c r="E8" s="430"/>
      <c r="F8" s="206"/>
    </row>
    <row r="9" spans="1:6" ht="45" customHeight="1" thickBot="1">
      <c r="A9" s="431" t="s">
        <v>42</v>
      </c>
      <c r="B9" s="432">
        <v>778412</v>
      </c>
      <c r="C9" s="433">
        <v>739833</v>
      </c>
      <c r="D9" s="432">
        <v>1518246</v>
      </c>
      <c r="E9" s="434">
        <v>0.20301670310702957</v>
      </c>
      <c r="F9" s="206"/>
    </row>
    <row r="10" spans="1:6" ht="34.5" customHeight="1" thickBot="1">
      <c r="A10" s="431" t="s">
        <v>1380</v>
      </c>
      <c r="B10" s="432">
        <v>312963</v>
      </c>
      <c r="C10" s="433">
        <v>308718</v>
      </c>
      <c r="D10" s="432">
        <v>621681</v>
      </c>
      <c r="E10" s="434">
        <v>8.3129892655262216E-2</v>
      </c>
      <c r="F10" s="206"/>
    </row>
    <row r="11" spans="1:6" ht="32.25" customHeight="1" thickBot="1">
      <c r="A11" s="431" t="s">
        <v>44</v>
      </c>
      <c r="B11" s="432">
        <v>2573567</v>
      </c>
      <c r="C11" s="433">
        <v>2764936</v>
      </c>
      <c r="D11" s="432">
        <v>5338503</v>
      </c>
      <c r="E11" s="434">
        <v>0.71385353795563211</v>
      </c>
      <c r="F11" s="206"/>
    </row>
    <row r="12" spans="1:6" s="188" customFormat="1" ht="36" customHeight="1" thickBot="1">
      <c r="A12" s="435" t="s">
        <v>1951</v>
      </c>
      <c r="B12" s="291">
        <v>3664942</v>
      </c>
      <c r="C12" s="290">
        <v>3813487</v>
      </c>
      <c r="D12" s="291">
        <v>7478429</v>
      </c>
      <c r="E12" s="389">
        <v>1</v>
      </c>
      <c r="F12" s="206"/>
    </row>
    <row r="13" spans="1:6" ht="17.25" customHeight="1">
      <c r="B13" s="136"/>
      <c r="C13" s="136"/>
      <c r="D13" s="136"/>
      <c r="E13" s="436"/>
      <c r="F13" s="437"/>
    </row>
    <row r="14" spans="1:6" ht="17.25" customHeight="1" thickBot="1">
      <c r="A14" s="1690" t="s">
        <v>501</v>
      </c>
      <c r="B14" s="1691">
        <v>38.989644340224253</v>
      </c>
      <c r="C14" s="1692">
        <v>41.487599567168878</v>
      </c>
      <c r="D14" s="1691">
        <v>40.26444830407992</v>
      </c>
      <c r="E14" s="1693" t="s">
        <v>1412</v>
      </c>
      <c r="F14" s="437"/>
    </row>
    <row r="15" spans="1:6" ht="17.25" customHeight="1">
      <c r="B15" s="3"/>
      <c r="C15" s="3"/>
      <c r="D15" s="3"/>
      <c r="E15" s="437"/>
      <c r="F15" s="437"/>
    </row>
    <row r="16" spans="1:6" ht="19.5" customHeight="1" thickBot="1">
      <c r="A16" s="438" t="s">
        <v>1381</v>
      </c>
      <c r="B16" s="439">
        <v>26043</v>
      </c>
      <c r="C16" s="440">
        <v>27973</v>
      </c>
      <c r="D16" s="439">
        <v>54016</v>
      </c>
      <c r="E16" s="441">
        <v>7.2229073780067984E-3</v>
      </c>
      <c r="F16" s="437"/>
    </row>
    <row r="17" spans="1:7" ht="46.5" customHeight="1">
      <c r="B17" s="3"/>
      <c r="C17" s="3"/>
      <c r="D17" s="3"/>
      <c r="E17" s="437"/>
      <c r="F17" s="437"/>
    </row>
    <row r="18" spans="1:7" ht="38.25" customHeight="1">
      <c r="A18" s="1723" t="s">
        <v>1387</v>
      </c>
      <c r="B18" s="1698"/>
      <c r="C18" s="1698"/>
      <c r="D18" s="1698"/>
      <c r="E18" s="1698"/>
      <c r="F18" s="216"/>
    </row>
    <row r="19" spans="1:7" ht="15" customHeight="1">
      <c r="A19" s="442"/>
      <c r="B19" s="327"/>
      <c r="C19" s="327"/>
      <c r="D19" s="327"/>
      <c r="E19" s="327"/>
      <c r="F19" s="327"/>
    </row>
    <row r="20" spans="1:7" ht="38.25" customHeight="1">
      <c r="A20" s="443"/>
      <c r="B20" s="444" t="s">
        <v>115</v>
      </c>
      <c r="C20" s="445" t="s">
        <v>116</v>
      </c>
      <c r="D20" s="444" t="s">
        <v>42</v>
      </c>
      <c r="E20" s="445" t="s">
        <v>1951</v>
      </c>
    </row>
    <row r="21" spans="1:7" ht="39" customHeight="1" thickBot="1">
      <c r="A21" s="447" t="s">
        <v>1951</v>
      </c>
      <c r="B21" s="448">
        <v>9381</v>
      </c>
      <c r="C21" s="449">
        <v>6582</v>
      </c>
      <c r="D21" s="448">
        <v>2274</v>
      </c>
      <c r="E21" s="450">
        <v>18237</v>
      </c>
      <c r="F21" s="451"/>
      <c r="G21" s="451"/>
    </row>
    <row r="22" spans="1:7" ht="39.75" customHeight="1">
      <c r="D22"/>
      <c r="E22"/>
      <c r="F22"/>
      <c r="G22"/>
    </row>
    <row r="23" spans="1:7" ht="42" customHeight="1">
      <c r="A23" s="1723" t="s">
        <v>1388</v>
      </c>
      <c r="B23" s="1698"/>
      <c r="C23" s="1698"/>
      <c r="D23" s="1698"/>
      <c r="E23" s="1698"/>
      <c r="F23" s="216"/>
    </row>
    <row r="24" spans="1:7" ht="15" customHeight="1">
      <c r="A24" s="442"/>
      <c r="B24" s="327"/>
      <c r="C24" s="327"/>
      <c r="D24" s="327"/>
      <c r="E24" s="327"/>
      <c r="F24" s="327"/>
    </row>
    <row r="25" spans="1:7" ht="38.25" customHeight="1">
      <c r="A25" s="443"/>
      <c r="B25" s="444" t="s">
        <v>115</v>
      </c>
      <c r="C25" s="445" t="s">
        <v>116</v>
      </c>
      <c r="D25" s="444" t="s">
        <v>42</v>
      </c>
      <c r="E25" s="445" t="s">
        <v>1951</v>
      </c>
    </row>
    <row r="26" spans="1:7" ht="39" customHeight="1" thickBot="1">
      <c r="A26" s="447" t="s">
        <v>1951</v>
      </c>
      <c r="B26" s="448">
        <v>7153</v>
      </c>
      <c r="C26" s="449">
        <v>4457</v>
      </c>
      <c r="D26" s="448">
        <v>2032</v>
      </c>
      <c r="E26" s="450">
        <v>13642</v>
      </c>
      <c r="F26" s="451"/>
      <c r="G26" s="451"/>
    </row>
    <row r="27" spans="1:7">
      <c r="D27"/>
      <c r="E27"/>
      <c r="F27"/>
      <c r="G27"/>
    </row>
    <row r="28" spans="1:7">
      <c r="A28" s="3" t="s">
        <v>453</v>
      </c>
      <c r="D28"/>
      <c r="E28"/>
      <c r="F28"/>
      <c r="G28"/>
    </row>
    <row r="29" spans="1:7">
      <c r="D29"/>
      <c r="E29"/>
      <c r="F29"/>
      <c r="G29"/>
    </row>
    <row r="30" spans="1:7">
      <c r="A30" s="2" t="s">
        <v>1382</v>
      </c>
      <c r="D30"/>
      <c r="E30"/>
      <c r="F30"/>
      <c r="G30"/>
    </row>
    <row r="31" spans="1:7">
      <c r="A31" s="2" t="s">
        <v>1383</v>
      </c>
      <c r="D31"/>
      <c r="E31"/>
      <c r="F31"/>
      <c r="G31"/>
    </row>
    <row r="32" spans="1:7">
      <c r="A32" s="2" t="s">
        <v>1384</v>
      </c>
      <c r="D32"/>
      <c r="E32"/>
      <c r="F32"/>
      <c r="G32"/>
    </row>
    <row r="33" spans="1:7">
      <c r="A33" s="2" t="s">
        <v>1385</v>
      </c>
      <c r="D33"/>
      <c r="E33"/>
      <c r="F33"/>
      <c r="G33"/>
    </row>
    <row r="34" spans="1:7">
      <c r="D34"/>
      <c r="E34"/>
      <c r="F34"/>
      <c r="G34"/>
    </row>
    <row r="35" spans="1:7">
      <c r="A35" s="2" t="s">
        <v>502</v>
      </c>
      <c r="D35"/>
      <c r="E35"/>
      <c r="F35"/>
      <c r="G35"/>
    </row>
    <row r="38" spans="1:7">
      <c r="A38" s="207" t="s">
        <v>1955</v>
      </c>
    </row>
  </sheetData>
  <mergeCells count="4">
    <mergeCell ref="A1:D1"/>
    <mergeCell ref="A18:E18"/>
    <mergeCell ref="A23:E23"/>
    <mergeCell ref="A3:E3"/>
  </mergeCells>
  <phoneticPr fontId="0" type="noConversion"/>
  <pageMargins left="0.57999999999999996" right="0.63" top="0.69" bottom="0.49" header="0.49" footer="0.4921259845"/>
  <pageSetup paperSize="9" scale="83" orientation="portrait" horizontalDpi="1200" verticalDpi="1200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EC80-9426-9C42-983A-7B819D85D615}">
  <sheetPr>
    <pageSetUpPr fitToPage="1"/>
  </sheetPr>
  <dimension ref="A1:H52"/>
  <sheetViews>
    <sheetView topLeftCell="A28" zoomScale="75" workbookViewId="0">
      <selection activeCell="A42" sqref="A42"/>
    </sheetView>
  </sheetViews>
  <sheetFormatPr baseColWidth="10" defaultColWidth="11.3984375" defaultRowHeight="13"/>
  <cols>
    <col min="1" max="2" width="14.796875" style="2" customWidth="1"/>
    <col min="3" max="3" width="15.796875" style="2" customWidth="1"/>
    <col min="4" max="4" width="16" style="2" customWidth="1"/>
    <col min="5" max="6" width="15.3984375" style="2" customWidth="1"/>
    <col min="7" max="7" width="16.7968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39" customHeight="1">
      <c r="A2" s="1695" t="s">
        <v>90</v>
      </c>
      <c r="B2" s="1699"/>
      <c r="C2" s="1699"/>
      <c r="D2" s="1699"/>
      <c r="E2" s="1699"/>
      <c r="F2" s="112">
        <v>2006</v>
      </c>
    </row>
    <row r="3" spans="1:8" ht="27" customHeight="1">
      <c r="A3" s="113" t="s">
        <v>41</v>
      </c>
      <c r="B3" s="114" t="s">
        <v>42</v>
      </c>
      <c r="C3" s="115" t="s">
        <v>43</v>
      </c>
      <c r="D3" s="114" t="s">
        <v>44</v>
      </c>
      <c r="E3" s="115" t="s">
        <v>1951</v>
      </c>
      <c r="F3" s="114" t="s">
        <v>45</v>
      </c>
    </row>
    <row r="4" spans="1:8" ht="15" customHeight="1">
      <c r="A4" s="116"/>
      <c r="B4" s="117"/>
      <c r="C4" s="118" t="s">
        <v>44</v>
      </c>
      <c r="D4" s="119"/>
      <c r="E4" s="118"/>
      <c r="F4" s="117" t="s">
        <v>46</v>
      </c>
    </row>
    <row r="5" spans="1:8" ht="15" customHeight="1">
      <c r="A5" s="116"/>
      <c r="B5" s="117" t="s">
        <v>47</v>
      </c>
      <c r="C5" s="118" t="s">
        <v>48</v>
      </c>
      <c r="D5" s="117" t="s">
        <v>49</v>
      </c>
      <c r="E5" s="118"/>
      <c r="F5" s="117" t="s">
        <v>50</v>
      </c>
    </row>
    <row r="6" spans="1:8" ht="24" customHeight="1">
      <c r="A6" s="120"/>
      <c r="B6" s="121"/>
      <c r="C6" s="120"/>
      <c r="D6" s="121"/>
      <c r="E6" s="122"/>
      <c r="F6" s="123"/>
      <c r="H6" s="124"/>
    </row>
    <row r="7" spans="1:8" ht="30" customHeight="1" thickBot="1">
      <c r="A7" s="125" t="s">
        <v>51</v>
      </c>
      <c r="B7" s="126">
        <v>242294</v>
      </c>
      <c r="C7" s="127">
        <v>100216</v>
      </c>
      <c r="D7" s="126">
        <v>942306</v>
      </c>
      <c r="E7" s="127">
        <v>1284816</v>
      </c>
      <c r="F7" s="128">
        <v>8.051443877623075E-3</v>
      </c>
      <c r="H7" s="129"/>
    </row>
    <row r="8" spans="1:8" ht="20" customHeight="1" thickBot="1">
      <c r="A8" s="130" t="s">
        <v>52</v>
      </c>
      <c r="B8" s="126">
        <v>185277</v>
      </c>
      <c r="C8" s="127">
        <v>78499</v>
      </c>
      <c r="D8" s="126">
        <v>696183</v>
      </c>
      <c r="E8" s="127">
        <v>959959</v>
      </c>
      <c r="F8" s="128">
        <v>1.5399334156161351E-3</v>
      </c>
      <c r="H8" s="129"/>
    </row>
    <row r="9" spans="1:8" ht="20" customHeight="1" thickBot="1">
      <c r="A9" s="130" t="s">
        <v>53</v>
      </c>
      <c r="B9" s="126">
        <v>77698</v>
      </c>
      <c r="C9" s="127">
        <v>32820</v>
      </c>
      <c r="D9" s="126">
        <v>250048</v>
      </c>
      <c r="E9" s="127">
        <v>360566</v>
      </c>
      <c r="F9" s="128">
        <v>3.9929608054977E-3</v>
      </c>
      <c r="H9" s="129"/>
    </row>
    <row r="10" spans="1:8" ht="20" customHeight="1" thickBot="1">
      <c r="A10" s="130" t="s">
        <v>54</v>
      </c>
      <c r="B10" s="126">
        <v>7472</v>
      </c>
      <c r="C10" s="127">
        <v>3163</v>
      </c>
      <c r="D10" s="126">
        <v>24563</v>
      </c>
      <c r="E10" s="127">
        <v>35198</v>
      </c>
      <c r="F10" s="128">
        <v>-1.0500922378317015E-3</v>
      </c>
      <c r="H10" s="129"/>
    </row>
    <row r="11" spans="1:8" ht="20" customHeight="1" thickBot="1">
      <c r="A11" s="130" t="s">
        <v>55</v>
      </c>
      <c r="B11" s="126">
        <v>30004</v>
      </c>
      <c r="C11" s="127">
        <v>11970</v>
      </c>
      <c r="D11" s="126">
        <v>96641</v>
      </c>
      <c r="E11" s="127">
        <v>138615</v>
      </c>
      <c r="F11" s="128">
        <v>1.0011585459155791E-2</v>
      </c>
      <c r="H11" s="129"/>
    </row>
    <row r="12" spans="1:8" ht="20" customHeight="1" thickBot="1">
      <c r="A12" s="130" t="s">
        <v>56</v>
      </c>
      <c r="B12" s="126">
        <v>7607</v>
      </c>
      <c r="C12" s="127">
        <v>3234</v>
      </c>
      <c r="D12" s="126">
        <v>23291</v>
      </c>
      <c r="E12" s="127">
        <v>34132</v>
      </c>
      <c r="F12" s="128">
        <v>6.428023824969039E-3</v>
      </c>
      <c r="H12" s="129"/>
    </row>
    <row r="13" spans="1:8" ht="20" customHeight="1" thickBot="1">
      <c r="A13" s="130" t="s">
        <v>57</v>
      </c>
      <c r="B13" s="126">
        <v>8032</v>
      </c>
      <c r="C13" s="127">
        <v>3324</v>
      </c>
      <c r="D13" s="126">
        <v>28257</v>
      </c>
      <c r="E13" s="127">
        <v>39613</v>
      </c>
      <c r="F13" s="128">
        <v>6.837128914192761E-3</v>
      </c>
      <c r="H13" s="129"/>
    </row>
    <row r="14" spans="1:8" ht="20" customHeight="1" thickBot="1">
      <c r="A14" s="130" t="s">
        <v>58</v>
      </c>
      <c r="B14" s="126">
        <v>7964</v>
      </c>
      <c r="C14" s="127">
        <v>3680</v>
      </c>
      <c r="D14" s="126">
        <v>26714</v>
      </c>
      <c r="E14" s="127">
        <v>38358</v>
      </c>
      <c r="F14" s="128">
        <v>-4.4640539839086429E-3</v>
      </c>
      <c r="H14" s="129"/>
    </row>
    <row r="15" spans="1:8" ht="20" customHeight="1" thickBot="1">
      <c r="A15" s="130" t="s">
        <v>59</v>
      </c>
      <c r="B15" s="126">
        <v>21367</v>
      </c>
      <c r="C15" s="127">
        <v>8349</v>
      </c>
      <c r="D15" s="126">
        <v>77011</v>
      </c>
      <c r="E15" s="127">
        <v>106727</v>
      </c>
      <c r="F15" s="128">
        <v>1.2590132827324478E-2</v>
      </c>
      <c r="H15" s="129"/>
    </row>
    <row r="16" spans="1:8" ht="20" customHeight="1" thickBot="1">
      <c r="A16" s="130" t="s">
        <v>60</v>
      </c>
      <c r="B16" s="126">
        <v>60254</v>
      </c>
      <c r="C16" s="127">
        <v>22395</v>
      </c>
      <c r="D16" s="126">
        <v>176882</v>
      </c>
      <c r="E16" s="127">
        <v>259531</v>
      </c>
      <c r="F16" s="128">
        <v>2.2037135487427886E-2</v>
      </c>
      <c r="H16" s="129"/>
    </row>
    <row r="17" spans="1:8" ht="20" customHeight="1" thickBot="1">
      <c r="A17" s="130" t="s">
        <v>61</v>
      </c>
      <c r="B17" s="126">
        <v>50340</v>
      </c>
      <c r="C17" s="127">
        <v>21415</v>
      </c>
      <c r="D17" s="126">
        <v>178686</v>
      </c>
      <c r="E17" s="127">
        <v>250441</v>
      </c>
      <c r="F17" s="128">
        <v>3.0961116362529439E-3</v>
      </c>
      <c r="H17" s="129"/>
    </row>
    <row r="18" spans="1:8" ht="20" customHeight="1" thickBot="1">
      <c r="A18" s="130" t="s">
        <v>62</v>
      </c>
      <c r="B18" s="126">
        <v>28493</v>
      </c>
      <c r="C18" s="127">
        <v>13228</v>
      </c>
      <c r="D18" s="126">
        <v>137487</v>
      </c>
      <c r="E18" s="127">
        <v>179208</v>
      </c>
      <c r="F18" s="128">
        <v>-1.699340668985113E-2</v>
      </c>
      <c r="H18" s="129"/>
    </row>
    <row r="19" spans="1:8" ht="20" customHeight="1" thickBot="1">
      <c r="A19" s="130" t="s">
        <v>63</v>
      </c>
      <c r="B19" s="126">
        <v>50506</v>
      </c>
      <c r="C19" s="127">
        <v>21000</v>
      </c>
      <c r="D19" s="126">
        <v>195548</v>
      </c>
      <c r="E19" s="127">
        <v>267054</v>
      </c>
      <c r="F19" s="128">
        <v>3.5549476152539569E-3</v>
      </c>
      <c r="H19" s="129"/>
    </row>
    <row r="20" spans="1:8" ht="20" customHeight="1" thickBot="1">
      <c r="A20" s="130" t="s">
        <v>64</v>
      </c>
      <c r="B20" s="126">
        <v>14441</v>
      </c>
      <c r="C20" s="127">
        <v>6551</v>
      </c>
      <c r="D20" s="126">
        <v>54354</v>
      </c>
      <c r="E20" s="127">
        <v>75346</v>
      </c>
      <c r="F20" s="128">
        <v>3.529521450167153E-3</v>
      </c>
      <c r="H20" s="129"/>
    </row>
    <row r="21" spans="1:8" ht="20" customHeight="1" thickBot="1">
      <c r="A21" s="130" t="s">
        <v>65</v>
      </c>
      <c r="B21" s="126">
        <v>11508</v>
      </c>
      <c r="C21" s="127">
        <v>4655</v>
      </c>
      <c r="D21" s="126">
        <v>37062</v>
      </c>
      <c r="E21" s="127">
        <v>53225</v>
      </c>
      <c r="F21" s="128">
        <v>-3.6689691319892925E-3</v>
      </c>
      <c r="H21" s="129"/>
    </row>
    <row r="22" spans="1:8" ht="20" customHeight="1" thickBot="1">
      <c r="A22" s="130" t="s">
        <v>66</v>
      </c>
      <c r="B22" s="126">
        <v>3737</v>
      </c>
      <c r="C22" s="127">
        <v>1500</v>
      </c>
      <c r="D22" s="126">
        <v>10058</v>
      </c>
      <c r="E22" s="127">
        <v>15295</v>
      </c>
      <c r="F22" s="128">
        <v>9.97094558901215E-3</v>
      </c>
      <c r="H22" s="129"/>
    </row>
    <row r="23" spans="1:8" ht="20" customHeight="1" thickBot="1">
      <c r="A23" s="130" t="s">
        <v>67</v>
      </c>
      <c r="B23" s="126">
        <v>101643</v>
      </c>
      <c r="C23" s="127">
        <v>43796</v>
      </c>
      <c r="D23" s="126">
        <v>319279</v>
      </c>
      <c r="E23" s="127">
        <v>464718</v>
      </c>
      <c r="F23" s="128">
        <v>3.3573493564900479E-3</v>
      </c>
      <c r="H23" s="129"/>
    </row>
    <row r="24" spans="1:8" ht="20" customHeight="1" thickBot="1">
      <c r="A24" s="130" t="s">
        <v>68</v>
      </c>
      <c r="B24" s="126">
        <v>37087</v>
      </c>
      <c r="C24" s="127">
        <v>18023</v>
      </c>
      <c r="D24" s="126">
        <v>138489</v>
      </c>
      <c r="E24" s="127">
        <v>193599</v>
      </c>
      <c r="F24" s="128">
        <v>8.4265596889927417E-4</v>
      </c>
      <c r="H24" s="129"/>
    </row>
    <row r="25" spans="1:8" ht="20" customHeight="1" thickBot="1">
      <c r="A25" s="130" t="s">
        <v>69</v>
      </c>
      <c r="B25" s="126">
        <v>120386</v>
      </c>
      <c r="C25" s="127">
        <v>50739</v>
      </c>
      <c r="D25" s="126">
        <v>407911</v>
      </c>
      <c r="E25" s="127">
        <v>579036</v>
      </c>
      <c r="F25" s="128">
        <v>8.6628122697334619E-3</v>
      </c>
      <c r="H25" s="129"/>
    </row>
    <row r="26" spans="1:8" ht="20" customHeight="1" thickBot="1">
      <c r="A26" s="130" t="s">
        <v>70</v>
      </c>
      <c r="B26" s="126">
        <v>52743</v>
      </c>
      <c r="C26" s="127">
        <v>21679</v>
      </c>
      <c r="D26" s="126">
        <v>162812</v>
      </c>
      <c r="E26" s="127">
        <v>237234</v>
      </c>
      <c r="F26" s="128">
        <v>7.6026571074225722E-3</v>
      </c>
      <c r="H26" s="129"/>
    </row>
    <row r="27" spans="1:8" ht="20" customHeight="1" thickBot="1">
      <c r="A27" s="130" t="s">
        <v>71</v>
      </c>
      <c r="B27" s="126">
        <v>57690</v>
      </c>
      <c r="C27" s="127">
        <v>22499</v>
      </c>
      <c r="D27" s="126">
        <v>239163</v>
      </c>
      <c r="E27" s="127">
        <v>319352</v>
      </c>
      <c r="F27" s="128">
        <v>5.1429254873818922E-3</v>
      </c>
      <c r="H27" s="129"/>
    </row>
    <row r="28" spans="1:8" ht="20" customHeight="1" thickBot="1">
      <c r="A28" s="130" t="s">
        <v>72</v>
      </c>
      <c r="B28" s="126">
        <v>142650</v>
      </c>
      <c r="C28" s="127">
        <v>50744</v>
      </c>
      <c r="D28" s="126">
        <v>459598</v>
      </c>
      <c r="E28" s="127">
        <v>652992</v>
      </c>
      <c r="F28" s="128">
        <v>8.8729376175165978E-3</v>
      </c>
      <c r="H28" s="129"/>
    </row>
    <row r="29" spans="1:8" ht="20" customHeight="1" thickBot="1">
      <c r="A29" s="130" t="s">
        <v>73</v>
      </c>
      <c r="B29" s="126">
        <v>61724</v>
      </c>
      <c r="C29" s="127">
        <v>26488</v>
      </c>
      <c r="D29" s="126">
        <v>210640</v>
      </c>
      <c r="E29" s="127">
        <v>298852</v>
      </c>
      <c r="F29" s="128">
        <v>8.7456668275608333E-3</v>
      </c>
      <c r="H29" s="129"/>
    </row>
    <row r="30" spans="1:8" ht="20" customHeight="1" thickBot="1">
      <c r="A30" s="130" t="s">
        <v>74</v>
      </c>
      <c r="B30" s="126">
        <v>36227</v>
      </c>
      <c r="C30" s="127">
        <v>13424</v>
      </c>
      <c r="D30" s="126">
        <v>119962</v>
      </c>
      <c r="E30" s="127">
        <v>169613</v>
      </c>
      <c r="F30" s="128">
        <v>4.2511619645341781E-3</v>
      </c>
      <c r="H30" s="129"/>
    </row>
    <row r="31" spans="1:8" ht="20" customHeight="1" thickBot="1">
      <c r="A31" s="130" t="s">
        <v>75</v>
      </c>
      <c r="B31" s="126">
        <v>87168</v>
      </c>
      <c r="C31" s="127">
        <v>30426</v>
      </c>
      <c r="D31" s="126">
        <v>288079</v>
      </c>
      <c r="E31" s="127">
        <v>405673</v>
      </c>
      <c r="F31" s="128">
        <v>1.0486645095562979E-2</v>
      </c>
      <c r="H31" s="129"/>
    </row>
    <row r="32" spans="1:8" ht="20" customHeight="1" thickBot="1">
      <c r="A32" s="131" t="s">
        <v>76</v>
      </c>
      <c r="B32" s="126">
        <v>15577</v>
      </c>
      <c r="C32" s="127">
        <v>5890</v>
      </c>
      <c r="D32" s="126">
        <v>48110</v>
      </c>
      <c r="E32" s="127">
        <v>69577</v>
      </c>
      <c r="F32" s="128">
        <v>3.738264007706575E-4</v>
      </c>
      <c r="H32" s="129"/>
    </row>
    <row r="33" spans="1:8" ht="30" customHeight="1" thickBot="1">
      <c r="A33" s="132" t="s">
        <v>1944</v>
      </c>
      <c r="B33" s="133">
        <v>1519889</v>
      </c>
      <c r="C33" s="134">
        <v>619707</v>
      </c>
      <c r="D33" s="133">
        <v>5349134</v>
      </c>
      <c r="E33" s="134">
        <v>7488730</v>
      </c>
      <c r="F33" s="135">
        <v>5.9090050033990442E-3</v>
      </c>
      <c r="H33" s="129"/>
    </row>
    <row r="34" spans="1:8" ht="20" customHeight="1">
      <c r="A34" s="136" t="s">
        <v>121</v>
      </c>
      <c r="B34" s="136"/>
      <c r="C34" s="136"/>
      <c r="D34" s="136"/>
      <c r="E34" s="136"/>
      <c r="F34" s="136"/>
      <c r="H34" s="124"/>
    </row>
    <row r="35" spans="1:8" ht="11.25" customHeight="1">
      <c r="A35" s="3"/>
      <c r="B35" s="3"/>
      <c r="C35" s="3"/>
      <c r="D35" s="3"/>
      <c r="E35" s="3"/>
      <c r="F35" s="3"/>
      <c r="H35" s="124"/>
    </row>
    <row r="36" spans="1:8" ht="14.25" customHeight="1">
      <c r="A36" s="3" t="s">
        <v>77</v>
      </c>
      <c r="B36" s="3"/>
      <c r="C36" s="3"/>
      <c r="D36" s="3"/>
      <c r="E36" s="3"/>
      <c r="F36" s="3"/>
      <c r="H36" s="124"/>
    </row>
    <row r="37" spans="1:8" ht="13.5" customHeight="1">
      <c r="A37" s="3"/>
      <c r="B37" s="3"/>
      <c r="C37" s="3"/>
      <c r="D37" s="3"/>
      <c r="E37" s="3"/>
      <c r="F37" s="3"/>
      <c r="H37" s="124"/>
    </row>
    <row r="38" spans="1:8" ht="12" customHeight="1">
      <c r="A38" s="3" t="s">
        <v>78</v>
      </c>
    </row>
    <row r="39" spans="1:8" ht="12" customHeight="1">
      <c r="A39" s="2" t="s">
        <v>79</v>
      </c>
    </row>
    <row r="40" spans="1:8" ht="12" customHeight="1">
      <c r="A40" s="2" t="s">
        <v>80</v>
      </c>
    </row>
    <row r="41" spans="1:8" ht="12" customHeight="1">
      <c r="A41" s="2" t="s">
        <v>81</v>
      </c>
    </row>
    <row r="42" spans="1:8" ht="12" customHeight="1">
      <c r="A42" s="2" t="s">
        <v>82</v>
      </c>
    </row>
    <row r="43" spans="1:8" ht="12" customHeight="1">
      <c r="A43" s="2" t="s">
        <v>83</v>
      </c>
    </row>
    <row r="44" spans="1:8" ht="12" customHeight="1">
      <c r="A44" s="2" t="s">
        <v>84</v>
      </c>
    </row>
    <row r="45" spans="1:8" ht="12" customHeight="1">
      <c r="A45" s="2" t="s">
        <v>85</v>
      </c>
    </row>
    <row r="46" spans="1:8" ht="12" customHeight="1">
      <c r="A46" s="2" t="s">
        <v>86</v>
      </c>
    </row>
    <row r="47" spans="1:8" ht="12" customHeight="1">
      <c r="A47" s="2" t="s">
        <v>87</v>
      </c>
    </row>
    <row r="48" spans="1:8" ht="12" customHeight="1">
      <c r="A48" s="4" t="s">
        <v>88</v>
      </c>
    </row>
    <row r="49" spans="1:1" ht="12" customHeight="1">
      <c r="A49" s="4" t="s">
        <v>89</v>
      </c>
    </row>
    <row r="50" spans="1:1" ht="12" customHeight="1"/>
    <row r="51" spans="1:1" ht="12" customHeight="1"/>
    <row r="52" spans="1:1" ht="12" customHeight="1">
      <c r="A52" s="3" t="s">
        <v>1955</v>
      </c>
    </row>
  </sheetData>
  <mergeCells count="1">
    <mergeCell ref="A2:E2"/>
  </mergeCells>
  <phoneticPr fontId="0" type="noConversion"/>
  <pageMargins left="0.65" right="0.5" top="0.87" bottom="0.49" header="0.51" footer="0.4921259845"/>
  <pageSetup paperSize="9" scale="81" orientation="portrait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7181-5F74-994B-B028-CEB8014F3F67}">
  <dimension ref="A1:K41"/>
  <sheetViews>
    <sheetView topLeftCell="A18" zoomScale="75" workbookViewId="0">
      <selection activeCell="A32" sqref="A32"/>
    </sheetView>
  </sheetViews>
  <sheetFormatPr baseColWidth="10" defaultColWidth="11.3984375" defaultRowHeight="13"/>
  <cols>
    <col min="1" max="1" width="13.796875" style="2" customWidth="1"/>
    <col min="2" max="2" width="14.796875" style="158" customWidth="1"/>
    <col min="3" max="3" width="14.796875" style="159" customWidth="1"/>
    <col min="4" max="4" width="14.796875" style="158" customWidth="1"/>
    <col min="5" max="5" width="14.796875" style="159" customWidth="1"/>
    <col min="6" max="6" width="14.796875" style="158" customWidth="1"/>
    <col min="7" max="7" width="14.796875" style="159" customWidth="1"/>
    <col min="8" max="8" width="7.3984375" style="2" customWidth="1"/>
    <col min="9" max="9" width="8" style="2" customWidth="1"/>
    <col min="10" max="10" width="7.796875" style="2" customWidth="1"/>
    <col min="11" max="11" width="9" style="2" customWidth="1"/>
    <col min="12" max="16384" width="11.3984375" style="2"/>
  </cols>
  <sheetData>
    <row r="1" spans="1:11" s="1" customFormat="1" ht="18.75" customHeight="1">
      <c r="A1" s="137"/>
      <c r="B1" s="138"/>
      <c r="C1" s="139"/>
      <c r="D1" s="140"/>
      <c r="E1" s="139"/>
      <c r="F1" s="140"/>
      <c r="G1" s="139"/>
    </row>
    <row r="2" spans="1:11" s="1" customFormat="1" ht="42" customHeight="1">
      <c r="A2" s="1725" t="s">
        <v>114</v>
      </c>
      <c r="B2" s="1699"/>
      <c r="C2" s="1699"/>
      <c r="D2" s="1699"/>
      <c r="E2" s="1699"/>
      <c r="F2" s="1699"/>
      <c r="G2" s="141">
        <v>2006</v>
      </c>
    </row>
    <row r="3" spans="1:11" ht="27" customHeight="1">
      <c r="A3" s="113" t="s">
        <v>92</v>
      </c>
      <c r="B3" s="142" t="s">
        <v>93</v>
      </c>
      <c r="C3" s="115" t="s">
        <v>94</v>
      </c>
      <c r="D3" s="142" t="s">
        <v>95</v>
      </c>
      <c r="E3" s="115" t="s">
        <v>94</v>
      </c>
      <c r="F3" s="142" t="s">
        <v>1951</v>
      </c>
      <c r="G3" s="115" t="s">
        <v>45</v>
      </c>
    </row>
    <row r="4" spans="1:11" ht="15" customHeight="1">
      <c r="A4" s="116"/>
      <c r="B4" s="143"/>
      <c r="C4" s="118" t="s">
        <v>96</v>
      </c>
      <c r="D4" s="143"/>
      <c r="E4" s="118" t="s">
        <v>96</v>
      </c>
      <c r="F4" s="143"/>
      <c r="G4" s="118" t="s">
        <v>46</v>
      </c>
    </row>
    <row r="5" spans="1:11" ht="15" customHeight="1">
      <c r="A5" s="116"/>
      <c r="B5" s="143"/>
      <c r="C5" s="118" t="s">
        <v>93</v>
      </c>
      <c r="D5" s="143"/>
      <c r="E5" s="118" t="s">
        <v>95</v>
      </c>
      <c r="F5" s="143"/>
      <c r="G5" s="118" t="s">
        <v>50</v>
      </c>
    </row>
    <row r="6" spans="1:11" ht="19.5" customHeight="1">
      <c r="A6" s="120"/>
      <c r="B6" s="144"/>
      <c r="C6" s="122"/>
      <c r="D6" s="144"/>
      <c r="E6" s="122"/>
      <c r="F6" s="144"/>
      <c r="G6" s="122"/>
    </row>
    <row r="7" spans="1:11" ht="30" customHeight="1" thickBot="1">
      <c r="A7" s="125" t="s">
        <v>97</v>
      </c>
      <c r="B7" s="145">
        <v>779254</v>
      </c>
      <c r="C7" s="146">
        <v>0.21229758615410016</v>
      </c>
      <c r="D7" s="145">
        <v>740635</v>
      </c>
      <c r="E7" s="146">
        <v>0.19397729740007799</v>
      </c>
      <c r="F7" s="145">
        <v>1519889</v>
      </c>
      <c r="G7" s="146">
        <v>-4.5544957798542484E-3</v>
      </c>
      <c r="I7" s="100"/>
      <c r="J7" s="100"/>
      <c r="K7" s="100"/>
    </row>
    <row r="8" spans="1:11" ht="20" customHeight="1" thickBot="1">
      <c r="A8" s="130" t="s">
        <v>98</v>
      </c>
      <c r="B8" s="147">
        <v>310787</v>
      </c>
      <c r="C8" s="148">
        <v>8.4669863623509561E-2</v>
      </c>
      <c r="D8" s="147">
        <v>308920</v>
      </c>
      <c r="E8" s="148">
        <v>8.0908229712114726E-2</v>
      </c>
      <c r="F8" s="147">
        <v>619707</v>
      </c>
      <c r="G8" s="148">
        <v>9.8368917360417904E-4</v>
      </c>
      <c r="I8" s="100"/>
      <c r="J8" s="100"/>
      <c r="K8" s="100"/>
    </row>
    <row r="9" spans="1:11" ht="20" customHeight="1" thickBot="1">
      <c r="A9" s="130" t="s">
        <v>99</v>
      </c>
      <c r="B9" s="147">
        <v>239200</v>
      </c>
      <c r="C9" s="148">
        <v>6.5166919397347658E-2</v>
      </c>
      <c r="D9" s="147">
        <v>238892</v>
      </c>
      <c r="E9" s="148">
        <v>6.2567424616038175E-2</v>
      </c>
      <c r="F9" s="147">
        <v>478092</v>
      </c>
      <c r="G9" s="148">
        <v>1.406909190406801E-2</v>
      </c>
      <c r="I9" s="100"/>
      <c r="J9" s="100"/>
      <c r="K9" s="100"/>
    </row>
    <row r="10" spans="1:11" ht="20" customHeight="1" thickBot="1">
      <c r="A10" s="130" t="s">
        <v>100</v>
      </c>
      <c r="B10" s="147">
        <v>261824</v>
      </c>
      <c r="C10" s="148">
        <v>7.1330533044695457E-2</v>
      </c>
      <c r="D10" s="147">
        <v>262668</v>
      </c>
      <c r="E10" s="148">
        <v>6.8794519234823742E-2</v>
      </c>
      <c r="F10" s="147">
        <v>524492</v>
      </c>
      <c r="G10" s="148">
        <v>-2.2174329680491288E-2</v>
      </c>
      <c r="I10" s="100"/>
      <c r="J10" s="100"/>
      <c r="K10" s="100"/>
    </row>
    <row r="11" spans="1:11" ht="20" customHeight="1" thickBot="1">
      <c r="A11" s="130" t="s">
        <v>101</v>
      </c>
      <c r="B11" s="147">
        <v>305138</v>
      </c>
      <c r="C11" s="148">
        <v>8.3130867270350628E-2</v>
      </c>
      <c r="D11" s="147">
        <v>305077</v>
      </c>
      <c r="E11" s="148">
        <v>7.9901722115378826E-2</v>
      </c>
      <c r="F11" s="147">
        <v>610215</v>
      </c>
      <c r="G11" s="148">
        <v>-1.8959563221051818E-2</v>
      </c>
      <c r="I11" s="100"/>
      <c r="J11" s="100"/>
      <c r="K11" s="100"/>
    </row>
    <row r="12" spans="1:11" ht="20" customHeight="1" thickBot="1">
      <c r="A12" s="130" t="s">
        <v>102</v>
      </c>
      <c r="B12" s="147">
        <v>322067</v>
      </c>
      <c r="C12" s="148">
        <v>8.7742952464655397E-2</v>
      </c>
      <c r="D12" s="147">
        <v>314584</v>
      </c>
      <c r="E12" s="148">
        <v>8.2391669479981555E-2</v>
      </c>
      <c r="F12" s="147">
        <v>636651</v>
      </c>
      <c r="G12" s="148">
        <v>2.0010862581929984E-2</v>
      </c>
      <c r="I12" s="100"/>
      <c r="J12" s="100"/>
      <c r="K12" s="100"/>
    </row>
    <row r="13" spans="1:11" ht="20" customHeight="1" thickBot="1">
      <c r="A13" s="130" t="s">
        <v>103</v>
      </c>
      <c r="B13" s="147">
        <v>285473</v>
      </c>
      <c r="C13" s="148">
        <v>7.7773394569895613E-2</v>
      </c>
      <c r="D13" s="147">
        <v>277811</v>
      </c>
      <c r="E13" s="148">
        <v>7.2760572978610341E-2</v>
      </c>
      <c r="F13" s="147">
        <v>563284</v>
      </c>
      <c r="G13" s="148">
        <v>2.6332283831846541E-2</v>
      </c>
      <c r="I13" s="100"/>
      <c r="J13" s="100"/>
      <c r="K13" s="100"/>
    </row>
    <row r="14" spans="1:11" ht="20" customHeight="1" thickBot="1">
      <c r="A14" s="130" t="s">
        <v>104</v>
      </c>
      <c r="B14" s="147">
        <v>247605</v>
      </c>
      <c r="C14" s="148">
        <v>6.7456751995736905E-2</v>
      </c>
      <c r="D14" s="147">
        <v>245628</v>
      </c>
      <c r="E14" s="148">
        <v>6.4331628407766794E-2</v>
      </c>
      <c r="F14" s="147">
        <v>493233</v>
      </c>
      <c r="G14" s="148">
        <v>9.2425866965681492E-3</v>
      </c>
      <c r="I14" s="100"/>
      <c r="J14" s="100"/>
      <c r="K14" s="100"/>
    </row>
    <row r="15" spans="1:11" ht="20" customHeight="1" thickBot="1">
      <c r="A15" s="130" t="s">
        <v>105</v>
      </c>
      <c r="B15" s="147">
        <v>236719</v>
      </c>
      <c r="C15" s="148">
        <v>6.4491003314467985E-2</v>
      </c>
      <c r="D15" s="147">
        <v>238063</v>
      </c>
      <c r="E15" s="148">
        <v>6.2350303929674895E-2</v>
      </c>
      <c r="F15" s="147">
        <v>474782</v>
      </c>
      <c r="G15" s="148">
        <v>5.4275664469239909E-3</v>
      </c>
      <c r="I15" s="100"/>
      <c r="J15" s="100"/>
      <c r="K15" s="100"/>
    </row>
    <row r="16" spans="1:11" ht="20" customHeight="1" thickBot="1">
      <c r="A16" s="130" t="s">
        <v>106</v>
      </c>
      <c r="B16" s="147">
        <v>205058</v>
      </c>
      <c r="C16" s="148">
        <v>5.5865376913801494E-2</v>
      </c>
      <c r="D16" s="147">
        <v>211561</v>
      </c>
      <c r="E16" s="148">
        <v>5.5409251541255679E-2</v>
      </c>
      <c r="F16" s="147">
        <v>416619</v>
      </c>
      <c r="G16" s="148">
        <v>3.9058953805635503E-2</v>
      </c>
      <c r="I16" s="100"/>
      <c r="J16" s="100"/>
      <c r="K16" s="100"/>
    </row>
    <row r="17" spans="1:11" ht="20" customHeight="1" thickBot="1">
      <c r="A17" s="130" t="s">
        <v>107</v>
      </c>
      <c r="B17" s="147">
        <v>150822</v>
      </c>
      <c r="C17" s="148">
        <v>4.1089486276533319E-2</v>
      </c>
      <c r="D17" s="147">
        <v>171075</v>
      </c>
      <c r="E17" s="148">
        <v>4.4805695319176574E-2</v>
      </c>
      <c r="F17" s="147">
        <v>321897</v>
      </c>
      <c r="G17" s="148">
        <v>1.025644244560288E-2</v>
      </c>
      <c r="I17" s="100"/>
      <c r="J17" s="100"/>
      <c r="K17" s="100"/>
    </row>
    <row r="18" spans="1:11" ht="20" customHeight="1" thickBot="1">
      <c r="A18" s="130" t="s">
        <v>108</v>
      </c>
      <c r="B18" s="147">
        <v>126735</v>
      </c>
      <c r="C18" s="148">
        <v>3.4527297365480165E-2</v>
      </c>
      <c r="D18" s="147">
        <v>156965</v>
      </c>
      <c r="E18" s="148">
        <v>4.1110191236443383E-2</v>
      </c>
      <c r="F18" s="147">
        <v>283700</v>
      </c>
      <c r="G18" s="148">
        <v>9.6336919425039063E-3</v>
      </c>
      <c r="I18" s="100"/>
      <c r="J18" s="100"/>
      <c r="K18" s="100"/>
    </row>
    <row r="19" spans="1:11" ht="20" customHeight="1" thickBot="1">
      <c r="A19" s="130" t="s">
        <v>109</v>
      </c>
      <c r="B19" s="147">
        <v>95528</v>
      </c>
      <c r="C19" s="148">
        <v>2.6025357341930719E-2</v>
      </c>
      <c r="D19" s="147">
        <v>138850</v>
      </c>
      <c r="E19" s="148">
        <v>3.6365750665308595E-2</v>
      </c>
      <c r="F19" s="147">
        <v>234378</v>
      </c>
      <c r="G19" s="148">
        <v>1.399566502122063E-2</v>
      </c>
      <c r="I19" s="100"/>
      <c r="J19" s="100"/>
      <c r="K19" s="100"/>
    </row>
    <row r="20" spans="1:11" ht="20" customHeight="1" thickBot="1">
      <c r="A20" s="130" t="s">
        <v>110</v>
      </c>
      <c r="B20" s="147">
        <v>63595</v>
      </c>
      <c r="C20" s="148">
        <v>1.7325628089775606E-2</v>
      </c>
      <c r="D20" s="147">
        <v>110756</v>
      </c>
      <c r="E20" s="148">
        <v>2.9007742748915509E-2</v>
      </c>
      <c r="F20" s="147">
        <v>174351</v>
      </c>
      <c r="G20" s="148">
        <v>1.5238683079646429E-2</v>
      </c>
      <c r="I20" s="100"/>
      <c r="J20" s="100"/>
      <c r="K20" s="100"/>
    </row>
    <row r="21" spans="1:11" ht="20" customHeight="1" thickBot="1">
      <c r="A21" s="130" t="s">
        <v>111</v>
      </c>
      <c r="B21" s="147">
        <v>29227</v>
      </c>
      <c r="C21" s="148">
        <v>7.9625148546249164E-3</v>
      </c>
      <c r="D21" s="147">
        <v>61456</v>
      </c>
      <c r="E21" s="148">
        <v>1.6095740532136874E-2</v>
      </c>
      <c r="F21" s="147">
        <v>90683</v>
      </c>
      <c r="G21" s="148">
        <v>6.4579371228663335E-2</v>
      </c>
      <c r="I21" s="100"/>
      <c r="J21" s="100"/>
      <c r="K21" s="100"/>
    </row>
    <row r="22" spans="1:11" ht="20" customHeight="1" thickBot="1">
      <c r="A22" s="130" t="s">
        <v>112</v>
      </c>
      <c r="B22" s="147">
        <v>11542</v>
      </c>
      <c r="C22" s="148">
        <v>3.144467323094426E-3</v>
      </c>
      <c r="D22" s="147">
        <v>35212</v>
      </c>
      <c r="E22" s="148">
        <v>9.2222600822963359E-3</v>
      </c>
      <c r="F22" s="147">
        <v>46754</v>
      </c>
      <c r="G22" s="148">
        <v>8.2377296644526865E-3</v>
      </c>
      <c r="I22" s="100"/>
      <c r="J22" s="100"/>
      <c r="K22" s="100"/>
    </row>
    <row r="23" spans="1:11" s="151" customFormat="1" ht="21" customHeight="1" thickBot="1">
      <c r="A23" s="132" t="s">
        <v>1951</v>
      </c>
      <c r="B23" s="149">
        <v>3670574</v>
      </c>
      <c r="C23" s="150">
        <v>1</v>
      </c>
      <c r="D23" s="149">
        <v>3818153</v>
      </c>
      <c r="E23" s="150">
        <v>1</v>
      </c>
      <c r="F23" s="149">
        <v>7488727</v>
      </c>
      <c r="G23" s="150">
        <v>5.9094127351511467E-3</v>
      </c>
      <c r="I23" s="152"/>
      <c r="J23" s="152"/>
      <c r="K23" s="152"/>
    </row>
    <row r="24" spans="1:11" ht="20" customHeight="1">
      <c r="A24" s="136" t="s">
        <v>121</v>
      </c>
      <c r="B24" s="153"/>
      <c r="C24" s="154"/>
      <c r="D24" s="153"/>
      <c r="E24" s="154"/>
      <c r="F24" s="153"/>
      <c r="G24" s="154"/>
    </row>
    <row r="25" spans="1:11" ht="12.75" customHeight="1">
      <c r="A25" s="3"/>
      <c r="B25" s="155"/>
      <c r="C25" s="156"/>
      <c r="D25" s="155"/>
      <c r="E25" s="156"/>
      <c r="F25" s="155"/>
      <c r="G25" s="156"/>
    </row>
    <row r="26" spans="1:11" ht="16.5" customHeight="1">
      <c r="A26" s="3" t="s">
        <v>77</v>
      </c>
      <c r="B26" s="155"/>
      <c r="C26" s="156"/>
      <c r="D26" s="155"/>
      <c r="E26" s="156"/>
      <c r="F26" s="155"/>
      <c r="G26" s="156"/>
    </row>
    <row r="27" spans="1:11" ht="11.25" customHeight="1">
      <c r="A27" s="3"/>
      <c r="B27" s="155"/>
      <c r="C27" s="156"/>
      <c r="D27" s="155"/>
      <c r="E27" s="156"/>
      <c r="F27" s="155"/>
      <c r="G27" s="156"/>
    </row>
    <row r="28" spans="1:11" ht="17.25" customHeight="1">
      <c r="A28" s="3" t="s">
        <v>78</v>
      </c>
      <c r="B28" s="155"/>
      <c r="C28" s="156"/>
      <c r="D28" s="155"/>
      <c r="E28" s="156"/>
      <c r="F28" s="155"/>
      <c r="G28" s="156"/>
    </row>
    <row r="29" spans="1:11" ht="12" customHeight="1">
      <c r="A29" s="157" t="s">
        <v>113</v>
      </c>
      <c r="B29" s="2"/>
      <c r="C29" s="2"/>
      <c r="D29" s="2"/>
      <c r="E29" s="2"/>
      <c r="F29" s="2"/>
      <c r="G29" s="97"/>
    </row>
    <row r="30" spans="1:11" ht="12" customHeight="1">
      <c r="A30" s="3"/>
      <c r="B30" s="155"/>
      <c r="C30" s="156"/>
      <c r="D30" s="155"/>
      <c r="E30" s="156"/>
      <c r="F30" s="155"/>
      <c r="G30" s="156"/>
    </row>
    <row r="31" spans="1:11" ht="14.25" customHeight="1">
      <c r="A31" s="3"/>
      <c r="B31" s="155"/>
      <c r="C31" s="156"/>
      <c r="D31" s="155"/>
      <c r="E31" s="156"/>
      <c r="F31" s="155"/>
      <c r="G31" s="156"/>
    </row>
    <row r="32" spans="1:11" ht="15.75" customHeight="1">
      <c r="A32" s="3" t="s">
        <v>1955</v>
      </c>
      <c r="B32" s="155"/>
      <c r="C32" s="156"/>
      <c r="D32" s="155"/>
      <c r="E32" s="156"/>
      <c r="F32" s="155"/>
      <c r="G32" s="156"/>
    </row>
    <row r="33" spans="1:9" ht="18" customHeight="1">
      <c r="A33"/>
    </row>
    <row r="34" spans="1:9" ht="30" customHeight="1"/>
    <row r="35" spans="1:9" ht="30" customHeight="1">
      <c r="I35" s="160"/>
    </row>
    <row r="36" spans="1:9" ht="30" customHeight="1"/>
    <row r="37" spans="1:9" ht="30" customHeight="1"/>
    <row r="38" spans="1:9" ht="30" customHeight="1"/>
    <row r="39" spans="1:9" ht="30" customHeight="1"/>
    <row r="40" spans="1:9" ht="30" customHeight="1"/>
    <row r="41" spans="1:9" ht="30" customHeight="1"/>
  </sheetData>
  <mergeCells count="1">
    <mergeCell ref="A2:F2"/>
  </mergeCells>
  <phoneticPr fontId="0" type="noConversion"/>
  <pageMargins left="0.65" right="0.54" top="0.85" bottom="0.49" header="0.44" footer="0.4921259845"/>
  <pageSetup paperSize="9" scale="80" orientation="portrait"/>
  <headerFooter alignWithMargins="0"/>
  <rowBreaks count="1" manualBreakCount="1">
    <brk id="32" max="16383" man="1"/>
  </rowBreak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A707-1697-3D4F-A7FC-C40F3F25F6A7}">
  <dimension ref="A1:H42"/>
  <sheetViews>
    <sheetView topLeftCell="A22" zoomScale="75" workbookViewId="0">
      <selection activeCell="F3" sqref="F3"/>
    </sheetView>
  </sheetViews>
  <sheetFormatPr baseColWidth="10" defaultColWidth="11.3984375" defaultRowHeight="13"/>
  <cols>
    <col min="1" max="5" width="14.796875" style="2" customWidth="1"/>
    <col min="6" max="6" width="15.59765625" style="2" customWidth="1"/>
    <col min="7" max="7" width="6.39843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28" customHeight="1">
      <c r="A2" s="112" t="s">
        <v>120</v>
      </c>
      <c r="F2" s="112">
        <v>2006</v>
      </c>
    </row>
    <row r="3" spans="1:8" ht="27" customHeight="1">
      <c r="A3" s="113" t="s">
        <v>41</v>
      </c>
      <c r="B3" s="114" t="s">
        <v>42</v>
      </c>
      <c r="C3" s="115" t="s">
        <v>115</v>
      </c>
      <c r="D3" s="114" t="s">
        <v>116</v>
      </c>
      <c r="E3" s="115" t="s">
        <v>1951</v>
      </c>
      <c r="F3" s="114" t="s">
        <v>1951</v>
      </c>
    </row>
    <row r="4" spans="1:8" ht="15" customHeight="1">
      <c r="A4" s="116"/>
      <c r="B4" s="117"/>
      <c r="C4" s="116"/>
      <c r="D4" s="119"/>
      <c r="E4" s="118" t="s">
        <v>117</v>
      </c>
      <c r="F4" s="117" t="s">
        <v>118</v>
      </c>
    </row>
    <row r="5" spans="1:8" ht="15" customHeight="1">
      <c r="A5" s="116"/>
      <c r="B5" s="117"/>
      <c r="C5" s="116"/>
      <c r="D5" s="119"/>
      <c r="E5" s="118" t="s">
        <v>119</v>
      </c>
      <c r="F5" s="117" t="s">
        <v>44</v>
      </c>
    </row>
    <row r="6" spans="1:8" ht="24" customHeight="1">
      <c r="A6" s="120"/>
      <c r="B6" s="121"/>
      <c r="C6" s="120"/>
      <c r="D6" s="121"/>
      <c r="E6" s="122"/>
      <c r="F6" s="123"/>
      <c r="H6" s="124"/>
    </row>
    <row r="7" spans="1:8" ht="30" customHeight="1" thickBot="1">
      <c r="A7" s="125" t="s">
        <v>51</v>
      </c>
      <c r="B7" s="126">
        <v>242294</v>
      </c>
      <c r="C7" s="127">
        <v>506106</v>
      </c>
      <c r="D7" s="126">
        <v>536414</v>
      </c>
      <c r="E7" s="127">
        <v>1042522</v>
      </c>
      <c r="F7" s="126">
        <v>1284816</v>
      </c>
      <c r="H7" s="129"/>
    </row>
    <row r="8" spans="1:8" ht="20" customHeight="1" thickBot="1">
      <c r="A8" s="130" t="s">
        <v>52</v>
      </c>
      <c r="B8" s="126">
        <v>185277</v>
      </c>
      <c r="C8" s="127">
        <v>371006</v>
      </c>
      <c r="D8" s="126">
        <v>403680</v>
      </c>
      <c r="E8" s="127">
        <v>774682</v>
      </c>
      <c r="F8" s="126">
        <v>959959</v>
      </c>
      <c r="H8" s="129"/>
    </row>
    <row r="9" spans="1:8" ht="20" customHeight="1" thickBot="1">
      <c r="A9" s="130" t="s">
        <v>53</v>
      </c>
      <c r="B9" s="126">
        <v>77698</v>
      </c>
      <c r="C9" s="127">
        <v>137641</v>
      </c>
      <c r="D9" s="126">
        <v>145224</v>
      </c>
      <c r="E9" s="127">
        <v>282867</v>
      </c>
      <c r="F9" s="126">
        <v>360566</v>
      </c>
      <c r="H9" s="129"/>
    </row>
    <row r="10" spans="1:8" ht="20" customHeight="1" thickBot="1">
      <c r="A10" s="130" t="s">
        <v>54</v>
      </c>
      <c r="B10" s="126">
        <v>7472</v>
      </c>
      <c r="C10" s="127">
        <v>13814</v>
      </c>
      <c r="D10" s="126">
        <v>13914</v>
      </c>
      <c r="E10" s="127">
        <v>27726</v>
      </c>
      <c r="F10" s="126">
        <v>35198</v>
      </c>
      <c r="H10" s="129"/>
    </row>
    <row r="11" spans="1:8" ht="20" customHeight="1" thickBot="1">
      <c r="A11" s="130" t="s">
        <v>55</v>
      </c>
      <c r="B11" s="126">
        <v>30004</v>
      </c>
      <c r="C11" s="127">
        <v>54873</v>
      </c>
      <c r="D11" s="126">
        <v>53738</v>
      </c>
      <c r="E11" s="127">
        <v>108612</v>
      </c>
      <c r="F11" s="126">
        <v>138615</v>
      </c>
      <c r="H11" s="129"/>
    </row>
    <row r="12" spans="1:8" ht="20" customHeight="1" thickBot="1">
      <c r="A12" s="130" t="s">
        <v>56</v>
      </c>
      <c r="B12" s="126">
        <v>7607</v>
      </c>
      <c r="C12" s="127">
        <v>13248</v>
      </c>
      <c r="D12" s="126">
        <v>13279</v>
      </c>
      <c r="E12" s="127">
        <v>26525</v>
      </c>
      <c r="F12" s="126">
        <v>34132</v>
      </c>
      <c r="H12" s="129"/>
    </row>
    <row r="13" spans="1:8" ht="20" customHeight="1" thickBot="1">
      <c r="A13" s="130" t="s">
        <v>57</v>
      </c>
      <c r="B13" s="126">
        <v>8032</v>
      </c>
      <c r="C13" s="127">
        <v>15846</v>
      </c>
      <c r="D13" s="126">
        <v>15735</v>
      </c>
      <c r="E13" s="127">
        <v>31581</v>
      </c>
      <c r="F13" s="126">
        <v>39613</v>
      </c>
      <c r="H13" s="129"/>
    </row>
    <row r="14" spans="1:8" ht="20" customHeight="1" thickBot="1">
      <c r="A14" s="130" t="s">
        <v>58</v>
      </c>
      <c r="B14" s="126">
        <v>7964</v>
      </c>
      <c r="C14" s="127">
        <v>14904</v>
      </c>
      <c r="D14" s="126">
        <v>15491</v>
      </c>
      <c r="E14" s="127">
        <v>30394</v>
      </c>
      <c r="F14" s="126">
        <v>38358</v>
      </c>
      <c r="H14" s="129"/>
    </row>
    <row r="15" spans="1:8" ht="20" customHeight="1" thickBot="1">
      <c r="A15" s="130" t="s">
        <v>59</v>
      </c>
      <c r="B15" s="126">
        <v>21367</v>
      </c>
      <c r="C15" s="127">
        <v>42680</v>
      </c>
      <c r="D15" s="126">
        <v>42678</v>
      </c>
      <c r="E15" s="127">
        <v>85360</v>
      </c>
      <c r="F15" s="126">
        <v>106727</v>
      </c>
      <c r="H15" s="129"/>
    </row>
    <row r="16" spans="1:8" ht="20" customHeight="1" thickBot="1">
      <c r="A16" s="130" t="s">
        <v>60</v>
      </c>
      <c r="B16" s="126">
        <v>60254</v>
      </c>
      <c r="C16" s="127">
        <v>98267</v>
      </c>
      <c r="D16" s="126">
        <v>101011</v>
      </c>
      <c r="E16" s="127">
        <v>199277</v>
      </c>
      <c r="F16" s="126">
        <v>259531</v>
      </c>
      <c r="H16" s="129"/>
    </row>
    <row r="17" spans="1:8" ht="20" customHeight="1" thickBot="1">
      <c r="A17" s="130" t="s">
        <v>61</v>
      </c>
      <c r="B17" s="126">
        <v>50340</v>
      </c>
      <c r="C17" s="127">
        <v>97499</v>
      </c>
      <c r="D17" s="126">
        <v>102599</v>
      </c>
      <c r="E17" s="127">
        <v>200101</v>
      </c>
      <c r="F17" s="126">
        <v>250441</v>
      </c>
      <c r="H17" s="129"/>
    </row>
    <row r="18" spans="1:8" ht="20" customHeight="1" thickBot="1">
      <c r="A18" s="130" t="s">
        <v>62</v>
      </c>
      <c r="B18" s="126">
        <v>28493</v>
      </c>
      <c r="C18" s="127">
        <v>70297</v>
      </c>
      <c r="D18" s="126">
        <v>80419</v>
      </c>
      <c r="E18" s="127">
        <v>150715</v>
      </c>
      <c r="F18" s="126">
        <v>179208</v>
      </c>
      <c r="H18" s="129"/>
    </row>
    <row r="19" spans="1:8" ht="20" customHeight="1" thickBot="1">
      <c r="A19" s="130" t="s">
        <v>63</v>
      </c>
      <c r="B19" s="126">
        <v>50506</v>
      </c>
      <c r="C19" s="127">
        <v>104937</v>
      </c>
      <c r="D19" s="126">
        <v>111612</v>
      </c>
      <c r="E19" s="127">
        <v>216548</v>
      </c>
      <c r="F19" s="126">
        <v>267054</v>
      </c>
      <c r="H19" s="129"/>
    </row>
    <row r="20" spans="1:8" ht="20" customHeight="1" thickBot="1">
      <c r="A20" s="130" t="s">
        <v>64</v>
      </c>
      <c r="B20" s="126">
        <v>14441</v>
      </c>
      <c r="C20" s="127">
        <v>29413</v>
      </c>
      <c r="D20" s="126">
        <v>31492</v>
      </c>
      <c r="E20" s="127">
        <v>60906</v>
      </c>
      <c r="F20" s="126">
        <v>75346</v>
      </c>
      <c r="H20" s="129"/>
    </row>
    <row r="21" spans="1:8" ht="20" customHeight="1" thickBot="1">
      <c r="A21" s="130" t="s">
        <v>65</v>
      </c>
      <c r="B21" s="126">
        <v>11508</v>
      </c>
      <c r="C21" s="127">
        <v>20435</v>
      </c>
      <c r="D21" s="126">
        <v>21283</v>
      </c>
      <c r="E21" s="127">
        <v>41717</v>
      </c>
      <c r="F21" s="126">
        <v>53225</v>
      </c>
      <c r="H21" s="129"/>
    </row>
    <row r="22" spans="1:8" ht="20" customHeight="1" thickBot="1">
      <c r="A22" s="130" t="s">
        <v>66</v>
      </c>
      <c r="B22" s="126">
        <v>3737</v>
      </c>
      <c r="C22" s="127">
        <v>5889</v>
      </c>
      <c r="D22" s="126">
        <v>5668</v>
      </c>
      <c r="E22" s="127">
        <v>11558</v>
      </c>
      <c r="F22" s="126">
        <v>15295</v>
      </c>
      <c r="H22" s="129"/>
    </row>
    <row r="23" spans="1:8" ht="20" customHeight="1" thickBot="1">
      <c r="A23" s="130" t="s">
        <v>67</v>
      </c>
      <c r="B23" s="126">
        <v>101643</v>
      </c>
      <c r="C23" s="127">
        <v>177328</v>
      </c>
      <c r="D23" s="126">
        <v>185746</v>
      </c>
      <c r="E23" s="127">
        <v>363075</v>
      </c>
      <c r="F23" s="126">
        <v>464718</v>
      </c>
      <c r="H23" s="129"/>
    </row>
    <row r="24" spans="1:8" ht="20" customHeight="1" thickBot="1">
      <c r="A24" s="130" t="s">
        <v>68</v>
      </c>
      <c r="B24" s="126">
        <v>37087</v>
      </c>
      <c r="C24" s="127">
        <v>77356</v>
      </c>
      <c r="D24" s="126">
        <v>79156</v>
      </c>
      <c r="E24" s="127">
        <v>156511</v>
      </c>
      <c r="F24" s="126">
        <v>193599</v>
      </c>
      <c r="H24" s="129"/>
    </row>
    <row r="25" spans="1:8" ht="20" customHeight="1" thickBot="1">
      <c r="A25" s="130" t="s">
        <v>69</v>
      </c>
      <c r="B25" s="126">
        <v>120386</v>
      </c>
      <c r="C25" s="127">
        <v>226267</v>
      </c>
      <c r="D25" s="126">
        <v>232383</v>
      </c>
      <c r="E25" s="127">
        <v>458650</v>
      </c>
      <c r="F25" s="126">
        <v>579036</v>
      </c>
      <c r="H25" s="129"/>
    </row>
    <row r="26" spans="1:8" ht="20" customHeight="1" thickBot="1">
      <c r="A26" s="130" t="s">
        <v>70</v>
      </c>
      <c r="B26" s="126">
        <v>52743</v>
      </c>
      <c r="C26" s="127">
        <v>91083</v>
      </c>
      <c r="D26" s="126">
        <v>93407</v>
      </c>
      <c r="E26" s="127">
        <v>184491</v>
      </c>
      <c r="F26" s="126">
        <v>237234</v>
      </c>
      <c r="H26" s="129"/>
    </row>
    <row r="27" spans="1:8" ht="20" customHeight="1" thickBot="1">
      <c r="A27" s="130" t="s">
        <v>71</v>
      </c>
      <c r="B27" s="126">
        <v>57690</v>
      </c>
      <c r="C27" s="127">
        <v>123577</v>
      </c>
      <c r="D27" s="126">
        <v>138084</v>
      </c>
      <c r="E27" s="127">
        <v>261662</v>
      </c>
      <c r="F27" s="126">
        <v>319352</v>
      </c>
      <c r="H27" s="129"/>
    </row>
    <row r="28" spans="1:8" ht="20" customHeight="1" thickBot="1">
      <c r="A28" s="130" t="s">
        <v>72</v>
      </c>
      <c r="B28" s="126">
        <v>142650</v>
      </c>
      <c r="C28" s="127">
        <v>243008</v>
      </c>
      <c r="D28" s="126">
        <v>267331</v>
      </c>
      <c r="E28" s="127">
        <v>510342</v>
      </c>
      <c r="F28" s="126">
        <v>652992</v>
      </c>
      <c r="H28" s="129"/>
    </row>
    <row r="29" spans="1:8" ht="20" customHeight="1" thickBot="1">
      <c r="A29" s="130" t="s">
        <v>73</v>
      </c>
      <c r="B29" s="126">
        <v>61724</v>
      </c>
      <c r="C29" s="127">
        <v>115854</v>
      </c>
      <c r="D29" s="126">
        <v>121272</v>
      </c>
      <c r="E29" s="127">
        <v>237128</v>
      </c>
      <c r="F29" s="126">
        <v>298852</v>
      </c>
      <c r="H29" s="129"/>
    </row>
    <row r="30" spans="1:8" ht="20" customHeight="1" thickBot="1">
      <c r="A30" s="130" t="s">
        <v>74</v>
      </c>
      <c r="B30" s="126">
        <v>36227</v>
      </c>
      <c r="C30" s="127">
        <v>63558</v>
      </c>
      <c r="D30" s="126">
        <v>69830</v>
      </c>
      <c r="E30" s="127">
        <v>133387</v>
      </c>
      <c r="F30" s="126">
        <v>169613</v>
      </c>
      <c r="H30" s="129"/>
    </row>
    <row r="31" spans="1:8" ht="20" customHeight="1" thickBot="1">
      <c r="A31" s="130" t="s">
        <v>75</v>
      </c>
      <c r="B31" s="126">
        <v>87168</v>
      </c>
      <c r="C31" s="127">
        <v>150291</v>
      </c>
      <c r="D31" s="126">
        <v>168213</v>
      </c>
      <c r="E31" s="127">
        <v>318505</v>
      </c>
      <c r="F31" s="126">
        <v>405673</v>
      </c>
      <c r="H31" s="129"/>
    </row>
    <row r="32" spans="1:8" ht="20" customHeight="1" thickBot="1">
      <c r="A32" s="131" t="s">
        <v>76</v>
      </c>
      <c r="B32" s="126">
        <v>15577</v>
      </c>
      <c r="C32" s="127">
        <v>26143</v>
      </c>
      <c r="D32" s="126">
        <v>27859</v>
      </c>
      <c r="E32" s="127">
        <v>54000</v>
      </c>
      <c r="F32" s="126">
        <v>69577</v>
      </c>
      <c r="H32" s="129"/>
    </row>
    <row r="33" spans="1:8" ht="30" customHeight="1" thickBot="1">
      <c r="A33" s="132" t="s">
        <v>1944</v>
      </c>
      <c r="B33" s="133">
        <v>1519889</v>
      </c>
      <c r="C33" s="134">
        <v>2891320</v>
      </c>
      <c r="D33" s="133">
        <v>3077518</v>
      </c>
      <c r="E33" s="134">
        <v>5968842</v>
      </c>
      <c r="F33" s="133">
        <v>7488730</v>
      </c>
      <c r="H33" s="129"/>
    </row>
    <row r="34" spans="1:8" ht="20" customHeight="1">
      <c r="A34" s="136" t="s">
        <v>121</v>
      </c>
      <c r="B34" s="136"/>
      <c r="C34" s="136"/>
      <c r="D34" s="136"/>
      <c r="E34" s="136"/>
      <c r="F34" s="136"/>
      <c r="H34" s="124"/>
    </row>
    <row r="35" spans="1:8" ht="11.25" customHeight="1">
      <c r="A35" s="3"/>
      <c r="B35" s="3"/>
      <c r="C35" s="3"/>
      <c r="D35" s="3"/>
      <c r="E35" s="3"/>
      <c r="F35" s="3"/>
      <c r="H35" s="124"/>
    </row>
    <row r="36" spans="1:8" ht="14.25" customHeight="1">
      <c r="A36" s="3" t="s">
        <v>77</v>
      </c>
      <c r="B36" s="3"/>
      <c r="C36" s="3"/>
      <c r="D36" s="3"/>
      <c r="E36" s="3"/>
      <c r="F36" s="3"/>
      <c r="H36" s="124"/>
    </row>
    <row r="37" spans="1:8" ht="13.5" customHeight="1">
      <c r="A37" s="3"/>
      <c r="B37" s="3"/>
      <c r="C37" s="3"/>
      <c r="D37" s="3"/>
      <c r="E37" s="3"/>
      <c r="F37" s="3"/>
      <c r="H37" s="124"/>
    </row>
    <row r="38" spans="1:8" ht="12" customHeight="1">
      <c r="A38" s="3" t="s">
        <v>78</v>
      </c>
    </row>
    <row r="39" spans="1:8" ht="12" customHeight="1">
      <c r="A39" s="157" t="s">
        <v>113</v>
      </c>
    </row>
    <row r="40" spans="1:8" ht="12" customHeight="1"/>
    <row r="41" spans="1:8" ht="12" customHeight="1"/>
    <row r="42" spans="1:8" ht="12" customHeight="1">
      <c r="A42" s="3" t="s">
        <v>1955</v>
      </c>
    </row>
  </sheetData>
  <phoneticPr fontId="0" type="noConversion"/>
  <pageMargins left="0.65" right="0.61" top="0.87" bottom="0.49" header="0.51" footer="0.4921259845"/>
  <pageSetup paperSize="9" scale="80" orientation="portrait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BED6-8B8F-534B-AA58-DAFBDDF0497A}">
  <sheetPr>
    <pageSetUpPr fitToPage="1"/>
  </sheetPr>
  <dimension ref="A1:G19"/>
  <sheetViews>
    <sheetView topLeftCell="A3" zoomScale="75" workbookViewId="0">
      <selection activeCell="A17" sqref="A17"/>
    </sheetView>
  </sheetViews>
  <sheetFormatPr baseColWidth="10" defaultColWidth="11.3984375" defaultRowHeight="13"/>
  <cols>
    <col min="1" max="1" width="21.3984375" style="2" customWidth="1"/>
    <col min="2" max="2" width="17.3984375" style="2" customWidth="1"/>
    <col min="3" max="3" width="16.3984375" style="2" customWidth="1"/>
    <col min="4" max="4" width="17.796875" style="2" customWidth="1"/>
    <col min="5" max="5" width="18.796875" style="446" customWidth="1"/>
    <col min="6" max="6" width="20.3984375" style="446" customWidth="1"/>
    <col min="7" max="7" width="12" style="2" customWidth="1"/>
    <col min="8" max="16384" width="11.3984375" style="2"/>
  </cols>
  <sheetData>
    <row r="1" spans="1:7" ht="19.5" customHeight="1">
      <c r="A1" s="58" t="s">
        <v>2381</v>
      </c>
      <c r="B1" s="327"/>
      <c r="C1" s="327"/>
      <c r="D1" s="327"/>
      <c r="E1" s="327"/>
      <c r="F1" s="265">
        <v>2006</v>
      </c>
    </row>
    <row r="2" spans="1:7" ht="24" customHeight="1">
      <c r="A2" s="425"/>
      <c r="B2" s="258"/>
      <c r="C2" s="258"/>
      <c r="D2" s="258"/>
      <c r="E2" s="258"/>
      <c r="F2" s="426"/>
    </row>
    <row r="3" spans="1:7" ht="24" customHeight="1">
      <c r="A3" s="328" t="s">
        <v>2305</v>
      </c>
      <c r="B3" s="427" t="s">
        <v>891</v>
      </c>
      <c r="C3" s="284" t="s">
        <v>892</v>
      </c>
      <c r="D3" s="427" t="s">
        <v>1951</v>
      </c>
      <c r="E3" s="428" t="s">
        <v>1379</v>
      </c>
      <c r="F3" s="454" t="s">
        <v>2382</v>
      </c>
    </row>
    <row r="4" spans="1:7" ht="15" customHeight="1">
      <c r="A4" s="248"/>
      <c r="B4" s="117"/>
      <c r="C4" s="118"/>
      <c r="D4" s="143"/>
      <c r="E4" s="429" t="s">
        <v>2294</v>
      </c>
      <c r="F4" s="456" t="s">
        <v>2383</v>
      </c>
    </row>
    <row r="5" spans="1:7" ht="15" customHeight="1">
      <c r="A5" s="116"/>
      <c r="B5" s="117"/>
      <c r="C5" s="118"/>
      <c r="D5" s="117"/>
      <c r="E5" s="429"/>
      <c r="F5" s="456" t="s">
        <v>2384</v>
      </c>
    </row>
    <row r="6" spans="1:7" ht="24" customHeight="1">
      <c r="A6" s="315"/>
      <c r="B6" s="348"/>
      <c r="C6" s="349"/>
      <c r="D6" s="348"/>
      <c r="E6" s="430"/>
      <c r="F6" s="457"/>
    </row>
    <row r="7" spans="1:7" ht="45" customHeight="1" thickBot="1">
      <c r="A7" s="431" t="s">
        <v>42</v>
      </c>
      <c r="B7" s="432">
        <v>112960</v>
      </c>
      <c r="C7" s="433">
        <v>106982</v>
      </c>
      <c r="D7" s="432">
        <v>219941</v>
      </c>
      <c r="E7" s="434">
        <v>0.27204764584737745</v>
      </c>
      <c r="F7" s="850">
        <v>0.14486519312417093</v>
      </c>
    </row>
    <row r="8" spans="1:7" ht="34.5" customHeight="1" thickBot="1">
      <c r="A8" s="431" t="s">
        <v>1380</v>
      </c>
      <c r="B8" s="432">
        <v>52241</v>
      </c>
      <c r="C8" s="433">
        <v>49419</v>
      </c>
      <c r="D8" s="432">
        <v>101660</v>
      </c>
      <c r="E8" s="434">
        <v>0.12574446636527245</v>
      </c>
      <c r="F8" s="850">
        <v>0.1635243798668449</v>
      </c>
    </row>
    <row r="9" spans="1:7" ht="32.25" customHeight="1" thickBot="1">
      <c r="A9" s="431" t="s">
        <v>44</v>
      </c>
      <c r="B9" s="432">
        <v>253330</v>
      </c>
      <c r="C9" s="433">
        <v>233534</v>
      </c>
      <c r="D9" s="432">
        <v>486864</v>
      </c>
      <c r="E9" s="434">
        <v>0.60220788778735013</v>
      </c>
      <c r="F9" s="850">
        <v>9.1198600056982271E-2</v>
      </c>
    </row>
    <row r="10" spans="1:7" s="188" customFormat="1" ht="36" customHeight="1" thickBot="1">
      <c r="A10" s="435" t="s">
        <v>1951</v>
      </c>
      <c r="B10" s="291">
        <v>418531</v>
      </c>
      <c r="C10" s="290">
        <v>389934</v>
      </c>
      <c r="D10" s="291">
        <v>808465</v>
      </c>
      <c r="E10" s="389">
        <v>1</v>
      </c>
      <c r="F10" s="851">
        <v>0.10810626135515895</v>
      </c>
    </row>
    <row r="11" spans="1:7" ht="16.5" customHeight="1">
      <c r="B11" s="136"/>
      <c r="C11" s="136"/>
      <c r="D11" s="136"/>
      <c r="E11" s="436"/>
      <c r="F11" s="437"/>
    </row>
    <row r="12" spans="1:7" s="659" customFormat="1" ht="24" customHeight="1" thickBot="1">
      <c r="A12" s="438" t="s">
        <v>2385</v>
      </c>
      <c r="B12" s="439">
        <v>35539</v>
      </c>
      <c r="C12" s="440">
        <v>33794</v>
      </c>
      <c r="D12" s="439">
        <v>69333</v>
      </c>
      <c r="E12" s="441">
        <v>8.5758814543610423E-2</v>
      </c>
      <c r="F12" s="852">
        <v>9.2710648185601544E-3</v>
      </c>
    </row>
    <row r="13" spans="1:7" ht="9.75" customHeight="1">
      <c r="D13"/>
      <c r="E13"/>
      <c r="F13"/>
      <c r="G13"/>
    </row>
    <row r="14" spans="1:7">
      <c r="A14" s="3" t="s">
        <v>453</v>
      </c>
      <c r="D14"/>
      <c r="E14"/>
      <c r="F14"/>
      <c r="G14"/>
    </row>
    <row r="15" spans="1:7">
      <c r="D15"/>
      <c r="E15"/>
      <c r="F15"/>
      <c r="G15"/>
    </row>
    <row r="16" spans="1:7">
      <c r="A16" s="2" t="s">
        <v>1243</v>
      </c>
      <c r="D16"/>
      <c r="E16"/>
      <c r="F16"/>
      <c r="G16"/>
    </row>
    <row r="19" spans="1:1">
      <c r="A19" s="207" t="s">
        <v>1955</v>
      </c>
    </row>
  </sheetData>
  <phoneticPr fontId="0" type="noConversion"/>
  <pageMargins left="0.53" right="0.68" top="0.96" bottom="0.49" header="0.56000000000000005" footer="0.4921259845"/>
  <pageSetup paperSize="9" scale="73" orientation="portrait" horizontalDpi="1200" verticalDpi="1200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FD48-C36F-824E-BDE7-7072F8724F73}">
  <sheetPr>
    <pageSetUpPr fitToPage="1"/>
  </sheetPr>
  <dimension ref="A1:D20"/>
  <sheetViews>
    <sheetView zoomScale="75" workbookViewId="0">
      <selection activeCell="A2" sqref="A2"/>
    </sheetView>
  </sheetViews>
  <sheetFormatPr baseColWidth="10" defaultColWidth="11.3984375" defaultRowHeight="13"/>
  <cols>
    <col min="1" max="1" width="41.796875" style="2" customWidth="1"/>
    <col min="2" max="2" width="35.59765625" style="2" customWidth="1"/>
    <col min="3" max="3" width="36.796875" style="2" customWidth="1"/>
    <col min="4" max="4" width="12.796875" style="2" customWidth="1"/>
    <col min="5" max="16384" width="11.3984375" style="2"/>
  </cols>
  <sheetData>
    <row r="1" spans="1:4" ht="19.5" customHeight="1">
      <c r="A1" s="58" t="s">
        <v>2271</v>
      </c>
      <c r="B1" s="327"/>
      <c r="C1" s="265">
        <v>2006</v>
      </c>
    </row>
    <row r="2" spans="1:4" ht="15.75" customHeight="1">
      <c r="A2" s="425"/>
      <c r="B2" s="258"/>
      <c r="C2" s="258"/>
    </row>
    <row r="3" spans="1:4" ht="44.25" customHeight="1">
      <c r="A3" s="847"/>
      <c r="B3" s="911" t="s">
        <v>2272</v>
      </c>
      <c r="C3" s="912" t="s">
        <v>2273</v>
      </c>
    </row>
    <row r="4" spans="1:4" ht="17.25" customHeight="1">
      <c r="A4" s="315"/>
      <c r="B4" s="348"/>
      <c r="C4" s="349"/>
    </row>
    <row r="5" spans="1:4" ht="45" customHeight="1" thickBot="1">
      <c r="A5" s="431" t="s">
        <v>2277</v>
      </c>
      <c r="B5" s="432">
        <v>421280</v>
      </c>
      <c r="C5" s="433">
        <v>533402740</v>
      </c>
    </row>
    <row r="6" spans="1:4" ht="48" customHeight="1" thickBot="1">
      <c r="A6" s="913" t="s">
        <v>2278</v>
      </c>
      <c r="B6" s="914">
        <v>89081</v>
      </c>
      <c r="C6" s="915">
        <v>126252720</v>
      </c>
    </row>
    <row r="7" spans="1:4" ht="20.25" customHeight="1">
      <c r="A7" s="3" t="s">
        <v>453</v>
      </c>
      <c r="D7"/>
    </row>
    <row r="8" spans="1:4">
      <c r="D8"/>
    </row>
    <row r="9" spans="1:4">
      <c r="A9" s="2" t="s">
        <v>2274</v>
      </c>
      <c r="D9"/>
    </row>
    <row r="11" spans="1:4">
      <c r="A11" s="157" t="s">
        <v>2275</v>
      </c>
    </row>
    <row r="12" spans="1:4" s="916" customFormat="1">
      <c r="A12" s="157" t="s">
        <v>2279</v>
      </c>
    </row>
    <row r="13" spans="1:4">
      <c r="A13" s="157" t="s">
        <v>2276</v>
      </c>
    </row>
    <row r="14" spans="1:4">
      <c r="A14" s="157" t="s">
        <v>2280</v>
      </c>
    </row>
    <row r="15" spans="1:4">
      <c r="A15" s="157" t="s">
        <v>416</v>
      </c>
    </row>
    <row r="18" spans="1:1">
      <c r="A18" s="207" t="s">
        <v>1955</v>
      </c>
    </row>
    <row r="19" spans="1:1">
      <c r="A19" s="4"/>
    </row>
    <row r="20" spans="1:1">
      <c r="A20" s="3"/>
    </row>
  </sheetData>
  <phoneticPr fontId="0" type="noConversion"/>
  <pageMargins left="0.61" right="0.72" top="0.96" bottom="0.49" header="0.56000000000000005" footer="0.4921259845"/>
  <pageSetup paperSize="9" scale="71" orientation="portrait" horizontalDpi="1200" verticalDpi="1200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D2F8-DB5C-3740-A989-60E3BC64A8AD}">
  <sheetPr>
    <pageSetUpPr fitToPage="1"/>
  </sheetPr>
  <dimension ref="A1:M23"/>
  <sheetViews>
    <sheetView zoomScale="75" workbookViewId="0">
      <selection activeCell="K6" sqref="K6"/>
    </sheetView>
  </sheetViews>
  <sheetFormatPr baseColWidth="10" defaultColWidth="11.3984375" defaultRowHeight="13"/>
  <cols>
    <col min="1" max="1" width="12.796875" style="2" customWidth="1"/>
    <col min="2" max="8" width="11.796875" style="2" customWidth="1"/>
    <col min="9" max="9" width="17.19921875" style="2" customWidth="1"/>
    <col min="10" max="16384" width="11.3984375" style="2"/>
  </cols>
  <sheetData>
    <row r="1" spans="1:13" s="1" customFormat="1" ht="14" customHeight="1"/>
    <row r="2" spans="1:13" s="1" customFormat="1" ht="28" customHeight="1">
      <c r="A2" s="112" t="s">
        <v>1146</v>
      </c>
      <c r="I2" s="265">
        <v>2006</v>
      </c>
      <c r="K2" s="346"/>
    </row>
    <row r="3" spans="1:13" ht="24" customHeight="1">
      <c r="A3" s="567" t="s">
        <v>758</v>
      </c>
      <c r="B3" s="568" t="s">
        <v>1701</v>
      </c>
      <c r="C3" s="569" t="s">
        <v>1702</v>
      </c>
      <c r="D3" s="114" t="s">
        <v>1703</v>
      </c>
      <c r="E3" s="569" t="s">
        <v>1704</v>
      </c>
      <c r="F3" s="114" t="s">
        <v>1705</v>
      </c>
      <c r="G3" s="569" t="s">
        <v>944</v>
      </c>
      <c r="H3" s="114" t="s">
        <v>1951</v>
      </c>
      <c r="I3" s="569" t="s">
        <v>1951</v>
      </c>
      <c r="K3" s="917"/>
    </row>
    <row r="4" spans="1:13" ht="15" customHeight="1">
      <c r="A4" s="570"/>
      <c r="B4" s="571"/>
      <c r="C4" s="572">
        <v>10000</v>
      </c>
      <c r="D4" s="143">
        <v>50000</v>
      </c>
      <c r="E4" s="572">
        <v>100000</v>
      </c>
      <c r="F4" s="143">
        <v>500000</v>
      </c>
      <c r="G4" s="572">
        <v>500000</v>
      </c>
      <c r="H4" s="918" t="s">
        <v>417</v>
      </c>
      <c r="I4" s="919" t="s">
        <v>418</v>
      </c>
      <c r="K4" s="917"/>
    </row>
    <row r="5" spans="1:13" ht="15" customHeight="1">
      <c r="A5" s="570"/>
      <c r="B5" s="571"/>
      <c r="C5" s="573"/>
      <c r="D5" s="117"/>
      <c r="E5" s="573"/>
      <c r="F5" s="117"/>
      <c r="G5" s="573"/>
      <c r="H5" s="117"/>
      <c r="I5" s="919" t="s">
        <v>419</v>
      </c>
      <c r="K5" s="4"/>
    </row>
    <row r="6" spans="1:13" ht="24" customHeight="1">
      <c r="A6" s="574"/>
      <c r="B6" s="575"/>
      <c r="C6" s="576"/>
      <c r="D6" s="123"/>
      <c r="E6" s="576"/>
      <c r="F6" s="123"/>
      <c r="G6" s="576"/>
      <c r="H6" s="123"/>
      <c r="I6" s="576"/>
      <c r="K6" s="920"/>
    </row>
    <row r="7" spans="1:13" ht="21.75" customHeight="1" thickBot="1">
      <c r="A7" s="577">
        <v>1996</v>
      </c>
      <c r="B7" s="921">
        <v>2.0177619127218216E-2</v>
      </c>
      <c r="C7" s="580">
        <v>1.2597566015413125E-2</v>
      </c>
      <c r="D7" s="459">
        <v>7.1120514742348845E-2</v>
      </c>
      <c r="E7" s="580">
        <v>5.3778502452829641E-2</v>
      </c>
      <c r="F7" s="459">
        <v>0.36511082288179453</v>
      </c>
      <c r="G7" s="580">
        <v>0.47721497478039565</v>
      </c>
      <c r="H7" s="459">
        <v>1</v>
      </c>
      <c r="I7" s="922">
        <v>7232667</v>
      </c>
    </row>
    <row r="8" spans="1:13" ht="20" customHeight="1" thickBot="1">
      <c r="A8" s="581">
        <v>1997</v>
      </c>
      <c r="B8" s="923">
        <v>1.7402128744798396E-2</v>
      </c>
      <c r="C8" s="584">
        <v>1.4513151507136559E-2</v>
      </c>
      <c r="D8" s="461">
        <v>8.0494622309686584E-2</v>
      </c>
      <c r="E8" s="584">
        <v>3.5460102030395756E-2</v>
      </c>
      <c r="F8" s="461">
        <v>0.34210501223593653</v>
      </c>
      <c r="G8" s="584">
        <v>0.51002498317204614</v>
      </c>
      <c r="H8" s="461">
        <v>1</v>
      </c>
      <c r="I8" s="924">
        <v>7236471</v>
      </c>
      <c r="K8" s="9"/>
      <c r="L8" s="9"/>
      <c r="M8" s="9"/>
    </row>
    <row r="9" spans="1:13" ht="20" customHeight="1" thickBot="1">
      <c r="A9" s="581">
        <v>1998</v>
      </c>
      <c r="B9" s="923">
        <v>1.490840183853178E-2</v>
      </c>
      <c r="C9" s="584">
        <v>1.032214600618327E-2</v>
      </c>
      <c r="D9" s="461">
        <v>7.6140816476353498E-2</v>
      </c>
      <c r="E9" s="584">
        <v>5.6174768706983583E-2</v>
      </c>
      <c r="F9" s="461">
        <v>0.34220161255156173</v>
      </c>
      <c r="G9" s="584">
        <v>0.50025225442038612</v>
      </c>
      <c r="H9" s="461">
        <v>1</v>
      </c>
      <c r="I9" s="924">
        <v>7246652</v>
      </c>
    </row>
    <row r="10" spans="1:13" ht="20" customHeight="1" thickBot="1">
      <c r="A10" s="581">
        <v>1999</v>
      </c>
      <c r="B10" s="923">
        <v>1.1856091803011722E-2</v>
      </c>
      <c r="C10" s="584">
        <v>1.2297050391416079E-2</v>
      </c>
      <c r="D10" s="461">
        <v>6.9524424924530884E-2</v>
      </c>
      <c r="E10" s="584">
        <v>7.5584785910891711E-2</v>
      </c>
      <c r="F10" s="461">
        <v>0.360776059607258</v>
      </c>
      <c r="G10" s="584">
        <v>0.46996158736289156</v>
      </c>
      <c r="H10" s="461">
        <v>1</v>
      </c>
      <c r="I10" s="924">
        <v>7270524</v>
      </c>
    </row>
    <row r="11" spans="1:13" ht="20" customHeight="1" thickBot="1">
      <c r="A11" s="581">
        <v>2000</v>
      </c>
      <c r="B11" s="923">
        <v>1.0957985099474708E-2</v>
      </c>
      <c r="C11" s="584">
        <v>1.2166775657859692E-2</v>
      </c>
      <c r="D11" s="461">
        <v>6.756095879031751E-2</v>
      </c>
      <c r="E11" s="584">
        <v>8.7049575140813365E-2</v>
      </c>
      <c r="F11" s="461">
        <v>0.3644487016237738</v>
      </c>
      <c r="G11" s="584">
        <v>0.45781600368776093</v>
      </c>
      <c r="H11" s="461">
        <v>1</v>
      </c>
      <c r="I11" s="924">
        <v>7265113</v>
      </c>
    </row>
    <row r="12" spans="1:13" ht="20" customHeight="1" thickBot="1">
      <c r="A12" s="581">
        <v>2001</v>
      </c>
      <c r="B12" s="923">
        <v>9.7170954862656738E-3</v>
      </c>
      <c r="C12" s="584">
        <v>8.4238568425089536E-3</v>
      </c>
      <c r="D12" s="461">
        <v>7.0587792166880103E-2</v>
      </c>
      <c r="E12" s="584">
        <v>8.5394018668547678E-2</v>
      </c>
      <c r="F12" s="461">
        <v>0.38803350203052983</v>
      </c>
      <c r="G12" s="584">
        <v>0.43784373480526773</v>
      </c>
      <c r="H12" s="461">
        <v>1</v>
      </c>
      <c r="I12" s="924">
        <v>7301050</v>
      </c>
    </row>
    <row r="13" spans="1:13" ht="20" customHeight="1" thickBot="1">
      <c r="A13" s="581">
        <v>2002</v>
      </c>
      <c r="B13" s="923">
        <v>7.1399045507496896E-3</v>
      </c>
      <c r="C13" s="584">
        <v>8.4501124357966827E-3</v>
      </c>
      <c r="D13" s="461">
        <v>8.2630643642516793E-2</v>
      </c>
      <c r="E13" s="584">
        <v>8.6587817285975782E-2</v>
      </c>
      <c r="F13" s="461">
        <v>0.46525750220977596</v>
      </c>
      <c r="G13" s="584">
        <v>0.34993401987518508</v>
      </c>
      <c r="H13" s="461">
        <v>1</v>
      </c>
      <c r="I13" s="924">
        <v>7344636</v>
      </c>
    </row>
    <row r="14" spans="1:13" ht="20" customHeight="1" thickBot="1">
      <c r="A14" s="581">
        <v>2003</v>
      </c>
      <c r="B14" s="923">
        <v>7.150880180844566E-3</v>
      </c>
      <c r="C14" s="584">
        <v>8.7914320736236836E-3</v>
      </c>
      <c r="D14" s="461">
        <v>9.1365786917605774E-2</v>
      </c>
      <c r="E14" s="584">
        <v>9.1794541322986076E-2</v>
      </c>
      <c r="F14" s="461">
        <v>0.39422862118090168</v>
      </c>
      <c r="G14" s="584">
        <v>0.40666873832403821</v>
      </c>
      <c r="H14" s="461">
        <v>1</v>
      </c>
      <c r="I14" s="924">
        <v>7372519</v>
      </c>
    </row>
    <row r="15" spans="1:13" ht="20" customHeight="1" thickBot="1">
      <c r="A15" s="581">
        <v>2004</v>
      </c>
      <c r="B15" s="923">
        <v>7.7472964436898599E-3</v>
      </c>
      <c r="C15" s="584">
        <v>9.9496072922614521E-3</v>
      </c>
      <c r="D15" s="461">
        <v>8.4360383162269723E-2</v>
      </c>
      <c r="E15" s="584">
        <v>8.7130573562410135E-2</v>
      </c>
      <c r="F15" s="461">
        <v>0.4055192258310571</v>
      </c>
      <c r="G15" s="584">
        <v>0.40529291370831172</v>
      </c>
      <c r="H15" s="461">
        <v>1</v>
      </c>
      <c r="I15" s="924">
        <v>7383608</v>
      </c>
    </row>
    <row r="16" spans="1:13" ht="20" customHeight="1" thickBot="1">
      <c r="A16" s="581">
        <v>2005</v>
      </c>
      <c r="B16" s="923">
        <v>6.7133654607136909E-3</v>
      </c>
      <c r="C16" s="584">
        <v>1.2687692501726945E-2</v>
      </c>
      <c r="D16" s="461">
        <v>6.1558517163579914E-2</v>
      </c>
      <c r="E16" s="584">
        <v>7.6843120678933355E-2</v>
      </c>
      <c r="F16" s="461">
        <v>0.44768226437071562</v>
      </c>
      <c r="G16" s="584">
        <v>0.39451503982433056</v>
      </c>
      <c r="H16" s="461">
        <v>1</v>
      </c>
      <c r="I16" s="924">
        <v>7435865.1099999994</v>
      </c>
    </row>
    <row r="17" spans="1:9" ht="30" customHeight="1" thickBot="1">
      <c r="A17" s="585">
        <v>2006</v>
      </c>
      <c r="B17" s="925">
        <v>7.1853695026195359E-3</v>
      </c>
      <c r="C17" s="926">
        <v>1.372064238505178E-2</v>
      </c>
      <c r="D17" s="462">
        <v>6.1945155197761226E-2</v>
      </c>
      <c r="E17" s="926">
        <v>6.457386448023035E-2</v>
      </c>
      <c r="F17" s="462">
        <v>0.46584421080154392</v>
      </c>
      <c r="G17" s="926">
        <v>0.38673075763279313</v>
      </c>
      <c r="H17" s="462">
        <v>1</v>
      </c>
      <c r="I17" s="927">
        <v>7478426.8200000003</v>
      </c>
    </row>
    <row r="18" spans="1:9" ht="20" customHeight="1">
      <c r="A18" s="136" t="s">
        <v>453</v>
      </c>
      <c r="B18" s="279"/>
      <c r="C18" s="279"/>
      <c r="D18" s="279"/>
      <c r="E18" s="279"/>
      <c r="F18" s="279"/>
      <c r="G18" s="279"/>
      <c r="H18" s="279"/>
      <c r="I18" s="589"/>
    </row>
    <row r="19" spans="1:9" ht="13.5" customHeight="1">
      <c r="A19" s="3"/>
      <c r="B19" s="281"/>
      <c r="C19" s="281"/>
      <c r="D19" s="281"/>
      <c r="E19" s="281"/>
      <c r="F19" s="281"/>
      <c r="G19" s="281"/>
      <c r="H19" s="281"/>
      <c r="I19" s="590"/>
    </row>
    <row r="20" spans="1:9">
      <c r="A20" s="2" t="s">
        <v>1706</v>
      </c>
    </row>
    <row r="23" spans="1:9">
      <c r="A23" s="2" t="s">
        <v>1955</v>
      </c>
    </row>
  </sheetData>
  <phoneticPr fontId="0" type="noConversion"/>
  <pageMargins left="0.53" right="0.61" top="1.03" bottom="0.49" header="0.56000000000000005" footer="0.4921259845"/>
  <pageSetup paperSize="9" scale="82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149</vt:i4>
      </vt:variant>
      <vt:variant>
        <vt:lpstr>Benannte Bereiche</vt:lpstr>
      </vt:variant>
      <vt:variant>
        <vt:i4>135</vt:i4>
      </vt:variant>
    </vt:vector>
  </HeadingPairs>
  <TitlesOfParts>
    <vt:vector size="284" baseType="lpstr">
      <vt:lpstr>Info</vt:lpstr>
      <vt:lpstr>Bd</vt:lpstr>
      <vt:lpstr>B1d</vt:lpstr>
      <vt:lpstr>I1d</vt:lpstr>
      <vt:lpstr>I2d</vt:lpstr>
      <vt:lpstr>I3d</vt:lpstr>
      <vt:lpstr>J1d</vt:lpstr>
      <vt:lpstr>J2d</vt:lpstr>
      <vt:lpstr>T1d</vt:lpstr>
      <vt:lpstr>101d</vt:lpstr>
      <vt:lpstr>102d</vt:lpstr>
      <vt:lpstr>103d</vt:lpstr>
      <vt:lpstr>104d</vt:lpstr>
      <vt:lpstr>105d</vt:lpstr>
      <vt:lpstr>106d</vt:lpstr>
      <vt:lpstr>107d</vt:lpstr>
      <vt:lpstr>108d</vt:lpstr>
      <vt:lpstr>109d</vt:lpstr>
      <vt:lpstr>110d</vt:lpstr>
      <vt:lpstr>111d</vt:lpstr>
      <vt:lpstr>112d</vt:lpstr>
      <vt:lpstr>113d</vt:lpstr>
      <vt:lpstr>T2d</vt:lpstr>
      <vt:lpstr>201d</vt:lpstr>
      <vt:lpstr>202d</vt:lpstr>
      <vt:lpstr>203d</vt:lpstr>
      <vt:lpstr>204d</vt:lpstr>
      <vt:lpstr>205d</vt:lpstr>
      <vt:lpstr>206d</vt:lpstr>
      <vt:lpstr>207d</vt:lpstr>
      <vt:lpstr>208d</vt:lpstr>
      <vt:lpstr>209d</vt:lpstr>
      <vt:lpstr>210d</vt:lpstr>
      <vt:lpstr>211d</vt:lpstr>
      <vt:lpstr>212d</vt:lpstr>
      <vt:lpstr>213d</vt:lpstr>
      <vt:lpstr>214d</vt:lpstr>
      <vt:lpstr>215d</vt:lpstr>
      <vt:lpstr>216d</vt:lpstr>
      <vt:lpstr>217d</vt:lpstr>
      <vt:lpstr>218d</vt:lpstr>
      <vt:lpstr>219d</vt:lpstr>
      <vt:lpstr>220d</vt:lpstr>
      <vt:lpstr>221d</vt:lpstr>
      <vt:lpstr>222d</vt:lpstr>
      <vt:lpstr>223d</vt:lpstr>
      <vt:lpstr>T3d</vt:lpstr>
      <vt:lpstr>301d</vt:lpstr>
      <vt:lpstr>302d</vt:lpstr>
      <vt:lpstr>303d</vt:lpstr>
      <vt:lpstr>304d</vt:lpstr>
      <vt:lpstr>305d</vt:lpstr>
      <vt:lpstr>306d</vt:lpstr>
      <vt:lpstr>307d</vt:lpstr>
      <vt:lpstr>308d</vt:lpstr>
      <vt:lpstr>309d</vt:lpstr>
      <vt:lpstr>310d</vt:lpstr>
      <vt:lpstr>311d</vt:lpstr>
      <vt:lpstr>312d</vt:lpstr>
      <vt:lpstr>T4d</vt:lpstr>
      <vt:lpstr>401d</vt:lpstr>
      <vt:lpstr>402d</vt:lpstr>
      <vt:lpstr>403d</vt:lpstr>
      <vt:lpstr>404d</vt:lpstr>
      <vt:lpstr>405d</vt:lpstr>
      <vt:lpstr>406d</vt:lpstr>
      <vt:lpstr>407d</vt:lpstr>
      <vt:lpstr>408d</vt:lpstr>
      <vt:lpstr>409d</vt:lpstr>
      <vt:lpstr>410d</vt:lpstr>
      <vt:lpstr>411d</vt:lpstr>
      <vt:lpstr>T5d</vt:lpstr>
      <vt:lpstr>501d</vt:lpstr>
      <vt:lpstr>502d</vt:lpstr>
      <vt:lpstr>503d</vt:lpstr>
      <vt:lpstr>504d</vt:lpstr>
      <vt:lpstr>T6d</vt:lpstr>
      <vt:lpstr>601d</vt:lpstr>
      <vt:lpstr>602d</vt:lpstr>
      <vt:lpstr>603d</vt:lpstr>
      <vt:lpstr>604d</vt:lpstr>
      <vt:lpstr>605d</vt:lpstr>
      <vt:lpstr>606d</vt:lpstr>
      <vt:lpstr>T7d</vt:lpstr>
      <vt:lpstr>701d</vt:lpstr>
      <vt:lpstr>702d</vt:lpstr>
      <vt:lpstr>703d</vt:lpstr>
      <vt:lpstr>704d</vt:lpstr>
      <vt:lpstr>705d</vt:lpstr>
      <vt:lpstr>T8d</vt:lpstr>
      <vt:lpstr>801d</vt:lpstr>
      <vt:lpstr>802d</vt:lpstr>
      <vt:lpstr>803d</vt:lpstr>
      <vt:lpstr>804d</vt:lpstr>
      <vt:lpstr>805d</vt:lpstr>
      <vt:lpstr>806d</vt:lpstr>
      <vt:lpstr>807d</vt:lpstr>
      <vt:lpstr>808d</vt:lpstr>
      <vt:lpstr>809d</vt:lpstr>
      <vt:lpstr>810d</vt:lpstr>
      <vt:lpstr>811d</vt:lpstr>
      <vt:lpstr>812d</vt:lpstr>
      <vt:lpstr>T9d</vt:lpstr>
      <vt:lpstr>901d</vt:lpstr>
      <vt:lpstr>902d</vt:lpstr>
      <vt:lpstr>903d</vt:lpstr>
      <vt:lpstr>904d</vt:lpstr>
      <vt:lpstr>905d</vt:lpstr>
      <vt:lpstr>906d</vt:lpstr>
      <vt:lpstr>907d</vt:lpstr>
      <vt:lpstr>908d</vt:lpstr>
      <vt:lpstr>909d</vt:lpstr>
      <vt:lpstr>910d</vt:lpstr>
      <vt:lpstr>911d</vt:lpstr>
      <vt:lpstr>912d</vt:lpstr>
      <vt:lpstr>913d</vt:lpstr>
      <vt:lpstr>914d</vt:lpstr>
      <vt:lpstr>915d</vt:lpstr>
      <vt:lpstr>916d</vt:lpstr>
      <vt:lpstr>917d</vt:lpstr>
      <vt:lpstr>918d</vt:lpstr>
      <vt:lpstr>919d</vt:lpstr>
      <vt:lpstr>920d</vt:lpstr>
      <vt:lpstr>921d</vt:lpstr>
      <vt:lpstr>922d</vt:lpstr>
      <vt:lpstr>T10d</vt:lpstr>
      <vt:lpstr>1001d</vt:lpstr>
      <vt:lpstr>1002d</vt:lpstr>
      <vt:lpstr>1003d</vt:lpstr>
      <vt:lpstr>T11d</vt:lpstr>
      <vt:lpstr>1101d</vt:lpstr>
      <vt:lpstr>1102d</vt:lpstr>
      <vt:lpstr>1103d</vt:lpstr>
      <vt:lpstr>1104d</vt:lpstr>
      <vt:lpstr>1105d</vt:lpstr>
      <vt:lpstr>1106d</vt:lpstr>
      <vt:lpstr>1107d</vt:lpstr>
      <vt:lpstr>1108d</vt:lpstr>
      <vt:lpstr>1109d</vt:lpstr>
      <vt:lpstr>1110d</vt:lpstr>
      <vt:lpstr>1111d</vt:lpstr>
      <vt:lpstr>1112d</vt:lpstr>
      <vt:lpstr>1113d</vt:lpstr>
      <vt:lpstr>1114d</vt:lpstr>
      <vt:lpstr>1115d</vt:lpstr>
      <vt:lpstr>1116d</vt:lpstr>
      <vt:lpstr>1117d</vt:lpstr>
      <vt:lpstr>1118d</vt:lpstr>
      <vt:lpstr>1119d</vt:lpstr>
      <vt:lpstr>'1001d'!Druckbereich</vt:lpstr>
      <vt:lpstr>'1002d'!Druckbereich</vt:lpstr>
      <vt:lpstr>'1003d'!Druckbereich</vt:lpstr>
      <vt:lpstr>'101d'!Druckbereich</vt:lpstr>
      <vt:lpstr>'102d'!Druckbereich</vt:lpstr>
      <vt:lpstr>'103d'!Druckbereich</vt:lpstr>
      <vt:lpstr>'104d'!Druckbereich</vt:lpstr>
      <vt:lpstr>'105d'!Druckbereich</vt:lpstr>
      <vt:lpstr>'106d'!Druckbereich</vt:lpstr>
      <vt:lpstr>'107d'!Druckbereich</vt:lpstr>
      <vt:lpstr>'108d'!Druckbereich</vt:lpstr>
      <vt:lpstr>'109d'!Druckbereich</vt:lpstr>
      <vt:lpstr>'1101d'!Druckbereich</vt:lpstr>
      <vt:lpstr>'1102d'!Druckbereich</vt:lpstr>
      <vt:lpstr>'1103d'!Druckbereich</vt:lpstr>
      <vt:lpstr>'1104d'!Druckbereich</vt:lpstr>
      <vt:lpstr>'1105d'!Druckbereich</vt:lpstr>
      <vt:lpstr>'1106d'!Druckbereich</vt:lpstr>
      <vt:lpstr>'1107d'!Druckbereich</vt:lpstr>
      <vt:lpstr>'1108d'!Druckbereich</vt:lpstr>
      <vt:lpstr>'1109d'!Druckbereich</vt:lpstr>
      <vt:lpstr>'110d'!Druckbereich</vt:lpstr>
      <vt:lpstr>'1110d'!Druckbereich</vt:lpstr>
      <vt:lpstr>'1111d'!Druckbereich</vt:lpstr>
      <vt:lpstr>'1112d'!Druckbereich</vt:lpstr>
      <vt:lpstr>'1113d'!Druckbereich</vt:lpstr>
      <vt:lpstr>'1114d'!Druckbereich</vt:lpstr>
      <vt:lpstr>'1115d'!Druckbereich</vt:lpstr>
      <vt:lpstr>'1116d'!Druckbereich</vt:lpstr>
      <vt:lpstr>'1117d'!Druckbereich</vt:lpstr>
      <vt:lpstr>'1118d'!Druckbereich</vt:lpstr>
      <vt:lpstr>'1119d'!Druckbereich</vt:lpstr>
      <vt:lpstr>'111d'!Druckbereich</vt:lpstr>
      <vt:lpstr>'112d'!Druckbereich</vt:lpstr>
      <vt:lpstr>'113d'!Druckbereich</vt:lpstr>
      <vt:lpstr>'201d'!Druckbereich</vt:lpstr>
      <vt:lpstr>'202d'!Druckbereich</vt:lpstr>
      <vt:lpstr>'203d'!Druckbereich</vt:lpstr>
      <vt:lpstr>'204d'!Druckbereich</vt:lpstr>
      <vt:lpstr>'205d'!Druckbereich</vt:lpstr>
      <vt:lpstr>'206d'!Druckbereich</vt:lpstr>
      <vt:lpstr>'207d'!Druckbereich</vt:lpstr>
      <vt:lpstr>'208d'!Druckbereich</vt:lpstr>
      <vt:lpstr>'209d'!Druckbereich</vt:lpstr>
      <vt:lpstr>'210d'!Druckbereich</vt:lpstr>
      <vt:lpstr>'211d'!Druckbereich</vt:lpstr>
      <vt:lpstr>'212d'!Druckbereich</vt:lpstr>
      <vt:lpstr>'213d'!Druckbereich</vt:lpstr>
      <vt:lpstr>'214d'!Druckbereich</vt:lpstr>
      <vt:lpstr>'215d'!Druckbereich</vt:lpstr>
      <vt:lpstr>'216d'!Druckbereich</vt:lpstr>
      <vt:lpstr>'217d'!Druckbereich</vt:lpstr>
      <vt:lpstr>'218d'!Druckbereich</vt:lpstr>
      <vt:lpstr>'219d'!Druckbereich</vt:lpstr>
      <vt:lpstr>'220d'!Druckbereich</vt:lpstr>
      <vt:lpstr>'221d'!Druckbereich</vt:lpstr>
      <vt:lpstr>'222d'!Druckbereich</vt:lpstr>
      <vt:lpstr>'223d'!Druckbereich</vt:lpstr>
      <vt:lpstr>'301d'!Druckbereich</vt:lpstr>
      <vt:lpstr>'302d'!Druckbereich</vt:lpstr>
      <vt:lpstr>'303d'!Druckbereich</vt:lpstr>
      <vt:lpstr>'304d'!Druckbereich</vt:lpstr>
      <vt:lpstr>'305d'!Druckbereich</vt:lpstr>
      <vt:lpstr>'306d'!Druckbereich</vt:lpstr>
      <vt:lpstr>'307d'!Druckbereich</vt:lpstr>
      <vt:lpstr>'308d'!Druckbereich</vt:lpstr>
      <vt:lpstr>'309d'!Druckbereich</vt:lpstr>
      <vt:lpstr>'310d'!Druckbereich</vt:lpstr>
      <vt:lpstr>'311d'!Druckbereich</vt:lpstr>
      <vt:lpstr>'312d'!Druckbereich</vt:lpstr>
      <vt:lpstr>'402d'!Druckbereich</vt:lpstr>
      <vt:lpstr>'403d'!Druckbereich</vt:lpstr>
      <vt:lpstr>'404d'!Druckbereich</vt:lpstr>
      <vt:lpstr>'405d'!Druckbereich</vt:lpstr>
      <vt:lpstr>'406d'!Druckbereich</vt:lpstr>
      <vt:lpstr>'407d'!Druckbereich</vt:lpstr>
      <vt:lpstr>'408d'!Druckbereich</vt:lpstr>
      <vt:lpstr>'409d'!Druckbereich</vt:lpstr>
      <vt:lpstr>'410d'!Druckbereich</vt:lpstr>
      <vt:lpstr>'411d'!Druckbereich</vt:lpstr>
      <vt:lpstr>'501d'!Druckbereich</vt:lpstr>
      <vt:lpstr>'502d'!Druckbereich</vt:lpstr>
      <vt:lpstr>'503d'!Druckbereich</vt:lpstr>
      <vt:lpstr>'504d'!Druckbereich</vt:lpstr>
      <vt:lpstr>'601d'!Druckbereich</vt:lpstr>
      <vt:lpstr>'602d'!Druckbereich</vt:lpstr>
      <vt:lpstr>'603d'!Druckbereich</vt:lpstr>
      <vt:lpstr>'604d'!Druckbereich</vt:lpstr>
      <vt:lpstr>'605d'!Druckbereich</vt:lpstr>
      <vt:lpstr>'606d'!Druckbereich</vt:lpstr>
      <vt:lpstr>'701d'!Druckbereich</vt:lpstr>
      <vt:lpstr>'702d'!Druckbereich</vt:lpstr>
      <vt:lpstr>'703d'!Druckbereich</vt:lpstr>
      <vt:lpstr>'704d'!Druckbereich</vt:lpstr>
      <vt:lpstr>'705d'!Druckbereich</vt:lpstr>
      <vt:lpstr>'801d'!Druckbereich</vt:lpstr>
      <vt:lpstr>'802d'!Druckbereich</vt:lpstr>
      <vt:lpstr>'803d'!Druckbereich</vt:lpstr>
      <vt:lpstr>'804d'!Druckbereich</vt:lpstr>
      <vt:lpstr>'805d'!Druckbereich</vt:lpstr>
      <vt:lpstr>'806d'!Druckbereich</vt:lpstr>
      <vt:lpstr>'807d'!Druckbereich</vt:lpstr>
      <vt:lpstr>'808d'!Druckbereich</vt:lpstr>
      <vt:lpstr>'809d'!Druckbereich</vt:lpstr>
      <vt:lpstr>'810d'!Druckbereich</vt:lpstr>
      <vt:lpstr>'811d'!Druckbereich</vt:lpstr>
      <vt:lpstr>'901d'!Druckbereich</vt:lpstr>
      <vt:lpstr>'902d'!Druckbereich</vt:lpstr>
      <vt:lpstr>'903d'!Druckbereich</vt:lpstr>
      <vt:lpstr>'904d'!Druckbereich</vt:lpstr>
      <vt:lpstr>'905d'!Druckbereich</vt:lpstr>
      <vt:lpstr>'906d'!Druckbereich</vt:lpstr>
      <vt:lpstr>'907d'!Druckbereich</vt:lpstr>
      <vt:lpstr>'908d'!Druckbereich</vt:lpstr>
      <vt:lpstr>'909d'!Druckbereich</vt:lpstr>
      <vt:lpstr>'910d'!Druckbereich</vt:lpstr>
      <vt:lpstr>'911d'!Druckbereich</vt:lpstr>
      <vt:lpstr>'912d'!Druckbereich</vt:lpstr>
      <vt:lpstr>'913d'!Druckbereich</vt:lpstr>
      <vt:lpstr>'914d'!Druckbereich</vt:lpstr>
      <vt:lpstr>'915d'!Druckbereich</vt:lpstr>
      <vt:lpstr>'916d'!Druckbereich</vt:lpstr>
      <vt:lpstr>'917d'!Druckbereich</vt:lpstr>
      <vt:lpstr>'918d'!Druckbereich</vt:lpstr>
      <vt:lpstr>'919d'!Druckbereich</vt:lpstr>
      <vt:lpstr>'920d'!Druckbereich</vt:lpstr>
      <vt:lpstr>'921d'!Druckbereich</vt:lpstr>
      <vt:lpstr>'922d'!Druckbereich</vt:lpstr>
      <vt:lpstr>J1d!Druckbereich</vt:lpstr>
      <vt:lpstr>J2d!Druckbereich</vt:lpstr>
      <vt:lpstr>'501d'!Drucktitel</vt:lpstr>
      <vt:lpstr>'503d'!Drucktitel</vt:lpstr>
      <vt:lpstr>'504d'!Drucktitel</vt:lpstr>
      <vt:lpstr>'907d'!Drucktitel</vt:lpstr>
      <vt:lpstr>B1d!Drucktitel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Informatikdienst</dc:creator>
  <cp:lastModifiedBy>Smaili Kenan (smailken)</cp:lastModifiedBy>
  <cp:lastPrinted>2007-12-11T10:16:40Z</cp:lastPrinted>
  <dcterms:created xsi:type="dcterms:W3CDTF">1999-10-15T08:29:27Z</dcterms:created>
  <dcterms:modified xsi:type="dcterms:W3CDTF">2026-05-02T10:05:22Z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-2021548164</vt:i4>
  </property>
  <property fmtid="{D5CDD505-2E9C-101B-9397-08002B2CF9AE}" pid="3" name="_EmailSubject">
    <vt:lpwstr>enlever liaisons</vt:lpwstr>
  </property>
  <property fmtid="{D5CDD505-2E9C-101B-9397-08002B2CF9AE}" pid="4" name="_AuthorEmail">
    <vt:lpwstr>Yves-Alain.Gerber@bfs.admin.ch</vt:lpwstr>
  </property>
  <property fmtid="{D5CDD505-2E9C-101B-9397-08002B2CF9AE}" pid="5" name="_AuthorEmailDisplayName">
    <vt:lpwstr>Gerber Yves-Alain BFS</vt:lpwstr>
  </property>
  <property fmtid="{D5CDD505-2E9C-101B-9397-08002B2CF9AE}" pid="6" name="_PreviousAdHocReviewCycleID">
    <vt:i4>1897203600</vt:i4>
  </property>
  <property fmtid="{D5CDD505-2E9C-101B-9397-08002B2CF9AE}" pid="7" name="_ReviewingToolsShownOnce">
    <vt:lpwstr/>
  </property>
</Properties>
</file>