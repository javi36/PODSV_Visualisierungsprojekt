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codeName="ThisWorkbook" defaultThemeVersion="124226"/>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D4C2AF6B-E999-854C-9E28-2811A945EBF8}" xr6:coauthVersionLast="47" xr6:coauthVersionMax="47" xr10:uidLastSave="{00000000-0000-0000-0000-000000000000}"/>
  <bookViews>
    <workbookView xWindow="0" yWindow="500" windowWidth="38400" windowHeight="20000" tabRatio="601" xr2:uid="{BA5C00F1-0C02-974B-AF93-F30FE0CD5445}"/>
  </bookViews>
  <sheets>
    <sheet name="Info" sheetId="150" r:id="rId1"/>
    <sheet name="Ad" sheetId="960" r:id="rId2"/>
    <sheet name="Bd" sheetId="1269" r:id="rId3"/>
    <sheet name="B1d" sheetId="1268" r:id="rId4"/>
    <sheet name="F1d" sheetId="1265" r:id="rId5"/>
    <sheet name="F2d" sheetId="1266" r:id="rId6"/>
    <sheet name="F3d" sheetId="1267" r:id="rId7"/>
    <sheet name="Jd" sheetId="1228" r:id="rId8"/>
    <sheet name="T1d" sheetId="1159" r:id="rId9"/>
    <sheet name="101d" sheetId="1133" r:id="rId10"/>
    <sheet name="102d" sheetId="1134" r:id="rId11"/>
    <sheet name="103d" sheetId="1135" r:id="rId12"/>
    <sheet name="104d" sheetId="1136" r:id="rId13"/>
    <sheet name="105d" sheetId="1137" r:id="rId14"/>
    <sheet name="106d" sheetId="1138" r:id="rId15"/>
    <sheet name="107d" sheetId="1139" r:id="rId16"/>
    <sheet name="108d" sheetId="1131" r:id="rId17"/>
    <sheet name="109d" sheetId="1203" r:id="rId18"/>
    <sheet name="110d" sheetId="1132" r:id="rId19"/>
    <sheet name="111d" sheetId="1202" r:id="rId20"/>
    <sheet name="112d" sheetId="1201" r:id="rId21"/>
    <sheet name="113d" sheetId="1200" r:id="rId22"/>
    <sheet name="T2d" sheetId="1158" r:id="rId23"/>
    <sheet name="201d" sheetId="1208" r:id="rId24"/>
    <sheet name="202d" sheetId="1209" r:id="rId25"/>
    <sheet name="203d" sheetId="1152" r:id="rId26"/>
    <sheet name="204d" sheetId="1153" r:id="rId27"/>
    <sheet name="205d" sheetId="1154" r:id="rId28"/>
    <sheet name="206d" sheetId="1210" r:id="rId29"/>
    <sheet name="207d" sheetId="1147" r:id="rId30"/>
    <sheet name="208d" sheetId="1223" r:id="rId31"/>
    <sheet name="209d" sheetId="1211" r:id="rId32"/>
    <sheet name="210d" sheetId="1146" r:id="rId33"/>
    <sheet name="211d" sheetId="1212" r:id="rId34"/>
    <sheet name="212d" sheetId="1145" r:id="rId35"/>
    <sheet name="213d" sheetId="1144" r:id="rId36"/>
    <sheet name="214d" sheetId="1213" r:id="rId37"/>
    <sheet name="215d" sheetId="1214" r:id="rId38"/>
    <sheet name="216d" sheetId="1143" r:id="rId39"/>
    <sheet name="217d" sheetId="1142" r:id="rId40"/>
    <sheet name="218d" sheetId="1141" r:id="rId41"/>
    <sheet name="219d" sheetId="1140" r:id="rId42"/>
    <sheet name="220d" sheetId="1215" r:id="rId43"/>
    <sheet name="221d" sheetId="1216" r:id="rId44"/>
    <sheet name="222d" sheetId="1217" r:id="rId45"/>
    <sheet name="223d" sheetId="1224" r:id="rId46"/>
    <sheet name="224d" sheetId="1225" r:id="rId47"/>
    <sheet name="225d" sheetId="1218" r:id="rId48"/>
    <sheet name="226d" sheetId="1219" r:id="rId49"/>
    <sheet name="T3d" sheetId="1157" r:id="rId50"/>
    <sheet name="301d" sheetId="1207" r:id="rId51"/>
    <sheet name="302d" sheetId="1206" r:id="rId52"/>
    <sheet name="303d" sheetId="1226" r:id="rId53"/>
    <sheet name="304d" sheetId="1149" r:id="rId54"/>
    <sheet name="305d" sheetId="1205" r:id="rId55"/>
    <sheet name="306d" sheetId="1150" r:id="rId56"/>
    <sheet name="307d" sheetId="1204" r:id="rId57"/>
    <sheet name="308d" sheetId="1151" r:id="rId58"/>
    <sheet name="T4d" sheetId="1246" r:id="rId59"/>
    <sheet name="401d" sheetId="1245" r:id="rId60"/>
    <sheet name="402d" sheetId="1242" r:id="rId61"/>
    <sheet name="403d" sheetId="1241" r:id="rId62"/>
    <sheet name="404d" sheetId="1240" r:id="rId63"/>
    <sheet name="405d" sheetId="1239" r:id="rId64"/>
    <sheet name="406d" sheetId="1238" r:id="rId65"/>
    <sheet name="407d" sheetId="1237" r:id="rId66"/>
    <sheet name="408d" sheetId="1236" r:id="rId67"/>
    <sheet name="409d" sheetId="1235" r:id="rId68"/>
    <sheet name="410d" sheetId="1244" r:id="rId69"/>
    <sheet name="411d" sheetId="1243" r:id="rId70"/>
    <sheet name="T5d" sheetId="1156" r:id="rId71"/>
    <sheet name="501d" sheetId="1164" r:id="rId72"/>
    <sheet name="502d" sheetId="1163" r:id="rId73"/>
    <sheet name="503d" sheetId="1162" r:id="rId74"/>
    <sheet name="504d" sheetId="1161" r:id="rId75"/>
    <sheet name="505d" sheetId="1160" r:id="rId76"/>
    <sheet name="T6d" sheetId="1167" r:id="rId77"/>
    <sheet name="601d" sheetId="1168" r:id="rId78"/>
    <sheet name="602d" sheetId="1170" r:id="rId79"/>
    <sheet name="603d" sheetId="1169" r:id="rId80"/>
    <sheet name="604d" sheetId="1172" r:id="rId81"/>
    <sheet name="605d" sheetId="1171" r:id="rId82"/>
    <sheet name="606d" sheetId="1166" r:id="rId83"/>
    <sheet name="T7d" sheetId="1177" r:id="rId84"/>
    <sheet name="701d" sheetId="1176" r:id="rId85"/>
    <sheet name="702d" sheetId="1175" r:id="rId86"/>
    <sheet name="703d" sheetId="1174" r:id="rId87"/>
    <sheet name="704d" sheetId="1173" r:id="rId88"/>
    <sheet name="705d" sheetId="1178" r:id="rId89"/>
    <sheet name="T8d" sheetId="1180" r:id="rId90"/>
    <sheet name="801d" sheetId="1191" r:id="rId91"/>
    <sheet name="802d" sheetId="1190" r:id="rId92"/>
    <sheet name="803d" sheetId="1247" r:id="rId93"/>
    <sheet name="804d" sheetId="1189" r:id="rId94"/>
    <sheet name="805d" sheetId="1188" r:id="rId95"/>
    <sheet name="806d" sheetId="1187" r:id="rId96"/>
    <sheet name="807d" sheetId="1186" r:id="rId97"/>
    <sheet name="808d" sheetId="1185" r:id="rId98"/>
    <sheet name="809d" sheetId="1184" r:id="rId99"/>
    <sheet name="810d" sheetId="1183" r:id="rId100"/>
    <sheet name="811d" sheetId="1182" r:id="rId101"/>
    <sheet name="812d" sheetId="1181" r:id="rId102"/>
    <sheet name="T9d" sheetId="1255" r:id="rId103"/>
    <sheet name="901d" sheetId="1254" r:id="rId104"/>
    <sheet name="902d" sheetId="1253" r:id="rId105"/>
    <sheet name="903d" sheetId="1252" r:id="rId106"/>
    <sheet name="904d" sheetId="1251" r:id="rId107"/>
    <sheet name="905d" sheetId="1250" r:id="rId108"/>
    <sheet name="906d" sheetId="1249" r:id="rId109"/>
    <sheet name="907d" sheetId="1248" r:id="rId110"/>
    <sheet name="908d" sheetId="1220" r:id="rId111"/>
    <sheet name="909d" sheetId="1221" r:id="rId112"/>
    <sheet name="910d" sheetId="1264" r:id="rId113"/>
    <sheet name="911d" sheetId="1263" r:id="rId114"/>
    <sheet name="912d" sheetId="1262" r:id="rId115"/>
    <sheet name="913d" sheetId="1261" r:id="rId116"/>
    <sheet name="914d" sheetId="1260" r:id="rId117"/>
    <sheet name="915d" sheetId="1259" r:id="rId118"/>
    <sheet name="T10d" sheetId="1229" r:id="rId119"/>
    <sheet name="1001d" sheetId="1230" r:id="rId120"/>
    <sheet name="1002d" sheetId="1231" r:id="rId121"/>
    <sheet name="1003d" sheetId="1232" r:id="rId122"/>
    <sheet name="1004d" sheetId="1233" r:id="rId123"/>
    <sheet name="1005d" sheetId="1234" r:id="rId124"/>
    <sheet name="T11d" sheetId="1155" r:id="rId125"/>
    <sheet name="1101d" sheetId="1122" r:id="rId126"/>
    <sheet name="1102d" sheetId="1123" r:id="rId127"/>
    <sheet name="1103d" sheetId="1124" r:id="rId128"/>
    <sheet name="1104d" sheetId="1258" r:id="rId129"/>
    <sheet name="1105d" sheetId="1125" r:id="rId130"/>
    <sheet name="1106d" sheetId="1126" r:id="rId131"/>
    <sheet name="1107d" sheetId="1127" r:id="rId132"/>
    <sheet name="1108d" sheetId="1128" r:id="rId133"/>
    <sheet name="1109d" sheetId="1129" r:id="rId134"/>
    <sheet name="1110d" sheetId="1257" r:id="rId135"/>
    <sheet name="1111d" sheetId="1227" r:id="rId136"/>
    <sheet name="1112d" sheetId="1256" r:id="rId137"/>
    <sheet name="1113d" sheetId="1222" r:id="rId138"/>
    <sheet name="1114d" sheetId="1130" r:id="rId139"/>
    <sheet name="1115d" sheetId="1120" r:id="rId140"/>
    <sheet name="1116d" sheetId="1121" r:id="rId141"/>
    <sheet name="1117d" sheetId="1179" r:id="rId142"/>
    <sheet name="1118d" sheetId="1165" r:id="rId143"/>
    <sheet name="T12d" sheetId="1193" r:id="rId144"/>
    <sheet name="1201d" sheetId="1192" r:id="rId145"/>
    <sheet name="1202d" sheetId="1194" r:id="rId146"/>
    <sheet name="1203d" sheetId="1195" r:id="rId147"/>
    <sheet name="1204d" sheetId="1196" r:id="rId148"/>
    <sheet name="1205d" sheetId="1197" r:id="rId149"/>
    <sheet name="1206d" sheetId="1198" r:id="rId150"/>
    <sheet name="1207d" sheetId="1199" r:id="rId151"/>
  </sheets>
  <definedNames>
    <definedName name="_xlnm.Print_Area" localSheetId="119">'1001d'!$A$1:$G$31</definedName>
    <definedName name="_xlnm.Print_Area" localSheetId="120">'1002d'!$A$1:$G$32</definedName>
    <definedName name="_xlnm.Print_Area" localSheetId="121">'1003d'!$A$1:$H$35</definedName>
    <definedName name="_xlnm.Print_Area" localSheetId="122">'1004d'!$A$1:$H$55</definedName>
    <definedName name="_xlnm.Print_Area" localSheetId="123">'1005d'!$A$1:$G$42</definedName>
    <definedName name="_xlnm.Print_Area" localSheetId="9">'101d'!$A$1:$V$56</definedName>
    <definedName name="_xlnm.Print_Area" localSheetId="10">'102d'!$A$1:$E$39</definedName>
    <definedName name="_xlnm.Print_Area" localSheetId="11">'103d'!$A$1:$E$39</definedName>
    <definedName name="_xlnm.Print_Area" localSheetId="12">'104d'!$A$1:$E$39</definedName>
    <definedName name="_xlnm.Print_Area" localSheetId="13">'105d'!$A$1:$E$39</definedName>
    <definedName name="_xlnm.Print_Area" localSheetId="14">'106d'!$A$1:$E$39</definedName>
    <definedName name="_xlnm.Print_Area" localSheetId="15">'107d'!$A$1:$E$48</definedName>
    <definedName name="_xlnm.Print_Area" localSheetId="16">'108d'!$A$1:$G$28</definedName>
    <definedName name="_xlnm.Print_Area" localSheetId="17">'109d'!$A$1:$G$28</definedName>
    <definedName name="_xlnm.Print_Area" localSheetId="125">'1101d'!$A$1:$G$31</definedName>
    <definedName name="_xlnm.Print_Area" localSheetId="126">'1102d'!$A$1:$H$32</definedName>
    <definedName name="_xlnm.Print_Area" localSheetId="127">'1103d'!$A$1:$F$46</definedName>
    <definedName name="_xlnm.Print_Area" localSheetId="128">'1104d'!$A$1:$G$49</definedName>
    <definedName name="_xlnm.Print_Area" localSheetId="129">'1105d'!$A$1:$G$30</definedName>
    <definedName name="_xlnm.Print_Area" localSheetId="130">'1106d'!$A$1:$G$22</definedName>
    <definedName name="_xlnm.Print_Area" localSheetId="131">'1107d'!$A$1:$G$28</definedName>
    <definedName name="_xlnm.Print_Area" localSheetId="132">'1108d'!$A$2:$P$45</definedName>
    <definedName name="_xlnm.Print_Area" localSheetId="133">'1109d'!$A$2:$P$45</definedName>
    <definedName name="_xlnm.Print_Area" localSheetId="18">'110d'!$A$1:$H$28</definedName>
    <definedName name="_xlnm.Print_Area" localSheetId="134">'1110d'!$A$1:$G$40</definedName>
    <definedName name="_xlnm.Print_Area" localSheetId="135">'1111d'!$A$1:$F$39</definedName>
    <definedName name="_xlnm.Print_Area" localSheetId="136">'1112d'!$A$1:$F$52</definedName>
    <definedName name="_xlnm.Print_Area" localSheetId="137">'1113d'!$A$1:$F$36</definedName>
    <definedName name="_xlnm.Print_Area" localSheetId="138">'1114d'!$A$1:$G$43</definedName>
    <definedName name="_xlnm.Print_Area" localSheetId="139">'1115d'!$A$1:$G$39</definedName>
    <definedName name="_xlnm.Print_Area" localSheetId="140">'1116d'!$A$1:$H$44</definedName>
    <definedName name="_xlnm.Print_Area" localSheetId="141">'1117d'!$A$1:$I$29</definedName>
    <definedName name="_xlnm.Print_Area" localSheetId="142">'1118d'!$A$1:$Q$42</definedName>
    <definedName name="_xlnm.Print_Area" localSheetId="19">'111d'!$A$1:$H$28</definedName>
    <definedName name="_xlnm.Print_Area" localSheetId="20">'112d'!$A$1:$G$32</definedName>
    <definedName name="_xlnm.Print_Area" localSheetId="21">'113d'!$A$1:$G$31</definedName>
    <definedName name="_xlnm.Print_Area" localSheetId="144">'1201d'!$A$1:$H$44</definedName>
    <definedName name="_xlnm.Print_Area" localSheetId="145">'1202d'!$A$1:$H$45</definedName>
    <definedName name="_xlnm.Print_Area" localSheetId="146">'1203d'!$A$1:$H$45</definedName>
    <definedName name="_xlnm.Print_Area" localSheetId="147">'1204d'!$A$1:$H$45</definedName>
    <definedName name="_xlnm.Print_Area" localSheetId="148">'1205d'!$A$1:$G$46</definedName>
    <definedName name="_xlnm.Print_Area" localSheetId="149">'1206d'!$A$1:$G$46</definedName>
    <definedName name="_xlnm.Print_Area" localSheetId="150">'1207d'!$A$1:$G$46</definedName>
    <definedName name="_xlnm.Print_Area" localSheetId="23">'201d'!$A$1:$H$28</definedName>
    <definedName name="_xlnm.Print_Area" localSheetId="24">'202d'!$A$1:$H$60</definedName>
    <definedName name="_xlnm.Print_Area" localSheetId="25">'203d'!$A$1:$Q$43</definedName>
    <definedName name="_xlnm.Print_Area" localSheetId="26">'204d'!$A$1:$E$44</definedName>
    <definedName name="_xlnm.Print_Area" localSheetId="27">'205d'!$A$1:$F$44</definedName>
    <definedName name="_xlnm.Print_Area" localSheetId="28">'206d'!$A$1:$H$41</definedName>
    <definedName name="_xlnm.Print_Area" localSheetId="29">'207d'!$A$1:$E$44</definedName>
    <definedName name="_xlnm.Print_Area" localSheetId="30">'208d'!$A$1:$G$45</definedName>
    <definedName name="_xlnm.Print_Area" localSheetId="31">'209d'!$A$1:$H$41</definedName>
    <definedName name="_xlnm.Print_Area" localSheetId="32">'210d'!$A$1:$F$44</definedName>
    <definedName name="_xlnm.Print_Area" localSheetId="33">'211d'!$A$1:$H$41</definedName>
    <definedName name="_xlnm.Print_Area" localSheetId="34">'212d'!$A$1:$G$44</definedName>
    <definedName name="_xlnm.Print_Area" localSheetId="35">'213d'!$A$1:$G$44</definedName>
    <definedName name="_xlnm.Print_Area" localSheetId="36">'214d'!$A$1:$G$31</definedName>
    <definedName name="_xlnm.Print_Area" localSheetId="37">'215d'!$A$1:$H$59</definedName>
    <definedName name="_xlnm.Print_Area" localSheetId="38">'216d'!$A$1:$N$59</definedName>
    <definedName name="_xlnm.Print_Area" localSheetId="39">'217d'!$A$1:$H$41</definedName>
    <definedName name="_xlnm.Print_Area" localSheetId="40">'218d'!$A$1:$N$59</definedName>
    <definedName name="_xlnm.Print_Area" localSheetId="41">'219d'!$A$1:$H$41</definedName>
    <definedName name="_xlnm.Print_Area" localSheetId="42">'220d'!$A$1:$G$30</definedName>
    <definedName name="_xlnm.Print_Area" localSheetId="43">'221d'!$A$1:$H$59</definedName>
    <definedName name="_xlnm.Print_Area" localSheetId="44">'222d'!$A$1:$G$19</definedName>
    <definedName name="_xlnm.Print_Area" localSheetId="45">'223d'!$A$1:$G$45</definedName>
    <definedName name="_xlnm.Print_Area" localSheetId="46">'224d'!$A$1:$G$45</definedName>
    <definedName name="_xlnm.Print_Area" localSheetId="47">'225d'!$A$1:$Q$42</definedName>
    <definedName name="_xlnm.Print_Area" localSheetId="48">'226d'!$A$1:$Q$41</definedName>
    <definedName name="_xlnm.Print_Area" localSheetId="50">'301d'!$A$1:$G$17</definedName>
    <definedName name="_xlnm.Print_Area" localSheetId="51">'302d'!$A$2:$G$30</definedName>
    <definedName name="_xlnm.Print_Area" localSheetId="52">'303d'!$A$1:$G$44</definedName>
    <definedName name="_xlnm.Print_Area" localSheetId="53">'304d'!$A$1:$F$44</definedName>
    <definedName name="_xlnm.Print_Area" localSheetId="54">'305d'!$A$1:$H$58</definedName>
    <definedName name="_xlnm.Print_Area" localSheetId="55">'306d'!$A$1:$E$44</definedName>
    <definedName name="_xlnm.Print_Area" localSheetId="56">'307d'!$A$1:$H$39</definedName>
    <definedName name="_xlnm.Print_Area" localSheetId="57">'308d'!$A$1:$Q$41</definedName>
    <definedName name="_xlnm.Print_Area" localSheetId="59" xml:space="preserve">  '401d'!$A$1:$H$33</definedName>
    <definedName name="_xlnm.Print_Area" localSheetId="60">'402d'!$A$1:$H$45</definedName>
    <definedName name="_xlnm.Print_Area" localSheetId="61">'403d'!$A$1:$F$33</definedName>
    <definedName name="_xlnm.Print_Area" localSheetId="62">'404d'!$A$1:$L$48</definedName>
    <definedName name="_xlnm.Print_Area" localSheetId="63">'405d'!$A$1:$K$41</definedName>
    <definedName name="_xlnm.Print_Area" localSheetId="64">'406d'!$A$1:$I$42</definedName>
    <definedName name="_xlnm.Print_Area" localSheetId="65">'407d'!$A$1:$H$46</definedName>
    <definedName name="_xlnm.Print_Area" localSheetId="66">'408d'!$A$1:$H$44</definedName>
    <definedName name="_xlnm.Print_Area" localSheetId="67">'409d'!$A$2:$H$44</definedName>
    <definedName name="_xlnm.Print_Area" localSheetId="68">'410d'!$A$1:$G$46</definedName>
    <definedName name="_xlnm.Print_Area" localSheetId="69">'411d'!$A$2:$H$44</definedName>
    <definedName name="_xlnm.Print_Area" localSheetId="71">'501d'!$A$1:$AD$83</definedName>
    <definedName name="_xlnm.Print_Area" localSheetId="72">'502d'!$A$1:$K$96</definedName>
    <definedName name="_xlnm.Print_Area" localSheetId="73">'503d'!$A$1:$I$97</definedName>
    <definedName name="_xlnm.Print_Area" localSheetId="74">'504d'!$A$1:$I$44</definedName>
    <definedName name="_xlnm.Print_Area" localSheetId="75">'505d'!$A$1:$AE$85</definedName>
    <definedName name="_xlnm.Print_Area" localSheetId="77">'601d'!$A$1:$G$31</definedName>
    <definedName name="_xlnm.Print_Area" localSheetId="78">'602d'!$A$1:$G$28</definedName>
    <definedName name="_xlnm.Print_Area" localSheetId="79">'603d'!$A$1:$E$39</definedName>
    <definedName name="_xlnm.Print_Area" localSheetId="80">'604d'!$A$1:$E$37</definedName>
    <definedName name="_xlnm.Print_Area" localSheetId="81">'605d'!$A$1:$E$40</definedName>
    <definedName name="_xlnm.Print_Area" localSheetId="82">'606d'!$A$1:$E$40</definedName>
    <definedName name="_xlnm.Print_Area" localSheetId="84">'701d'!$A$1:$G$34</definedName>
    <definedName name="_xlnm.Print_Area" localSheetId="85">'702d'!$A$2:$F$23</definedName>
    <definedName name="_xlnm.Print_Area" localSheetId="86">'703d'!$A$1:$E$43</definedName>
    <definedName name="_xlnm.Print_Area" localSheetId="87">'704d'!$A$1:$E$37</definedName>
    <definedName name="_xlnm.Print_Area" localSheetId="88">'705d'!$A$1:$E$39</definedName>
    <definedName name="_xlnm.Print_Area" localSheetId="90">'801d'!$A$1:$H$33</definedName>
    <definedName name="_xlnm.Print_Area" localSheetId="91">'802d'!$A$1:$I$28</definedName>
    <definedName name="_xlnm.Print_Area" localSheetId="92">'803d'!$A$1:$N$33</definedName>
    <definedName name="_xlnm.Print_Area" localSheetId="93">'804d'!$A$1:$H$33</definedName>
    <definedName name="_xlnm.Print_Area" localSheetId="94">'805d'!$A$1:$D$48</definedName>
    <definedName name="_xlnm.Print_Area" localSheetId="95">'806d'!$A$1:$D$41</definedName>
    <definedName name="_xlnm.Print_Area" localSheetId="96">'807d'!$A$1:$G$32</definedName>
    <definedName name="_xlnm.Print_Area" localSheetId="97">'808d'!$A$1:$H$30</definedName>
    <definedName name="_xlnm.Print_Area" localSheetId="98">'809d'!$A$1:$D$33</definedName>
    <definedName name="_xlnm.Print_Area" localSheetId="99">'810d'!$A$1:$D$44</definedName>
    <definedName name="_xlnm.Print_Area" localSheetId="100">'811d'!$A$1:$D$31</definedName>
    <definedName name="_xlnm.Print_Area" localSheetId="101" xml:space="preserve">  '812d'!$A$1:$D$27</definedName>
    <definedName name="_xlnm.Print_Area" localSheetId="103">'901d'!$A$1:$J$51</definedName>
    <definedName name="_xlnm.Print_Area" localSheetId="104">'902d'!$A$1:$I$32</definedName>
    <definedName name="_xlnm.Print_Area" localSheetId="105">'903d'!$A$1:$K$45</definedName>
    <definedName name="_xlnm.Print_Area" localSheetId="106">'904d'!$A$1:$I$60</definedName>
    <definedName name="_xlnm.Print_Area" localSheetId="107">'905d'!$A$1:$K$57</definedName>
    <definedName name="_xlnm.Print_Area" localSheetId="108">'906d'!$A$1:$O$34</definedName>
    <definedName name="_xlnm.Print_Area" localSheetId="109">'907d'!$A$1:$G$57</definedName>
    <definedName name="_xlnm.Print_Area" localSheetId="110">'908d'!$A$1:$G$31</definedName>
    <definedName name="_xlnm.Print_Area" localSheetId="111">'909d'!$A$1:$G$35</definedName>
    <definedName name="_xlnm.Print_Area" localSheetId="112">'910d'!$A$1:$K$41</definedName>
    <definedName name="_xlnm.Print_Area" localSheetId="113">'911d'!$A$1:$J$41</definedName>
    <definedName name="_xlnm.Print_Area" localSheetId="114">'912d'!$A$1:$Q$60</definedName>
    <definedName name="_xlnm.Print_Area" localSheetId="115">'913d'!$A$1:$I$32</definedName>
    <definedName name="_xlnm.Print_Area" localSheetId="116">'914d'!$A$1:$I$32</definedName>
    <definedName name="_xlnm.Print_Area" localSheetId="117">'915d'!$A$1:$R$87</definedName>
    <definedName name="_xlnm.Print_Area" localSheetId="1">Ad!$A$5:$L$44</definedName>
    <definedName name="_xlnm.Print_Area" localSheetId="3">B1d!$A$1:$P$210</definedName>
    <definedName name="_xlnm.Print_Area" localSheetId="4">F1d!$A$1:$E$84</definedName>
    <definedName name="_xlnm.Print_Area" localSheetId="5">F2d!$A$1:$E$82</definedName>
    <definedName name="_xlnm.Print_Area" localSheetId="6">F3d!$A$1:$I$54</definedName>
    <definedName name="_xlnm.Print_Area" localSheetId="0">Info!$A$1:$K$76</definedName>
    <definedName name="_xlnm.Print_Area" localSheetId="7">Jd!$A$1:$Q$70</definedName>
    <definedName name="_xlnm.Print_Area" localSheetId="118">T10d!$A$1:$H$11</definedName>
    <definedName name="_xlnm.Print_Area" localSheetId="124">T11d!$A$1:$H$24</definedName>
    <definedName name="_xlnm.Print_Area" localSheetId="143">T12d!$A$1:$H$13</definedName>
    <definedName name="_xlnm.Print_Area" localSheetId="8">T1d!$A$1:$I$19</definedName>
    <definedName name="_xlnm.Print_Area" localSheetId="22">T2d!$A$1:$H$32</definedName>
    <definedName name="_xlnm.Print_Area" localSheetId="49">T3d!$A$1:$H$14</definedName>
    <definedName name="_xlnm.Print_Area" localSheetId="58">T4d!$A$1:$I$17</definedName>
    <definedName name="_xlnm.Print_Area" localSheetId="70">T5d!$A$1:$G$11</definedName>
    <definedName name="_xlnm.Print_Area" localSheetId="89">T8d!$A$1:$H$18</definedName>
    <definedName name="_xlnm.Print_Titles" localSheetId="71">'501d'!$A:$B,'501d'!$1:$10</definedName>
    <definedName name="_xlnm.Print_Titles" localSheetId="73">'503d'!$1:$11</definedName>
    <definedName name="_xlnm.Print_Titles" localSheetId="74">'504d'!$A:$A,'504d'!$1:$7</definedName>
    <definedName name="_xlnm.Print_Titles" localSheetId="75">'505d'!$A:$B,'505d'!$1:$8</definedName>
    <definedName name="_xlnm.Print_Titles" localSheetId="3">B1d!$5:$5</definedName>
    <definedName name="Z_E58FEA52_E3A2_4787_9824_12DA55A527FE_.wvu.Cols" localSheetId="66" hidden="1">'408d'!$I:$I</definedName>
    <definedName name="Z_E58FEA52_E3A2_4787_9824_12DA55A527FE_.wvu.PrintArea" localSheetId="66" hidden="1">'408d'!$A$1:$E$43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269" l="1"/>
  <c r="G3" i="1269" s="1"/>
  <c r="K3" i="1269" s="1"/>
  <c r="D3" i="1269"/>
  <c r="I3" i="1269" s="1"/>
  <c r="M3" i="1269" s="1"/>
  <c r="P208" i="1268"/>
  <c r="O208" i="1268"/>
  <c r="N208" i="1268"/>
  <c r="M208" i="1268"/>
  <c r="L208" i="1268"/>
  <c r="K208" i="1268"/>
  <c r="J208" i="1268"/>
  <c r="I208" i="1268"/>
  <c r="G208" i="1268"/>
  <c r="F208" i="1268"/>
  <c r="E208" i="1268"/>
  <c r="D208" i="1268"/>
  <c r="C208" i="1268"/>
  <c r="B208" i="1268"/>
  <c r="A208" i="1268"/>
  <c r="C75" i="1265"/>
  <c r="C74" i="1265"/>
  <c r="C73" i="1265"/>
  <c r="C72" i="1265"/>
  <c r="C71" i="1265"/>
  <c r="A52" i="1248"/>
  <c r="B44" i="1228"/>
  <c r="B43" i="1228"/>
  <c r="B42" i="1228"/>
  <c r="B39" i="1228"/>
  <c r="B38" i="1228"/>
  <c r="B37" i="1228"/>
  <c r="B34" i="1228"/>
  <c r="B33" i="1228"/>
  <c r="B32" i="1228"/>
  <c r="B29" i="1228"/>
  <c r="B28" i="1228"/>
  <c r="B27" i="1228"/>
  <c r="B24" i="1228"/>
  <c r="B23" i="1228"/>
  <c r="B22" i="1228"/>
  <c r="B19" i="1228"/>
  <c r="B18" i="1228"/>
  <c r="B17" i="1228"/>
  <c r="B14" i="1228"/>
  <c r="B13" i="1228"/>
  <c r="B12" i="12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985FFF77-DEAF-B64F-8EBA-61ABAC2B8133}">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<sst xmlns="http://schemas.openxmlformats.org/spreadsheetml/2006/main" count="10072" uniqueCount="2523">
  <si>
    <t>Publikation 2007</t>
  </si>
  <si>
    <t>Beilage B2</t>
  </si>
  <si>
    <t xml:space="preserve">Beilage B1: </t>
  </si>
  <si>
    <t>laufende Aufdatierung</t>
  </si>
  <si>
    <t>(0 - 100%)</t>
  </si>
  <si>
    <t>Gesamtgeschäft der vom BAG anerkannten Krankenversicherer</t>
  </si>
  <si>
    <t>Teil 10</t>
  </si>
  <si>
    <t>In der XLS Version sind die Daten</t>
  </si>
  <si>
    <t>meistens ab 1996 verfügbar</t>
  </si>
  <si>
    <t>Publikation 2008</t>
  </si>
  <si>
    <t>1.10</t>
  </si>
  <si>
    <t>9.16</t>
  </si>
  <si>
    <t>4.09</t>
  </si>
  <si>
    <t>Risikoausgleich in der OKP</t>
  </si>
  <si>
    <t>H 04 A</t>
  </si>
  <si>
    <t>G 04 B</t>
  </si>
  <si>
    <t>H 04 B</t>
  </si>
  <si>
    <t>G 05</t>
  </si>
  <si>
    <t>H 05</t>
  </si>
  <si>
    <t>G 07</t>
  </si>
  <si>
    <t>G 08</t>
  </si>
  <si>
    <t>H 08</t>
  </si>
  <si>
    <t>9.10</t>
  </si>
  <si>
    <t>G 09</t>
  </si>
  <si>
    <t>H 09</t>
  </si>
  <si>
    <t>G 01 A</t>
  </si>
  <si>
    <t>G 03 A</t>
  </si>
  <si>
    <t>Eidgenössisches Departement des Innern EDI</t>
  </si>
  <si>
    <r>
      <t xml:space="preserve">Teil  Tabellen </t>
    </r>
    <r>
      <rPr>
        <b/>
        <sz val="14"/>
        <rFont val="55 Helvetica Roman"/>
      </rPr>
      <t>(XLS)</t>
    </r>
  </si>
  <si>
    <t>G 06 + G 07</t>
  </si>
  <si>
    <t>-</t>
  </si>
  <si>
    <t>1.50</t>
  </si>
  <si>
    <t>701-705</t>
  </si>
  <si>
    <t>10.01</t>
  </si>
  <si>
    <t>10.02</t>
  </si>
  <si>
    <t>10.03</t>
  </si>
  <si>
    <t>Beilage B1</t>
  </si>
  <si>
    <t>Teil 11</t>
  </si>
  <si>
    <t>Versicherte in der OKP</t>
  </si>
  <si>
    <t>Publikation 2005</t>
  </si>
  <si>
    <t>4.10</t>
  </si>
  <si>
    <t>2.20</t>
  </si>
  <si>
    <t>8.10</t>
  </si>
  <si>
    <t>8.11</t>
  </si>
  <si>
    <t>11.10</t>
  </si>
  <si>
    <t>9.22</t>
  </si>
  <si>
    <t>G 10</t>
  </si>
  <si>
    <t>G 11</t>
  </si>
  <si>
    <t>G 12</t>
  </si>
  <si>
    <t>2.10</t>
  </si>
  <si>
    <t xml:space="preserve">* : Teil Tabellen </t>
  </si>
  <si>
    <t xml:space="preserve">Publikation 2000 </t>
  </si>
  <si>
    <t>F 02 -&gt; F 05</t>
  </si>
  <si>
    <t>F 01 -&gt; F 03</t>
  </si>
  <si>
    <t>3.11</t>
  </si>
  <si>
    <t>3.12</t>
  </si>
  <si>
    <t>3.13</t>
  </si>
  <si>
    <t>5.01 -&gt; 5.03</t>
  </si>
  <si>
    <t>5.00</t>
  </si>
  <si>
    <t>H 06 + H 07</t>
  </si>
  <si>
    <t>C 02 A</t>
  </si>
  <si>
    <t>C 02 B</t>
  </si>
  <si>
    <t>C 03</t>
  </si>
  <si>
    <t>C 04</t>
  </si>
  <si>
    <t>C 05</t>
  </si>
  <si>
    <t>D 01 A</t>
  </si>
  <si>
    <t>D 01 B</t>
  </si>
  <si>
    <t>D 02</t>
  </si>
  <si>
    <t>D 03</t>
  </si>
  <si>
    <t>D 04</t>
  </si>
  <si>
    <t>E 01 A</t>
  </si>
  <si>
    <t>E 01 B</t>
  </si>
  <si>
    <t xml:space="preserve">E 01 </t>
  </si>
  <si>
    <t>E 02</t>
  </si>
  <si>
    <t>9.21</t>
  </si>
  <si>
    <t>Verfügbar am:</t>
  </si>
  <si>
    <t>Vom Bund anerkannte Versicherungsträger</t>
  </si>
  <si>
    <t xml:space="preserve">Tabellen </t>
  </si>
  <si>
    <t>Teil 1</t>
  </si>
  <si>
    <t>Teil 2</t>
  </si>
  <si>
    <t>Leistungen und Kostenbeteiligung in der OKP</t>
  </si>
  <si>
    <t>Teil 3</t>
  </si>
  <si>
    <t>Teil 4</t>
  </si>
  <si>
    <t>Prämienverbilligung in der OKP</t>
  </si>
  <si>
    <t>Teil 5</t>
  </si>
  <si>
    <t>Aufsichtsdaten OKP</t>
  </si>
  <si>
    <t>Teil 6</t>
  </si>
  <si>
    <t>601-606</t>
  </si>
  <si>
    <t>Freiwillige Taggeldversicherung KVG</t>
  </si>
  <si>
    <t>Teil 7</t>
  </si>
  <si>
    <t>Teil 8</t>
  </si>
  <si>
    <t>Teil 9</t>
  </si>
  <si>
    <t>Zusatzinformationen zum Gesundheitswesen</t>
  </si>
  <si>
    <t>Zusatzversicherungen VVG der vom BAG anerkannten Krankenversicherer</t>
  </si>
  <si>
    <t>Beilage B</t>
  </si>
  <si>
    <t>3.10</t>
  </si>
  <si>
    <t>Finanzen und obligatorische Krankenpflegeversicherung (OKP)</t>
  </si>
  <si>
    <t>E 03</t>
  </si>
  <si>
    <t>E 04</t>
  </si>
  <si>
    <t>E 05</t>
  </si>
  <si>
    <t>E 06</t>
  </si>
  <si>
    <t>E 07</t>
  </si>
  <si>
    <t>E 08</t>
  </si>
  <si>
    <t>E 09</t>
  </si>
  <si>
    <t>E 10</t>
  </si>
  <si>
    <t>E 11</t>
  </si>
  <si>
    <t>F 01</t>
  </si>
  <si>
    <t>F 02</t>
  </si>
  <si>
    <t>F 03</t>
  </si>
  <si>
    <t>F 04</t>
  </si>
  <si>
    <t>G 01</t>
  </si>
  <si>
    <t>H 01</t>
  </si>
  <si>
    <t>G 02 A</t>
  </si>
  <si>
    <t>H 02 A</t>
  </si>
  <si>
    <t>G 02 B</t>
  </si>
  <si>
    <t>H 02 B</t>
  </si>
  <si>
    <t>G 03</t>
  </si>
  <si>
    <t>H 03</t>
  </si>
  <si>
    <t>G 04 A</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</si>
  <si>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</si>
  <si>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9.20</t>
  </si>
  <si>
    <t>Publikation 1996</t>
  </si>
  <si>
    <t>Publikation 1997</t>
  </si>
  <si>
    <t>Publikation 1998</t>
  </si>
  <si>
    <t>Publikation 1999</t>
  </si>
  <si>
    <t>Publikation 2001</t>
  </si>
  <si>
    <t>Publikation 2002</t>
  </si>
  <si>
    <t>Publikation 2003</t>
  </si>
  <si>
    <t>Publikation 2004</t>
  </si>
  <si>
    <t>A 01</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</si>
  <si>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</si>
  <si>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</si>
  <si>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</si>
  <si>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</si>
  <si>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</si>
  <si>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</si>
  <si>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</si>
  <si>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</si>
  <si>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</si>
  <si>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</si>
  <si>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</si>
  <si>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</si>
  <si>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</si>
  <si>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</si>
  <si>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</si>
  <si>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</si>
  <si>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</si>
  <si>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</si>
  <si>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</si>
  <si>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</si>
  <si>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</si>
  <si>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</si>
  <si>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</si>
  <si>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</si>
  <si>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</si>
  <si>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</si>
  <si>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</si>
  <si>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</si>
  <si>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</si>
  <si>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</si>
  <si>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</si>
  <si>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</si>
  <si>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</si>
  <si>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</si>
  <si>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</si>
  <si>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B 09 B</t>
  </si>
  <si>
    <t>B 10 A</t>
  </si>
  <si>
    <t>B 10 B</t>
  </si>
  <si>
    <t>B 11 A</t>
  </si>
  <si>
    <t>B 11 B</t>
  </si>
  <si>
    <t>B 12 A</t>
  </si>
  <si>
    <t>B 12 B</t>
  </si>
  <si>
    <t>B 13 A</t>
  </si>
  <si>
    <t>B 13 B</t>
  </si>
  <si>
    <t>B 14</t>
  </si>
  <si>
    <t>B 15</t>
  </si>
  <si>
    <t>B 16</t>
  </si>
  <si>
    <t>B 17</t>
  </si>
  <si>
    <t>B 18</t>
  </si>
  <si>
    <t>C 01 A</t>
  </si>
  <si>
    <t>C 01 B</t>
  </si>
  <si>
    <t>Publikation 2006</t>
  </si>
  <si>
    <t>Sektion Statistik und Mathematik</t>
  </si>
  <si>
    <t>© Bundesamt für Gesundheit (BAG)</t>
  </si>
  <si>
    <t xml:space="preserve"> www.bag.admin.ch/pyramiden            </t>
  </si>
  <si>
    <t>G 03 B</t>
  </si>
  <si>
    <t>G 04</t>
  </si>
  <si>
    <t>G 06</t>
  </si>
  <si>
    <t>Beilagen F1-&gt;F3</t>
  </si>
  <si>
    <t>Entwicklung der Franchisen, Prämienrabatte und Selbstbehalte und Zunahme der Gesamtausgaben ab 1996</t>
  </si>
  <si>
    <t>Auszugsweiser Abdruck unter Quellenangabe (Name der Publikation, Jahr, Nummer der Tabelle) gestattet.</t>
  </si>
  <si>
    <t>Kanton</t>
  </si>
  <si>
    <t>Beilage A: Überblick über die statistischen Tabellen in der KV-Statistik</t>
  </si>
  <si>
    <t>Übersicht der Tabellen zu Prämien, Leistungen, Kostenbeteiligung sowie Versichertenbestand (OKP)</t>
  </si>
  <si>
    <t>Angaben zum Berichtsjahr</t>
  </si>
  <si>
    <t>Kriterien</t>
  </si>
  <si>
    <t>Altersgruppe</t>
  </si>
  <si>
    <t xml:space="preserve">Form </t>
  </si>
  <si>
    <t>Kostengruppe</t>
  </si>
  <si>
    <t>Bruttoleistungen</t>
  </si>
  <si>
    <t>Mio. Fr.</t>
  </si>
  <si>
    <t>2.22</t>
  </si>
  <si>
    <t>2.17</t>
  </si>
  <si>
    <t>2.14</t>
  </si>
  <si>
    <t>Fr. pro Person</t>
  </si>
  <si>
    <t>2.24</t>
  </si>
  <si>
    <t>2.19</t>
  </si>
  <si>
    <t>2.15</t>
  </si>
  <si>
    <t>Kostenbeteiligung</t>
  </si>
  <si>
    <t>2.01</t>
  </si>
  <si>
    <t>2.13</t>
  </si>
  <si>
    <t>2.23</t>
  </si>
  <si>
    <t>2.02</t>
  </si>
  <si>
    <t>Bezahlte Leistungen</t>
  </si>
  <si>
    <t>2.07</t>
  </si>
  <si>
    <t>2.12</t>
  </si>
  <si>
    <t>2.08</t>
  </si>
  <si>
    <t>2.21</t>
  </si>
  <si>
    <t>Prämiensoll</t>
  </si>
  <si>
    <t>Fr. pro Monat</t>
  </si>
  <si>
    <t>3.01</t>
  </si>
  <si>
    <t>Versichertenbestand</t>
  </si>
  <si>
    <t>Durchschnitt</t>
  </si>
  <si>
    <t>11.15</t>
  </si>
  <si>
    <t>11.14</t>
  </si>
  <si>
    <t>11.16</t>
  </si>
  <si>
    <t>11.08/09</t>
  </si>
  <si>
    <t>per 31.12.</t>
  </si>
  <si>
    <t>11.03</t>
  </si>
  <si>
    <t>11.06</t>
  </si>
  <si>
    <t>11.05/07</t>
  </si>
  <si>
    <t>Erklärung zu den Statistiken:</t>
  </si>
  <si>
    <t>Bezahlte Leistungen (vom Versicherer bezahlte Leistungen) plus Kostenbeteiligung</t>
  </si>
  <si>
    <t xml:space="preserve">Beitrag der Versicherten an die Kosten (Franchise, Selbstbehalt, Beitrag an Spitalaufenthalt), sofern statistisch erfasst. </t>
  </si>
  <si>
    <t>Nicht erfasst sind nicht eingereichte Belege im System Tier garant.</t>
  </si>
  <si>
    <t>Erklärung zu den Kriterien:</t>
  </si>
  <si>
    <t>Form</t>
  </si>
  <si>
    <t>Weitere wichtige Tabellen</t>
  </si>
  <si>
    <t>Wichtige Indikatoren OKP (ab 1996)</t>
  </si>
  <si>
    <t>Detaillierte Betriebsrechnung für das Berichtsjahr (OKP: 1.03-1.07; Taggeld: 6.04-6.06; Gesamtbetriebsrechnung: 8.05/06)</t>
  </si>
  <si>
    <t>1.08-11</t>
  </si>
  <si>
    <t>Gesamtbetriebsergebnis sowie Verwaltungsaufwand (Mio. Fr./pro Kopf) nach Form (grob) ab 1999</t>
  </si>
  <si>
    <t>4.01-03</t>
  </si>
  <si>
    <t>Prämienverbilligung: Bezüger, Haushalte und ausbezahlter Betrag ab 1999; Anzahl Bezüger nach Kanton, Alter und Geschlecht</t>
  </si>
  <si>
    <t>5.01/03/05</t>
  </si>
  <si>
    <t>Indikatoren nach einzelnem Versicherer (Aufsichtsdaten OKP; kantonale Versichertenbestände)</t>
  </si>
  <si>
    <t>Stellen, Personal und Löhne OKP</t>
  </si>
  <si>
    <t>8.09/8.10</t>
  </si>
  <si>
    <t>Bilanz (aggregiert): Aktiven/Passiven</t>
  </si>
  <si>
    <t>Publikation 2009</t>
  </si>
  <si>
    <t>101-113</t>
  </si>
  <si>
    <t>501-505</t>
  </si>
  <si>
    <t>801-812</t>
  </si>
  <si>
    <t>1001-1005</t>
  </si>
  <si>
    <t>Beilage A</t>
  </si>
  <si>
    <t xml:space="preserve">Überblick über die statistischen Tabellen in der KV-Statistik             </t>
  </si>
  <si>
    <t>Beilage J</t>
  </si>
  <si>
    <t>Übergangsschlüssel Tabellen  2010 -&gt; 1996</t>
  </si>
  <si>
    <t>Altersklassen</t>
  </si>
  <si>
    <t>5-Jahresklassen; 0-5, 6-10, 11-15, 16-18; 19-20, 21-25; 26-30, 31-35 etc.</t>
  </si>
  <si>
    <t>201-226</t>
  </si>
  <si>
    <t>Publikation 2010</t>
  </si>
  <si>
    <t>Statistik der obligatorischen Krankenversicherung 2011</t>
  </si>
  <si>
    <t>301-308</t>
  </si>
  <si>
    <t>Teil 12</t>
  </si>
  <si>
    <t>1201-1207</t>
  </si>
  <si>
    <t>Prämiensoll in der OKP</t>
  </si>
  <si>
    <t>STAT KV: Berichte: PDF 1996-2010, Tabellen: XLS 1996-2010, Grafiken: XLS/PDF 2004-2010 auf der Internet-Adresse</t>
  </si>
  <si>
    <t xml:space="preserve">Übergangsschlüssel Tabellen 2010 -&gt; 2011 / 2011 -&gt; 2010           </t>
  </si>
  <si>
    <t>Übergangsschlüssel Tabellen  2011 -&gt; 1996</t>
  </si>
  <si>
    <t>Schätzungen aus dem Prämiengenehmigungsverfahren: Eckwerte 2003-2013</t>
  </si>
  <si>
    <t>3.9.12: 11.14 -&gt; 11.17, 2.16 -&gt; 2.19, 3.04, 3.06, 3.08</t>
  </si>
  <si>
    <t>2.9.12: 1.01 -&gt; 1.08, 1.10, 11.01 -&gt; 11.03, 11.05 -&gt; 11.09</t>
  </si>
  <si>
    <t>4.9.12: 2.03 -&gt; 2.05, 2.07, 2.10, 2.12, 2.13, 2.24, A, B2</t>
  </si>
  <si>
    <t>T 11.15 Durchschnittlicher Versichertenbestand nach Altersklasse und Geschlecht</t>
  </si>
  <si>
    <t>Altersklasse</t>
  </si>
  <si>
    <t>Männlich</t>
  </si>
  <si>
    <t>Weiblich</t>
  </si>
  <si>
    <t>Total</t>
  </si>
  <si>
    <t>Veränderung</t>
  </si>
  <si>
    <t>absolut</t>
  </si>
  <si>
    <t>Anteil in %</t>
  </si>
  <si>
    <t>gegenüber</t>
  </si>
  <si>
    <t>Vorjahr</t>
  </si>
  <si>
    <t>0 – 5</t>
  </si>
  <si>
    <t>6 – 10</t>
  </si>
  <si>
    <t>11 – 15</t>
  </si>
  <si>
    <t>16 – 18</t>
  </si>
  <si>
    <t>Total  0 – 18</t>
  </si>
  <si>
    <t>19 – 20</t>
  </si>
  <si>
    <t>21 – 25</t>
  </si>
  <si>
    <t>Total  19 – 25</t>
  </si>
  <si>
    <t>26 – 30</t>
  </si>
  <si>
    <t>31 – 35</t>
  </si>
  <si>
    <t>36 – 40</t>
  </si>
  <si>
    <t>41 – 45</t>
  </si>
  <si>
    <t>46 – 50</t>
  </si>
  <si>
    <t>51 – 55</t>
  </si>
  <si>
    <t>56 – 60</t>
  </si>
  <si>
    <t>61 – 65</t>
  </si>
  <si>
    <t>66 – 70</t>
  </si>
  <si>
    <t>71 – 75</t>
  </si>
  <si>
    <t>76 – 80</t>
  </si>
  <si>
    <t>81 – 85</t>
  </si>
  <si>
    <t>86 – 90</t>
  </si>
  <si>
    <t>91 – 95</t>
  </si>
  <si>
    <t>96 – 100</t>
  </si>
  <si>
    <t>&gt; 100</t>
  </si>
  <si>
    <t>Total  &gt; 25</t>
  </si>
  <si>
    <t>Unbekannt</t>
  </si>
  <si>
    <t>Quelle: Formular EF 3.11</t>
  </si>
  <si>
    <t>T 11.16  Durchschnittlicher Versichertenbestand nach Versicherungsform</t>
  </si>
  <si>
    <r>
      <t xml:space="preserve">Versicherungsform </t>
    </r>
    <r>
      <rPr>
        <b/>
        <vertAlign val="superscript"/>
        <sz val="11"/>
        <rFont val="Arial"/>
        <family val="2"/>
      </rPr>
      <t>1</t>
    </r>
  </si>
  <si>
    <t>Kinder 
(0-18 Jahre)</t>
  </si>
  <si>
    <t>Junge Erwachsene 
(19-25 Jahre)</t>
  </si>
  <si>
    <t>Erwachsene 
(ab 26 Jahre)</t>
  </si>
  <si>
    <t>Total *</t>
  </si>
  <si>
    <t>* davon Versicherte mit Unfalldeckung KVG</t>
  </si>
  <si>
    <t>* davon junge Erwachsene und Erwachsene</t>
  </si>
  <si>
    <t>Standardmodell mit ordentlicher Jahresfranchise</t>
  </si>
  <si>
    <r>
      <t xml:space="preserve">F O  </t>
    </r>
    <r>
      <rPr>
        <i/>
        <sz val="11"/>
        <rFont val="Arial"/>
        <family val="2"/>
      </rPr>
      <t xml:space="preserve">(0 / 300) </t>
    </r>
    <r>
      <rPr>
        <i/>
        <vertAlign val="superscript"/>
        <sz val="11"/>
        <rFont val="Arial"/>
        <family val="2"/>
      </rPr>
      <t>2</t>
    </r>
  </si>
  <si>
    <t>Standardmodell</t>
  </si>
  <si>
    <r>
      <t xml:space="preserve">F I  </t>
    </r>
    <r>
      <rPr>
        <i/>
        <sz val="11"/>
        <rFont val="Arial"/>
        <family val="2"/>
      </rPr>
      <t xml:space="preserve">(100 / 500) </t>
    </r>
    <r>
      <rPr>
        <i/>
        <vertAlign val="superscript"/>
        <sz val="11"/>
        <rFont val="Arial"/>
        <family val="2"/>
      </rPr>
      <t>2</t>
    </r>
  </si>
  <si>
    <t>mit wählbarer</t>
  </si>
  <si>
    <r>
      <t xml:space="preserve">F II  </t>
    </r>
    <r>
      <rPr>
        <i/>
        <sz val="11"/>
        <rFont val="Arial"/>
        <family val="2"/>
      </rPr>
      <t xml:space="preserve">(200 / 1000) </t>
    </r>
    <r>
      <rPr>
        <i/>
        <vertAlign val="superscript"/>
        <sz val="11"/>
        <rFont val="Arial"/>
        <family val="2"/>
      </rPr>
      <t>2</t>
    </r>
  </si>
  <si>
    <t>Jahresfranchise</t>
  </si>
  <si>
    <r>
      <t xml:space="preserve">F III  </t>
    </r>
    <r>
      <rPr>
        <i/>
        <sz val="11"/>
        <rFont val="Arial"/>
        <family val="2"/>
      </rPr>
      <t xml:space="preserve">(300 / 1500) </t>
    </r>
    <r>
      <rPr>
        <i/>
        <vertAlign val="superscript"/>
        <sz val="11"/>
        <rFont val="Arial"/>
        <family val="2"/>
      </rPr>
      <t>2</t>
    </r>
  </si>
  <si>
    <r>
      <t xml:space="preserve">F IV  </t>
    </r>
    <r>
      <rPr>
        <i/>
        <sz val="11"/>
        <rFont val="Arial"/>
        <family val="2"/>
      </rPr>
      <t xml:space="preserve">(400 / 2000) </t>
    </r>
    <r>
      <rPr>
        <i/>
        <vertAlign val="superscript"/>
        <sz val="11"/>
        <rFont val="Arial"/>
        <family val="2"/>
      </rPr>
      <t>2</t>
    </r>
  </si>
  <si>
    <r>
      <t xml:space="preserve">F V  </t>
    </r>
    <r>
      <rPr>
        <i/>
        <sz val="11"/>
        <rFont val="Arial"/>
        <family val="2"/>
      </rPr>
      <t xml:space="preserve">(500 / 2500) </t>
    </r>
    <r>
      <rPr>
        <i/>
        <vertAlign val="superscript"/>
        <sz val="11"/>
        <rFont val="Arial"/>
        <family val="2"/>
      </rPr>
      <t>2</t>
    </r>
  </si>
  <si>
    <r>
      <t xml:space="preserve">F VI  </t>
    </r>
    <r>
      <rPr>
        <i/>
        <sz val="11"/>
        <rFont val="Arial"/>
        <family val="2"/>
      </rPr>
      <t xml:space="preserve">(600 / -) </t>
    </r>
    <r>
      <rPr>
        <i/>
        <vertAlign val="superscript"/>
        <sz val="11"/>
        <rFont val="Arial"/>
        <family val="2"/>
      </rPr>
      <t>2</t>
    </r>
  </si>
  <si>
    <t>BONUS-Versicherung</t>
  </si>
  <si>
    <t>Andere Versicherungsformen (HMO, Hausarztmodell,…)</t>
  </si>
  <si>
    <t xml:space="preserve"> * davon Versicherte mit HMO-Modell</t>
  </si>
  <si>
    <t>* davon Versicherte mit Hausarztmodell</t>
  </si>
  <si>
    <t>* davon Versicherte mit wählbarer Franchise</t>
  </si>
  <si>
    <r>
      <t xml:space="preserve">Alle </t>
    </r>
    <r>
      <rPr>
        <b/>
        <vertAlign val="superscript"/>
        <sz val="11"/>
        <rFont val="Arial"/>
        <family val="2"/>
      </rPr>
      <t>3</t>
    </r>
  </si>
  <si>
    <t xml:space="preserve">Quelle: Formular EF 3.13 </t>
  </si>
  <si>
    <t xml:space="preserve">1) Die Zuteilung der Versicherten nach Versicherungsform erfolgt derart, dass die Versicherten der Kategorie „andere Versicherungsformen“ </t>
  </si>
  <si>
    <t xml:space="preserve">    (HMO, Hausarztmodell…) zugewiesen werden, falls sie eine Kombination dieser Form mit ordentlicher/wählbarer Franchise aufweisen.</t>
  </si>
  <si>
    <t>2) Franchisenstufen ( Kinder /  Erwachsene)</t>
  </si>
  <si>
    <t xml:space="preserve">     Kinder: ordentliche Franchise F O: 0.- ; wählbare Franchisen F I -&gt; F VI: 100.- 200.- 300.- 400.- 500.- 600.-</t>
  </si>
  <si>
    <t xml:space="preserve">     Erwachsene ab 19 Jahre: ordentliche Franchise F O: 300.- ; wählbare Franchisen F I -&gt; F V: 500.- 1000.- 1500.- 2000.- 2500.-</t>
  </si>
  <si>
    <t xml:space="preserve">3) Inkl. Personen mit Wohnsitz oder Aufenthalt im Ausland gemäss Art. 4 und 5 KVV, aber ohne Versicherte, die dem </t>
  </si>
  <si>
    <t xml:space="preserve">    Versicherungsobligatorium  unterstehen und in einem EU- oder EFTA-Staat Wohnsitz haben (vgl. Fussnote 1 von Tabelle 11.03).</t>
  </si>
  <si>
    <r>
      <t xml:space="preserve">T 11.01 Durchschnittlicher Versichertenbestand </t>
    </r>
    <r>
      <rPr>
        <b/>
        <vertAlign val="superscript"/>
        <sz val="12"/>
        <rFont val="Arial"/>
        <family val="2"/>
      </rPr>
      <t xml:space="preserve">1  </t>
    </r>
    <r>
      <rPr>
        <b/>
        <sz val="12"/>
        <rFont val="Arial"/>
        <family val="2"/>
      </rPr>
      <t>ab 2001</t>
    </r>
  </si>
  <si>
    <r>
      <t xml:space="preserve">Jahr </t>
    </r>
    <r>
      <rPr>
        <vertAlign val="superscript"/>
        <sz val="11"/>
        <rFont val="Arial"/>
        <family val="2"/>
      </rPr>
      <t>2</t>
    </r>
  </si>
  <si>
    <t>Männer</t>
  </si>
  <si>
    <t>Frauen</t>
  </si>
  <si>
    <t>Erwachsene</t>
  </si>
  <si>
    <t>Kinder</t>
  </si>
  <si>
    <t>1) Durchschnittlicher Versichertenbestand: Stand aller Monate zusammengezählt und geteilt durch 12.</t>
  </si>
  <si>
    <t>2) Vgl. Fussnote 2) von Tabelle 11.02.</t>
  </si>
  <si>
    <t>Quelle: Formular EF 1.12 A</t>
  </si>
  <si>
    <t>T 11.02  Versichertenbestand per 31.12 ab 2001</t>
  </si>
  <si>
    <r>
      <t xml:space="preserve">Kinder </t>
    </r>
    <r>
      <rPr>
        <vertAlign val="superscript"/>
        <sz val="11"/>
        <rFont val="Arial"/>
        <family val="2"/>
      </rPr>
      <t>1</t>
    </r>
  </si>
  <si>
    <t>1) Personen, die das 18. Altersjahr noch nicht vollendet haben.</t>
  </si>
  <si>
    <t>2) Bis 2001: einschliesslich Versicherte mit Wohnsitz oder Aufenthalt im Ausland gemäss Art. 3, 4 und 5 KVV;</t>
  </si>
  <si>
    <t xml:space="preserve">    ab 2002: einschliesslich Personen mit Wohnsitz oder Aufenthalt im Ausland gemäss Art. 4 und 5 KVV (vgl. Fussnote 1 von Tabelle 11.03).</t>
  </si>
  <si>
    <t>Quelle: T 11.03</t>
  </si>
  <si>
    <t>T 11.03  Versichertenbestand nach Wohnkanton per 31.12.</t>
  </si>
  <si>
    <t xml:space="preserve">Veränderung </t>
  </si>
  <si>
    <t xml:space="preserve">gegenüber </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</si>
  <si>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</si>
  <si>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</si>
  <si>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</si>
  <si>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</si>
  <si>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</si>
  <si>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</si>
  <si>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</si>
  <si>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</si>
  <si>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</si>
  <si>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</si>
  <si>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</si>
  <si>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</si>
  <si>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</si>
  <si>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</si>
  <si>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</si>
  <si>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</si>
  <si>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</si>
  <si>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</si>
  <si>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</si>
  <si>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</si>
  <si>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</si>
  <si>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</si>
  <si>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</si>
  <si>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</si>
  <si>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</si>
  <si>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</si>
  <si>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Schweiz</t>
  </si>
  <si>
    <r>
      <t xml:space="preserve">Ausland </t>
    </r>
    <r>
      <rPr>
        <vertAlign val="superscript"/>
        <sz val="11"/>
        <rFont val="Arial"/>
        <family val="2"/>
      </rPr>
      <t>1</t>
    </r>
  </si>
  <si>
    <t>unbekannt</t>
  </si>
  <si>
    <t xml:space="preserve">Total </t>
  </si>
  <si>
    <t xml:space="preserve">1) Personen mit Wohnort im Ausland gemäss Artikel 4 KVV (Entsandte Arbeitnehmer und Arbeitnehmerinnen) und 5 KVV </t>
  </si>
  <si>
    <t xml:space="preserve">   (Personen im öffentlichen Dienst mit Aufenthalt im Ausland) mit Ausnahme derjenigen Personen, die in einem EU </t>
  </si>
  <si>
    <t xml:space="preserve">   oder EFTA Staat wohnen und gestützt auf das Freizügigkeitsabkommen oder das EFTA-Abkommen der schweizerischen </t>
  </si>
  <si>
    <t xml:space="preserve">  Versicherung unterstellt sind (Art. 1 Abs. 2 Bst. d und e KVV).</t>
  </si>
  <si>
    <t>Quelle: Formular EF 3.2</t>
  </si>
  <si>
    <r>
      <t xml:space="preserve">T 11.05 Versichertenbestand per 31.12. nach Versicherungsform </t>
    </r>
    <r>
      <rPr>
        <b/>
        <vertAlign val="superscript"/>
        <sz val="12"/>
        <rFont val="Arial"/>
        <family val="2"/>
      </rPr>
      <t>1</t>
    </r>
    <r>
      <rPr>
        <b/>
        <sz val="12"/>
        <rFont val="Arial"/>
        <family val="2"/>
      </rPr>
      <t xml:space="preserve"> ab 2001</t>
    </r>
  </si>
  <si>
    <t xml:space="preserve">Jahr </t>
  </si>
  <si>
    <t>Ordentliche</t>
  </si>
  <si>
    <t>Wählbare</t>
  </si>
  <si>
    <t>BONUS-</t>
  </si>
  <si>
    <t>Einge-</t>
  </si>
  <si>
    <t xml:space="preserve">  Jahres-</t>
  </si>
  <si>
    <t xml:space="preserve"> Jahres-</t>
  </si>
  <si>
    <t>Versicherung</t>
  </si>
  <si>
    <t>schränkte</t>
  </si>
  <si>
    <t>franchise</t>
  </si>
  <si>
    <t>franchisen</t>
  </si>
  <si>
    <t xml:space="preserve"> Wahl</t>
  </si>
  <si>
    <t xml:space="preserve"> (z.B. HMO)</t>
  </si>
  <si>
    <t>1) Ab 2006, vgl. Fussnote 1) von Tabelle 11.06.</t>
  </si>
  <si>
    <t>Quelle: T 11.06</t>
  </si>
  <si>
    <r>
      <t xml:space="preserve">T 11.06  Versichertenbestand nach Versicherungsform </t>
    </r>
    <r>
      <rPr>
        <b/>
        <vertAlign val="superscript"/>
        <sz val="12"/>
        <rFont val="Arial"/>
        <family val="2"/>
      </rPr>
      <t>1</t>
    </r>
    <r>
      <rPr>
        <b/>
        <sz val="12"/>
        <rFont val="Arial"/>
        <family val="2"/>
      </rPr>
      <t xml:space="preserve"> per 31.12.</t>
    </r>
  </si>
  <si>
    <t>Versicherungsform</t>
  </si>
  <si>
    <t>Anteil am</t>
  </si>
  <si>
    <t>Gesamt-</t>
  </si>
  <si>
    <t>total in %</t>
  </si>
  <si>
    <t>Ordentliche Jahresfranchise</t>
  </si>
  <si>
    <t>Wählbare Jahresfranchisen</t>
  </si>
  <si>
    <t>Eingeschränkte Wahl (z.B. HMO) *</t>
  </si>
  <si>
    <t xml:space="preserve"> * davon Versicherte, die gleichzeitig eine wählbare Franchise haben</t>
  </si>
  <si>
    <t>1) Für die Zuteilung der Versicherten zu den Versicherungsformen ist die Versicherungsform (Hausarztmodell, HMO…)</t>
  </si>
  <si>
    <t xml:space="preserve">bei der Kategorie „Eingeschränkte Wahl des Leistungserbringers“ massgebend, auch wenn </t>
  </si>
  <si>
    <t>die Versicherung in Kombination mit einer ordentlichen/wählbaren Franchise abgeschlossen wurde.</t>
  </si>
  <si>
    <t>Quelle: Formular EF 3.3</t>
  </si>
  <si>
    <t>T 11.07 Verteilung der Versicherten (Kinder und Erwachsene) nach Versicherungsform ab 2001</t>
  </si>
  <si>
    <t>Quelle: T 11.05</t>
  </si>
  <si>
    <t>T 11.08 Verteilung der Versicherungsformen in % nach Kanton: Erwachsene ab 19 Jahren</t>
  </si>
  <si>
    <r>
      <t>Standardmodell</t>
    </r>
    <r>
      <rPr>
        <b/>
        <vertAlign val="superscript"/>
        <sz val="11"/>
        <rFont val="Arial"/>
        <family val="2"/>
      </rPr>
      <t xml:space="preserve"> 1</t>
    </r>
  </si>
  <si>
    <t>Bonus Versicherung</t>
  </si>
  <si>
    <t>Ordentliche Franchise 
(300 Fr.)</t>
  </si>
  <si>
    <t>Wählbare Franchise I 
(500 Fr.)</t>
  </si>
  <si>
    <t>Wählbare Franchise II (1000 Fr.)</t>
  </si>
  <si>
    <t>Wählbare Franchise III (1500 Fr.)</t>
  </si>
  <si>
    <t>Wählbare Franchise IV (2000 Fr.)</t>
  </si>
  <si>
    <t>Wählbare Franchise V (2500 Fr.)</t>
  </si>
  <si>
    <t>Wählbare 
Franchise VI (-)</t>
  </si>
  <si>
    <r>
      <t>Wählbare Franchisen</t>
    </r>
    <r>
      <rPr>
        <b/>
        <sz val="11"/>
        <rFont val="Arial"/>
        <family val="2"/>
      </rPr>
      <t xml:space="preserve"> </t>
    </r>
    <r>
      <rPr>
        <b/>
        <sz val="10"/>
        <rFont val="Arial"/>
        <family val="2"/>
      </rPr>
      <t xml:space="preserve">I -&gt; VI </t>
    </r>
  </si>
  <si>
    <t>Versicherte mit ordentlicher Franchise</t>
  </si>
  <si>
    <t>Versicherte mit wählbarer Franchise</t>
  </si>
  <si>
    <t>* davon Versicherte mit HMO-Modell</t>
  </si>
  <si>
    <t>* davon Versicherte mit Hausarzt-modell</t>
  </si>
  <si>
    <r>
      <t xml:space="preserve">Ausland </t>
    </r>
    <r>
      <rPr>
        <vertAlign val="superscript"/>
        <sz val="11"/>
        <rFont val="Arial"/>
        <family val="2"/>
      </rPr>
      <t>2</t>
    </r>
  </si>
  <si>
    <t>CH</t>
  </si>
  <si>
    <t xml:space="preserve">Quelle: Formular EF 3.24 </t>
  </si>
  <si>
    <t>1) Die Zuteilung der Versicherten nach Versicherungsform erfolgt derart, dass die Versicherten der Kategorie „andere Versicherungsformen“ (HMO, Hausarztmodell…)</t>
  </si>
  <si>
    <t xml:space="preserve">    zugewiesen werden, falls sie eine Kombination dieser Form mit ordentlicher/wählbarer Franchise aufweisen.</t>
  </si>
  <si>
    <t xml:space="preserve">2) Personen mit Wohnsitz oder Aufenthalt im Ausland gemäss Art. 4 und 5 KVV, aber ohne Versicherte, die dem </t>
  </si>
  <si>
    <t>T 11.09 Verteilung der Versicherungsformen in % nach Kanton: Kinder 0 - 18 Jahre</t>
  </si>
  <si>
    <t>Ordentliche Franchise 
(0 Fr.)</t>
  </si>
  <si>
    <t>Wählbare Franchise I 
(100 Fr.)</t>
  </si>
  <si>
    <t>Wählbare Franchise II (200 Fr.)</t>
  </si>
  <si>
    <t>Wählbare Franchise III (300 Fr.)</t>
  </si>
  <si>
    <t>Wählbare Franchise IV (400 Fr.)</t>
  </si>
  <si>
    <t>Wählbare Franchise V (500 Fr.)</t>
  </si>
  <si>
    <t>Wählbare Franchise VI (600 Fr.)</t>
  </si>
  <si>
    <t>Quelle: Formular EF 3.23</t>
  </si>
  <si>
    <r>
      <t xml:space="preserve">T 11.14  Durchschnittlicher Versichertenbestand </t>
    </r>
    <r>
      <rPr>
        <b/>
        <sz val="12"/>
        <rFont val="Arial"/>
        <family val="2"/>
      </rPr>
      <t>nach Kanton</t>
    </r>
  </si>
  <si>
    <t>Junge Erwachsene</t>
  </si>
  <si>
    <t>(0-18 Jahre)</t>
  </si>
  <si>
    <t>(19-25 Jahre)</t>
  </si>
  <si>
    <t>(26 J. und älter)</t>
  </si>
  <si>
    <t>1) Personen mit Wohnsitz/Aufenthalt im Ausland gemäss Art. 4 und 5 KVV.</t>
  </si>
  <si>
    <t>Quelle: Formular EF 3.12</t>
  </si>
  <si>
    <t>T 1.08 Gesamtbetriebsergebnis in Mio. Franken nach Versicherungsform ab 2001</t>
  </si>
  <si>
    <t>Wahl</t>
  </si>
  <si>
    <t>Quelle: T 1.03, 1.04, 1.05, 1.06</t>
  </si>
  <si>
    <t>T 1.10 Verwaltungsaufwand / Abschreibungen in Mio. Franken nach Versicherungsform ab 2001</t>
  </si>
  <si>
    <t>Jahr</t>
  </si>
  <si>
    <t>In % des</t>
  </si>
  <si>
    <t>Versicherungs-</t>
  </si>
  <si>
    <t>Versiche-</t>
  </si>
  <si>
    <t>und Betriebsauf-</t>
  </si>
  <si>
    <t>rung</t>
  </si>
  <si>
    <t>wand</t>
  </si>
  <si>
    <t>wands</t>
  </si>
  <si>
    <t>Quelle: T 1.03, 1.04, 1.05, 1.06 [4] und 1.02 [3/4]</t>
  </si>
  <si>
    <t>T 1.01 Obligatorische Krankenpflegeversicherung ab 2001: wichtigste Indikatoren</t>
  </si>
  <si>
    <t>Merkmale</t>
  </si>
  <si>
    <t>Veränderung 2010 - 2011 in %</t>
  </si>
  <si>
    <t>Jahresdurch-schnittliche Veränderung 2001 - 2011 in %</t>
  </si>
  <si>
    <t>– Anzahl Versicherer OKP</t>
  </si>
  <si>
    <t>– Durchschnittlicher Versichertenbestand in 1'000</t>
  </si>
  <si>
    <t>3A</t>
  </si>
  <si>
    <t>– Anzahl Erkrankte in 1'000</t>
  </si>
  <si>
    <t>3B</t>
  </si>
  <si>
    <t>– Anzahl Erkrankte je 100 Versicherte</t>
  </si>
  <si>
    <t>– Anzahl Spitaleinweisungen in 1'000</t>
  </si>
  <si>
    <t>– Anzahl Spitaltage in 1'000</t>
  </si>
  <si>
    <t>6B</t>
  </si>
  <si>
    <t>– Prämiensoll pro Versicherten in Fr.</t>
  </si>
  <si>
    <t>7B</t>
  </si>
  <si>
    <r>
      <t xml:space="preserve">– Bruttoleistungen </t>
    </r>
    <r>
      <rPr>
        <vertAlign val="superscript"/>
        <sz val="11"/>
        <rFont val="Arial"/>
        <family val="2"/>
      </rPr>
      <t>1</t>
    </r>
    <r>
      <rPr>
        <sz val="11"/>
        <rFont val="Arial"/>
        <family val="2"/>
      </rPr>
      <t xml:space="preserve"> pro Versicherten in Fr.</t>
    </r>
  </si>
  <si>
    <t>7C</t>
  </si>
  <si>
    <t>–– davon ambulante Leistungen in Fr.</t>
  </si>
  <si>
    <t>7D</t>
  </si>
  <si>
    <t>–– davon stationäre Leistungen in Fr.</t>
  </si>
  <si>
    <t>8B</t>
  </si>
  <si>
    <t>– Kostenbeteiligung pro Versicherten in Fr.</t>
  </si>
  <si>
    <t>9B</t>
  </si>
  <si>
    <r>
      <t xml:space="preserve">– Nettoleistungen </t>
    </r>
    <r>
      <rPr>
        <vertAlign val="superscript"/>
        <sz val="11"/>
        <rFont val="Arial"/>
        <family val="2"/>
      </rPr>
      <t>2</t>
    </r>
    <r>
      <rPr>
        <sz val="11"/>
        <rFont val="Arial"/>
        <family val="2"/>
      </rPr>
      <t xml:space="preserve"> pro Versicherten in  Fr.</t>
    </r>
  </si>
  <si>
    <t>10B</t>
  </si>
  <si>
    <t>– Verwaltungsaufwand / Abschreibungen pro Versicherten in Fr.</t>
  </si>
  <si>
    <t>12B</t>
  </si>
  <si>
    <t>– Rückstellungen per 31.12. pro Versicherten in Fr.</t>
  </si>
  <si>
    <t>13B</t>
  </si>
  <si>
    <t>– Reserven per 31.12. pro Versicherten in Fr.</t>
  </si>
  <si>
    <t>6A</t>
  </si>
  <si>
    <t>– Prämiensoll in Mio. Fr.</t>
  </si>
  <si>
    <t>7A</t>
  </si>
  <si>
    <r>
      <t xml:space="preserve">– Bruttoleistungen </t>
    </r>
    <r>
      <rPr>
        <vertAlign val="superscript"/>
        <sz val="11"/>
        <rFont val="Arial"/>
        <family val="2"/>
      </rPr>
      <t>1</t>
    </r>
    <r>
      <rPr>
        <sz val="11"/>
        <rFont val="Arial"/>
        <family val="2"/>
      </rPr>
      <t xml:space="preserve"> in Mio. Fr.</t>
    </r>
  </si>
  <si>
    <t>8A</t>
  </si>
  <si>
    <t>– Kostenbeteiligung in Mio. Fr.</t>
  </si>
  <si>
    <t>9A</t>
  </si>
  <si>
    <r>
      <t xml:space="preserve">– Nettoleistungen </t>
    </r>
    <r>
      <rPr>
        <vertAlign val="superscript"/>
        <sz val="11"/>
        <rFont val="Arial"/>
        <family val="2"/>
      </rPr>
      <t xml:space="preserve">2  </t>
    </r>
    <r>
      <rPr>
        <sz val="11"/>
        <rFont val="Arial"/>
        <family val="2"/>
      </rPr>
      <t>in Mio. Fr.</t>
    </r>
  </si>
  <si>
    <t>10A</t>
  </si>
  <si>
    <t>– Verwaltungsaufwand / Abschreibungen in Mio. Fr.</t>
  </si>
  <si>
    <t>– Gesamtbetriebsergebnis in Mio. Fr.</t>
  </si>
  <si>
    <t>12A</t>
  </si>
  <si>
    <t>– Rückstellungen: Stand per 31.12. in Mio. Fr.</t>
  </si>
  <si>
    <t>12C</t>
  </si>
  <si>
    <r>
      <t xml:space="preserve">– Rückstellungsquote </t>
    </r>
    <r>
      <rPr>
        <vertAlign val="superscript"/>
        <sz val="11"/>
        <rFont val="Arial"/>
        <family val="2"/>
      </rPr>
      <t>3</t>
    </r>
    <r>
      <rPr>
        <sz val="11"/>
        <rFont val="Arial"/>
        <family val="2"/>
      </rPr>
      <t xml:space="preserve"> per 31.12. in %</t>
    </r>
  </si>
  <si>
    <t>13A</t>
  </si>
  <si>
    <t>– Reserven: Stand per 31.12. in Mio. Fr.</t>
  </si>
  <si>
    <t>13C</t>
  </si>
  <si>
    <r>
      <t xml:space="preserve">– Reservequote </t>
    </r>
    <r>
      <rPr>
        <vertAlign val="superscript"/>
        <sz val="11"/>
        <rFont val="Arial"/>
        <family val="2"/>
      </rPr>
      <t>4</t>
    </r>
    <r>
      <rPr>
        <sz val="11"/>
        <rFont val="Arial"/>
        <family val="2"/>
      </rPr>
      <t xml:space="preserve"> per 31.12. in %</t>
    </r>
  </si>
  <si>
    <t>1) Bruttoleistungen = Leistungen inklusiv Kostenbeteiligung der Versicherten.</t>
  </si>
  <si>
    <t>2) Nettoleistungen = bezahlte Leistungen =  Leistungen der Versicherer abzüglich Kostenbeteiligung der Versicherten.</t>
  </si>
  <si>
    <t>3) Rückstellungen in Prozent der Nettoleistungen.</t>
  </si>
  <si>
    <t>4) Reserven in Prozent des Prämiensolls.</t>
  </si>
  <si>
    <t xml:space="preserve">Quelle: </t>
  </si>
  <si>
    <t>Formular EF123 :</t>
  </si>
  <si>
    <t>Tabelle T :</t>
  </si>
  <si>
    <t>Anzahl Versicherer mit EF 1.12 A Total &gt; 0</t>
  </si>
  <si>
    <t>= [ 8A ] / [ 2 ]</t>
  </si>
  <si>
    <t xml:space="preserve">Durchschnittlicher Versichertenbestand EF 1.12 A Total  </t>
  </si>
  <si>
    <t>= [ 7A ] - [ 8A ]</t>
  </si>
  <si>
    <t>EF 3.7.1</t>
  </si>
  <si>
    <t>= [ 7B ] - [ 8B ]</t>
  </si>
  <si>
    <t>= [ 3A ] / [ 2 ] * 100</t>
  </si>
  <si>
    <t>EF2 Konten 40-47 + 48 K+U Seiten 2.2 -&gt; 2.7</t>
  </si>
  <si>
    <t>EF 3.7.2</t>
  </si>
  <si>
    <t>= [ 10A ] / [ 2 ]</t>
  </si>
  <si>
    <t xml:space="preserve">EF2 Konto Gesamtbetriebsergebnis Krankheit + Unfall Seiten 2.2 -&gt; 2.7 </t>
  </si>
  <si>
    <t>EF 3.4</t>
  </si>
  <si>
    <t>EF 1.4 Konto 270</t>
  </si>
  <si>
    <t>= [ 6A ] / [ 2 ]</t>
  </si>
  <si>
    <t>= [ 12A ] / [ 2 ]</t>
  </si>
  <si>
    <t>EF 3.6</t>
  </si>
  <si>
    <t>= [ 12A ] / [ 9A ] * 100 in %</t>
  </si>
  <si>
    <t>= [ 7A ] / [ 2 ]</t>
  </si>
  <si>
    <t>EF 1.5 Konten 290 + 290.9</t>
  </si>
  <si>
    <t>EF 3.6 / [ 2 ]</t>
  </si>
  <si>
    <t>= [ 13A ] / [ 2 ]</t>
  </si>
  <si>
    <t>= [ 13A ] / [ 6A ] * 100 in %</t>
  </si>
  <si>
    <t>EF2 Konto 32 K+U Seiten 2.2 -&gt; 2.7</t>
  </si>
  <si>
    <r>
      <t xml:space="preserve">T 1.02  Betriebsrechnung der obligatorischen Krankenpflegeversicherung insgesamt </t>
    </r>
    <r>
      <rPr>
        <b/>
        <vertAlign val="superscript"/>
        <sz val="12"/>
        <rFont val="Arial"/>
        <family val="2"/>
      </rPr>
      <t>1</t>
    </r>
  </si>
  <si>
    <t>Kontengruppe</t>
  </si>
  <si>
    <t>Krankheit</t>
  </si>
  <si>
    <t>Unfall</t>
  </si>
  <si>
    <t>in Fr.</t>
  </si>
  <si>
    <t>Prämien</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</si>
  <si>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</si>
  <si>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</si>
  <si>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</si>
  <si>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</si>
  <si>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</si>
  <si>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</si>
  <si>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</si>
  <si>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</si>
  <si>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</si>
  <si>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</si>
  <si>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</si>
  <si>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Leistungen</t>
  </si>
  <si>
    <t>Kostenbeteiligung der Versicherten (-)</t>
  </si>
  <si>
    <t>30-33</t>
  </si>
  <si>
    <t>Sonstige Aufwendungen für Leistungen</t>
  </si>
  <si>
    <t>Rückstellungen für unerledigte Versicherungsfälle</t>
  </si>
  <si>
    <t>30-35</t>
  </si>
  <si>
    <t>Leistungsanteile der Rückversicherer (-)</t>
  </si>
  <si>
    <t>Risikoausgleich</t>
  </si>
  <si>
    <t>Total Versicherungsaufwand</t>
  </si>
  <si>
    <t>40-47</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</si>
  <si>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</si>
  <si>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</si>
  <si>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</si>
  <si>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</si>
  <si>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</si>
  <si>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</si>
  <si>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</si>
  <si>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</si>
  <si>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</si>
  <si>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1) Vgl. Fussnote 2) von Tabelle 11.02.</t>
  </si>
  <si>
    <t>Quelle: Formular EF2 [Summe 2.2 bis 2.7]</t>
  </si>
  <si>
    <r>
      <t xml:space="preserve">T 1.03  Betriebsrechnung der Versicherung </t>
    </r>
    <r>
      <rPr>
        <b/>
        <vertAlign val="superscript"/>
        <sz val="12"/>
        <rFont val="Arial"/>
        <family val="2"/>
      </rPr>
      <t>1</t>
    </r>
    <r>
      <rPr>
        <b/>
        <sz val="12"/>
        <rFont val="Arial"/>
        <family val="2"/>
      </rPr>
      <t xml:space="preserve">  mit ordentlicher Franchise </t>
    </r>
  </si>
  <si>
    <t>Quelle: Formular EF 2.2</t>
  </si>
  <si>
    <r>
      <t xml:space="preserve">T 1.04  Betriebsrechnung der Versicherungen </t>
    </r>
    <r>
      <rPr>
        <b/>
        <vertAlign val="superscript"/>
        <sz val="12"/>
        <rFont val="Arial"/>
        <family val="2"/>
      </rPr>
      <t>1</t>
    </r>
    <r>
      <rPr>
        <b/>
        <sz val="12"/>
        <rFont val="Arial"/>
        <family val="2"/>
      </rPr>
      <t xml:space="preserve">  mit wählbarer Franchise </t>
    </r>
  </si>
  <si>
    <t>Quelle: Formular EF 2.3</t>
  </si>
  <si>
    <r>
      <t xml:space="preserve">T 1.05  Betriebsrechnung der BONUS-Versicherung </t>
    </r>
    <r>
      <rPr>
        <b/>
        <vertAlign val="superscript"/>
        <sz val="12"/>
        <rFont val="Arial"/>
        <family val="2"/>
      </rPr>
      <t>1</t>
    </r>
  </si>
  <si>
    <t>Quelle: Formular EF 2.4</t>
  </si>
  <si>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</si>
  <si>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Quelle: Formular EF2 [Summe 2.5 bis 2.7]</t>
  </si>
  <si>
    <r>
      <t xml:space="preserve">T 1.07  Betriebsrechnung der obligatorischen Krankenpflegeversicherung von Personen mit Wohnsitz in einem EG-Staat, in Island oder in Norwegen, inklusive GrenzgängerInnen </t>
    </r>
    <r>
      <rPr>
        <b/>
        <vertAlign val="superscript"/>
        <sz val="12"/>
        <rFont val="Arial"/>
        <family val="2"/>
      </rPr>
      <t>1</t>
    </r>
  </si>
  <si>
    <t xml:space="preserve">Prämien für Effektivkosten </t>
  </si>
  <si>
    <t xml:space="preserve">Prämien für Pauschalkosten </t>
  </si>
  <si>
    <t>Leistungen (Effektivkosten)</t>
  </si>
  <si>
    <t>Leistungen (Pauschalkosten)</t>
  </si>
  <si>
    <t>Rückstellungen für Pauschalkosten</t>
  </si>
  <si>
    <r>
      <t xml:space="preserve">Nur GrenzgängerInnen </t>
    </r>
    <r>
      <rPr>
        <b/>
        <vertAlign val="superscript"/>
        <sz val="12"/>
        <rFont val="Arial"/>
        <family val="2"/>
      </rPr>
      <t>2</t>
    </r>
  </si>
  <si>
    <t>Leistungen (31.1 + 31.2)</t>
  </si>
  <si>
    <t>Kostenbeteiligung der Versicherten (32)    (-)</t>
  </si>
  <si>
    <t>Bezahlte Leistungen (30-33)</t>
  </si>
  <si>
    <t>1) Ohne Liechstenstein. Versichertenbestand : siehe T 11.13.</t>
  </si>
  <si>
    <t>2) GrenzgängerInnen, sowie ihre nichterwerbstätigen Familienangehörigen (Versicherte gemäss Art. 3 KVV).</t>
  </si>
  <si>
    <t>Quelle: Formular EF2 [T.E] und EF1.12</t>
  </si>
  <si>
    <t>T 2.19  Bruttoleistungen in Franken je versicherte Person nach Kostengruppe</t>
  </si>
  <si>
    <t>in %</t>
  </si>
  <si>
    <t>Arzt ambulant</t>
  </si>
  <si>
    <r>
      <t xml:space="preserve">Spital stationär </t>
    </r>
    <r>
      <rPr>
        <vertAlign val="superscript"/>
        <sz val="11"/>
        <rFont val="Arial"/>
        <family val="2"/>
      </rPr>
      <t>2</t>
    </r>
  </si>
  <si>
    <t>Spital ambulant</t>
  </si>
  <si>
    <t>Medikamente Arzt</t>
  </si>
  <si>
    <t>Medikamente Apotheke</t>
  </si>
  <si>
    <r>
      <t xml:space="preserve">Pflegeheim </t>
    </r>
    <r>
      <rPr>
        <vertAlign val="superscript"/>
        <sz val="11"/>
        <rFont val="Arial"/>
        <family val="2"/>
      </rPr>
      <t>2</t>
    </r>
  </si>
  <si>
    <t>Spitex</t>
  </si>
  <si>
    <t>Physiotherapie</t>
  </si>
  <si>
    <t>Labor</t>
  </si>
  <si>
    <t>Chiropraktik</t>
  </si>
  <si>
    <t>Mittel und Gegenstände</t>
  </si>
  <si>
    <r>
      <t xml:space="preserve">Betriebsbeiträge an HMO's </t>
    </r>
    <r>
      <rPr>
        <vertAlign val="superscript"/>
        <sz val="11"/>
        <rFont val="Arial"/>
        <family val="2"/>
      </rPr>
      <t>1</t>
    </r>
  </si>
  <si>
    <t>Komplementärmedizin</t>
  </si>
  <si>
    <r>
      <t xml:space="preserve">Übrige Leistungen ambulant </t>
    </r>
    <r>
      <rPr>
        <vertAlign val="superscript"/>
        <sz val="11"/>
        <rFont val="Arial"/>
        <family val="2"/>
      </rPr>
      <t>5</t>
    </r>
  </si>
  <si>
    <r>
      <t xml:space="preserve">Übrige Leistungen stationär </t>
    </r>
    <r>
      <rPr>
        <vertAlign val="superscript"/>
        <sz val="11"/>
        <rFont val="Arial"/>
        <family val="2"/>
      </rPr>
      <t>2 4</t>
    </r>
  </si>
  <si>
    <t>Leistungen Total</t>
  </si>
  <si>
    <t>davon Leistungen Mutterschaft</t>
  </si>
  <si>
    <r>
      <t xml:space="preserve">davon Medikamente Spital ambulant </t>
    </r>
    <r>
      <rPr>
        <i/>
        <vertAlign val="superscript"/>
        <sz val="11"/>
        <rFont val="Arial"/>
        <family val="2"/>
      </rPr>
      <t>3</t>
    </r>
  </si>
  <si>
    <r>
      <t xml:space="preserve">davon KVG-Leistungen von Zahnärzten </t>
    </r>
    <r>
      <rPr>
        <i/>
        <vertAlign val="superscript"/>
        <sz val="11"/>
        <rFont val="Arial"/>
        <family val="2"/>
      </rPr>
      <t>5</t>
    </r>
  </si>
  <si>
    <r>
      <t xml:space="preserve">davon Transport- und Rettungskosten </t>
    </r>
    <r>
      <rPr>
        <i/>
        <vertAlign val="superscript"/>
        <sz val="11"/>
        <rFont val="Arial"/>
        <family val="2"/>
      </rPr>
      <t>5</t>
    </r>
  </si>
  <si>
    <t>1) Sofern keine Aufteilung nach den anderen aufgeführten Kostengruppen möglich ist.</t>
  </si>
  <si>
    <t>2) Intra-muros Behandlung; andere Gruppen = ambulante Behandlung.</t>
  </si>
  <si>
    <t>3) Kategorie "Medikamente Spital ambulant": gehört zur Kategorie "Spital ambulant".</t>
  </si>
  <si>
    <t>4) Zum Beispiel Heilbäder.</t>
  </si>
  <si>
    <t>5) Zum Beispiel Logopädie, Ergotherapie.</t>
  </si>
  <si>
    <t xml:space="preserve">     Kategorien "KVG-Leistungen von Zahnärzten" und "Transport- und Rettungskosten" gehören zur Kategorie "Übrige Leistungen ambulant".</t>
  </si>
  <si>
    <t>Quelle: T 2.17 / T 11.01</t>
  </si>
  <si>
    <r>
      <t xml:space="preserve">T 2.18  Bruttoleistungen </t>
    </r>
    <r>
      <rPr>
        <b/>
        <vertAlign val="superscript"/>
        <sz val="12"/>
        <rFont val="Arial"/>
        <family val="2"/>
      </rPr>
      <t>1</t>
    </r>
    <r>
      <rPr>
        <b/>
        <sz val="12"/>
        <rFont val="Arial"/>
        <family val="2"/>
      </rPr>
      <t xml:space="preserve"> in Franken je versicherte Person nach Kostengruppe ab 2001 </t>
    </r>
    <r>
      <rPr>
        <b/>
        <vertAlign val="superscript"/>
        <sz val="12"/>
        <rFont val="Arial"/>
        <family val="2"/>
      </rPr>
      <t>2 3</t>
    </r>
  </si>
  <si>
    <t>Ambulante</t>
  </si>
  <si>
    <t>Behandlung</t>
  </si>
  <si>
    <t>davon</t>
  </si>
  <si>
    <t>Arzt</t>
  </si>
  <si>
    <t>Spital</t>
  </si>
  <si>
    <t>Medikamente</t>
  </si>
  <si>
    <t>Mittel und</t>
  </si>
  <si>
    <t>Betriebsbeiträge</t>
  </si>
  <si>
    <t>Komplementär-</t>
  </si>
  <si>
    <t>(ambulant)</t>
  </si>
  <si>
    <t>(Arzt)</t>
  </si>
  <si>
    <t>(Apotheke)</t>
  </si>
  <si>
    <t>Gegenstände</t>
  </si>
  <si>
    <t>an HMO's</t>
  </si>
  <si>
    <t>medizin</t>
  </si>
  <si>
    <t>Jahresdurch-schnittliche Veränderung 2001-2011</t>
  </si>
  <si>
    <t>«Intra-muros»</t>
  </si>
  <si>
    <t xml:space="preserve">Spital </t>
  </si>
  <si>
    <t>Pflegeheim</t>
  </si>
  <si>
    <t>(stationär)</t>
  </si>
  <si>
    <r>
      <t xml:space="preserve">1) Bruttoleistungen = Leistungen der Versicherer in der OKP </t>
    </r>
    <r>
      <rPr>
        <b/>
        <sz val="10"/>
        <rFont val="Arial"/>
        <family val="2"/>
      </rPr>
      <t>mit</t>
    </r>
    <r>
      <rPr>
        <sz val="10"/>
        <rFont val="Arial"/>
        <family val="2"/>
      </rPr>
      <t xml:space="preserve"> Kostenbeteiligung durch die Versicherten.</t>
    </r>
  </si>
  <si>
    <t>2) Vgl. Fussnoten 1) und 2) von Tabelle 2.16.</t>
  </si>
  <si>
    <t>3) Werte neu berechnet anhand der mittleren Versichertenbestände von 1996 bis 2005.</t>
  </si>
  <si>
    <t>Quelle: T 2.16 / 11.01</t>
  </si>
  <si>
    <t xml:space="preserve">T 2.17  Bruttoleistungen in Franken nach Kostengruppe </t>
  </si>
  <si>
    <t>in 1000 Fr.</t>
  </si>
  <si>
    <r>
      <t xml:space="preserve">Übrige Leistungen ambulant </t>
    </r>
    <r>
      <rPr>
        <vertAlign val="superscript"/>
        <sz val="11"/>
        <rFont val="Arial"/>
        <family val="2"/>
      </rPr>
      <t>5 6</t>
    </r>
  </si>
  <si>
    <r>
      <t xml:space="preserve">davon KVG-Leistungen von Zahnärzten </t>
    </r>
    <r>
      <rPr>
        <i/>
        <vertAlign val="superscript"/>
        <sz val="11"/>
        <rFont val="Arial"/>
        <family val="2"/>
      </rPr>
      <t>6</t>
    </r>
  </si>
  <si>
    <r>
      <t xml:space="preserve">davon Transport- und Rettungskosten </t>
    </r>
    <r>
      <rPr>
        <i/>
        <vertAlign val="superscript"/>
        <sz val="11"/>
        <rFont val="Arial"/>
        <family val="2"/>
      </rPr>
      <t>6</t>
    </r>
  </si>
  <si>
    <t>6) Kategorien "KVG-Leistungen von Zahnärzten" und "Transport- und Rettungskosten" gehören zur Kategorie "Übrige Leistungen ambulant".</t>
  </si>
  <si>
    <t>Quelle: Formular EF 3.6</t>
  </si>
  <si>
    <r>
      <t xml:space="preserve">T 2.16  Bruttoleistungen </t>
    </r>
    <r>
      <rPr>
        <b/>
        <vertAlign val="superscript"/>
        <sz val="12"/>
        <rFont val="Arial"/>
        <family val="2"/>
      </rPr>
      <t>1</t>
    </r>
    <r>
      <rPr>
        <b/>
        <sz val="12"/>
        <rFont val="Arial"/>
        <family val="2"/>
      </rPr>
      <t xml:space="preserve"> in Mio. Franken nach Kostengruppe ab 2001</t>
    </r>
  </si>
  <si>
    <r>
      <t xml:space="preserve">Behandlung </t>
    </r>
    <r>
      <rPr>
        <b/>
        <vertAlign val="superscript"/>
        <sz val="11"/>
        <rFont val="Arial"/>
        <family val="2"/>
      </rPr>
      <t>2</t>
    </r>
  </si>
  <si>
    <t>2) Als «Intra-muros» Behandlung gelten die Kategorien "Spital stationär", "Pflegeheime" und "übrige Leistungen stationär";</t>
  </si>
  <si>
    <t xml:space="preserve"> als ambulante Kosten gelten alle übrigen Kategorien.</t>
  </si>
  <si>
    <t>Quelle: T 2.17</t>
  </si>
  <si>
    <r>
      <t xml:space="preserve">T 2.13 Kostenbeteiligung  </t>
    </r>
    <r>
      <rPr>
        <b/>
        <vertAlign val="superscript"/>
        <sz val="12"/>
        <rFont val="Arial"/>
        <family val="2"/>
      </rPr>
      <t>1</t>
    </r>
    <r>
      <rPr>
        <b/>
        <sz val="12"/>
        <rFont val="Arial"/>
        <family val="2"/>
      </rPr>
      <t xml:space="preserve">  in Fr. je versicherte Person nach Kanton</t>
    </r>
  </si>
  <si>
    <t>Alle Versicherte</t>
  </si>
  <si>
    <t xml:space="preserve">Quelle: T 2.10 / T 11.14 </t>
  </si>
  <si>
    <t>1) Berücksichtigt nur die bei dem Versicherer eingereichten Rechnungen</t>
  </si>
  <si>
    <t>2) Personen mit Wohnsitz/Aufenthalt im Ausland gemäss Art. 4 und 5 KVV.</t>
  </si>
  <si>
    <r>
      <t xml:space="preserve">T 2.12 Nettoleistungen </t>
    </r>
    <r>
      <rPr>
        <b/>
        <vertAlign val="superscript"/>
        <sz val="12"/>
        <rFont val="Arial"/>
        <family val="2"/>
      </rPr>
      <t>1</t>
    </r>
    <r>
      <rPr>
        <b/>
        <sz val="12"/>
        <rFont val="Arial"/>
        <family val="2"/>
      </rPr>
      <t xml:space="preserve">  in Fr.  je versicherte Person nach Kanton </t>
    </r>
  </si>
  <si>
    <t xml:space="preserve">Quelle: T 2.07 / T 11.14 </t>
  </si>
  <si>
    <r>
      <t xml:space="preserve">1) Nettoleistungen = bezahlte Leistungen der Versicherer in der OKP </t>
    </r>
    <r>
      <rPr>
        <b/>
        <sz val="10"/>
        <rFont val="Arial"/>
        <family val="2"/>
      </rPr>
      <t>ohne</t>
    </r>
    <r>
      <rPr>
        <sz val="10"/>
        <rFont val="Arial"/>
        <family val="2"/>
      </rPr>
      <t xml:space="preserve"> Kostenbeteiligung durch die Versicherten.</t>
    </r>
  </si>
  <si>
    <r>
      <t xml:space="preserve">T 2.10  Kostenbeteiligung </t>
    </r>
    <r>
      <rPr>
        <b/>
        <vertAlign val="superscript"/>
        <sz val="12"/>
        <rFont val="Arial"/>
        <family val="2"/>
      </rPr>
      <t>1</t>
    </r>
    <r>
      <rPr>
        <b/>
        <sz val="12"/>
        <rFont val="Arial"/>
        <family val="2"/>
      </rPr>
      <t xml:space="preserve"> in Fr. nach Kanton</t>
    </r>
  </si>
  <si>
    <t>Quelle: Formular EF 3.18</t>
  </si>
  <si>
    <t>1) Berücksichtigt nur die bei dem Versicherer eingereichten Rechnungen.</t>
  </si>
  <si>
    <r>
      <t xml:space="preserve">T 2.07  Nettoleistungen </t>
    </r>
    <r>
      <rPr>
        <b/>
        <vertAlign val="superscript"/>
        <sz val="12"/>
        <rFont val="Arial"/>
        <family val="2"/>
      </rPr>
      <t xml:space="preserve">1 </t>
    </r>
    <r>
      <rPr>
        <b/>
        <sz val="12"/>
        <rFont val="Arial"/>
        <family val="2"/>
      </rPr>
      <t xml:space="preserve"> in Fr. nach Kanton </t>
    </r>
  </si>
  <si>
    <t>Quelle: T 2.04 - T 2.10</t>
  </si>
  <si>
    <r>
      <t xml:space="preserve">T 2.24  Bruttoleistungen </t>
    </r>
    <r>
      <rPr>
        <b/>
        <vertAlign val="superscript"/>
        <sz val="12"/>
        <rFont val="Arial"/>
        <family val="2"/>
      </rPr>
      <t xml:space="preserve">4  </t>
    </r>
    <r>
      <rPr>
        <b/>
        <sz val="12"/>
        <rFont val="Arial"/>
        <family val="2"/>
      </rPr>
      <t>in Fr. je versicherte Person nach Versicherungsform</t>
    </r>
  </si>
  <si>
    <t xml:space="preserve">Quelle: Formular EF 3.22 / EF 3.13 </t>
  </si>
  <si>
    <t xml:space="preserve">     (HMO, Hausarztmodell…) zugewiesen werden, falls sie eine Kombination dieser Form mit ordentlicher/wählbarer Franchise aufweisen.</t>
  </si>
  <si>
    <r>
      <t xml:space="preserve">4) Bruttoleistungen = Leistungen der Versicherer in der OKP </t>
    </r>
    <r>
      <rPr>
        <b/>
        <sz val="10"/>
        <rFont val="Arial"/>
        <family val="2"/>
      </rPr>
      <t>mit</t>
    </r>
    <r>
      <rPr>
        <sz val="10"/>
        <rFont val="Arial"/>
        <family val="2"/>
      </rPr>
      <t xml:space="preserve"> Kostenbeteiligung durch die Versicherten.</t>
    </r>
  </si>
  <si>
    <r>
      <t xml:space="preserve">T 3.04  Prämiensoll in Franken je versicherte Person </t>
    </r>
    <r>
      <rPr>
        <b/>
        <vertAlign val="superscript"/>
        <sz val="12"/>
        <rFont val="Arial"/>
        <family val="2"/>
      </rPr>
      <t xml:space="preserve">1 </t>
    </r>
    <r>
      <rPr>
        <b/>
        <sz val="12"/>
        <rFont val="Arial"/>
        <family val="2"/>
      </rPr>
      <t xml:space="preserve"> nach Kanton</t>
    </r>
  </si>
  <si>
    <t>Junge</t>
  </si>
  <si>
    <t>Alle</t>
  </si>
  <si>
    <t>Versicherte</t>
  </si>
  <si>
    <t xml:space="preserve">Quelle : T 3.06 / T 11.14 </t>
  </si>
  <si>
    <t>1) Für alle Versicherungsformen.</t>
  </si>
  <si>
    <r>
      <t xml:space="preserve">T 3.06  Prämiensoll in Franken </t>
    </r>
    <r>
      <rPr>
        <b/>
        <vertAlign val="superscript"/>
        <sz val="12"/>
        <rFont val="Arial"/>
        <family val="2"/>
      </rPr>
      <t>1</t>
    </r>
    <r>
      <rPr>
        <b/>
        <sz val="12"/>
        <rFont val="Arial"/>
        <family val="2"/>
      </rPr>
      <t xml:space="preserve">  nach Kanton</t>
    </r>
  </si>
  <si>
    <t>Quelle: Formular EF 3.15</t>
  </si>
  <si>
    <r>
      <t xml:space="preserve">T 3.08  Prämiensoll in Franken je versicherte Person </t>
    </r>
    <r>
      <rPr>
        <b/>
        <vertAlign val="superscript"/>
        <sz val="12"/>
        <rFont val="Arial"/>
        <family val="2"/>
      </rPr>
      <t xml:space="preserve">1 </t>
    </r>
    <r>
      <rPr>
        <b/>
        <sz val="12"/>
        <rFont val="Arial"/>
        <family val="2"/>
      </rPr>
      <t xml:space="preserve"> nach Kanton ab 1996</t>
    </r>
  </si>
  <si>
    <t>Quelle: CH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</si>
  <si>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2009 -&gt; 2010: T 3.13 </t>
    </r>
    <r>
      <rPr>
        <sz val="10"/>
        <rFont val="Arial"/>
        <family val="2"/>
      </rPr>
      <t>/ 2011 -&gt; : T 3.04</t>
    </r>
  </si>
  <si>
    <t>1) Für alle Versicherten für alle Versicherungsformen.</t>
  </si>
  <si>
    <r>
      <t xml:space="preserve">T 2.03 Nettoleistungen </t>
    </r>
    <r>
      <rPr>
        <b/>
        <vertAlign val="superscript"/>
        <sz val="12"/>
        <rFont val="Arial"/>
        <family val="2"/>
      </rPr>
      <t xml:space="preserve">1 2 </t>
    </r>
    <r>
      <rPr>
        <b/>
        <sz val="12"/>
        <rFont val="Arial"/>
        <family val="2"/>
      </rPr>
      <t xml:space="preserve"> je versicherte Person nach Kanton in Franken ab 1996</t>
    </r>
  </si>
  <si>
    <t xml:space="preserve">1999 -&gt; 2008: Prämiengenehmigungsverfahren BAG, Werte korrigiert auf der Basis des CH-Bestandes in T 1.01 / 2009 -&gt; : T 2.12 </t>
  </si>
  <si>
    <r>
      <t xml:space="preserve">    Nettoleistungen = bezahlte Leistungen der Versicherer in der OKP </t>
    </r>
    <r>
      <rPr>
        <b/>
        <sz val="10"/>
        <rFont val="Arial"/>
        <family val="2"/>
      </rPr>
      <t>ohne</t>
    </r>
    <r>
      <rPr>
        <sz val="10"/>
        <rFont val="Arial"/>
        <family val="2"/>
      </rPr>
      <t xml:space="preserve"> Kostenbeteiligungen der Versicherten.</t>
    </r>
  </si>
  <si>
    <t>2) Zusätzliche Angaben nach Altersgruppe pro Kanton: www.bag.admin.ch/pyramiden</t>
  </si>
  <si>
    <r>
      <t xml:space="preserve">T 2.04  Bruttoleistungen </t>
    </r>
    <r>
      <rPr>
        <b/>
        <vertAlign val="superscript"/>
        <sz val="12"/>
        <rFont val="Arial"/>
        <family val="2"/>
      </rPr>
      <t>1</t>
    </r>
    <r>
      <rPr>
        <b/>
        <sz val="12"/>
        <rFont val="Arial"/>
        <family val="2"/>
      </rPr>
      <t xml:space="preserve">  in Fr. nach Kanton</t>
    </r>
  </si>
  <si>
    <t>Quelle: Formular EF 3.21</t>
  </si>
  <si>
    <r>
      <t xml:space="preserve">T 2.05  Bruttoleistungen </t>
    </r>
    <r>
      <rPr>
        <b/>
        <vertAlign val="superscript"/>
        <sz val="12"/>
        <rFont val="Arial"/>
        <family val="2"/>
      </rPr>
      <t xml:space="preserve">1 </t>
    </r>
    <r>
      <rPr>
        <b/>
        <sz val="12"/>
        <rFont val="Arial"/>
        <family val="2"/>
      </rPr>
      <t xml:space="preserve"> in Fr. je versicherte Person nach Kanton</t>
    </r>
  </si>
  <si>
    <t xml:space="preserve">Quelle: T 2.04 / T 11.14 </t>
  </si>
  <si>
    <t>Statistik der obligatorischen Krankenversicherung 2011, Bundesamt für Gesundheit</t>
  </si>
  <si>
    <t>Datenstand: 15.8.12</t>
  </si>
  <si>
    <t xml:space="preserve"> </t>
  </si>
  <si>
    <t>1101-1118</t>
  </si>
  <si>
    <t>11: Versicherte in der OKP</t>
  </si>
  <si>
    <t>Durchschnittlicher Versichertenbestand ab 2001</t>
  </si>
  <si>
    <t>Versichertenbestand per 31.12. ab 2001</t>
  </si>
  <si>
    <t>Versichertenbestand nach Wohnkanton per 31.12.</t>
  </si>
  <si>
    <t>Versichertenbestand und Wohnbevölkerung ab 1996</t>
  </si>
  <si>
    <t>Versichertenbestand per 31.12 nach Versicherungsform ab 2001</t>
  </si>
  <si>
    <t>Versichertenbestand nach Versicherungsform per 31.12.</t>
  </si>
  <si>
    <t>Aufteilung der Versicherten (Kinder und Erwachsene) nach Versicherungsform ab 2001</t>
  </si>
  <si>
    <t>Verteilung der Versicherungsformen in % nach Kanton - Versicherte ab 19 Jahren</t>
  </si>
  <si>
    <t>Verteilung der Versicherungsformen in % nach Kanton - Kinder 0 - 18 Jahre</t>
  </si>
  <si>
    <t xml:space="preserve">Versicherteneintritte und Versichertenaustritte KVG nach Alter und Geschlecht </t>
  </si>
  <si>
    <t>Zahlungsausstände für OKP-Prämien ab 2001</t>
  </si>
  <si>
    <t>Versichertenbestand KVG nach Geschlecht im 2010, 2011 und 2012</t>
  </si>
  <si>
    <t>Durchschnittlicher Versichertenbestand KVG und Durchschnittsalter der Versicherten</t>
  </si>
  <si>
    <t>Durchschnittlicher Versichertenbestand nach Kanton</t>
  </si>
  <si>
    <t>Durchschnittlicher Versichertenbestand nach Altersklasse und Geschlecht</t>
  </si>
  <si>
    <t xml:space="preserve">Durchschnittlicher Versichertenbestand nach Versicherungsform </t>
  </si>
  <si>
    <t>Durchschnittlicher Versichertenbestand nach Kanton ab 1996</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</si>
  <si>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</si>
  <si>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</si>
  <si>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</si>
  <si>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</si>
  <si>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</si>
  <si>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OKP: Durchschnittlicher Versichertenbestand nach Versicherer und Kanton</t>
  </si>
  <si>
    <t>3: Prämiensoll in der OKP</t>
  </si>
  <si>
    <t xml:space="preserve">Prämiensoll nach Versicherungsform </t>
  </si>
  <si>
    <t>Prämiensoll nach Versicherungsform ab 2001</t>
  </si>
  <si>
    <t>Prämiensoll je versicherte Person nach Versicherungsform</t>
  </si>
  <si>
    <t>Prämiensoll je versicherte Person nach Kanton</t>
  </si>
  <si>
    <t>Prämiensoll je versicherte Person nach Versicherungsform ab 2001</t>
  </si>
  <si>
    <t>Prämiensoll nach Kanton</t>
  </si>
  <si>
    <t>Prämiensoll nach Altersklasse und Geschlecht</t>
  </si>
  <si>
    <t>Prämiensoll je versicherte Person nach Kanton ab 1996</t>
  </si>
  <si>
    <t>2: Leistungen und Kostenbeteiligung in der OKP</t>
  </si>
  <si>
    <t xml:space="preserve">Kostenbeteiligung der Versicherten nach Versicherungsform ab 2000 </t>
  </si>
  <si>
    <t xml:space="preserve">Kostenbeteiligung je versicherte Person nach Versicherungsform ab 2000 </t>
  </si>
  <si>
    <t>Nettoleistungen je versicherte Person nach Kanton ab 1996</t>
  </si>
  <si>
    <t>Bruttoleistungen nach Kanton</t>
  </si>
  <si>
    <t>Bruttoleistungen je versicherte Person nach Kanton</t>
  </si>
  <si>
    <t xml:space="preserve">Bruttoleistungen nach Altersklasse und Geschlecht </t>
  </si>
  <si>
    <t>Nettoleistungen nach Kanton</t>
  </si>
  <si>
    <t>Nettoleistungen je versicherte Person nach Versicherungsform</t>
  </si>
  <si>
    <t xml:space="preserve">Nettoleistungen nach Altersklasse und Geschlecht </t>
  </si>
  <si>
    <t>Kostenbeteiligung nach Kanton</t>
  </si>
  <si>
    <t>Kostenbeteiligung nach Altersgruppe und Geschlecht</t>
  </si>
  <si>
    <t>Nettoleistungen je versicherte Person nach Kanton</t>
  </si>
  <si>
    <t>Kostenbeteiligung je versicherte Person nach Kanton</t>
  </si>
  <si>
    <t>Bruttoleistungen nach Versicherungsform ab 2000</t>
  </si>
  <si>
    <t>Bruttoleistungen je versicherte Person nach Versicherungsform ab 2000</t>
  </si>
  <si>
    <t>Bruttoleistungen nach Kostengruppe ab 2000</t>
  </si>
  <si>
    <t xml:space="preserve">Bruttoleistungen nach Kostengruppe </t>
  </si>
  <si>
    <t xml:space="preserve">Bruttoleistungen je versicherte Person nach Kostengruppe ab 2000 </t>
  </si>
  <si>
    <t>Bruttoleistungen je versicherte Person nach Kostengruppe</t>
  </si>
  <si>
    <t>Nettoleistungen nach Versicherungsform ab 2000</t>
  </si>
  <si>
    <t>Nettoleistungen je versicherte Person nach Versicherungsform ab 2000</t>
  </si>
  <si>
    <t xml:space="preserve">Bruttoleistungen nach Versicherungsform </t>
  </si>
  <si>
    <t xml:space="preserve">Kostenbeteiligung je versicherte Person nach Versicherungsform </t>
  </si>
  <si>
    <t xml:space="preserve">Bruttoleistungen je versicherte Person nach Versicherungsform </t>
  </si>
  <si>
    <t>Bruttoleistungen je versicherte Person nach Kanton ab 1996</t>
  </si>
  <si>
    <t>Kostenbeteiligung je versicherte Person nach Kanton ab 1996</t>
  </si>
  <si>
    <t>1: Finanzen und obligatorische Krankenpflegeversicherung (OKP)</t>
  </si>
  <si>
    <t>Obligatorische Krankenpflegeversicherung ab 2001 : wichtigste Indikatoren</t>
  </si>
  <si>
    <t xml:space="preserve">Betriebsrechnung der obligatorischen Krankenpflegeversicherung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</si>
  <si>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</si>
  <si>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</si>
  <si>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</si>
  <si>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</si>
  <si>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Betriebsrechnung der obligatorischen Krankenpflegeversicherung Personen mit Wohnsitz in einem EG-Staat</t>
  </si>
  <si>
    <t>Gesamtbetriebsergebnis  nach Versicherungsform ab 2001</t>
  </si>
  <si>
    <t>Gesamtbetriebsergebnis  je versicherte Person nach Versicherungsform ab 2001</t>
  </si>
  <si>
    <t>Verwaltungsaufwand / Abschreibungen  nach Versicherungsform ab 2001</t>
  </si>
  <si>
    <t xml:space="preserve">Verwaltungsaufwand / Abschreibungen  je versicherte Person nach Versicherungsform ab 2001 </t>
  </si>
  <si>
    <t>Stand der Reserven per 31.12. ab 2001</t>
  </si>
  <si>
    <t xml:space="preserve">Stand der Rückstellungen per 31.12. für unerledigte Versicherungsfälle ab 2001 </t>
  </si>
  <si>
    <r>
      <t xml:space="preserve">T 5.05 OKP: Durchschnittlicher Versichertenbestand nach Versicherer und Kanton </t>
    </r>
    <r>
      <rPr>
        <b/>
        <vertAlign val="superscript"/>
        <sz val="12"/>
        <rFont val="Arial"/>
        <family val="2"/>
      </rPr>
      <t>1</t>
    </r>
  </si>
  <si>
    <t>BAG-</t>
  </si>
  <si>
    <r>
      <t xml:space="preserve">Name des OKP Versicherers </t>
    </r>
    <r>
      <rPr>
        <vertAlign val="superscript"/>
        <sz val="10"/>
        <rFont val="Arial"/>
        <family val="2"/>
      </rPr>
      <t>2</t>
    </r>
  </si>
  <si>
    <t>Nr.</t>
  </si>
  <si>
    <r>
      <t xml:space="preserve">Ausland </t>
    </r>
    <r>
      <rPr>
        <vertAlign val="superscript"/>
        <sz val="10"/>
        <rFont val="Arial"/>
        <family val="2"/>
      </rPr>
      <t>3</t>
    </r>
  </si>
  <si>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</si>
  <si>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</si>
  <si>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</si>
  <si>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</si>
  <si>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</si>
  <si>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</si>
  <si>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</si>
  <si>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</si>
  <si>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</si>
  <si>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</si>
  <si>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</si>
  <si>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</si>
  <si>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</si>
  <si>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</si>
  <si>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</si>
  <si>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</si>
  <si>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</si>
  <si>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</si>
  <si>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</si>
  <si>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</si>
  <si>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</si>
  <si>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</si>
  <si>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</si>
  <si>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</si>
  <si>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</si>
  <si>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</si>
  <si>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</si>
  <si>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1) Bei den durchschnittlichen Versichertenbeständen der OKP (pro Kanton und Versicherer), die auf der OKP-Prämienseite des BAG publiziert werden, wird den Fusionen von Versicherern bis zum Moment der Gültigkeit der publizierten Prämien Rechnung getragen; aus diesem Grund kann es Unterschiede zwischen den Tabellen geben.</t>
  </si>
  <si>
    <t>2) Name des Versicherers eventuell gekürzt. Name gültig 2011.</t>
  </si>
  <si>
    <t>3)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</si>
  <si>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Quelle: EF 3.12</t>
  </si>
  <si>
    <t>T 5.04  Mutationen bei den Krankenversicherern</t>
  </si>
  <si>
    <t>Name des Versicherers</t>
  </si>
  <si>
    <t>Datum</t>
  </si>
  <si>
    <t>nicht mehr</t>
  </si>
  <si>
    <t>Neuer</t>
  </si>
  <si>
    <t>Neues</t>
  </si>
  <si>
    <t>Zusammenschluss oder Transfer mit</t>
  </si>
  <si>
    <t>in der</t>
  </si>
  <si>
    <t>Versicherer</t>
  </si>
  <si>
    <t>Name</t>
  </si>
  <si>
    <t>Tätigkeits-</t>
  </si>
  <si>
    <t>BAG-Nr. / Versicherer</t>
  </si>
  <si>
    <r>
      <t xml:space="preserve">BAG-Liste </t>
    </r>
    <r>
      <rPr>
        <vertAlign val="superscript"/>
        <sz val="10"/>
        <rFont val="Arial"/>
        <family val="2"/>
      </rPr>
      <t>1</t>
    </r>
  </si>
  <si>
    <t>gebiet</t>
  </si>
  <si>
    <t>Krankenkasse Luchsingen-Häntzingen</t>
  </si>
  <si>
    <t>01.01.11</t>
  </si>
  <si>
    <t>x</t>
  </si>
  <si>
    <t>Genossenschaft Glarner Krankenversicherung</t>
  </si>
  <si>
    <t>Caisse Maladie de la fonction publique</t>
  </si>
  <si>
    <t>Philos Assurance Maladie SA</t>
  </si>
  <si>
    <t>Caisse-Maladie EOS</t>
  </si>
  <si>
    <t>carena schweiz</t>
  </si>
  <si>
    <t>Swica Krankenversicherung AG</t>
  </si>
  <si>
    <t>CMBB caisse maladie suisse du bois et du bâtiment</t>
  </si>
  <si>
    <t>Avenir Assurance Maladie SA</t>
  </si>
  <si>
    <t>Stiftung Avenir Assurances</t>
  </si>
  <si>
    <t>Xundheit Öffentliche Gesundheitskasse Schweiz</t>
  </si>
  <si>
    <t>509 / 57</t>
  </si>
  <si>
    <r>
      <t xml:space="preserve">Vivao Sympany AG (OKP) / Moove Sympany AG (TG) </t>
    </r>
    <r>
      <rPr>
        <vertAlign val="superscript"/>
        <sz val="10"/>
        <rFont val="Arial"/>
        <family val="2"/>
      </rPr>
      <t>2</t>
    </r>
  </si>
  <si>
    <t>Caisse-maladlie Hermes</t>
  </si>
  <si>
    <t>Easy Sana Assurance Maladie SA</t>
  </si>
  <si>
    <t>Panorama Kranken- und Unfallversicherung</t>
  </si>
  <si>
    <t>Kranken- und Unfallversicherung St- Moritz</t>
  </si>
  <si>
    <t>La Caisse Vaudoise Assurance maladie et accidents</t>
  </si>
  <si>
    <t>Stiftung Krankenversicherung Easy Sana</t>
  </si>
  <si>
    <t>Krankenkasse Elm</t>
  </si>
  <si>
    <t>AVANTIS-Assureur maladie</t>
  </si>
  <si>
    <t>Caisse-maladie de Troistorrents</t>
  </si>
  <si>
    <t>Vivao Sympany Schweiz AG</t>
  </si>
  <si>
    <t>Vivao Sympany AG</t>
  </si>
  <si>
    <t>Fondation Natura Assurances.ch</t>
  </si>
  <si>
    <t>Mutuel Assurances SA</t>
  </si>
  <si>
    <t>Stiftung Mutuel Assurances</t>
  </si>
  <si>
    <r>
      <t xml:space="preserve">Caisse maladie de la société suisse des hôteliers (TG) </t>
    </r>
    <r>
      <rPr>
        <vertAlign val="superscript"/>
        <sz val="10"/>
        <rFont val="Arial"/>
        <family val="2"/>
      </rPr>
      <t>2</t>
    </r>
  </si>
  <si>
    <t>HOTELA caisse maladie</t>
  </si>
  <si>
    <r>
      <t xml:space="preserve">Caisse maladie de la société suisse des hôteliers (OKP) </t>
    </r>
    <r>
      <rPr>
        <vertAlign val="superscript"/>
        <sz val="10"/>
        <rFont val="Arial"/>
        <family val="2"/>
      </rPr>
      <t>2</t>
    </r>
  </si>
  <si>
    <t>ÖKK Kranken- und Unfallversicherung AG</t>
  </si>
  <si>
    <t>Stiftung Philos Caisse-maladie et accident</t>
  </si>
  <si>
    <t>Kranken- und Unfallkasse Universa</t>
  </si>
  <si>
    <t>aerosana Versicherungen AG</t>
  </si>
  <si>
    <t>Progrès Versicherungen AG</t>
  </si>
  <si>
    <t>Sanatop Versicherungen AG</t>
  </si>
  <si>
    <t>Supra</t>
  </si>
  <si>
    <t>1) Nach dem Entzug der Anerkennung als Krankenversicherer wurden die Leistungen falls notwendig durch den Insolvenzfonds (Gemeinsame Einrichtung) erbracht.</t>
  </si>
  <si>
    <t>2) OKP = obligatorische Krankenpflegeversicherung KVG; TG = Krankentaggeldversicherung KVG.</t>
  </si>
  <si>
    <t>Quelle: Verzeichnisse der zugelassenen Krankenversicherer (Mitteilungen) BAG 02/11 06/11 10/11 03/12 (www.bag.admin.ch, Rubrik Versicherer und Aufsicht)</t>
  </si>
  <si>
    <t>T 5.03 KVG-Versicherer: Daten zur freiwilligen Taggeldversicherung</t>
  </si>
  <si>
    <r>
      <t xml:space="preserve">Name des KVG-Versicherers </t>
    </r>
    <r>
      <rPr>
        <vertAlign val="superscript"/>
        <sz val="10"/>
        <rFont val="Arial"/>
        <family val="2"/>
      </rPr>
      <t>1</t>
    </r>
  </si>
  <si>
    <t>KVG-Versi-</t>
  </si>
  <si>
    <t>Verwaltungs-</t>
  </si>
  <si>
    <t>Stand der</t>
  </si>
  <si>
    <t>cherer nur mit</t>
  </si>
  <si>
    <t xml:space="preserve">aufwand + </t>
  </si>
  <si>
    <t>ergebnis</t>
  </si>
  <si>
    <t xml:space="preserve"> Rückstel-</t>
  </si>
  <si>
    <t>Reserven</t>
  </si>
  <si>
    <t xml:space="preserve">freiwilliger </t>
  </si>
  <si>
    <t>Abschrei-</t>
  </si>
  <si>
    <t>lungen</t>
  </si>
  <si>
    <t>Taggeldversi-</t>
  </si>
  <si>
    <t>in Tausend</t>
  </si>
  <si>
    <t>bungen in</t>
  </si>
  <si>
    <t>cherung : *</t>
  </si>
  <si>
    <t>Fr.</t>
  </si>
  <si>
    <t>Tausend Fr.</t>
  </si>
  <si>
    <t>1) Es gibt OKP-Versicherer, die in der freiwilligen KVG-Krankentaggeld keine Versicherten haben. Name des Versicherers eventuell gekürzt. Name gültig 2011.</t>
  </si>
  <si>
    <t>Quelle: Formular EF123</t>
  </si>
  <si>
    <t>BAG-Nr. nur wenn [2] oder [3] &lt; &gt; 0</t>
  </si>
  <si>
    <t>* wenn EF 1.12A Total = 0 (keine Versicherten in der OKP)</t>
  </si>
  <si>
    <t>Total EF 3.9.2</t>
  </si>
  <si>
    <t>Total EF 3.9.3</t>
  </si>
  <si>
    <t xml:space="preserve">EF2 Konten 40-47 + 48 Krankheit + Unfall Seiten 2.0 -&gt; 2.1 </t>
  </si>
  <si>
    <t>EF2 Konten Gesamtbetriebergebnis ohne Position Krankheit + Unfall Seiten 2.0 -&gt; 2.1</t>
  </si>
  <si>
    <t>EF 1.4 Konto 271</t>
  </si>
  <si>
    <t>EF 1.5 Konto 291</t>
  </si>
  <si>
    <t>T 5.02 Erklärungen und Quellen für die Aufsichtsdaten OKP (T 5.01)</t>
  </si>
  <si>
    <t>0) Nur OKP Versicherer</t>
  </si>
  <si>
    <t>Name des Versicherers eventuell gekürzt, Name gültig 2011.</t>
  </si>
  <si>
    <t>1) Durchschnittlicher Versichertenbestand (nur OKP Versicherer)</t>
  </si>
  <si>
    <t xml:space="preserve">Durchschnittsbestand = Mittelwert aller Monate </t>
  </si>
  <si>
    <t>2) Einnahmen Total (in Mio. Fr.)</t>
  </si>
  <si>
    <t>Prämiensoll, Subventionen und Prämienverbilligungen, Erlösminderungen (Rabatte und Skonti) sowie die übrigen Erträge (Kapital- und Liegenschaftserträge).</t>
  </si>
  <si>
    <t>3A + 3B) Prämien (in Mio. Fr., je versicherte Person in Fr.)</t>
  </si>
  <si>
    <t>Prämiensoll = Prämiensumme gemäss den genehmigten Prämientarifen.</t>
  </si>
  <si>
    <t>4A + 4B + 4C) Risikoausgleich (in Mio. Fr., je versicherte Person in Fr., und in % der Einnahmen)</t>
  </si>
  <si>
    <t xml:space="preserve">Über den Risikoausgleich erhalten Versicherer mit überdurchschnittlich kostenverursachenden Versicherten (Frauen, ältere Personen) Beiträge, </t>
  </si>
  <si>
    <t>welche von den Versicherern mit unterdurchschnittlich kostenverursachenden Versicherten (Männer, jüngere Personen) finanziert werden.</t>
  </si>
  <si>
    <t xml:space="preserve">Eine positive Prozentzahl bedeutet, dass der Versicherer in den Risikoausgleich einzahlen muss, ein negativer Wert steht bei Versicherern, </t>
  </si>
  <si>
    <t>welche aus dem Risikoausgleich Mittel beziehen können.</t>
  </si>
  <si>
    <t>5A + 5B) Nettoleistungen der Versicherer (in Mio. Fr. und je versicherte Person in Fr.)</t>
  </si>
  <si>
    <t>Nettoleistungen = Bezahlte Leistungen der Versicherer an die Leistungserbringer (Ärzte, Spitäler, Apotheken, usw.)</t>
  </si>
  <si>
    <t>nach Abzug der Kostenbeteiligung der Versicherten (Franchise / Selbstbehalt / Tagespauschale im Spital).</t>
  </si>
  <si>
    <t>6A + 6B) Verwaltungsaufwand und Abschreibungen (in % der Ausgaben und je versicherte Person in Fr.)</t>
  </si>
  <si>
    <t xml:space="preserve">Personalaufwand inkl. Sozialleistungen, Verwaltungsräumlichkeiten und Betriebseinrichtungen, EDV-Kosten, Versicherungsprämien </t>
  </si>
  <si>
    <t>(Mobiliar, Haftpflicht usw.), Werbung sowie Abschreibungen. Ausgaben = Total des Versicherungs- und Betriebsaufwands.</t>
  </si>
  <si>
    <t xml:space="preserve">7) Gesamtergebnis (je versicherte Person in Fr.)  </t>
  </si>
  <si>
    <t>Das Gesamtbetriebsergebnis entspricht dem Saldo der Einnahmen (Total des Gesamtertrags) und der Ausgaben (Total des Versicherungs- und Betriebsaufwands).</t>
  </si>
  <si>
    <t xml:space="preserve">8A + 8B) Rückstellungen (in Mio. Fr. und je versicherte Person in Fr.)  </t>
  </si>
  <si>
    <t xml:space="preserve">Rückstellungen für unerledigte Versicherungsfälle, welche am Ende des Jahres für diejenigen Leistungen gebildet werden müssen, </t>
  </si>
  <si>
    <t>welche von den Versicherten bereits in Anspruch genommen worden sind, für die sie aber noch keine Rechnungen erhalten haben.</t>
  </si>
  <si>
    <t xml:space="preserve">Es handelt sich hierbei um geschuldete Leistungen, welche die Versicherer im folgenden Jahr noch zu erbringen haben; sie stellen somit keine Reserven dar. </t>
  </si>
  <si>
    <t xml:space="preserve">9A + 9B + 9C) Reserven (in Mio. Fr., je versicherte Person in Fr., in % des Prämiensolls)  </t>
  </si>
  <si>
    <t>Sicherheits- und Schwankungsreserven = Mittel, die dem Versicherer zur Sicherstellung der langfristigen eigenen Zahlungsfähigkeit dienen.</t>
  </si>
  <si>
    <t>Je nach Grösse des Versicherers müssen folgende Mindestsätze (Reserven in % des jährlichen Prämiensolls) erreicht werden (Art. 78 KVV):</t>
  </si>
  <si>
    <t>≤ 100</t>
  </si>
  <si>
    <t>≤ 500</t>
  </si>
  <si>
    <t>≤ 1'000</t>
  </si>
  <si>
    <t>≤ 2'500</t>
  </si>
  <si>
    <t>≤ 5'000</t>
  </si>
  <si>
    <t>≤ 10'000</t>
  </si>
  <si>
    <t>≤ 50'000</t>
  </si>
  <si>
    <r>
      <t>≤ 250'</t>
    </r>
    <r>
      <rPr>
        <sz val="10"/>
        <color indexed="8"/>
        <rFont val="Arial"/>
        <family val="2"/>
      </rPr>
      <t>000</t>
    </r>
  </si>
  <si>
    <r>
      <t>&gt; 250'</t>
    </r>
    <r>
      <rPr>
        <sz val="10"/>
        <color indexed="8"/>
        <rFont val="Arial"/>
        <family val="2"/>
      </rPr>
      <t>000</t>
    </r>
  </si>
  <si>
    <t>1996 -&gt; 2003 **</t>
  </si>
  <si>
    <t>≤  50'000</t>
  </si>
  <si>
    <t>≤  150'000</t>
  </si>
  <si>
    <t>≤  250'000</t>
  </si>
  <si>
    <t>&gt; 250'000</t>
  </si>
  <si>
    <t>2004 -&gt; 2006</t>
  </si>
  <si>
    <t>20% *</t>
  </si>
  <si>
    <t>2009 -&gt;</t>
  </si>
  <si>
    <t>*) Versicherer mit weniger als 50 000 Versicherten sind verpflichtet, eine Rückversicherung abzuschliessen.</t>
  </si>
  <si>
    <t>**) Dabei dürfen Versicherer mit einer entsprechenden Rückversicherung oder Defizitgarantie den Mindestsatz der Reserven unterschreiten.</t>
  </si>
  <si>
    <t>10) VVG Zusatzversicherungen : Prämien (in Mio. Fr.)</t>
  </si>
  <si>
    <t>KVG-Versicherer, welche eigene VVG-Zusatzversicherungen anbieten.</t>
  </si>
  <si>
    <t>11A + 11B + 11C) Gesetzlich vorgeschriebene Reserve</t>
  </si>
  <si>
    <t>(in Millionen Fanken, Höher als die gesetzliche vorgeschriebene Reserve, Tiefer als die gesetzliche vorgeschriebene Reserve)</t>
  </si>
  <si>
    <t>Siehe auch 9A.</t>
  </si>
  <si>
    <t>12A + 12B) Bruttoleistungen der Versicherer (in Mio. Fr. und je versicherte Person in Fr.)</t>
  </si>
  <si>
    <t>Bruttoleistungen = Leistungen der Versicherer an die Leistungserbringer (Ärzte, Spitäler, Apotheken, usw.)</t>
  </si>
  <si>
    <r>
      <t>mit</t>
    </r>
    <r>
      <rPr>
        <sz val="10"/>
        <color indexed="8"/>
        <rFont val="Arial"/>
        <family val="2"/>
      </rPr>
      <t xml:space="preserve"> Kostenbeteiligung der Versicherten (Franchise / Selbstbehalt / Tagespauschale im Spital).</t>
    </r>
  </si>
  <si>
    <t>13A + 13B) Kostenbeteiligung der Versicherten (in Mio. Fr. und je versicherte Person in Fr.)</t>
  </si>
  <si>
    <t>Kostenbeteiligung der Versicherten: Franchise / Selbstbehalt / Tagespauschale im Spital.</t>
  </si>
  <si>
    <t>Berücksichtigt nur die bei dem Versicherer eingereichten Rechnungen.</t>
  </si>
  <si>
    <t>14) Ausgaben Total (in Mio. Fr.)</t>
  </si>
  <si>
    <t>Ausgaben = Total Versicherungs- und Betriebsaufwand.</t>
  </si>
  <si>
    <t>15) Verhältnis Nettoleistungen / Prämien in %</t>
  </si>
  <si>
    <t xml:space="preserve">Quelle: Formulare EF 123 </t>
  </si>
  <si>
    <t xml:space="preserve">BAG-Nr. nur wenn EF1.12A Total  &gt; 0 </t>
  </si>
  <si>
    <t xml:space="preserve">EF1.12A Total nur wenn &gt; 0 </t>
  </si>
  <si>
    <t>=( [ 8A ] / [ 1 ] ) in %</t>
  </si>
  <si>
    <t>EF2 Konten 6 + 7 Krankheit + Unfall Seiten 2.2 -&gt; 2.7</t>
  </si>
  <si>
    <t>EF1 Seite 5 Konten 290 + 290.9</t>
  </si>
  <si>
    <t>EF2 Konto 61 Krankheit + Unfall Seiten 2.2 -&gt; 2.7</t>
  </si>
  <si>
    <t>= ( [ 9A ] / [ 1 ] ) in %</t>
  </si>
  <si>
    <t>= ( [ 3A ] / [ 1 ] )</t>
  </si>
  <si>
    <t>9C</t>
  </si>
  <si>
    <t>= ( [ 9A ] / [ 3 ] ) in %</t>
  </si>
  <si>
    <t>4A</t>
  </si>
  <si>
    <t>EF2 Konto 37 Krankheit + Unfall Seiten 2.2 -&gt; 2.7</t>
  </si>
  <si>
    <t xml:space="preserve">EF2 Seite 2.8 VVG Konto 63 Krankheit + Unfall </t>
  </si>
  <si>
    <t>4B</t>
  </si>
  <si>
    <t>(EF2 Konto 37 Krankheit + Unfall Seiten 2.2 -&gt; 2.7) / [ 1 ]</t>
  </si>
  <si>
    <t>11A</t>
  </si>
  <si>
    <t>Versicherte = [1] ; % gemäss Tabelle 9A</t>
  </si>
  <si>
    <t>4C</t>
  </si>
  <si>
    <t>(EF2 Konto 37 Krankheit + Unfall Seiten 2.2 -&gt; 2.7) / [ 2 ]</t>
  </si>
  <si>
    <t>11B</t>
  </si>
  <si>
    <t xml:space="preserve">wenn [9A] &gt;= [11A] : [9A] - [11A] </t>
  </si>
  <si>
    <t>5A</t>
  </si>
  <si>
    <t>EF2 Konto 30-33 Krankheit + Unfall Seiten 2.2 -&gt; 2.7</t>
  </si>
  <si>
    <t>11C</t>
  </si>
  <si>
    <t xml:space="preserve">wenn [9A] &lt; [11A] : [9A] - [11A] </t>
  </si>
  <si>
    <t>5B</t>
  </si>
  <si>
    <t>= ( [ 5A ] / [ 1 ] )</t>
  </si>
  <si>
    <t>=  [ 5A ] + [ 13A ]</t>
  </si>
  <si>
    <t xml:space="preserve">(EF2 Konten 40-47 + 48 Krankheit + Unfall Seiten 2.2 -&gt; 2.7) / </t>
  </si>
  <si>
    <t>= ( [ 12A ] / [ 1 ] )</t>
  </si>
  <si>
    <t>(EF2 Konten 40-47 + 48 Krankheit + Unfall Seiten 2.2 -&gt; 2.7) / [ 1 ] in %</t>
  </si>
  <si>
    <t>= - (EF2 Konto 32 Krankheit + Unfall Seiten 2.2 -&gt; 2.7)</t>
  </si>
  <si>
    <t xml:space="preserve">EF2 Konten Gesamtbetriebsergebnis {ohne Position} </t>
  </si>
  <si>
    <t>= ( [ 13A ] / [ 1 ] )</t>
  </si>
  <si>
    <t>Krankheit + Unfall Seiten 2.2 -&gt; 2.7 / ( [ 1 ] )</t>
  </si>
  <si>
    <t>(EF2 Konto 3/4 Krankheit + Unfall Seiten 2.2 -&gt; 2.7)</t>
  </si>
  <si>
    <t>EF1 Seite 4 Konto 270</t>
  </si>
  <si>
    <t>= ( [ 5B ] / [ 3B ] ) in %</t>
  </si>
  <si>
    <t>Aufsichtsdaten OKP gemäss Art. 31 KVV (Stand 1.1.08) / gemäss Art. 28b KVV (Stand 1.1.09)</t>
  </si>
  <si>
    <t>T 5.01 Aufsichtsdaten OKP</t>
  </si>
  <si>
    <t>Name des OKP Versicherers</t>
  </si>
  <si>
    <t>Durch-</t>
  </si>
  <si>
    <t>Netto-</t>
  </si>
  <si>
    <t>Kosten-</t>
  </si>
  <si>
    <t>Brutto-</t>
  </si>
  <si>
    <t>Risikoaus–</t>
  </si>
  <si>
    <t>Gesamter-</t>
  </si>
  <si>
    <t>Verhältnis</t>
  </si>
  <si>
    <t>Einnahmen</t>
  </si>
  <si>
    <t>Ausgaben</t>
  </si>
  <si>
    <t>Risiko–</t>
  </si>
  <si>
    <t>VVG</t>
  </si>
  <si>
    <t>Gesetzlich</t>
  </si>
  <si>
    <t>Höher als die</t>
  </si>
  <si>
    <t>Tiefer als die</t>
  </si>
  <si>
    <t>schnittlicher</t>
  </si>
  <si>
    <t xml:space="preserve">je versicherte </t>
  </si>
  <si>
    <t>leistungen</t>
  </si>
  <si>
    <t>beteiligung</t>
  </si>
  <si>
    <t>gleich je</t>
  </si>
  <si>
    <t>gebnis je</t>
  </si>
  <si>
    <t>Reserven je</t>
  </si>
  <si>
    <t>gleich in %</t>
  </si>
  <si>
    <t>in % der</t>
  </si>
  <si>
    <t>in Mio. Fr.</t>
  </si>
  <si>
    <t>ausgleich</t>
  </si>
  <si>
    <t>Zusatzver-</t>
  </si>
  <si>
    <t>vorgeschrie-</t>
  </si>
  <si>
    <t>gesetzlich</t>
  </si>
  <si>
    <t>Versicher-</t>
  </si>
  <si>
    <t xml:space="preserve">Person </t>
  </si>
  <si>
    <t>je versicherte</t>
  </si>
  <si>
    <t xml:space="preserve"> versicherte</t>
  </si>
  <si>
    <t>versicherte</t>
  </si>
  <si>
    <t>lungen je</t>
  </si>
  <si>
    <t xml:space="preserve">versicherte </t>
  </si>
  <si>
    <t>leistungen /</t>
  </si>
  <si>
    <t>der Ein-</t>
  </si>
  <si>
    <t xml:space="preserve"> in Mio. Fr.</t>
  </si>
  <si>
    <t>sicherungen:</t>
  </si>
  <si>
    <t>bene Reserve</t>
  </si>
  <si>
    <t>tenbestand</t>
  </si>
  <si>
    <t>bungen je</t>
  </si>
  <si>
    <t xml:space="preserve"> Person</t>
  </si>
  <si>
    <t>nahmen</t>
  </si>
  <si>
    <t>bungen</t>
  </si>
  <si>
    <t>Person</t>
  </si>
  <si>
    <t xml:space="preserve"> in % der </t>
  </si>
  <si>
    <t>(+) in Mio. Fr.</t>
  </si>
  <si>
    <t>(-) in Mio. Fr.</t>
  </si>
  <si>
    <t>Person in Fr.</t>
  </si>
  <si>
    <t>Quelle und Erklärungen: T 5.02</t>
  </si>
  <si>
    <t>Datenstand: 3.5.12</t>
  </si>
  <si>
    <t>CSS Kranken-Vers. AG</t>
  </si>
  <si>
    <t>Aquilana Versicherungen</t>
  </si>
  <si>
    <t>Moove Sympany AG</t>
  </si>
  <si>
    <t>SUPRA</t>
  </si>
  <si>
    <t>Bezirkskrankenkasse Einsiedeln</t>
  </si>
  <si>
    <t>PROVITA Gesundheitsversicherung AG</t>
  </si>
  <si>
    <t>Sumiswalder Krankenkasse</t>
  </si>
  <si>
    <t>Krankenkasse Steffisburg</t>
  </si>
  <si>
    <t>CONCORDIA Kranken- und Unfallvers. AG</t>
  </si>
  <si>
    <t>AGILIA Krankenkasse AG</t>
  </si>
  <si>
    <t>Atupri</t>
  </si>
  <si>
    <t>Krankenkasse Luzerner Hinterland</t>
  </si>
  <si>
    <t>KPT Krankenkasse AG</t>
  </si>
  <si>
    <t>ÖKK</t>
  </si>
  <si>
    <t>Krankenversicherung Flaachtal AG</t>
  </si>
  <si>
    <t>Kolping</t>
  </si>
  <si>
    <t>Glarner Krankenversicherung</t>
  </si>
  <si>
    <t>Innova Wallis AG</t>
  </si>
  <si>
    <t>Cassa da malsauns Lumneziana</t>
  </si>
  <si>
    <t>KLuG Krankenversicherung</t>
  </si>
  <si>
    <t>EGK Grundversicherungen</t>
  </si>
  <si>
    <t>sanavals Gesundheitskasse</t>
  </si>
  <si>
    <t>KRANKENKASSE SLKK</t>
  </si>
  <si>
    <t>sodalis gesundheitsgruppe</t>
  </si>
  <si>
    <t>vita surselva</t>
  </si>
  <si>
    <t>KK Zeneggen</t>
  </si>
  <si>
    <t>KK Visperterminen</t>
  </si>
  <si>
    <t>Wincare Versicherungen AG</t>
  </si>
  <si>
    <t>CM de la Vallée d'Entremont</t>
  </si>
  <si>
    <t>KK INSTITUT INGENBOHL</t>
  </si>
  <si>
    <t>Krankenkasse Turbenthal</t>
  </si>
  <si>
    <t>Auxilia Kranken-Vers. AG</t>
  </si>
  <si>
    <t>KK Wädenswil</t>
  </si>
  <si>
    <t>Krankenkasse Birchmeier</t>
  </si>
  <si>
    <t>kmu-Krankenversicherung</t>
  </si>
  <si>
    <t>Krankenkasse Stoffel Mels KKS</t>
  </si>
  <si>
    <t>Krankenkasse Simplon</t>
  </si>
  <si>
    <t>SWICA Krankenversicherung AG</t>
  </si>
  <si>
    <t>GALENOS</t>
  </si>
  <si>
    <t>Rhenusana</t>
  </si>
  <si>
    <t>publisana</t>
  </si>
  <si>
    <t>Mutuel Assurance Maladie SA</t>
  </si>
  <si>
    <t>AMB</t>
  </si>
  <si>
    <t>Sanitas Grundversicherungen AG</t>
  </si>
  <si>
    <t>Intras Kranken-Vers. AG</t>
  </si>
  <si>
    <t>ASSURA</t>
  </si>
  <si>
    <t>Visana</t>
  </si>
  <si>
    <t>Agrisano</t>
  </si>
  <si>
    <t>Helsana Versicherung AG</t>
  </si>
  <si>
    <t>Innova Krankenversicherung AG</t>
  </si>
  <si>
    <t>avanex Versicherungen AG</t>
  </si>
  <si>
    <t>sansan Versicherungen AG</t>
  </si>
  <si>
    <t>sana24</t>
  </si>
  <si>
    <t>Arcosana AG</t>
  </si>
  <si>
    <t>vivacare AG</t>
  </si>
  <si>
    <t>maxi.ch</t>
  </si>
  <si>
    <t>Compact Grundversicherungen AG</t>
  </si>
  <si>
    <t>Sanagate AG</t>
  </si>
  <si>
    <t xml:space="preserve">Total : </t>
  </si>
  <si>
    <t/>
  </si>
  <si>
    <t>CONCORDIA Schweiz. Kranken- und Unfallversicherung AG</t>
  </si>
  <si>
    <t>Caisse Maladie du Personnel Communal de la Ville de Neuchâtel</t>
  </si>
  <si>
    <t>*</t>
  </si>
  <si>
    <t>Taggeldkasse bildende KünstlerInnen</t>
  </si>
  <si>
    <t>Gewerbliche Krankenkasse</t>
  </si>
  <si>
    <t>HOTELA Caisse maladie</t>
  </si>
  <si>
    <t>KSM Krankenkasse Schweizerischer Metallbaufirmen</t>
  </si>
  <si>
    <t>Krankengeldversicherung der fenaco-Mitgliedgenossenschaften</t>
  </si>
  <si>
    <t>CONCORDIA Kranken- und Unfallversicherung AG</t>
  </si>
  <si>
    <t>26.9.12: 5.01 -&gt; 5.05, 11.18, T1, T2, T3, T5, T11</t>
  </si>
  <si>
    <t>26.9.12: 2.16, 2.18, 11.09</t>
  </si>
  <si>
    <t xml:space="preserve">Quelle: CH T 1.01   /  Kantone 1996 -&gt; 2008: Versichertenbestand der Statistik des Risikoausgleichs, Gemeinsame Einrichtung KVG   / 2009 -&gt; : EF 3.12 </t>
  </si>
  <si>
    <r>
      <t xml:space="preserve">Siehe Fussnote 2) in T 11.04. Von den Angaben des EF 3.12 werden seit 2009 die Kategorien </t>
    </r>
    <r>
      <rPr>
        <i/>
        <sz val="10"/>
        <rFont val="Arial"/>
        <family val="2"/>
      </rPr>
      <t>Ausland</t>
    </r>
    <r>
      <rPr>
        <sz val="10"/>
        <rFont val="Arial"/>
        <family val="2"/>
      </rPr>
      <t xml:space="preserve"> und </t>
    </r>
    <r>
      <rPr>
        <i/>
        <sz val="10"/>
        <rFont val="Arial"/>
        <family val="2"/>
      </rPr>
      <t>Unbekannt</t>
    </r>
    <r>
      <rPr>
        <sz val="10"/>
        <rFont val="Arial"/>
        <family val="2"/>
      </rPr>
      <t xml:space="preserve"> hier nicht aufgeführt: siehe T 11.14.</t>
    </r>
  </si>
  <si>
    <r>
      <t xml:space="preserve">T 11.18 Durchschnittlicher Versichertenbestand  </t>
    </r>
    <r>
      <rPr>
        <b/>
        <vertAlign val="superscript"/>
        <sz val="12"/>
        <rFont val="Arial"/>
        <family val="2"/>
      </rPr>
      <t xml:space="preserve">1 2 </t>
    </r>
    <r>
      <rPr>
        <b/>
        <sz val="12"/>
        <rFont val="Arial"/>
        <family val="2"/>
      </rPr>
      <t xml:space="preserve"> nach Kanton in tausend ab 1996</t>
    </r>
  </si>
  <si>
    <t>28.9.12: 6.01 -&gt; 6.06, 7.01 -&gt; 7.05, T6, T7</t>
  </si>
  <si>
    <t>Anzahl Versicherte OKP, in %, nach Grösse der Versicherer ab 2001</t>
  </si>
  <si>
    <r>
      <t xml:space="preserve">T 6.06  Betriebsrechnung der Kollektivversicherung </t>
    </r>
    <r>
      <rPr>
        <b/>
        <vertAlign val="superscript"/>
        <sz val="12"/>
        <rFont val="Arial"/>
        <family val="2"/>
      </rPr>
      <t>1</t>
    </r>
  </si>
  <si>
    <t>Bruttoprämien</t>
  </si>
  <si>
    <t>Quelle: Formular EF 2.1</t>
  </si>
  <si>
    <t>1) Getrennte Rechnungsführung für die Einzel- und die Kollektivversicherung wird nur bei unterschiedlichen Prämientarifen</t>
  </si>
  <si>
    <t>verlangt (vgl. Art. 75 Abs. 2 KVG).</t>
  </si>
  <si>
    <t>6: Freiwillige Taggeldversicherung KVG</t>
  </si>
  <si>
    <t>Prämien, Leistungen, Versichertenbestand und Versichererbestand ab 2001</t>
  </si>
  <si>
    <t>Ertrag, Aufwand und Ergebnis ab 2001</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</si>
  <si>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</si>
  <si>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</si>
  <si>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</si>
  <si>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</si>
  <si>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T 6.01 Prämien, Leistungen, Versichertenbestand und Versichererbestand ab 2001</t>
  </si>
  <si>
    <t>Versi-</t>
  </si>
  <si>
    <t xml:space="preserve"> pro</t>
  </si>
  <si>
    <t>cherten-</t>
  </si>
  <si>
    <t>cherer-</t>
  </si>
  <si>
    <t>Versicherte(n)</t>
  </si>
  <si>
    <r>
      <t xml:space="preserve">bestand </t>
    </r>
    <r>
      <rPr>
        <vertAlign val="superscript"/>
        <sz val="11"/>
        <rFont val="Arial"/>
        <family val="2"/>
      </rPr>
      <t>1</t>
    </r>
  </si>
  <si>
    <t>bestand</t>
  </si>
  <si>
    <r>
      <t xml:space="preserve">in Fr. </t>
    </r>
    <r>
      <rPr>
        <vertAlign val="superscript"/>
        <sz val="11"/>
        <rFont val="Arial"/>
        <family val="2"/>
      </rPr>
      <t>1</t>
    </r>
  </si>
  <si>
    <t>Quelle: T 6.03</t>
  </si>
  <si>
    <t xml:space="preserve">1) Versichertenbestand am 31.12. </t>
  </si>
  <si>
    <r>
      <t xml:space="preserve">    </t>
    </r>
    <r>
      <rPr>
        <u/>
        <sz val="10"/>
        <rFont val="Arial"/>
        <family val="2"/>
      </rPr>
      <t>Nur Einzelversicherung.</t>
    </r>
  </si>
  <si>
    <r>
      <t xml:space="preserve">T 6.03 Versicherer, Versicherte, Prämien und Leistungen nach Einzel- und Kollektivverträgen </t>
    </r>
    <r>
      <rPr>
        <b/>
        <vertAlign val="superscript"/>
        <sz val="12"/>
        <rFont val="Arial"/>
        <family val="2"/>
      </rPr>
      <t>1</t>
    </r>
  </si>
  <si>
    <t>Anzahl / Betrag</t>
  </si>
  <si>
    <t>Einzel-</t>
  </si>
  <si>
    <t>Kollektiv-</t>
  </si>
  <si>
    <t>versicherung</t>
  </si>
  <si>
    <r>
      <t xml:space="preserve">versicherung </t>
    </r>
    <r>
      <rPr>
        <vertAlign val="superscript"/>
        <sz val="11"/>
        <rFont val="Arial"/>
        <family val="2"/>
      </rPr>
      <t>3</t>
    </r>
  </si>
  <si>
    <t>1999 alt</t>
  </si>
  <si>
    <t>1999 neu</t>
  </si>
  <si>
    <t>Anzahl Versicherer</t>
  </si>
  <si>
    <r>
      <t xml:space="preserve">Versichertenbestand </t>
    </r>
    <r>
      <rPr>
        <b/>
        <vertAlign val="superscript"/>
        <sz val="11"/>
        <rFont val="Arial"/>
        <family val="2"/>
      </rPr>
      <t>2</t>
    </r>
  </si>
  <si>
    <t>Prämiensoll in Franken</t>
  </si>
  <si>
    <t>Prämiensoll in Franken pro Versicherte(n)</t>
  </si>
  <si>
    <t xml:space="preserve">Leistungen in Franken </t>
  </si>
  <si>
    <t>davon Mutterschaft</t>
  </si>
  <si>
    <t>Leistungen in Franken pro Versicherte(n)</t>
  </si>
  <si>
    <t>Quelle: Formular EF 3.9</t>
  </si>
  <si>
    <t>2) Versichertenbestand am 31.12.</t>
  </si>
  <si>
    <t>3) In der Kollektivversicherung gibt es auch Lohnsummenverträge, bei denen die Zahl der Versicherten nicht bekannt ist.</t>
  </si>
  <si>
    <t>T 6.02 Ertrag, Aufwand und Ergebnis in Franken ab 2001</t>
  </si>
  <si>
    <t>Total des</t>
  </si>
  <si>
    <t>Total Ver-</t>
  </si>
  <si>
    <t>sicherungs-</t>
  </si>
  <si>
    <t>betriebs-</t>
  </si>
  <si>
    <t>ertrags</t>
  </si>
  <si>
    <t>und Betriebs-</t>
  </si>
  <si>
    <t xml:space="preserve">aufwand </t>
  </si>
  <si>
    <t>Quelle: T 6.04</t>
  </si>
  <si>
    <r>
      <t xml:space="preserve">T 6.05  Betriebsrechnung der Einzelversicherung </t>
    </r>
    <r>
      <rPr>
        <b/>
        <vertAlign val="superscript"/>
        <sz val="12"/>
        <rFont val="Arial"/>
        <family val="2"/>
      </rPr>
      <t>1</t>
    </r>
  </si>
  <si>
    <t>Quelle: Formular EF 2.0</t>
  </si>
  <si>
    <t xml:space="preserve">T 6.04  Betriebsrechnung der Einzel- und Kollektivversicherung insgesamt </t>
  </si>
  <si>
    <t>Quelle: Formular EF 2.0 und 2.1</t>
  </si>
  <si>
    <t xml:space="preserve">T 7.04  Betriebsrechnung der Krankenpflegeversicherung Liechtenstein </t>
  </si>
  <si>
    <t>Quelle: Formular EF 2.9</t>
  </si>
  <si>
    <r>
      <t xml:space="preserve">T 7.03  Betriebsrechnung der Zusatzversicherungen VVG </t>
    </r>
    <r>
      <rPr>
        <b/>
        <vertAlign val="superscript"/>
        <sz val="12"/>
        <rFont val="Arial"/>
        <family val="2"/>
      </rPr>
      <t>1</t>
    </r>
  </si>
  <si>
    <t>davon Taggeldversicherung VVG</t>
  </si>
  <si>
    <t xml:space="preserve">Bruttoprämien (60-65) </t>
  </si>
  <si>
    <t xml:space="preserve">Bezahlte Leistungen (30-33) </t>
  </si>
  <si>
    <t>1) Gemäss Art. 13 und 14 KVV, ohne  T 7.04 und 7.05.</t>
  </si>
  <si>
    <t>Quelle: Formular EF 2.8 und EF 1.12C</t>
  </si>
  <si>
    <t xml:space="preserve">T 7.02  Indikatoren der Betriebsrechnung der anderen Versicherungen in Franken </t>
  </si>
  <si>
    <t>Krankenpflege-</t>
  </si>
  <si>
    <t>sicherungen</t>
  </si>
  <si>
    <t>Liechtenstein</t>
  </si>
  <si>
    <t>wohnhaft</t>
  </si>
  <si>
    <t xml:space="preserve"> im Ausland</t>
  </si>
  <si>
    <t>Versicherungsertrag</t>
  </si>
  <si>
    <t>davon Bruttoprämien</t>
  </si>
  <si>
    <t>Neutraler Aufwand/Ertrag</t>
  </si>
  <si>
    <t>Total des Gesamtertrags</t>
  </si>
  <si>
    <t>Versicherungsaufwand</t>
  </si>
  <si>
    <t>davon Bruttoleistungen</t>
  </si>
  <si>
    <t>Betriebsaufwand</t>
  </si>
  <si>
    <t>Total Vers.- und Betriebsaufwand</t>
  </si>
  <si>
    <t>Quelle: T 7.03, 7.04, 7.05</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</si>
  <si>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2001</t>
    </r>
  </si>
  <si>
    <r>
      <t xml:space="preserve">Jahr </t>
    </r>
    <r>
      <rPr>
        <vertAlign val="superscript"/>
        <sz val="11"/>
        <rFont val="Arial"/>
        <family val="2"/>
      </rPr>
      <t>2, 3</t>
    </r>
  </si>
  <si>
    <t>aufwand</t>
  </si>
  <si>
    <t>1) Zusammenzug der «Zusatzversicherungen VVG»,</t>
  </si>
  <si>
    <t>«Krankenpflegeversicherung Liechtenstein» und «Zusatzversicherungen Versicherte wohnhaft im Ausland».</t>
  </si>
  <si>
    <t>2) Vorjahresvergleiche sind nur mit Vorbehalt möglich, da jene Zusatzversicherungen VVG, welche auch unternehmensrechtlich</t>
  </si>
  <si>
    <t>vom KVG-Bereich eines Versicherers abgetrennt werden, sich der Sicht der BAG-Krankenversicherungsstatistik entziehen.</t>
  </si>
  <si>
    <t>3) Revidierte Zahlen für 2002 und 2003 (ohne T 7.06).</t>
  </si>
  <si>
    <t>Quelle: T 7.02</t>
  </si>
  <si>
    <t>7: Andere Versicherungen der vom BAG anerkannten Krankenversicherer</t>
  </si>
  <si>
    <t>Ertrag, Aufwand und Ergebnis der anderen Versicherungen insgesamt ab 2001</t>
  </si>
  <si>
    <t>Indikatoren der Betriebsrechnung der anderen Versicherungen</t>
  </si>
  <si>
    <t>Betriebsrechnung der Zusatzversicherungen VVG</t>
  </si>
  <si>
    <t xml:space="preserve">Betriebsrechnung der Krankenpflegeversicherung Liechtenstein </t>
  </si>
  <si>
    <t>Betriebsrechnung der Zusatzversicherungen: Versicherte wohnhaft im Ausland</t>
  </si>
  <si>
    <r>
      <t xml:space="preserve">T 7.05  Betriebsrechnung der Zusatzversicherungen: Versicherte wohnhaft im Ausland </t>
    </r>
    <r>
      <rPr>
        <b/>
        <vertAlign val="superscript"/>
        <sz val="12"/>
        <rFont val="Arial"/>
        <family val="2"/>
      </rPr>
      <t>1</t>
    </r>
  </si>
  <si>
    <t>1) Ohne T 7.04</t>
  </si>
  <si>
    <t>Quelle: Formular EF 2.10</t>
  </si>
  <si>
    <t>T 11.17  Anzahl Versicherte OKP, in %,  nach Grösse der Versicherer ab 2001</t>
  </si>
  <si>
    <t>Grösse der Versicherer</t>
  </si>
  <si>
    <t>1 – 5'000</t>
  </si>
  <si>
    <t>5'001 –</t>
  </si>
  <si>
    <t>10'001 –</t>
  </si>
  <si>
    <t xml:space="preserve">50'001 – </t>
  </si>
  <si>
    <t xml:space="preserve">100'001 – </t>
  </si>
  <si>
    <t>mehr als</t>
  </si>
  <si>
    <t>(in %)</t>
  </si>
  <si>
    <t>(Durchschnittlicher</t>
  </si>
  <si>
    <t>Versichertenbestand)</t>
  </si>
  <si>
    <t>Quelle: T 5.01</t>
  </si>
  <si>
    <t>8: Gesamtgeschäft der vom BAG anerkannten Krankenversicherer</t>
  </si>
  <si>
    <t>Anzahl Versicherer ab 1996</t>
  </si>
  <si>
    <t>Anzahl Versicherer OKP nach Versichertenbestand ab 2001</t>
  </si>
  <si>
    <t>Stellen, Personal und Löhne in der OKP ab 2001</t>
  </si>
  <si>
    <t>Ertrag, Aufwand und Ergebnis der Versicherer ab 2001</t>
  </si>
  <si>
    <t>Gesamtbetriebsrechnung: Ertrag der Versicherer</t>
  </si>
  <si>
    <t xml:space="preserve">Gesamtbetriebsrechnung: Aufwand der Versicherer </t>
  </si>
  <si>
    <t>Aktiven und Passiven der Versicherer ab 2001</t>
  </si>
  <si>
    <t>Eigenkapital, Kapitalanlagen, Grundstücke und Gebäude der Versicherer ab 2001</t>
  </si>
  <si>
    <t>Bilanz: Aktiven der Versicherer per 31.12.</t>
  </si>
  <si>
    <t>Bilanz: Passiven der Versicherer per 31.12.</t>
  </si>
  <si>
    <t>Aufstellung über Kapitalanlagen, Grundstücke und Gebäude per 31.12.</t>
  </si>
  <si>
    <t>Ergebnisverteilung per 31.12.</t>
  </si>
  <si>
    <t>T 8.12  Ergebnisverteilung per 31.12.</t>
  </si>
  <si>
    <t>Betrag</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</si>
  <si>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</si>
  <si>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</si>
  <si>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</si>
  <si>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</si>
  <si>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</si>
  <si>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</si>
  <si>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</si>
  <si>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</si>
  <si>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</si>
  <si>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</si>
  <si>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</si>
  <si>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Freiw.Taggeldversicherung KVG</t>
  </si>
  <si>
    <t xml:space="preserve">Reserven Aktive Rückversicherung nach KVG </t>
  </si>
  <si>
    <t>Zusatzversicherung VVG, inkl. Taggeld VVG</t>
  </si>
  <si>
    <t>Quelle: Formular EF 1.10</t>
  </si>
  <si>
    <t>T 8.11  Aufstellung über Kapitalanlagen, Grundstücke und Gebäude per 31.12.</t>
  </si>
  <si>
    <t>Anteil</t>
  </si>
  <si>
    <t xml:space="preserve">Kapitalanlagen </t>
  </si>
  <si>
    <r>
      <t xml:space="preserve">Kapitalanlagen nach Art. 80 KVV </t>
    </r>
    <r>
      <rPr>
        <i/>
        <vertAlign val="superscript"/>
        <sz val="11"/>
        <rFont val="Arial"/>
        <family val="2"/>
      </rPr>
      <t>1</t>
    </r>
  </si>
  <si>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</si>
  <si>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</si>
  <si>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</si>
  <si>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</si>
  <si>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</si>
  <si>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</si>
  <si>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</si>
  <si>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Kapitalanlagen  - Gesamttotal</t>
  </si>
  <si>
    <t>Grundstücke und Gebäude</t>
  </si>
  <si>
    <t xml:space="preserve">Grundstücke </t>
  </si>
  <si>
    <t>Gebäude für Verwaltungszwecke</t>
  </si>
  <si>
    <t>Gebäude für Wohn- und Geschäftszwecke</t>
  </si>
  <si>
    <t>Wertberichtigung Grundstücke und Gebäude</t>
  </si>
  <si>
    <t>Grundstücke / Gebäude - Gesamttotal</t>
  </si>
  <si>
    <t>17-18</t>
  </si>
  <si>
    <t>Gesamttotal  Kapitalanlagen, Grundstücke und Gebäude</t>
  </si>
  <si>
    <t>1) Anschaffungswert = Buchwert</t>
  </si>
  <si>
    <t>Quelle: Formular EF 1.11</t>
  </si>
  <si>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</si>
  <si>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</si>
  <si>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</si>
  <si>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</si>
  <si>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</si>
  <si>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</si>
  <si>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</si>
  <si>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</si>
  <si>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Verbindlichkeiten bei anderen Versicherern</t>
  </si>
  <si>
    <t>Übrige Verbindlichkeiten und passive Rechnungsabgrenzung</t>
  </si>
  <si>
    <t>Rückstellung für unerledigte Versicherungsfälle, Risikoausgleich, nicht versicherungstechn. Rückstellungen, Rücklagen aus Fusionen</t>
  </si>
  <si>
    <t xml:space="preserve">– Oblig. Krankenpflegevers. (ohne Kto. 270.2 und 270.3)  </t>
  </si>
  <si>
    <t>– Nicht versicherungstechnische Rückstellungen KVG</t>
  </si>
  <si>
    <t>– Oblig. Krankenpflegevers. 
(effektive Kosten gemäss Verordnung (EWG) Nr. 574/72 Art. 93)</t>
  </si>
  <si>
    <t>– Oblig. Krankenpflegevers. 
(Pauschalkosten gem. Verordnung (EWG) Nr. 574/72 Art. 94 und 95)</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</si>
  <si>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</si>
  <si>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</si>
  <si>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</si>
  <si>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</si>
  <si>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</si>
  <si>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</si>
  <si>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</si>
  <si>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</si>
  <si>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</si>
  <si>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</si>
  <si>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</si>
  <si>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Eigenkapital</t>
  </si>
  <si>
    <t xml:space="preserve">– Reserven Oblig. Krankenpflegeversicherung (ohne Konto 290.5) </t>
  </si>
  <si>
    <t>– Reserven Oblig. Krankenpflegeversicherung EG und EFTA 
(ohne Liechtenstein)</t>
  </si>
  <si>
    <t>– Aktienkapital</t>
  </si>
  <si>
    <t>– Reserven Taggeldversicherung nach KVG</t>
  </si>
  <si>
    <t>– Reserven Aktive Rückversicherung</t>
  </si>
  <si>
    <t>– Zusatzversicherung VVG, inkl. Taggeld VVG</t>
  </si>
  <si>
    <t>– Einkaufssummen fusionierter Versicherer</t>
  </si>
  <si>
    <t>Total Passiven</t>
  </si>
  <si>
    <t>Quelle: Formular EF 1.4 und 1.5</t>
  </si>
  <si>
    <t>T 8.09  Bilanz: Aktiven der Versicherer per 31.12.</t>
  </si>
  <si>
    <t>Umlaufvermögen</t>
  </si>
  <si>
    <t>Flüssige Mittel</t>
  </si>
  <si>
    <t>Forderungen bei Versicherten</t>
  </si>
  <si>
    <t>– Forderungen bei Versicherten brutto</t>
  </si>
  <si>
    <t xml:space="preserve">– Wertberichtigung / Delkredere </t>
  </si>
  <si>
    <t>Forderungen bei Partnern</t>
  </si>
  <si>
    <t>– Forderungen bei Partnern brutto</t>
  </si>
  <si>
    <t>– Wertberichtigung / Delkredere</t>
  </si>
  <si>
    <t>Forderungen bei Rückversicherern</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</si>
  <si>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</si>
  <si>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</si>
  <si>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</si>
  <si>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</si>
  <si>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</si>
  <si>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</si>
  <si>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</si>
  <si>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 Grundstücke und Gebäude brutto</t>
  </si>
  <si>
    <t>– Wertberichtigung</t>
  </si>
  <si>
    <t>Betriebseinrichtungen und Fahrzeuge</t>
  </si>
  <si>
    <t>– Betriebseinrichtungen und Fahrzeuge brutto</t>
  </si>
  <si>
    <t>Total Aktiven</t>
  </si>
  <si>
    <t>Quelle: Formular EF 1.3</t>
  </si>
  <si>
    <t>T 8.08  Eigenkapital, Kapitalanlagen, Grundstücke und Gebäude der Versicherer ab 2001</t>
  </si>
  <si>
    <t>Eigenkapital-</t>
  </si>
  <si>
    <t>Kapital-</t>
  </si>
  <si>
    <t>Grundstücke</t>
  </si>
  <si>
    <r>
      <t xml:space="preserve">quote </t>
    </r>
    <r>
      <rPr>
        <vertAlign val="superscript"/>
        <sz val="11"/>
        <rFont val="Arial"/>
        <family val="2"/>
      </rPr>
      <t>1</t>
    </r>
  </si>
  <si>
    <t>anlagen</t>
  </si>
  <si>
    <t>und Gebäude</t>
  </si>
  <si>
    <t xml:space="preserve">1) Eigenkapital in % des Prämiensolls. </t>
  </si>
  <si>
    <t>Quelle: T 8.10 [29] ; T 8.05 [60-63] ; T 8.11 [17, 18]</t>
  </si>
  <si>
    <t>T 8.07 Aktiven und Passiven der Versicherer in Mio. Franken ab 2001</t>
  </si>
  <si>
    <r>
      <t xml:space="preserve">Jahr </t>
    </r>
    <r>
      <rPr>
        <vertAlign val="superscript"/>
        <sz val="11"/>
        <rFont val="Arial"/>
        <family val="2"/>
      </rPr>
      <t>1</t>
    </r>
  </si>
  <si>
    <t>Aktiven</t>
  </si>
  <si>
    <t>Passiven</t>
  </si>
  <si>
    <t>Bilanz-</t>
  </si>
  <si>
    <t>Umlauf-</t>
  </si>
  <si>
    <t>Anlage-</t>
  </si>
  <si>
    <t>Fremd-</t>
  </si>
  <si>
    <t>Fonds und</t>
  </si>
  <si>
    <t>summe</t>
  </si>
  <si>
    <t>vermögen</t>
  </si>
  <si>
    <t>kapital</t>
  </si>
  <si>
    <t>1) Bestände per Jahresende; Vorjahresvergleiche sind nur mit Vorbehalt möglich, da jene Zusatzversicherungen VVG, welche</t>
  </si>
  <si>
    <t>auch unternehmensrechtlich vom KVG-Bereich eines Versicherers abgetrennt werden, sich der Sicht der BAG-Krankenversi-</t>
  </si>
  <si>
    <t>cherungsstatistik entziehen.</t>
  </si>
  <si>
    <t>Quelle: T 8.09; T 8.10</t>
  </si>
  <si>
    <t xml:space="preserve">T 8.06  Gesamtbetriebsrechnung: Aufwand der Versicherer </t>
  </si>
  <si>
    <r>
      <t xml:space="preserve">Obligatorische Krankenpflegeversicherung KVG </t>
    </r>
    <r>
      <rPr>
        <vertAlign val="superscript"/>
        <sz val="11"/>
        <rFont val="Arial"/>
        <family val="2"/>
      </rPr>
      <t>1</t>
    </r>
  </si>
  <si>
    <t>Kostenbeteiligung der Versicherten</t>
  </si>
  <si>
    <r>
      <t xml:space="preserve">Zusatzversicherungen VVG, inkl. Taggeld VVG </t>
    </r>
    <r>
      <rPr>
        <vertAlign val="superscript"/>
        <sz val="11"/>
        <rFont val="Arial"/>
        <family val="2"/>
      </rPr>
      <t>2</t>
    </r>
  </si>
  <si>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</si>
  <si>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</si>
  <si>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</si>
  <si>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</si>
  <si>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</si>
  <si>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</si>
  <si>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</si>
  <si>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</si>
  <si>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</si>
  <si>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</si>
  <si>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</si>
  <si>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Erhaltene Verwaltungsentschädigung</t>
  </si>
  <si>
    <t>40 – 47</t>
  </si>
  <si>
    <t>Total Verwaltungsaufwand</t>
  </si>
  <si>
    <t>3 / 4</t>
  </si>
  <si>
    <t>800 – 801</t>
  </si>
  <si>
    <t>Vorschlag Gesamtbetriebsrechnung</t>
  </si>
  <si>
    <t>–</t>
  </si>
  <si>
    <t>Gesamttotal</t>
  </si>
  <si>
    <t>1) Mit Versicherten, die dem Versicherungsobligatorium unterstehen und in einem EU- oder EFTA-Staat Wohnsitz haben (EWG);</t>
  </si>
  <si>
    <t>[T 1.02 + T 1.07].</t>
  </si>
  <si>
    <t xml:space="preserve">2) Jene Zusatzversicherungen VVG, welche auch unternehmensrechtlich vom KVG-Bereich eines Versicherers abgetrennt werden, </t>
  </si>
  <si>
    <t>entziehen sich der Sicht der BAG-Krankenversicherungsstatistik.</t>
  </si>
  <si>
    <t>Quelle: Formular EF 1.6 und 1.7</t>
  </si>
  <si>
    <t xml:space="preserve">T 8.05 Gesamtbetriebsrechnung: Ertrag der Versicherer </t>
  </si>
  <si>
    <t>– Taggeld</t>
  </si>
  <si>
    <t>– Überschussbeteiligung auf Kollektivversicherung Taggeld</t>
  </si>
  <si>
    <t>60 – 63</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</si>
  <si>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</si>
  <si>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</si>
  <si>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</si>
  <si>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</si>
  <si>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</si>
  <si>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</si>
  <si>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</si>
  <si>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</si>
  <si>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</si>
  <si>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</si>
  <si>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</si>
  <si>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</si>
  <si>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</si>
  <si>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</si>
  <si>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</si>
  <si>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</si>
  <si>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</si>
  <si>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</si>
  <si>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</si>
  <si>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</si>
  <si>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</si>
  <si>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Einkommens-, Vermögens-, Ertrags- und Kapitalsteuer VVG</t>
  </si>
  <si>
    <t>Total neutraler Aufwand/Ertrag</t>
  </si>
  <si>
    <t>6 / 7</t>
  </si>
  <si>
    <t>Total des Gesamtertrages</t>
  </si>
  <si>
    <t>Rückschlag Gesamtbetriebsrechnung</t>
  </si>
  <si>
    <t>Quelle: Formular EF 1.8 und 1.9</t>
  </si>
  <si>
    <t>T 8.04  Ertrag, Aufwand und Ergebnis der Versicherer in Mio. Franken ab 2001</t>
  </si>
  <si>
    <r>
      <t xml:space="preserve">ergebnis </t>
    </r>
    <r>
      <rPr>
        <vertAlign val="superscript"/>
        <sz val="11"/>
        <rFont val="Arial"/>
        <family val="2"/>
      </rPr>
      <t>2</t>
    </r>
  </si>
  <si>
    <t>1) Vorjahresvergleiche sind nur mit Vorbehalt möglich, da jene Zusatzversicherungen VAG, welche auch unternehmensrechtlich</t>
  </si>
  <si>
    <r>
      <t xml:space="preserve">2) Jahresergebnis ( = Vorschlag Gesamtbetriebsrechnung minus Rückschlag Gesamtbetriebsrechnung) vor der </t>
    </r>
    <r>
      <rPr>
        <u/>
        <sz val="10"/>
        <rFont val="Arial"/>
        <family val="2"/>
      </rPr>
      <t>Zuweisung</t>
    </r>
    <r>
      <rPr>
        <sz val="10"/>
        <rFont val="Arial"/>
        <family val="2"/>
      </rPr>
      <t xml:space="preserve"> an</t>
    </r>
  </si>
  <si>
    <r>
      <t xml:space="preserve">die - resp. der </t>
    </r>
    <r>
      <rPr>
        <u/>
        <sz val="10"/>
        <rFont val="Arial"/>
        <family val="2"/>
      </rPr>
      <t>Entnahme</t>
    </r>
    <r>
      <rPr>
        <sz val="10"/>
        <rFont val="Arial"/>
        <family val="2"/>
      </rPr>
      <t xml:space="preserve"> von den - Fonds und Reserven.</t>
    </r>
  </si>
  <si>
    <t>Quelle:  T 8.05 [6/7]; T 8.06 [3/4]; T 8.06 [800-801] - T 8.05 [800-801]</t>
  </si>
  <si>
    <t>T 8.02  Anzahl Versicherer OKP nach Versichertenbestand ab 2001</t>
  </si>
  <si>
    <t>T 8.01 Anzahl KVG Versicherer ab 1996</t>
  </si>
  <si>
    <t>A</t>
  </si>
  <si>
    <t>B</t>
  </si>
  <si>
    <t>C</t>
  </si>
  <si>
    <t>D</t>
  </si>
  <si>
    <r>
      <t xml:space="preserve">    Anzahl KVG-Versicherer </t>
    </r>
    <r>
      <rPr>
        <vertAlign val="superscript"/>
        <sz val="11"/>
        <rFont val="Arial"/>
        <family val="2"/>
      </rPr>
      <t>1 2</t>
    </r>
  </si>
  <si>
    <t xml:space="preserve">Anzahl </t>
  </si>
  <si>
    <t>Zuwachs</t>
  </si>
  <si>
    <t>Abgang</t>
  </si>
  <si>
    <t>Obligatorische</t>
  </si>
  <si>
    <t>Freiwillige</t>
  </si>
  <si>
    <r>
      <t xml:space="preserve">OKP </t>
    </r>
    <r>
      <rPr>
        <b/>
        <i/>
        <sz val="11"/>
        <rFont val="Arial"/>
        <family val="2"/>
      </rPr>
      <t>und</t>
    </r>
  </si>
  <si>
    <t>Taggeld-</t>
  </si>
  <si>
    <t>KVG</t>
  </si>
  <si>
    <t>1) A - C : Versicherer, die keine Versicherte in der freiwilligen Taggeldversicherung nach KVG haben.</t>
  </si>
  <si>
    <t>2) A - B : Versicherer, die keine obligatorische Krankenpflegeversicherung anbieten (reine Taggeldversicherer).</t>
  </si>
  <si>
    <t>Quelle: T 5.01; T 5.03; T 5.04</t>
  </si>
  <si>
    <t>Reserven Oblig. Krankenpflegeversicherung EG und EFTA 
(ohne Liechtenstein)</t>
  </si>
  <si>
    <t>1.10.12: 8.01, 8.02, 8.04 -&gt; 8.12, 11.17, T8</t>
  </si>
  <si>
    <t>(T 3.10 STAT10)</t>
  </si>
  <si>
    <t>(T 3.09 STAT10)</t>
  </si>
  <si>
    <t>(T 3.11 STAT10)</t>
  </si>
  <si>
    <t>(T 3.13 STAT10)</t>
  </si>
  <si>
    <t>(T 3.12 STAT10)</t>
  </si>
  <si>
    <t>(T 3.14 STAT10)</t>
  </si>
  <si>
    <t>(T 3.15 STAT10)</t>
  </si>
  <si>
    <t>(T 3.08 STAT10)</t>
  </si>
  <si>
    <t>(STAT11 -&gt;)</t>
  </si>
  <si>
    <r>
      <t xml:space="preserve">T 12.01 Prämientarif: Standardprämien </t>
    </r>
    <r>
      <rPr>
        <b/>
        <vertAlign val="superscript"/>
        <sz val="12"/>
        <rFont val="Arial"/>
        <family val="2"/>
      </rPr>
      <t>1</t>
    </r>
    <r>
      <rPr>
        <b/>
        <sz val="12"/>
        <rFont val="Arial"/>
        <family val="2"/>
      </rPr>
      <t xml:space="preserve">  OKP in Franken ab 1996: CH</t>
    </r>
  </si>
  <si>
    <r>
      <t xml:space="preserve">(26 J. und älter) </t>
    </r>
    <r>
      <rPr>
        <vertAlign val="superscript"/>
        <sz val="11"/>
        <rFont val="Arial"/>
        <family val="2"/>
      </rPr>
      <t>2</t>
    </r>
  </si>
  <si>
    <r>
      <t xml:space="preserve">(0-18 Jahre) </t>
    </r>
    <r>
      <rPr>
        <vertAlign val="superscript"/>
        <sz val="11"/>
        <rFont val="Arial"/>
        <family val="2"/>
      </rPr>
      <t>4</t>
    </r>
  </si>
  <si>
    <r>
      <t xml:space="preserve">(19-25 Jahre) </t>
    </r>
    <r>
      <rPr>
        <vertAlign val="superscript"/>
        <sz val="11"/>
        <rFont val="Arial"/>
        <family val="2"/>
      </rPr>
      <t>3</t>
    </r>
  </si>
  <si>
    <t>Quelle: T 12.02, 12.03, 12.04</t>
  </si>
  <si>
    <r>
      <t>1) Prämien publiziert in den OKP Prämienwegweisern 1996-&gt;2013 vom BAG (</t>
    </r>
    <r>
      <rPr>
        <i/>
        <sz val="10"/>
        <rFont val="Arial"/>
        <family val="2"/>
      </rPr>
      <t>Prämienübersicht</t>
    </r>
    <r>
      <rPr>
        <sz val="10"/>
        <rFont val="Arial"/>
        <family val="2"/>
      </rPr>
      <t>).</t>
    </r>
  </si>
  <si>
    <r>
      <t xml:space="preserve">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</si>
  <si>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rPr>
        <b/>
        <sz val="10"/>
        <rFont val="Arial"/>
        <family val="2"/>
      </rPr>
      <t>inklusive Unfalldeckung der ordentlichen Franchise</t>
    </r>
    <r>
      <rPr>
        <sz val="10"/>
        <rFont val="Arial"/>
        <family val="2"/>
      </rPr>
      <t xml:space="preserve"> und auf den Versichertenbeständen nach Kantonen, nach Versicherer </t>
    </r>
  </si>
  <si>
    <t xml:space="preserve">und nach Prämienregionen, gegebenenfalls mit provisorisch genehmigten Prämien, ohne Berücksichtigung einer allfälligen </t>
  </si>
  <si>
    <t xml:space="preserve">unterjährigen Prämienerhöhung eines Versicherers. Die Tarife der Versicherungsmodelle mit wählbarer Franchise, </t>
  </si>
  <si>
    <t xml:space="preserve">Bonus oder eingeschränkter Wahl des Leistungserbringers wurden hier nicht berücksichtigt. </t>
  </si>
  <si>
    <t>2) Die Werte für 1996 wurden revidiert. Diese Werte beziehen sich auf das KVG-Einführungsjahr und sind infolge teilweise</t>
  </si>
  <si>
    <t>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</si>
  <si>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</si>
  <si>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</si>
  <si>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</si>
  <si>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</si>
  <si>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</si>
  <si>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t>12: Prämientarif in der OKP</t>
  </si>
  <si>
    <t>Standardprämien ab 1996: CH</t>
  </si>
  <si>
    <t>(T 3.01 STAT10)</t>
  </si>
  <si>
    <t>Standardprämien pro Kanton für Erwachsene pro Prämienregion 2013</t>
  </si>
  <si>
    <t>(T 3.02 STAT10)</t>
  </si>
  <si>
    <t>Standardprämien pro Kanton für junge Erwachsene pro Prämienregion 2013</t>
  </si>
  <si>
    <t>(T 3.03 STAT10)</t>
  </si>
  <si>
    <t>Standardprämien pro Kanton für Kinder pro Prämienregion 2013</t>
  </si>
  <si>
    <t>(T 3.04 STAT10)</t>
  </si>
  <si>
    <t>Verteilung der Standardprämien pro Kanton für Erwachsene 2013</t>
  </si>
  <si>
    <t>(T 3.05 STAT10)</t>
  </si>
  <si>
    <t>Verteilung der Standardprämien pro Kanton für junge Erwachsene 2013</t>
  </si>
  <si>
    <t>(T 3.06 STAT10)</t>
  </si>
  <si>
    <t>Verteilung der Standardprämien pro Kanton für Kinder 2013</t>
  </si>
  <si>
    <t>(T 3.07 STAT10)</t>
  </si>
  <si>
    <r>
      <t xml:space="preserve">T 12.02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</si>
  <si>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R1</t>
  </si>
  <si>
    <t>R2</t>
  </si>
  <si>
    <t>R3</t>
  </si>
  <si>
    <t>RU</t>
  </si>
  <si>
    <t xml:space="preserve">Alle </t>
  </si>
  <si>
    <t>Jahresdurch-</t>
  </si>
  <si>
    <r>
      <t xml:space="preserve">Erwachsene </t>
    </r>
    <r>
      <rPr>
        <b/>
        <vertAlign val="superscript"/>
        <sz val="11"/>
        <rFont val="Arial"/>
        <family val="2"/>
      </rPr>
      <t>3</t>
    </r>
  </si>
  <si>
    <t>schnittliche</t>
  </si>
  <si>
    <t>Quelle: Genehmigungsverfahren für Krankenversicherungsprämien, BAG.</t>
  </si>
  <si>
    <t>1) Vgl. Fussnote 1) von Tabelle 12.01.</t>
  </si>
  <si>
    <t>2) Die Krankenkassen dürfen innerhalb eines Kantons bis zu drei unterschiedliche Regionaltarife anwenden (R1, R2, R3).</t>
  </si>
  <si>
    <t>Einige Kantone haben nur eine Region: die Krankenkassen wenden eine Einheitsprämie an (RU).</t>
  </si>
  <si>
    <t>3) Prämien publiziert im OKP Prämienwegweiser 2013 vom BAG.</t>
  </si>
  <si>
    <r>
      <t xml:space="preserve">T 12.03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</si>
  <si>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junge</t>
  </si>
  <si>
    <r>
      <t xml:space="preserve">T 12.04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</si>
  <si>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r>
      <t xml:space="preserve">Kinder </t>
    </r>
    <r>
      <rPr>
        <b/>
        <vertAlign val="superscript"/>
        <sz val="11"/>
        <rFont val="Arial"/>
        <family val="2"/>
      </rPr>
      <t>3</t>
    </r>
  </si>
  <si>
    <r>
      <t xml:space="preserve">T 12.05  Verteilung der Standardprämien pro Kanton </t>
    </r>
    <r>
      <rPr>
        <b/>
        <vertAlign val="superscript"/>
        <sz val="12"/>
        <rFont val="Arial"/>
        <family val="2"/>
      </rPr>
      <t>1</t>
    </r>
  </si>
  <si>
    <t>der Versicherten sind unterhalb dieser Prämie</t>
  </si>
  <si>
    <t>der Versicherten sind unterhalb und oberhalb dieser Prämie (Median)</t>
  </si>
  <si>
    <t>der Versicherten sind oberhalb dieser Prämie</t>
  </si>
  <si>
    <t xml:space="preserve">Die Tabelle stellt eine hypothetische Verteilung der für das Jahr 2013 genehmigten Prämien für das Grundmodell </t>
  </si>
  <si>
    <t>(ordentliche Franchise inkl. Unfalldeckung) dar, basierend auf den Beständen des Jahres 2011.</t>
  </si>
  <si>
    <t>Es handelt sich folglich um Schätzungen auf der Basis der aktuellsten verfügbaren Versichertenbestände.</t>
  </si>
  <si>
    <t xml:space="preserve">In den Kantonen mit mehreren Prämienregionen ist die Streuung der Prämien breiter </t>
  </si>
  <si>
    <t>als in den Kantonen mit nur einer Prämienregion.</t>
  </si>
  <si>
    <r>
      <t xml:space="preserve">T 12.06  Verteilung der Standardprämien pro Kanton </t>
    </r>
    <r>
      <rPr>
        <b/>
        <vertAlign val="superscript"/>
        <sz val="12"/>
        <rFont val="Arial"/>
        <family val="2"/>
      </rPr>
      <t>1</t>
    </r>
  </si>
  <si>
    <r>
      <t>T 12.07  Verteilung der Standardprämien pro Kanton</t>
    </r>
    <r>
      <rPr>
        <b/>
        <vertAlign val="superscript"/>
        <sz val="12"/>
        <rFont val="Arial"/>
        <family val="2"/>
      </rPr>
      <t xml:space="preserve"> 1</t>
    </r>
  </si>
  <si>
    <t>Datenstand: 27.9.12</t>
  </si>
  <si>
    <t>für Erwachsene (26 Jahre und mehr) in Franken für 2013</t>
  </si>
  <si>
    <t>für junge Erwachsene (19 - 25 Jahre) in Franken für 2013</t>
  </si>
  <si>
    <t>für Kinder (0 - 18 Jahre) in Franken für 2013</t>
  </si>
  <si>
    <t>1996 - 2013</t>
  </si>
  <si>
    <t>10.10.12: 12.01 -&gt; 12.07, T12</t>
  </si>
  <si>
    <t>(Zeilen 1996 -&gt; 2000 meistens versteckt)</t>
  </si>
  <si>
    <t>Prämientarif in der OKP</t>
  </si>
  <si>
    <t>1) Die Zuteilung der Versicherten nach Versicherungsform erfolgt derart, dass die Versicherten der Kategorie „andere Versicherungsformen“</t>
  </si>
  <si>
    <t>T 1.13  Stand der Rückstellungen per 31.12. für unerledigte Versicherungsfälle ab 2001</t>
  </si>
  <si>
    <t>Stand</t>
  </si>
  <si>
    <t>Stand Rück-</t>
  </si>
  <si>
    <t>Rückstellungen</t>
  </si>
  <si>
    <t>Rück-</t>
  </si>
  <si>
    <t>stellungen pro</t>
  </si>
  <si>
    <t>stellungen</t>
  </si>
  <si>
    <t xml:space="preserve">bezahlten </t>
  </si>
  <si>
    <r>
      <t xml:space="preserve">Person in Fr. </t>
    </r>
    <r>
      <rPr>
        <vertAlign val="superscript"/>
        <sz val="11"/>
        <rFont val="Arial"/>
        <family val="2"/>
      </rPr>
      <t>1</t>
    </r>
  </si>
  <si>
    <r>
      <t xml:space="preserve">Leistungen </t>
    </r>
    <r>
      <rPr>
        <vertAlign val="superscript"/>
        <sz val="11"/>
        <rFont val="Arial"/>
        <family val="2"/>
      </rPr>
      <t>2</t>
    </r>
  </si>
  <si>
    <t>1) Vgl. Tabelle 11.13A.</t>
  </si>
  <si>
    <t>2) Vgl. Tabelle 2.20.</t>
  </si>
  <si>
    <t>Quelle: T 8.10 [270]; T 11.13A; T 2.20</t>
  </si>
  <si>
    <t>T 1.12 Stand der Reserven per 31.12. ab 2001</t>
  </si>
  <si>
    <r>
      <t xml:space="preserve">Reserven </t>
    </r>
    <r>
      <rPr>
        <vertAlign val="superscript"/>
        <sz val="11"/>
        <rFont val="Arial"/>
        <family val="2"/>
      </rPr>
      <t>1</t>
    </r>
  </si>
  <si>
    <t>Reserven-</t>
  </si>
  <si>
    <t>pro versicherte</t>
  </si>
  <si>
    <t>quote</t>
  </si>
  <si>
    <t xml:space="preserve"> Person in Fr.</t>
  </si>
  <si>
    <r>
      <t xml:space="preserve">effektiv </t>
    </r>
    <r>
      <rPr>
        <vertAlign val="superscript"/>
        <sz val="11"/>
        <rFont val="Arial"/>
        <family val="2"/>
      </rPr>
      <t>2</t>
    </r>
  </si>
  <si>
    <r>
      <t>gesetzlich</t>
    </r>
    <r>
      <rPr>
        <vertAlign val="superscript"/>
        <sz val="11"/>
        <rFont val="Arial"/>
        <family val="2"/>
      </rPr>
      <t xml:space="preserve"> 3</t>
    </r>
  </si>
  <si>
    <t>2) Reserven in % des Prämiensolls (vgl. Tabelle 3.01).</t>
  </si>
  <si>
    <t>3) Gemäss den gesetzlichen Bestimmungen berechneter Mindestreservesatz (siehe T 5.01 und T 5.02).</t>
  </si>
  <si>
    <t>Quelle: T 8.10 [290 + 290.9]; T 11.13A; T 3.01; T 5.01 und Aufsichtsdaten 1998-2003</t>
  </si>
  <si>
    <t>T 1.11 Verwaltungsaufwand / Abschreibungen in Franken je versicherte Person nach Versicherungsform ab 2001</t>
  </si>
  <si>
    <t>formen</t>
  </si>
  <si>
    <t>Quelle: T 1.10 / T 11.05</t>
  </si>
  <si>
    <t>T 1.09  Gesamtbetriebsergebnis in Franken je versicherte Person nach Versicherungsform ab 2001</t>
  </si>
  <si>
    <t>Quelle: T 1.08 / T 11.05</t>
  </si>
  <si>
    <t>T 3.07  Prämiensoll nach Altersklasse und Geschlecht</t>
  </si>
  <si>
    <t>in Fr. pro</t>
  </si>
  <si>
    <t>Versicherten</t>
  </si>
  <si>
    <t>Quelle: Formular EF 3.14 und 3.11</t>
  </si>
  <si>
    <t>T 3.05  Prämiensoll in Franken je versicherte Person nach Versicherungsform ab 2001</t>
  </si>
  <si>
    <t>schränk-</t>
  </si>
  <si>
    <t>te Wahl</t>
  </si>
  <si>
    <r>
      <t xml:space="preserve">Quelle: 2011 -&gt; : T 3.03   </t>
    </r>
    <r>
      <rPr>
        <i/>
        <sz val="10"/>
        <rFont val="Arial"/>
        <family val="2"/>
      </rPr>
      <t>(2009 -&gt; 2010: T 3.11  ; -&gt; 2008: T 3.10 / T 11.01 und T 11.05)</t>
    </r>
  </si>
  <si>
    <r>
      <t xml:space="preserve">Zusätzliche Angaben: nach Altersgruppe </t>
    </r>
    <r>
      <rPr>
        <b/>
        <vertAlign val="superscript"/>
        <sz val="12"/>
        <rFont val="Arial"/>
        <family val="2"/>
      </rPr>
      <t>2</t>
    </r>
    <r>
      <rPr>
        <b/>
        <sz val="12"/>
        <rFont val="Arial"/>
        <family val="2"/>
      </rPr>
      <t xml:space="preserve"> </t>
    </r>
  </si>
  <si>
    <t xml:space="preserve">Erwachsene </t>
  </si>
  <si>
    <t>(26 Jahre und mehr)</t>
  </si>
  <si>
    <r>
      <t xml:space="preserve">Quelle: 2011 -&gt; : T 3.04  (vollständige Daten)  </t>
    </r>
    <r>
      <rPr>
        <i/>
        <sz val="10"/>
        <rFont val="Arial"/>
        <family val="2"/>
      </rPr>
      <t xml:space="preserve">/ 2009 -&gt; 2010 : T 3.13  (vollständige Daten)   / 1997 -&gt; 2008 : DATENPOOL santésuisse [Auswertung BAG] </t>
    </r>
  </si>
  <si>
    <t>1) 1996-&gt;2008: Schätzung des mittleren Versichertenbestandes (ausgenommen Spalte "Alle Versicherte") aufgrund der Aufteilung der Versicherten per 31.12 in T 11.05</t>
  </si>
  <si>
    <t>2) Zusätzliche Angaben nach Altersgruppe pro Kanton: T 3.04 und www.bag.admin.ch/pyramiden</t>
  </si>
  <si>
    <t>T 3.02  Prämiensoll in Mio. Franken nach Versicherungsform ab 2001</t>
  </si>
  <si>
    <t>Quelle: T 3.01</t>
  </si>
  <si>
    <t xml:space="preserve">T 3.01  Prämiensoll in Franken nach Versicherungsform </t>
  </si>
  <si>
    <t>Eingeschränkte Wahl (z.B. HMO)</t>
  </si>
  <si>
    <t>Quelle: Formular EF 3.4</t>
  </si>
  <si>
    <t>15.10.12: 1.09, 1.11, 1.12, 1.13, 3.01, 3.02 3.05, 3.07</t>
  </si>
  <si>
    <t>T 2.01  Kostenbeteiligung der Versicherten in Mio. Franken nach Versicherungsform ab 2001</t>
  </si>
  <si>
    <t>Quelle: T 1.03; 1.04; 1.05; 1.06 [32]</t>
  </si>
  <si>
    <r>
      <t xml:space="preserve">T 2.02  Kostenbeteiligung </t>
    </r>
    <r>
      <rPr>
        <b/>
        <vertAlign val="superscript"/>
        <sz val="12"/>
        <rFont val="Arial"/>
        <family val="2"/>
      </rPr>
      <t>1</t>
    </r>
    <r>
      <rPr>
        <b/>
        <sz val="12"/>
        <rFont val="Arial"/>
        <family val="2"/>
      </rPr>
      <t xml:space="preserve"> je versicherte Person in Franken nach Versicherungsform ab 2001</t>
    </r>
  </si>
  <si>
    <r>
      <rPr>
        <sz val="11"/>
        <rFont val="Arial"/>
        <family val="2"/>
      </rPr>
      <t xml:space="preserve">Jahr </t>
    </r>
    <r>
      <rPr>
        <vertAlign val="superscript"/>
        <sz val="11"/>
        <rFont val="Arial"/>
        <family val="2"/>
      </rPr>
      <t>2</t>
    </r>
  </si>
  <si>
    <r>
      <t xml:space="preserve">Quelle: 2009 -&gt; : T 2.23   </t>
    </r>
    <r>
      <rPr>
        <i/>
        <sz val="10"/>
        <rFont val="Arial"/>
        <family val="2"/>
      </rPr>
      <t>( -&gt; 2008 : T 2.01 / T 11.01 und T 11.05 )</t>
    </r>
  </si>
  <si>
    <r>
      <t xml:space="preserve">Zusätzliche Angaben: nach Altersgruppe </t>
    </r>
    <r>
      <rPr>
        <b/>
        <vertAlign val="superscript"/>
        <sz val="12"/>
        <rFont val="Arial"/>
        <family val="2"/>
      </rPr>
      <t>3</t>
    </r>
  </si>
  <si>
    <r>
      <t xml:space="preserve">Quelle: 2008 -&gt; : T 2.13 (vollständige Daten)  </t>
    </r>
    <r>
      <rPr>
        <i/>
        <sz val="10"/>
        <rFont val="Arial"/>
        <family val="2"/>
      </rPr>
      <t xml:space="preserve"> ( 1997-&gt;2007: DATENPOOL santésuisse [Auswertung BAG] )</t>
    </r>
  </si>
  <si>
    <t>1) Berücksichtigt nur die beim Versicherer eingereichten Rechnungen.</t>
  </si>
  <si>
    <t>2) 1996-&gt;2008: Schätzung des mittleren Versichertenbestandes (ausgenommen Spalte "Alle Versicherte") aufgrund der Aufteilung der Versicherten per 31.12 in T 11.05</t>
  </si>
  <si>
    <t>3) Zusätzliche Angaben nach Altersgruppe pro Kanton: T 2.13 und www.bag.admin.ch/pyramiden</t>
  </si>
  <si>
    <r>
      <t xml:space="preserve">T 2.06 Bruttoleistungen </t>
    </r>
    <r>
      <rPr>
        <b/>
        <vertAlign val="superscript"/>
        <sz val="12"/>
        <rFont val="Arial"/>
        <family val="2"/>
      </rPr>
      <t xml:space="preserve">1 </t>
    </r>
    <r>
      <rPr>
        <b/>
        <sz val="12"/>
        <rFont val="Arial"/>
        <family val="2"/>
      </rPr>
      <t>nach Altersklasse und Geschlecht</t>
    </r>
  </si>
  <si>
    <r>
      <t xml:space="preserve">Quelle: Formular EF 3.20 und 3.11  </t>
    </r>
    <r>
      <rPr>
        <i/>
        <sz val="10"/>
        <rFont val="Arial"/>
        <family val="2"/>
      </rPr>
      <t>(-&gt;2008: Statistik des Risikoausgleiches - Gemeinsame Einrichtung KVG)</t>
    </r>
  </si>
  <si>
    <r>
      <t xml:space="preserve">T 2.09 Nettoleistungen </t>
    </r>
    <r>
      <rPr>
        <b/>
        <vertAlign val="superscript"/>
        <sz val="12"/>
        <rFont val="Arial"/>
        <family val="2"/>
      </rPr>
      <t xml:space="preserve">1 </t>
    </r>
    <r>
      <rPr>
        <b/>
        <sz val="12"/>
        <rFont val="Arial"/>
        <family val="2"/>
      </rPr>
      <t>nach Altersklasse und Geschlecht</t>
    </r>
  </si>
  <si>
    <r>
      <t xml:space="preserve">Quelle: T 2.06 - T 2.11  </t>
    </r>
    <r>
      <rPr>
        <i/>
        <sz val="10"/>
        <rFont val="Arial"/>
        <family val="2"/>
      </rPr>
      <t>(-&gt;2008: Statistik des Risikoausgleiches - Gemeinsame Einrichtung KVG)</t>
    </r>
  </si>
  <si>
    <r>
      <t xml:space="preserve">T 2.11 Kostenbeteiligung </t>
    </r>
    <r>
      <rPr>
        <b/>
        <vertAlign val="superscript"/>
        <sz val="12"/>
        <rFont val="Arial"/>
        <family val="2"/>
      </rPr>
      <t xml:space="preserve">1 </t>
    </r>
    <r>
      <rPr>
        <b/>
        <sz val="12"/>
        <rFont val="Arial"/>
        <family val="2"/>
      </rPr>
      <t>nach Altersklasse und Geschlecht</t>
    </r>
  </si>
  <si>
    <r>
      <t xml:space="preserve">Quelle: Formular EF 3.17 und 3.11  </t>
    </r>
    <r>
      <rPr>
        <i/>
        <sz val="10"/>
        <rFont val="Arial"/>
        <family val="2"/>
      </rPr>
      <t>( -&gt;2008: Statistik des Risikoausgleiches - Gemeinsame Einrichtung KVG )</t>
    </r>
  </si>
  <si>
    <r>
      <t xml:space="preserve">T 2.14  Bruttoleistungen </t>
    </r>
    <r>
      <rPr>
        <b/>
        <vertAlign val="superscript"/>
        <sz val="12"/>
        <rFont val="Arial"/>
        <family val="2"/>
      </rPr>
      <t>1</t>
    </r>
    <r>
      <rPr>
        <b/>
        <sz val="12"/>
        <rFont val="Arial"/>
        <family val="2"/>
      </rPr>
      <t xml:space="preserve"> in Mio. Franken nach Versicherungsform ab 2001</t>
    </r>
  </si>
  <si>
    <t>Quelle: T 2.22</t>
  </si>
  <si>
    <r>
      <t xml:space="preserve">T 2.15  Bruttoleistungen </t>
    </r>
    <r>
      <rPr>
        <b/>
        <vertAlign val="superscript"/>
        <sz val="12"/>
        <rFont val="Arial"/>
        <family val="2"/>
      </rPr>
      <t>1</t>
    </r>
    <r>
      <rPr>
        <b/>
        <sz val="12"/>
        <rFont val="Arial"/>
        <family val="2"/>
      </rPr>
      <t xml:space="preserve"> in Franken je versicherte Person nach Versicherungsform ab 2001</t>
    </r>
  </si>
  <si>
    <r>
      <t xml:space="preserve">Quelle: 2009 -&gt; : T 2.24  </t>
    </r>
    <r>
      <rPr>
        <i/>
        <sz val="10"/>
        <rFont val="Arial"/>
        <family val="2"/>
      </rPr>
      <t>( -&gt; 2008 : T 2.23 )</t>
    </r>
  </si>
  <si>
    <r>
      <t xml:space="preserve">Quelle: 2009 -&gt; : T 2.05 (vollständige Daten)  </t>
    </r>
    <r>
      <rPr>
        <i/>
        <sz val="10"/>
        <rFont val="Arial"/>
        <family val="2"/>
      </rPr>
      <t xml:space="preserve"> ( 2008 : T 2.02 + T 2.21 / 1997-&gt;2007: DATENPOOL santésuisse [Auswertung BAG] )</t>
    </r>
  </si>
  <si>
    <t>3) Zusätzliche Angaben nach Altersgruppe pro Kanton: T 2.05 und www.bag.admin.ch/pyramiden</t>
  </si>
  <si>
    <r>
      <t xml:space="preserve">T 2.20  Nettoleistungen </t>
    </r>
    <r>
      <rPr>
        <b/>
        <vertAlign val="superscript"/>
        <sz val="12"/>
        <rFont val="Arial"/>
        <family val="2"/>
      </rPr>
      <t xml:space="preserve">1 </t>
    </r>
    <r>
      <rPr>
        <b/>
        <sz val="12"/>
        <rFont val="Arial"/>
        <family val="2"/>
      </rPr>
      <t xml:space="preserve"> in Mio. Franken nach Versicherungsform ab 2001</t>
    </r>
  </si>
  <si>
    <t>1) Nettoleistungen = bezahlte Leistungen der Versicherer = Bruttoleistungen der Versicherer minus Kostenbeteiligungen der Versicherten.</t>
  </si>
  <si>
    <t>Quelle: T 1.03; 1.04; 1.05; 1.06 [30-33]</t>
  </si>
  <si>
    <r>
      <t xml:space="preserve">T 2.21 Nettoleistungen </t>
    </r>
    <r>
      <rPr>
        <b/>
        <vertAlign val="superscript"/>
        <sz val="12"/>
        <rFont val="Arial"/>
        <family val="2"/>
      </rPr>
      <t>1</t>
    </r>
    <r>
      <rPr>
        <b/>
        <sz val="12"/>
        <rFont val="Arial"/>
        <family val="2"/>
      </rPr>
      <t xml:space="preserve">  in Franken je versicherte Person nach Versicherungsform ab 2001</t>
    </r>
  </si>
  <si>
    <r>
      <t xml:space="preserve">Quelle: 2009 -&gt; : T 2.08   </t>
    </r>
    <r>
      <rPr>
        <i/>
        <sz val="10"/>
        <rFont val="Arial"/>
        <family val="2"/>
      </rPr>
      <t>( 1996 -&gt; 2008 : T 2.20 / T 11.01 und T 11.05 )</t>
    </r>
  </si>
  <si>
    <r>
      <t xml:space="preserve">Quelle: 2008 -&gt; : T 2.12 (vollständige Daten)  </t>
    </r>
    <r>
      <rPr>
        <i/>
        <sz val="10"/>
        <rFont val="Arial"/>
        <family val="2"/>
      </rPr>
      <t>( 1997-&gt;2007: DATENPOOL santésuisse [Auswertung BAG] )</t>
    </r>
  </si>
  <si>
    <t>2) 1996 -&gt; 2008: Schätzung des mittleren Versichertenbestandes (ausgenommen Spalte "Alle Versicherte") aufgrund der Aufteilung der Versicherten per 31.12 in T 11.05</t>
  </si>
  <si>
    <t>3) Zusätzliche Angaben nach Altersgruppe pro Kanton: T 2.12 und www.bag.admin.ch/pyramiden</t>
  </si>
  <si>
    <r>
      <t xml:space="preserve">T 2.22  Bruttoleistungen </t>
    </r>
    <r>
      <rPr>
        <b/>
        <vertAlign val="superscript"/>
        <sz val="12"/>
        <rFont val="Arial"/>
        <family val="2"/>
      </rPr>
      <t>1</t>
    </r>
    <r>
      <rPr>
        <b/>
        <sz val="12"/>
        <rFont val="Arial"/>
        <family val="2"/>
      </rPr>
      <t xml:space="preserve">  in Franken nach Versicherungsform </t>
    </r>
  </si>
  <si>
    <t>Quelle: Formular EF 3.5</t>
  </si>
  <si>
    <r>
      <t xml:space="preserve">T 2.25 Bruttoleistungen </t>
    </r>
    <r>
      <rPr>
        <b/>
        <vertAlign val="superscript"/>
        <sz val="12"/>
        <rFont val="Arial"/>
        <family val="2"/>
      </rPr>
      <t xml:space="preserve">1 2 </t>
    </r>
    <r>
      <rPr>
        <b/>
        <sz val="12"/>
        <rFont val="Arial"/>
        <family val="2"/>
      </rPr>
      <t xml:space="preserve"> je versicherte Person nach Kanton in Franken ab 1996</t>
    </r>
  </si>
  <si>
    <t>Quelle: 2009 -&gt;: T 2.05  /  CH 1996 -&gt; 2008 :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</si>
  <si>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t>
    </r>
    <r>
      <rPr>
        <i/>
        <sz val="10"/>
        <rFont val="Arial"/>
        <family val="2"/>
      </rPr>
      <t>(Werte 1996 -&gt; 2008 revidiert)</t>
    </r>
  </si>
  <si>
    <r>
      <t xml:space="preserve">1) Für alle Versicherten für alle Versicherungsformen. Bruttoleistungen = Leistungen der Versicherer in der OKP </t>
    </r>
    <r>
      <rPr>
        <b/>
        <sz val="10"/>
        <rFont val="Arial"/>
        <family val="2"/>
      </rPr>
      <t>mit</t>
    </r>
    <r>
      <rPr>
        <sz val="10"/>
        <rFont val="Arial"/>
        <family val="2"/>
      </rPr>
      <t xml:space="preserve"> Kostenbeteiligung durch die Versicherten.</t>
    </r>
  </si>
  <si>
    <r>
      <t xml:space="preserve">T 2.26 Kostenbeteiligung </t>
    </r>
    <r>
      <rPr>
        <b/>
        <vertAlign val="superscript"/>
        <sz val="12"/>
        <rFont val="Arial"/>
        <family val="2"/>
      </rPr>
      <t xml:space="preserve">1 2 </t>
    </r>
    <r>
      <rPr>
        <b/>
        <sz val="12"/>
        <rFont val="Arial"/>
        <family val="2"/>
      </rPr>
      <t xml:space="preserve"> je versicherte Person nach Kanton in Franken ab 1996</t>
    </r>
  </si>
  <si>
    <r>
      <t xml:space="preserve">Quelle: 2009 -&gt; : T 2.13  /  CH 1996 -&gt; 2008 :T 1.01  /  Kantone: 1996 -&gt; 2008:  T 2.25 - T 2.03   /   </t>
    </r>
    <r>
      <rPr>
        <i/>
        <sz val="10"/>
        <rFont val="Arial"/>
        <family val="2"/>
      </rPr>
      <t>(Werte 1996 -&gt; 2008 revidiert)</t>
    </r>
  </si>
  <si>
    <r>
      <t xml:space="preserve">Erkrankte </t>
    </r>
    <r>
      <rPr>
        <vertAlign val="superscript"/>
        <sz val="11"/>
        <rFont val="Arial"/>
        <family val="2"/>
      </rPr>
      <t>1</t>
    </r>
  </si>
  <si>
    <t>Einwei-</t>
  </si>
  <si>
    <t>Spitaltage</t>
  </si>
  <si>
    <t>sungen</t>
  </si>
  <si>
    <t>1) Anzahl versicherte Personen, welche im Berichtsjahr mindestens einmal ambulante oder stationäre Kosten verursacht haben.</t>
  </si>
  <si>
    <t xml:space="preserve">   (2008: Unvollständige Daten - 79 Versicherer -&gt; geschätzte Werte, schräg gedruckt)</t>
  </si>
  <si>
    <t>Merkmal</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</si>
  <si>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</si>
  <si>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</si>
  <si>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</si>
  <si>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Erkrankte je 100 Versicherte </t>
    </r>
    <r>
      <rPr>
        <vertAlign val="superscript"/>
        <sz val="11"/>
        <rFont val="Arial"/>
        <family val="2"/>
      </rPr>
      <t>2</t>
    </r>
  </si>
  <si>
    <r>
      <t xml:space="preserve">Einweisungen </t>
    </r>
    <r>
      <rPr>
        <vertAlign val="superscript"/>
        <sz val="11"/>
        <rFont val="Arial"/>
        <family val="2"/>
      </rPr>
      <t>3</t>
    </r>
  </si>
  <si>
    <t xml:space="preserve">  davon Mutterschaft</t>
  </si>
  <si>
    <t>Einweisungen je 100 Versicherte</t>
  </si>
  <si>
    <r>
      <t xml:space="preserve">Spitaltage </t>
    </r>
    <r>
      <rPr>
        <vertAlign val="superscript"/>
        <sz val="11"/>
        <rFont val="Arial"/>
        <family val="2"/>
      </rPr>
      <t>4</t>
    </r>
  </si>
  <si>
    <t>Spitaltage je 100 Versicherte</t>
  </si>
  <si>
    <t>Spitaltage je Einweisung</t>
  </si>
  <si>
    <t>1) Durchschnittlicher Versichertenbestand.</t>
  </si>
  <si>
    <t>2) Anzahl versicherte Personen, welche im Berichtsjahr mindestens einmal ambulante oder stationäre Kosten verursacht haben</t>
  </si>
  <si>
    <t xml:space="preserve">   (die Anzahl Erkrankte ist somit kleiner oder gleich wie die Anzahl Versicherte).</t>
  </si>
  <si>
    <t>3) Anzahl Einweisungen ins Spital stationär; dazu zählen Einweisungen in Spitäler zur kurzfristigen</t>
  </si>
  <si>
    <t xml:space="preserve">    und zur langfristigen Behandlung körperlich Kranker sowie Einweisungen in psychiatrische Klini-</t>
  </si>
  <si>
    <t xml:space="preserve">    ken; nicht dazu zählen hingegen Einweisungen in Pflegeheime. Sobald zwischen zwei Spital-</t>
  </si>
  <si>
    <t xml:space="preserve">    aufenthalten eine Lücke besteht, zählen diese als zwei Einweisungen.</t>
  </si>
  <si>
    <t>4) Anzahl Spitaltage im Spital stationär; dazu zählen die Spitaltage in Spitälern zur kurzfristigen</t>
  </si>
  <si>
    <t xml:space="preserve">    und zur langfristigen Behandlung körperlich Kranker sowie die Spitaltage in psychiatrischen Kliniken;</t>
  </si>
  <si>
    <t xml:space="preserve">    nicht dazu zählen hingegen die Tage in Pflegeheimen.</t>
  </si>
  <si>
    <t>5) Personen, die das 18. Altersjahr noch nicht vollendet haben (vgl. Art. 61 Abs. 3 KVG); bei der</t>
  </si>
  <si>
    <t xml:space="preserve">    "Mutterschaft" von "Kindern" ist die Mutterschaft von noch nicht 18-jährigen Frauen gemeint.</t>
  </si>
  <si>
    <t>Quelle: Formular EF 1.12, 3.7.1 und 3.7.2</t>
  </si>
  <si>
    <r>
      <t xml:space="preserve">T 11.13 Durchschnittlicher Versichertenbestand </t>
    </r>
    <r>
      <rPr>
        <b/>
        <vertAlign val="superscript"/>
        <sz val="12"/>
        <rFont val="Arial"/>
        <family val="2"/>
      </rPr>
      <t>1</t>
    </r>
    <r>
      <rPr>
        <b/>
        <sz val="12"/>
        <rFont val="Arial"/>
        <family val="2"/>
      </rPr>
      <t xml:space="preserve"> und Durchschnittsalter der Versicherten der obligatorischen Krankenpflegeversicherung gemäss Art. 29 KVV</t>
    </r>
  </si>
  <si>
    <r>
      <t xml:space="preserve">a. KVG-Versicherte mit Wohnsitz in der Schweiz und mit schweizerischer Prämie 
(inkl. Versicherte gemäss Art. 4 und 5 KVV) </t>
    </r>
    <r>
      <rPr>
        <b/>
        <vertAlign val="superscript"/>
        <sz val="12"/>
        <rFont val="55 Helvetica Roman"/>
      </rPr>
      <t>2</t>
    </r>
  </si>
  <si>
    <t>Alter</t>
  </si>
  <si>
    <t>männlich</t>
  </si>
  <si>
    <t>weiblich</t>
  </si>
  <si>
    <t>am Total</t>
  </si>
  <si>
    <t>Durchschnittsalter</t>
  </si>
  <si>
    <r>
      <t xml:space="preserve">b. KVG-Versicherte mit Wohnsitz in einem EG-Staat, in Island oder in Norwegen, inklusive Grenzgänger </t>
    </r>
    <r>
      <rPr>
        <b/>
        <vertAlign val="superscript"/>
        <sz val="12"/>
        <rFont val="Arial"/>
        <family val="2"/>
      </rPr>
      <t>3</t>
    </r>
  </si>
  <si>
    <r>
      <t xml:space="preserve">c. KVG-Versicherte mit Wohnsitz in einem EG-Staat, in Island oder in Norwegen, nur Grenzgänger </t>
    </r>
    <r>
      <rPr>
        <b/>
        <vertAlign val="superscript"/>
        <sz val="12"/>
        <rFont val="Arial"/>
        <family val="2"/>
      </rPr>
      <t>4</t>
    </r>
  </si>
  <si>
    <t>1) Durchschnittsbestand = Stand aller Monate zusammengezählt und geteilt durch 12.</t>
  </si>
  <si>
    <t>2) Versichertenbestand per 31.12: siehe T 11.02.</t>
  </si>
  <si>
    <t>3) Betriebsrechnung: siehe T 1.07.</t>
  </si>
  <si>
    <t>4) Grenzgänger, sowie ihre nichterwerbstätigen Familienangehörigen (Versicherte gemäss Art. 3 KVV).</t>
  </si>
  <si>
    <t>Quelle: A: Formular EF 3.1 und 3.8.1 / B: Formular EF 1.12 D / C: Formular EF 1.12 E</t>
  </si>
  <si>
    <t>16.10.12: 2.01, 2.02, 2.06, 2.09, 2.11, 2.14, 2.15</t>
  </si>
  <si>
    <t>17.10.12: 2.20 -&gt; 2.22, 2.25, 2.26, 9.16, 9.20, 11.13</t>
  </si>
  <si>
    <r>
      <t xml:space="preserve">T 2.08  Nettoleistungen </t>
    </r>
    <r>
      <rPr>
        <b/>
        <vertAlign val="superscript"/>
        <sz val="12"/>
        <rFont val="Arial"/>
        <family val="2"/>
      </rPr>
      <t xml:space="preserve">4  </t>
    </r>
    <r>
      <rPr>
        <b/>
        <sz val="12"/>
        <rFont val="Arial"/>
        <family val="2"/>
      </rPr>
      <t>in Fr. je versicherte Person nach Versicherungsform</t>
    </r>
  </si>
  <si>
    <t>Kinder 
(0-18 Jahre)</t>
  </si>
  <si>
    <t>Junge Erwachsene 
(19-25 Jahre)</t>
  </si>
  <si>
    <t>Erwachsene 
(ab 26 Jahre)</t>
  </si>
  <si>
    <t>Andere Versicherungsformen (HMO, Hausarzt-modell,…)</t>
  </si>
  <si>
    <t>Quelle: T 2.24 - T 2.23</t>
  </si>
  <si>
    <r>
      <t xml:space="preserve">4) Nettoleistungen = bezahlte Leistungen der Versicherer in der OKP </t>
    </r>
    <r>
      <rPr>
        <b/>
        <sz val="10"/>
        <rFont val="Arial"/>
        <family val="2"/>
      </rPr>
      <t>ohne</t>
    </r>
    <r>
      <rPr>
        <sz val="10"/>
        <rFont val="Arial"/>
        <family val="2"/>
      </rPr>
      <t xml:space="preserve"> Kostenbeteiligung durch die Versicherten.</t>
    </r>
  </si>
  <si>
    <r>
      <t xml:space="preserve">T 2.23 Kostenbeteiligung </t>
    </r>
    <r>
      <rPr>
        <b/>
        <vertAlign val="superscript"/>
        <sz val="12"/>
        <rFont val="Arial"/>
        <family val="2"/>
      </rPr>
      <t xml:space="preserve">4  </t>
    </r>
    <r>
      <rPr>
        <b/>
        <sz val="12"/>
        <rFont val="Arial"/>
        <family val="2"/>
      </rPr>
      <t>in Fr. je versicherte Person nach Versicherungsform</t>
    </r>
  </si>
  <si>
    <t xml:space="preserve">Quelle: Formular EF 3.19 / EF 3.13 </t>
  </si>
  <si>
    <t>4) Berücksichtigt nur die bei dem Versicherer eingereichten Rechnungen</t>
  </si>
  <si>
    <t>T 3.03  Prämiensoll in Fr. je versicherte Person nach Versicherungsform</t>
  </si>
  <si>
    <t xml:space="preserve">Quelle: Formular EF 3.16 / EF 3.13 </t>
  </si>
  <si>
    <r>
      <t>T 11.11  Zahlungsausstände für OKP-Prämien</t>
    </r>
    <r>
      <rPr>
        <b/>
        <vertAlign val="superscript"/>
        <sz val="12"/>
        <rFont val="Arial"/>
        <family val="2"/>
      </rPr>
      <t xml:space="preserve"> </t>
    </r>
    <r>
      <rPr>
        <b/>
        <sz val="12"/>
        <rFont val="Arial"/>
        <family val="2"/>
      </rPr>
      <t>ab 2001</t>
    </r>
  </si>
  <si>
    <t xml:space="preserve">Versicherte </t>
  </si>
  <si>
    <t>Prämienvolumen</t>
  </si>
  <si>
    <t>Versicherte mit</t>
  </si>
  <si>
    <r>
      <t xml:space="preserve">mit Betreibung </t>
    </r>
    <r>
      <rPr>
        <vertAlign val="superscript"/>
        <sz val="11"/>
        <rFont val="Arial"/>
        <family val="2"/>
      </rPr>
      <t>1</t>
    </r>
  </si>
  <si>
    <t>pro Betreibung</t>
  </si>
  <si>
    <t>sistierten</t>
  </si>
  <si>
    <t>pro Versicherten</t>
  </si>
  <si>
    <r>
      <t xml:space="preserve"> in Franken </t>
    </r>
    <r>
      <rPr>
        <i/>
        <vertAlign val="superscript"/>
        <sz val="11"/>
        <rFont val="Arial"/>
        <family val="2"/>
      </rPr>
      <t>2</t>
    </r>
  </si>
  <si>
    <r>
      <t xml:space="preserve"> Leistungen </t>
    </r>
    <r>
      <rPr>
        <vertAlign val="superscript"/>
        <sz val="11"/>
        <rFont val="Arial"/>
        <family val="2"/>
      </rPr>
      <t>3</t>
    </r>
  </si>
  <si>
    <t xml:space="preserve"> mit sistierten Leis-</t>
  </si>
  <si>
    <r>
      <t xml:space="preserve"> tungen in Franken </t>
    </r>
    <r>
      <rPr>
        <i/>
        <vertAlign val="superscript"/>
        <sz val="11"/>
        <rFont val="Arial"/>
        <family val="2"/>
      </rPr>
      <t>4, 5</t>
    </r>
  </si>
  <si>
    <t>Quelle: Formular EF 3.10.4</t>
  </si>
  <si>
    <t xml:space="preserve">1) Anzahl Versicherte, die im betrachteten Jahr betrieben wurden sowie das den Betreibungen unterliegende Prämienvolumen, </t>
  </si>
  <si>
    <t xml:space="preserve">    unabhängig davon, ob die Prämien schlussendlich durch das Betreibungsverfahren eingebracht werden konnten. </t>
  </si>
  <si>
    <t xml:space="preserve">    Daten teilweise unvollständig (siehe Punkt 2).</t>
  </si>
  <si>
    <t>2) Schätzungen aufgrund der Versicherer, die vollständige Angaben &lt;&gt; 0 geliefert haben (Versicherer: 2005-&gt;2011: 70-75-82-79-75-79-59).</t>
  </si>
  <si>
    <t>3) „Versicherte mit sistierten Leistungen“ sind Versicherte für die ein Leistungsstopp verhängt wurde, weil sie ihre Prämien nicht bezahlt haben.</t>
  </si>
  <si>
    <t xml:space="preserve">4) Angegeben ist auch das Total der ausstehenden Prämien dieser Versicherten in Franken. </t>
  </si>
  <si>
    <t xml:space="preserve">     Personen, die Militärdienst leisten und deshalb sistiert wurden, sind in dieser Tabelle nicht aufgeführt.</t>
  </si>
  <si>
    <t xml:space="preserve">     Daten teilweise unvollständig (siehe Punkt 5).</t>
  </si>
  <si>
    <t>5) Schätzungen aufgrund der Versicherer, die vollständige Angaben &lt;&gt; 0 geliefert haben (Versicherer: 2005-&gt;2011: 22-50-56-53-57-60-44).</t>
  </si>
  <si>
    <t>Schätzungen aus dem Prämiengenehmigungsverfahren: Hauptwerte [in Mio. Fr. ausser Versicherte in Tausend]</t>
  </si>
  <si>
    <t>Veränder. 
2010-11 
in %</t>
  </si>
  <si>
    <t>Schätzung</t>
  </si>
  <si>
    <t>Abweichung S</t>
  </si>
  <si>
    <t>Prognose</t>
  </si>
  <si>
    <t>Nettoleistungen</t>
  </si>
  <si>
    <t>Verwaltungskosten</t>
  </si>
  <si>
    <t>Bemerkungen:</t>
  </si>
  <si>
    <t>- 1-8: in der STAT KV publizierte Werte [T 1.01 und 1.02] aus den Formularen EF123</t>
  </si>
  <si>
    <t>-6: Seit 2012 wird die Höhe der Reserven nicht mehr wie bis 2011 nach dem Prämienvolumen und der Versichertenzahl bestimmt, sondern in Abhängigkeit von den Risiken des Versicherers.</t>
  </si>
  <si>
    <t xml:space="preserve">   Seit 2012 müssen die Versicherer die Bilanz nach dem Marktwert erstellen. Durch die Auflösung der stillen Reserven fallen die ausgewiesenen Reserven höher aus </t>
  </si>
  <si>
    <t xml:space="preserve">   und sind mit denjenigen der Vorjahre nicht vergleichbar.</t>
  </si>
  <si>
    <t>- Schätzung: geschätzte Werte aus dem Prämiengenehmigungsverfahren des BAG *, Schätzung für das laufende Jahr</t>
  </si>
  <si>
    <t xml:space="preserve">  Beispiel: Schätzung von 2011 für 2011 / Schätzung von 2012 für 2012</t>
  </si>
  <si>
    <t xml:space="preserve">- Prognose: geschätzte Werte aus dem Prämiengenehmigungsverfahren des BAG *, Prognose für das Folgejahr </t>
  </si>
  <si>
    <t xml:space="preserve">  Beispiel: Prognose von 2011 für 2012 / Prognose von 2012 für 2013</t>
  </si>
  <si>
    <t xml:space="preserve">Im Allgemeinen ist die Schätzung genauer als die (eher grobe) Prognose. </t>
  </si>
  <si>
    <t>Es ist lediglich die Abweichung zwischen der Schätzung und dem in der STAT KV publizierten Wert (Abweichung S in %) aufgeführt.</t>
  </si>
  <si>
    <r>
      <t xml:space="preserve">- Zur Genauigkeit der geschätzten Werte </t>
    </r>
    <r>
      <rPr>
        <b/>
        <sz val="8"/>
        <rFont val="Arial"/>
        <family val="2"/>
      </rPr>
      <t>je versicherte Person</t>
    </r>
    <r>
      <rPr>
        <sz val="8"/>
        <rFont val="Arial"/>
        <family val="2"/>
      </rPr>
      <t>: Sie berechnen sich, indem der absolute Wert der Abweichung zwischen</t>
    </r>
  </si>
  <si>
    <t xml:space="preserve">   der Bevölkerung und der geschätzten Bevölkerung in % zum bzw. vom ebenfalls absoluten, für jede Kategorie aufgeführten Wert nach </t>
  </si>
  <si>
    <t xml:space="preserve">   folgendem Schema addiert oder subtrahiert wird:</t>
  </si>
  <si>
    <t xml:space="preserve">   Das Zeichen der Genauigkeit pro versicherte Person richtet sich nach folgendem Schema:</t>
  </si>
  <si>
    <t>Abweichung geschätzte Bevölkerung - Bevölkerung in %</t>
  </si>
  <si>
    <t>+</t>
  </si>
  <si>
    <t xml:space="preserve">Abweichung geschätzter Wert [2-8] - Wert [2-8] in %   </t>
  </si>
  <si>
    <t>Zeichen der Genauigkeit pro versicherte Person: + oder - %</t>
  </si>
  <si>
    <t xml:space="preserve">   Beispiel: Reserven pro versicherte Person im Jahr 2004 mit der Schätzung: -0.2% + 0.52% = Abweichung pro versicherte Person von + 0.72%</t>
  </si>
  <si>
    <t>– Durchschnittsprämien pro Versicherten in Fr. : 2011 [T 1.01] 3005 Fr. / 2012 [Schätzung J1] 3073 Fr. (+ 2.25%)</t>
  </si>
  <si>
    <t>* Datenstand: 2012 (Schätzung) und 2013 (Prognose): 18.10.12</t>
  </si>
  <si>
    <t>10: Risikoausgleich in der OKP</t>
  </si>
  <si>
    <t>Risikoausgleich: Nettozahler und Nettoempfänger ab 1996</t>
  </si>
  <si>
    <t>Risikoausgleich: Bruttoumverteilung und Nettoumverteilung ab 1996</t>
  </si>
  <si>
    <t>Risikoausgleich je versicherte Person und Versicherungsmonat nach Altersklasse und Geschlecht</t>
  </si>
  <si>
    <t>10.04</t>
  </si>
  <si>
    <t>Durchschnittlicher Versichertenbestand nach Kanton (gemäss Definition des Risikoausgleichs)</t>
  </si>
  <si>
    <t>10.05</t>
  </si>
  <si>
    <t>Effektive Kosten nach Kanton (gemäss Definition des Risikoausgleichs)</t>
  </si>
  <si>
    <t>T 10.01  Risikoausgleich: Nettozahler und Nettoempfänger ab 1996</t>
  </si>
  <si>
    <t>Ausgleichs-</t>
  </si>
  <si>
    <t>jahr</t>
  </si>
  <si>
    <r>
      <t xml:space="preserve">zahler </t>
    </r>
    <r>
      <rPr>
        <vertAlign val="superscript"/>
        <sz val="11"/>
        <rFont val="Arial"/>
        <family val="2"/>
      </rPr>
      <t>1</t>
    </r>
  </si>
  <si>
    <r>
      <t xml:space="preserve">empfänger </t>
    </r>
    <r>
      <rPr>
        <vertAlign val="superscript"/>
        <sz val="11"/>
        <rFont val="Arial"/>
        <family val="2"/>
      </rPr>
      <t>1</t>
    </r>
  </si>
  <si>
    <t>Quelle: Statistik des Risikoausgleichs - Gemeinsame Einrichtung KVG</t>
  </si>
  <si>
    <t>1) Anzahl OKP Versicherer, die für das Ausgleichsjahr eine Abgabe an den Risikoausgleich leisten mussten (Nettozahler),</t>
  </si>
  <si>
    <t xml:space="preserve">    resp. einen Beitrag aus dem Risikoausgleich erhielten (Nettoempfänger).</t>
  </si>
  <si>
    <t>T 10.02  Risikoausgleich: Bruttoumverteilung und Nettoumverteilung in Mio. Fr. ab 1996</t>
  </si>
  <si>
    <r>
      <t xml:space="preserve">Bruttoumverteilung </t>
    </r>
    <r>
      <rPr>
        <vertAlign val="superscript"/>
        <sz val="11"/>
        <rFont val="Arial"/>
        <family val="2"/>
      </rPr>
      <t>1</t>
    </r>
  </si>
  <si>
    <r>
      <t xml:space="preserve">Nettoumverteilung </t>
    </r>
    <r>
      <rPr>
        <vertAlign val="superscript"/>
        <sz val="11"/>
        <rFont val="Arial"/>
        <family val="2"/>
      </rPr>
      <t>2</t>
    </r>
  </si>
  <si>
    <t>nach</t>
  </si>
  <si>
    <t>zwischen</t>
  </si>
  <si>
    <t>Geschlecht</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</si>
  <si>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</si>
  <si>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</si>
  <si>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</si>
  <si>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</si>
  <si>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10.01).</t>
  </si>
  <si>
    <r>
      <t xml:space="preserve">T 10.03  Risikoausgleich </t>
    </r>
    <r>
      <rPr>
        <b/>
        <vertAlign val="superscript"/>
        <sz val="12"/>
        <rFont val="Arial"/>
        <family val="2"/>
      </rPr>
      <t>1</t>
    </r>
    <r>
      <rPr>
        <b/>
        <sz val="12"/>
        <rFont val="Arial"/>
        <family val="2"/>
      </rPr>
      <t xml:space="preserve">  in Fr. je versicherte Person 
und Versicherungsmonat nach Altersklasse und Geschlecht</t>
    </r>
  </si>
  <si>
    <t>Veränderung in</t>
  </si>
  <si>
    <t>Fr. gegenüber</t>
  </si>
  <si>
    <t>0 - 18</t>
  </si>
  <si>
    <t>19 - 25</t>
  </si>
  <si>
    <t>26 - 30</t>
  </si>
  <si>
    <t>31 - 35</t>
  </si>
  <si>
    <t>36 - 40</t>
  </si>
  <si>
    <t>41 - 45</t>
  </si>
  <si>
    <t>46 - 50</t>
  </si>
  <si>
    <t>51 - 55</t>
  </si>
  <si>
    <t>56 - 60</t>
  </si>
  <si>
    <t>61 - 65</t>
  </si>
  <si>
    <t>66 - 70</t>
  </si>
  <si>
    <t>71 - 75</t>
  </si>
  <si>
    <t>76 - 80</t>
  </si>
  <si>
    <t>81 - 85</t>
  </si>
  <si>
    <t>86 - 90</t>
  </si>
  <si>
    <t>&gt; 90</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</si>
  <si>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</si>
  <si>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</si>
  <si>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</si>
  <si>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</si>
  <si>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</si>
  <si>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t>Die Berechnung des Risikoausgleiches erfolgt nach Kantonen; hier sind die schweizerischen Durchschnittswerte wiedergegeben.</t>
  </si>
  <si>
    <r>
      <t xml:space="preserve">T 10.04  Durchschnittlicher Versichertenbestand </t>
    </r>
    <r>
      <rPr>
        <b/>
        <vertAlign val="superscript"/>
        <sz val="12"/>
        <rFont val="Arial"/>
        <family val="2"/>
      </rPr>
      <t>1</t>
    </r>
    <r>
      <rPr>
        <b/>
        <sz val="12"/>
        <rFont val="Arial"/>
        <family val="2"/>
      </rPr>
      <t xml:space="preserve">  nach Kanton 
(gemäss Definition des Risikoausgleichs </t>
    </r>
    <r>
      <rPr>
        <b/>
        <vertAlign val="superscript"/>
        <sz val="12"/>
        <rFont val="Arial"/>
        <family val="2"/>
      </rPr>
      <t>2</t>
    </r>
    <r>
      <rPr>
        <b/>
        <sz val="12"/>
        <rFont val="Arial"/>
        <family val="2"/>
      </rPr>
      <t xml:space="preserve">) </t>
    </r>
  </si>
  <si>
    <t>Kinder und</t>
  </si>
  <si>
    <t>1) Durchschnittlicher Versichertenbestand = Anzahl Versicherungsmonate dividiert durch 12.</t>
  </si>
  <si>
    <t xml:space="preserve">2) Für den Risikoausgleich gelten im Vergleich zu den EF123-Formularen zum Teil unterschiedliche Regelungen in Bezug auf die </t>
  </si>
  <si>
    <t xml:space="preserve">Berücksichtigung einzelner Versichertengruppen. Aufgrund unterschiedlicher Definitionen kommt es zu Differenzen beim Versichertenbestand </t>
  </si>
  <si>
    <t>und bei den Kosten gegenüber den Angaben im Formular EF 123 der Versicherer (siehe Definition Versicherte in Tabelle 11.02, Fussnote 2).</t>
  </si>
  <si>
    <t xml:space="preserve">Mit dem In-Kraft-Treten des Personenfreizügigkeitsabkommens mit den EG-Staaten bzw. dem revidierten </t>
  </si>
  <si>
    <t xml:space="preserve">EFTA-Abkommen per 1. Juni 2002 wurde die Versicherungspflicht auf einzelne Personengruppen ausgedehnt, </t>
  </si>
  <si>
    <t>welche Wohnsitz in einem EG-Staat bzw. in Island oder Norwegen haben:</t>
  </si>
  <si>
    <t xml:space="preserve">Im Risikoausgleich zu berücksichtigen sind: </t>
  </si>
  <si>
    <t>- Versicherte mit Arbeitsort in der Schweiz (Grenzgänger) sowie ihre nicht erwerbstätigen Familienangehörigen.</t>
  </si>
  <si>
    <t>Im Risikoausgleich nicht zu berücksichtigen sind:</t>
  </si>
  <si>
    <t>- Empfänger einer schweizerischen Rente und ihre nicht erwerbstätigen Familienangehörigen;</t>
  </si>
  <si>
    <t>- Empfänger einer Leistung der schweizerischen Arbeitslosenversicherung und ihre nicht erwerbstätigen Familienangehörigen.</t>
  </si>
  <si>
    <t>- Nicht erwerbstätige Familienangehörige von in der Schweiz erwerbstätigen und wohnenden Personen.</t>
  </si>
  <si>
    <t>Seit 2007 werden Asylsuchende, vorläufig Aufgenommene und Schutzbedürftige ohne Aufenthaltsbewilligung, welche sich in der Schweiz</t>
  </si>
  <si>
    <t>aufhalten und Sozialhilfe beziehen, vom massgebenden Versichertenbestand des Risikoausgleichs (Art. 4 Abs. 1 VORA) ausgenommen.</t>
  </si>
  <si>
    <r>
      <t xml:space="preserve">T 10.05  Effektive Kosten </t>
    </r>
    <r>
      <rPr>
        <b/>
        <vertAlign val="superscript"/>
        <sz val="12"/>
        <rFont val="Arial"/>
        <family val="2"/>
      </rPr>
      <t xml:space="preserve">1 </t>
    </r>
    <r>
      <rPr>
        <b/>
        <sz val="12"/>
        <rFont val="Arial"/>
        <family val="2"/>
      </rPr>
      <t xml:space="preserve"> in Fr. nach Kanton 
(gemäss Definition des Risikoausgleichs </t>
    </r>
    <r>
      <rPr>
        <b/>
        <vertAlign val="superscript"/>
        <sz val="12"/>
        <rFont val="Arial"/>
        <family val="2"/>
      </rPr>
      <t>2</t>
    </r>
    <r>
      <rPr>
        <b/>
        <sz val="12"/>
        <rFont val="Arial"/>
        <family val="2"/>
      </rPr>
      <t xml:space="preserve">)  </t>
    </r>
  </si>
  <si>
    <t>Erwach-</t>
  </si>
  <si>
    <t>sene</t>
  </si>
  <si>
    <r>
      <t xml:space="preserve">1) Effektive Kosten = (bezahlte) Leistungen der Versicherer in der OKP </t>
    </r>
    <r>
      <rPr>
        <b/>
        <sz val="10"/>
        <rFont val="Arial"/>
        <family val="2"/>
      </rPr>
      <t>ohne</t>
    </r>
    <r>
      <rPr>
        <sz val="10"/>
        <rFont val="Arial"/>
        <family val="2"/>
      </rPr>
      <t xml:space="preserve"> Kostenbeteiligung durch die Versicherten.</t>
    </r>
  </si>
  <si>
    <t>2) Vgl. Fussnote 2) von Tabelle 10.04.</t>
  </si>
  <si>
    <t>Datenstand: 25.6.12</t>
  </si>
  <si>
    <t>1.11.12: 2.08, 2.23, 3.03, T10, 10.01 -&gt; 10.05, 11.11, J</t>
  </si>
  <si>
    <t>Bundesamt für Gesundheit</t>
  </si>
  <si>
    <t>6.11.12: T4, 4.01 -&gt; 4.11</t>
  </si>
  <si>
    <t>401-411</t>
  </si>
  <si>
    <t>901-915</t>
  </si>
  <si>
    <t>1.11.12: 2.24, 9.16-&gt; 9.08, 9.20-&gt;9.09</t>
  </si>
  <si>
    <t>Quelle: T 9.09</t>
  </si>
  <si>
    <r>
      <t>T</t>
    </r>
    <r>
      <rPr>
        <b/>
        <sz val="12"/>
        <color indexed="10"/>
        <rFont val="Arial"/>
        <family val="2"/>
      </rPr>
      <t xml:space="preserve"> 9.09</t>
    </r>
    <r>
      <rPr>
        <b/>
        <sz val="12"/>
        <rFont val="Arial"/>
        <family val="2"/>
      </rPr>
      <t xml:space="preserve">  Erkrankte, Spitaleinweisungen und Spitaltage</t>
    </r>
  </si>
  <si>
    <r>
      <t xml:space="preserve">T </t>
    </r>
    <r>
      <rPr>
        <b/>
        <sz val="12"/>
        <color indexed="10"/>
        <rFont val="Arial"/>
        <family val="2"/>
      </rPr>
      <t>9.08</t>
    </r>
    <r>
      <rPr>
        <b/>
        <sz val="12"/>
        <rFont val="Arial"/>
        <family val="2"/>
      </rPr>
      <t xml:space="preserve"> Erkrankte, Spitaleinweisungen und Spitaltage ab 2001</t>
    </r>
  </si>
  <si>
    <t>T 4.09 KVG-Verteilmodell: Bundesbeiträge 2011 - 2013</t>
  </si>
  <si>
    <r>
      <t xml:space="preserve">Bundesbeiträge in Franken </t>
    </r>
    <r>
      <rPr>
        <b/>
        <vertAlign val="superscript"/>
        <sz val="11"/>
        <rFont val="Arial"/>
        <family val="2"/>
      </rPr>
      <t>1</t>
    </r>
  </si>
  <si>
    <t>Berechnungsbasis 2013</t>
  </si>
  <si>
    <t>Mittlere</t>
  </si>
  <si>
    <t>Grenz-</t>
  </si>
  <si>
    <t>Mittlere Wohn-</t>
  </si>
  <si>
    <t>Wohnbe-</t>
  </si>
  <si>
    <r>
      <t xml:space="preserve">gänger </t>
    </r>
    <r>
      <rPr>
        <vertAlign val="superscript"/>
        <sz val="10"/>
        <rFont val="Arial"/>
        <family val="2"/>
      </rPr>
      <t>2</t>
    </r>
  </si>
  <si>
    <t>bevölkerung und</t>
  </si>
  <si>
    <r>
      <t xml:space="preserve">völkerung </t>
    </r>
    <r>
      <rPr>
        <vertAlign val="superscript"/>
        <sz val="11"/>
        <rFont val="Arial"/>
        <family val="2"/>
      </rPr>
      <t>2</t>
    </r>
  </si>
  <si>
    <t>Grenzgänger</t>
  </si>
  <si>
    <t>Datenstand: 31.10.2012</t>
  </si>
  <si>
    <t>Quelle: KVG-Verteilmodelle für Bundesbeiträge für 2011/2012/2013.</t>
  </si>
  <si>
    <t>1) Ab 1.1.2008 wird die Prämienverbilligung nach der Neugestaltung des Finanzausgleichs und der Aufgabenteilung</t>
  </si>
  <si>
    <t xml:space="preserve">    zwischen Bund und Kantonen (NFA) berechnet. Vgl. Erläuterungen im Anhang H.</t>
  </si>
  <si>
    <t>2) Mittlere Wohnbevölkerung 2011: Durchschnittliche Wohnbevölkerung in einem bestimmten Gebiet nach wirtschaftlichem Wohnsitz.</t>
  </si>
  <si>
    <t xml:space="preserve">    Quelle: BFS Sektion Bevölkerungsentwicklung und versicherte Grenzgänger 2011 und deren Familienangehörige; Quelle: EF S 3, 2011.</t>
  </si>
  <si>
    <r>
      <t xml:space="preserve">T 4.08 Prämienverbilligung OKP: effektiv ausgerichtete Beiträge nach Kanton </t>
    </r>
    <r>
      <rPr>
        <b/>
        <vertAlign val="superscript"/>
        <sz val="12"/>
        <rFont val="Arial"/>
        <family val="2"/>
      </rPr>
      <t>1</t>
    </r>
  </si>
  <si>
    <t>Beiträge</t>
  </si>
  <si>
    <t>nach KVG</t>
  </si>
  <si>
    <t>* in %</t>
  </si>
  <si>
    <t>für 2011</t>
  </si>
  <si>
    <t>für 2010 und früher</t>
  </si>
  <si>
    <r>
      <t xml:space="preserve">nach KVG </t>
    </r>
    <r>
      <rPr>
        <b/>
        <vertAlign val="superscript"/>
        <sz val="10"/>
        <rFont val="Arial"/>
        <family val="2"/>
      </rPr>
      <t>2</t>
    </r>
  </si>
  <si>
    <t>pro Haushalt</t>
  </si>
  <si>
    <t>pro Bezüger</t>
  </si>
  <si>
    <t>der Durch-</t>
  </si>
  <si>
    <t>in Franken</t>
  </si>
  <si>
    <t>in Franken *</t>
  </si>
  <si>
    <t>schnittsprämie</t>
  </si>
  <si>
    <t>Datenstand: 31.10.12</t>
  </si>
  <si>
    <t>Quelle: Erhebung der Prämienverbilligung in der Krankenversicherung, BAG: Formular PV1, 2 und T 3.08</t>
  </si>
  <si>
    <t>1) Ohne Zahlungen der Kantone für ausstehende Forderungen aus der OKP. Zu den Zahlungsausständen vgl. T 4.10 und T 4.11.</t>
  </si>
  <si>
    <t>2) Effektiv im Berichtsjahr an die Haushalte/Bezüger ausbezahlte Prämienverbilligungen nach KVG. Bund und Kantone.</t>
  </si>
  <si>
    <t xml:space="preserve">    Ab 1.1.2008 wird die Prämienverbilligung nach der Neugestaltung des Finanzausgleichs und der Aufgabenteilung</t>
  </si>
  <si>
    <t xml:space="preserve">T 4.07 KVG-Verteilmodell: Berechnungsbasis sowie Bundes- und Kantonsbeiträge </t>
  </si>
  <si>
    <r>
      <t xml:space="preserve">      KVG-Verteilmodell 2011 </t>
    </r>
    <r>
      <rPr>
        <vertAlign val="superscript"/>
        <sz val="11"/>
        <rFont val="Arial"/>
        <family val="2"/>
      </rPr>
      <t>2</t>
    </r>
  </si>
  <si>
    <r>
      <t>gänger</t>
    </r>
    <r>
      <rPr>
        <sz val="10"/>
        <rFont val="Arial"/>
        <family val="2"/>
      </rPr>
      <t xml:space="preserve"> </t>
    </r>
    <r>
      <rPr>
        <vertAlign val="superscript"/>
        <sz val="10"/>
        <rFont val="Arial"/>
        <family val="2"/>
      </rPr>
      <t>1</t>
    </r>
  </si>
  <si>
    <t>bevölkerung</t>
  </si>
  <si>
    <t>Bundesbeiträge</t>
  </si>
  <si>
    <t>Kantonsbeiträge</t>
  </si>
  <si>
    <t>* davon Anteil</t>
  </si>
  <si>
    <r>
      <t xml:space="preserve">völkerung </t>
    </r>
    <r>
      <rPr>
        <vertAlign val="superscript"/>
        <sz val="10"/>
        <rFont val="Arial"/>
        <family val="2"/>
      </rPr>
      <t>1</t>
    </r>
  </si>
  <si>
    <t>und Grenz-</t>
  </si>
  <si>
    <t>Beiträge *</t>
  </si>
  <si>
    <t>der Kantone</t>
  </si>
  <si>
    <t>gänger</t>
  </si>
  <si>
    <r>
      <t>in Franken</t>
    </r>
    <r>
      <rPr>
        <b/>
        <sz val="10"/>
        <rFont val="Arial"/>
        <family val="2"/>
      </rPr>
      <t xml:space="preserve"> </t>
    </r>
    <r>
      <rPr>
        <b/>
        <vertAlign val="superscript"/>
        <sz val="10"/>
        <rFont val="Arial"/>
        <family val="2"/>
      </rPr>
      <t>3</t>
    </r>
  </si>
  <si>
    <t>Quelle: Bundesbeiträge: KVG-Verteilmodell für das Jahr 2011</t>
  </si>
  <si>
    <r>
      <t xml:space="preserve">       </t>
    </r>
    <r>
      <rPr>
        <sz val="12"/>
        <rFont val="Arial"/>
        <family val="2"/>
      </rPr>
      <t xml:space="preserve">    </t>
    </r>
    <r>
      <rPr>
        <sz val="10"/>
        <rFont val="Arial"/>
        <family val="2"/>
      </rPr>
      <t>Kantonsbeiträge: Erhebung der Prämienverbilligung in der Krankenversicherung, BAG: Formular PV 1</t>
    </r>
  </si>
  <si>
    <t xml:space="preserve">1) Mittlere Wohnbevölkerung 2009: Durchschnittliche Wohnbevölkerung in einem bestimmten Gebiet nach wirtschaftlichem Wohnsitz; </t>
  </si>
  <si>
    <t xml:space="preserve">    Quelle: BFS Sektion Bevölkerungsentwicklung und versicherte Grenzgänger 2009 und deren Familienangehörige; Quelle: EF S 3, 2009.</t>
  </si>
  <si>
    <t>2) Ohne Zahlungen der Kantone für ausstehende Forderungen aus der OKP. Zu den Zahlungsausständen vgl. T 4.10 und T 4.11.</t>
  </si>
  <si>
    <t>3) Ab 1.1.2008 wird die Prämienverbilligung nach der Neugestaltung des Finanzausgleichs und der Aufgabenteilung</t>
  </si>
  <si>
    <r>
      <t xml:space="preserve">   </t>
    </r>
    <r>
      <rPr>
        <sz val="8"/>
        <rFont val="Arial"/>
        <family val="2"/>
      </rPr>
      <t xml:space="preserve">  </t>
    </r>
    <r>
      <rPr>
        <sz val="10"/>
        <rFont val="Arial"/>
        <family val="2"/>
      </rPr>
      <t>zwischen Bund und Kantonen (NFA) berechnet. Vgl. Erläuterungen im Anhang H.</t>
    </r>
  </si>
  <si>
    <r>
      <t xml:space="preserve">T 4.06 Ausbezahlter Betrag nach Kanton in Mio. Franken </t>
    </r>
    <r>
      <rPr>
        <b/>
        <vertAlign val="superscript"/>
        <sz val="12"/>
        <rFont val="Arial"/>
        <family val="2"/>
      </rPr>
      <t>1</t>
    </r>
  </si>
  <si>
    <t>Bezüger</t>
  </si>
  <si>
    <t xml:space="preserve">davon </t>
  </si>
  <si>
    <t>(26 Jahre</t>
  </si>
  <si>
    <t xml:space="preserve">Alter </t>
  </si>
  <si>
    <t>Bezüger von</t>
  </si>
  <si>
    <t>Sozialhilfe-</t>
  </si>
  <si>
    <t>Bezüger, deren</t>
  </si>
  <si>
    <t>und älter)</t>
  </si>
  <si>
    <t>Ergänzungs-</t>
  </si>
  <si>
    <t>bezüger</t>
  </si>
  <si>
    <t>OKP-Prämien</t>
  </si>
  <si>
    <t>vollumfänglich</t>
  </si>
  <si>
    <t>verbilligt werden</t>
  </si>
  <si>
    <r>
      <t xml:space="preserve">CH </t>
    </r>
    <r>
      <rPr>
        <b/>
        <vertAlign val="superscript"/>
        <sz val="11"/>
        <rFont val="Arial"/>
        <family val="2"/>
      </rPr>
      <t>2</t>
    </r>
  </si>
  <si>
    <t>Quelle: Erhebung der Prämienverbilligung in der Krankenversicherung, BAG: Formular PV 2.1</t>
  </si>
  <si>
    <r>
      <t xml:space="preserve">2) Angaben 2011 unvollständig in einigen Kantonen und damit auch für CH. </t>
    </r>
    <r>
      <rPr>
        <i/>
        <sz val="10"/>
        <rFont val="Arial"/>
        <family val="2"/>
      </rPr>
      <t>(kursiv)</t>
    </r>
  </si>
  <si>
    <r>
      <t xml:space="preserve">T 4.05 Anzahl subventionierte Haushalte </t>
    </r>
    <r>
      <rPr>
        <b/>
        <vertAlign val="superscript"/>
        <sz val="12"/>
        <rFont val="Arial"/>
        <family val="2"/>
      </rPr>
      <t>1</t>
    </r>
    <r>
      <rPr>
        <b/>
        <sz val="12"/>
        <rFont val="Arial"/>
        <family val="2"/>
      </rPr>
      <t xml:space="preserve">  nach ausbezahltem Jahresbetrag und Kanton</t>
    </r>
  </si>
  <si>
    <t xml:space="preserve">Kanton </t>
  </si>
  <si>
    <r>
      <t xml:space="preserve">        Haushalte mit ausbezahltem Jahresbetrag in Franken </t>
    </r>
    <r>
      <rPr>
        <vertAlign val="superscript"/>
        <sz val="11"/>
        <rFont val="Arial"/>
        <family val="2"/>
      </rPr>
      <t>2</t>
    </r>
  </si>
  <si>
    <t>1 - 600</t>
  </si>
  <si>
    <t>601 -</t>
  </si>
  <si>
    <t>1'201 -</t>
  </si>
  <si>
    <t>2'401 -</t>
  </si>
  <si>
    <t>3'601 -</t>
  </si>
  <si>
    <t>4'801 -</t>
  </si>
  <si>
    <t>6'001 -</t>
  </si>
  <si>
    <t>Jahresbetrag</t>
  </si>
  <si>
    <t>Haushalte</t>
  </si>
  <si>
    <t>Quelle: Erhebung der Prämienverbilligung in der Krankenversicherung, BAG: Formular PV 2.2</t>
  </si>
  <si>
    <t>1) Anzahl subventionierte Haushalte im Sinne der kantonalen Regelungen zur Prämienverbilligung.</t>
  </si>
  <si>
    <r>
      <t xml:space="preserve">T 4.04 Anzahl subventionierte Haushalte </t>
    </r>
    <r>
      <rPr>
        <b/>
        <vertAlign val="superscript"/>
        <sz val="12"/>
        <rFont val="Arial"/>
        <family val="2"/>
      </rPr>
      <t>1</t>
    </r>
    <r>
      <rPr>
        <b/>
        <sz val="12"/>
        <rFont val="Arial"/>
        <family val="2"/>
      </rPr>
      <t xml:space="preserve"> nach Haushaltstyp und Kanton</t>
    </r>
  </si>
  <si>
    <r>
      <t xml:space="preserve">  Anzahl subventionierte Haushalte</t>
    </r>
    <r>
      <rPr>
        <sz val="11"/>
        <rFont val="Arial"/>
        <family val="2"/>
      </rPr>
      <t xml:space="preserve"> mit Personen:</t>
    </r>
  </si>
  <si>
    <t>1 Erwach-</t>
  </si>
  <si>
    <t>2 Erwach-</t>
  </si>
  <si>
    <t xml:space="preserve">sener </t>
  </si>
  <si>
    <t>sener und</t>
  </si>
  <si>
    <t xml:space="preserve">sener und </t>
  </si>
  <si>
    <t xml:space="preserve">sene ohne </t>
  </si>
  <si>
    <t>sene und</t>
  </si>
  <si>
    <t xml:space="preserve">sene und </t>
  </si>
  <si>
    <t>mit Anzahl</t>
  </si>
  <si>
    <t>alleine</t>
  </si>
  <si>
    <t>1 Kind</t>
  </si>
  <si>
    <t>2 Kinder</t>
  </si>
  <si>
    <t>3 od. mehr</t>
  </si>
  <si>
    <t>Personen</t>
  </si>
  <si>
    <r>
      <t>Im Jahr ausbezahlter  Betrag in Mio. Franken</t>
    </r>
    <r>
      <rPr>
        <vertAlign val="superscript"/>
        <sz val="11"/>
        <rFont val="Arial"/>
        <family val="2"/>
      </rPr>
      <t xml:space="preserve"> 2 </t>
    </r>
    <r>
      <rPr>
        <sz val="11"/>
        <rFont val="Arial"/>
        <family val="2"/>
      </rPr>
      <t xml:space="preserve"> (CH)</t>
    </r>
  </si>
  <si>
    <r>
      <t>2) Angaben 2011 unvollständig in einigen Kantonen und damit auch für CH.</t>
    </r>
    <r>
      <rPr>
        <i/>
        <sz val="10"/>
        <rFont val="Arial"/>
        <family val="2"/>
      </rPr>
      <t xml:space="preserve"> (kursiv) </t>
    </r>
    <r>
      <rPr>
        <sz val="10"/>
        <rFont val="Arial"/>
        <family val="2"/>
      </rPr>
      <t>Ohne Zahlungen der Kantone für ausstehende Forderungen aus der OKP.</t>
    </r>
  </si>
  <si>
    <t xml:space="preserve">   Zu den Zahlungsausständen vgl. T 4.10 und T 4.11.</t>
  </si>
  <si>
    <t>T 4.03 Anzahl Bezüger nach Geschlecht und Altersklasse</t>
  </si>
  <si>
    <r>
      <t xml:space="preserve">Bezüger </t>
    </r>
    <r>
      <rPr>
        <vertAlign val="superscript"/>
        <sz val="11"/>
        <rFont val="Arial"/>
        <family val="2"/>
      </rPr>
      <t>1</t>
    </r>
  </si>
  <si>
    <r>
      <t xml:space="preserve">Bezügerquote </t>
    </r>
    <r>
      <rPr>
        <vertAlign val="superscript"/>
        <sz val="11"/>
        <rFont val="Arial"/>
        <family val="2"/>
      </rPr>
      <t>2</t>
    </r>
  </si>
  <si>
    <t>Im Jahr aus-</t>
  </si>
  <si>
    <t>pro Altersklasse</t>
  </si>
  <si>
    <t>bezahlter Betrag</t>
  </si>
  <si>
    <r>
      <t>in Mio. Franken</t>
    </r>
    <r>
      <rPr>
        <vertAlign val="superscript"/>
        <sz val="11"/>
        <rFont val="Arial"/>
        <family val="2"/>
      </rPr>
      <t xml:space="preserve"> 3</t>
    </r>
  </si>
  <si>
    <t xml:space="preserve">  0 – 18</t>
  </si>
  <si>
    <t>19 – 25</t>
  </si>
  <si>
    <t>91 und mehr</t>
  </si>
  <si>
    <t>Alter unbekannt</t>
  </si>
  <si>
    <t>Quelle: Erhebung der Prämienverbilligung in der Krankenversicherung, BAG: Formular PV 2.1 und T 11.15</t>
  </si>
  <si>
    <t>1) Ohne Versicherte mit ausstehenden Forderungen aus der OKP. Zu den Zahlungsausständen vgl. T 4.10 und T 4.11.</t>
  </si>
  <si>
    <t>2) Bezügerquoten (Anzahl Bezüger in Prozent des durchschnittlichen Versichertenbestandes)  0-18 -&gt; 91 und mehr unterschätzt</t>
  </si>
  <si>
    <r>
      <t xml:space="preserve">    wegen der Kategorie "Alter unbekannt".</t>
    </r>
    <r>
      <rPr>
        <i/>
        <sz val="10"/>
        <rFont val="Arial"/>
        <family val="2"/>
      </rPr>
      <t xml:space="preserve"> (kursiv)</t>
    </r>
  </si>
  <si>
    <r>
      <t>3) Angaben 2011 unvollständig in einigen Kantonen.</t>
    </r>
    <r>
      <rPr>
        <i/>
        <sz val="10"/>
        <rFont val="Arial"/>
        <family val="2"/>
      </rPr>
      <t xml:space="preserve"> (kursiv)</t>
    </r>
  </si>
  <si>
    <t>T 4.02 Anzahl Bezüger nach Kanton</t>
  </si>
  <si>
    <t>Bezüger-</t>
  </si>
  <si>
    <r>
      <t>quote</t>
    </r>
    <r>
      <rPr>
        <vertAlign val="superscript"/>
        <sz val="10"/>
        <rFont val="Arial"/>
        <family val="2"/>
      </rPr>
      <t xml:space="preserve"> </t>
    </r>
    <r>
      <rPr>
        <vertAlign val="superscript"/>
        <sz val="11"/>
        <rFont val="Arial"/>
        <family val="2"/>
      </rPr>
      <t>2</t>
    </r>
  </si>
  <si>
    <t>Quelle: Erhebung der Prämienverbilligung in der Krankenversicherung, BAG: Formular PV 2.1 und T 11.14</t>
  </si>
  <si>
    <t>1) Anzahl Personen, an welche im Berichtsjahr Subventionen nach KVG ausgerichtet wurden. Ohne Versicherte mit</t>
  </si>
  <si>
    <t xml:space="preserve">   ausstehenden Forderungen aus der OKP. Zu den Zahlungsausständen vgl. T 4.10 und T 4.11.</t>
  </si>
  <si>
    <t>2) Total der Bezüger in Prozent des durchschnittlichen Versichertenbestandes.</t>
  </si>
  <si>
    <t>T 4.11 Zahlungen der Kantone für ausstehende Forderungen aus der OKP seit 2006</t>
  </si>
  <si>
    <r>
      <t xml:space="preserve">Kostenvolumen in Mio. Franken </t>
    </r>
    <r>
      <rPr>
        <vertAlign val="superscript"/>
        <sz val="11"/>
        <rFont val="Arial"/>
        <family val="2"/>
      </rPr>
      <t>1</t>
    </r>
  </si>
  <si>
    <t>Quelle: Erhebung der Prämienverbilligung in der Krankenversicherung, BAG: Formular PV 2.1.</t>
  </si>
  <si>
    <t>1) Prämien und Kostenbeteiligungen sowie Verzugszinse und Betreibungskosten, gemäss Art. 105c Abs. 6 KVV.</t>
  </si>
  <si>
    <t xml:space="preserve">    In T 11.11 sind die Anzahl der Versicherten, die im betrachteten Jahr von den Versicherern betrieben wurden und </t>
  </si>
  <si>
    <t xml:space="preserve">    das den Betreibungen unterliegende Prämienvolumen ausgewiesen. Die Zahlen sind daher nicht miteinander vergleichbar.</t>
  </si>
  <si>
    <r>
      <t xml:space="preserve">2) Angaben unvollständig in einigen Kantonen und damit auch für CH. </t>
    </r>
    <r>
      <rPr>
        <i/>
        <sz val="10"/>
        <rFont val="Arial"/>
        <family val="2"/>
      </rPr>
      <t>(kursiv)</t>
    </r>
  </si>
  <si>
    <r>
      <t>T 4.10 Versicherte mit ausstehenden Forderungen aus der OKP</t>
    </r>
    <r>
      <rPr>
        <b/>
        <vertAlign val="superscript"/>
        <sz val="12"/>
        <rFont val="Arial"/>
        <family val="2"/>
      </rPr>
      <t xml:space="preserve"> </t>
    </r>
    <r>
      <rPr>
        <b/>
        <sz val="12"/>
        <rFont val="Arial"/>
        <family val="2"/>
      </rPr>
      <t>nach Kanton</t>
    </r>
  </si>
  <si>
    <r>
      <t xml:space="preserve">Versicherte mit Zahlungsausständen </t>
    </r>
    <r>
      <rPr>
        <vertAlign val="superscript"/>
        <sz val="11"/>
        <rFont val="Arial"/>
        <family val="2"/>
      </rPr>
      <t>1</t>
    </r>
  </si>
  <si>
    <r>
      <t xml:space="preserve">Betrag </t>
    </r>
    <r>
      <rPr>
        <b/>
        <vertAlign val="superscript"/>
        <sz val="11"/>
        <rFont val="Arial"/>
        <family val="2"/>
      </rPr>
      <t>2</t>
    </r>
  </si>
  <si>
    <r>
      <t>CH</t>
    </r>
    <r>
      <rPr>
        <b/>
        <vertAlign val="superscript"/>
        <sz val="11"/>
        <rFont val="Arial"/>
        <family val="2"/>
      </rPr>
      <t xml:space="preserve"> 3</t>
    </r>
  </si>
  <si>
    <t>1) Versicherte mit Zahlungsausständen, für die der Kanton 2011 die Kosten bezahlt hat.</t>
  </si>
  <si>
    <t>2) Prämien und Kostenbeteiligungen sowie Verzugszinse und Betreibungskosten, gemäss Art. 105c Abs. 6 KVV.</t>
  </si>
  <si>
    <t xml:space="preserve">    In T 11.11 sind die Anzahl der Versicherten, die im betrachteten Jahr von den Versicherern betrieben wurden und das</t>
  </si>
  <si>
    <t xml:space="preserve">    den Betreibungen unterliegende Prämienvolumen ausgewiesen. Die Zahlen sind daher nicht miteinander vergleichbar.</t>
  </si>
  <si>
    <t xml:space="preserve">3) Das Total der Personen mit Zahlungsausständen entspricht nicht der Summe Männer + Frauen, da die Verteilung nach </t>
  </si>
  <si>
    <t xml:space="preserve">    Geschlecht nicht bei allen Kantonen verfügbar ist.</t>
  </si>
  <si>
    <r>
      <t xml:space="preserve">    Angaben unvollständig in einigen Kantonen und damit auch für CH. </t>
    </r>
    <r>
      <rPr>
        <i/>
        <sz val="10"/>
        <rFont val="Arial"/>
        <family val="2"/>
      </rPr>
      <t>(kursiv)</t>
    </r>
  </si>
  <si>
    <t>Ausbezahlte</t>
  </si>
  <si>
    <t>Anzahl</t>
  </si>
  <si>
    <t>Subvention</t>
  </si>
  <si>
    <t>Anzahl sub-</t>
  </si>
  <si>
    <t>Subventionen</t>
  </si>
  <si>
    <t>davon Anteil</t>
  </si>
  <si>
    <r>
      <t xml:space="preserve">quote </t>
    </r>
    <r>
      <rPr>
        <vertAlign val="superscript"/>
        <sz val="11"/>
        <rFont val="Arial"/>
        <family val="2"/>
      </rPr>
      <t>2</t>
    </r>
  </si>
  <si>
    <t>ventionierte</t>
  </si>
  <si>
    <r>
      <t xml:space="preserve">nach KVG </t>
    </r>
    <r>
      <rPr>
        <vertAlign val="superscript"/>
        <sz val="11"/>
        <rFont val="Arial"/>
        <family val="2"/>
      </rPr>
      <t>1</t>
    </r>
  </si>
  <si>
    <t>in Mio. Franken</t>
  </si>
  <si>
    <t>Quelle:  T 4.02, 4.04, 4.07 und 4.08</t>
  </si>
  <si>
    <t>1) Effektiv im Berichtsjahr an die Haushalte/Bezüger ausbezahlte Prämienverbilligungen nach KVG. Ab 2011 ohne Zahlungen</t>
  </si>
  <si>
    <t xml:space="preserve">   der Kantone für ausstehende Forderungen aus der OKP. Zu den Zahlungsausständen vgl. T 4.10 und T 4.11.</t>
  </si>
  <si>
    <t xml:space="preserve">   Die Werte für 2004 wurden revidiert.</t>
  </si>
  <si>
    <t xml:space="preserve">2) Anzahl Bezüger in Prozent des durchschnittlichen Versichertenbestandes (2001-&gt;2008: revidierte Zahlen). </t>
  </si>
  <si>
    <t>4: Prämienverbilligung in der OKP</t>
  </si>
  <si>
    <t>Anzahl Bezüger nach Kanton</t>
  </si>
  <si>
    <t>Anzahl Bezüger nach Geschlecht und Altersklasse</t>
  </si>
  <si>
    <t xml:space="preserve">Anzahl subventionierte Haushalte nach Haushaltstyp und Kanton </t>
  </si>
  <si>
    <t>Anzahl subventionierte Haushalte nach ausbezahltem Jahresbetrag und Kanton</t>
  </si>
  <si>
    <t>Ausbezahlter Betrag nach Kanton in Mio. Franken</t>
  </si>
  <si>
    <t xml:space="preserve">KVG-Verteilmodell: Berechnungsbasis sowie Bundes- und Kantonsbeiträge </t>
  </si>
  <si>
    <t xml:space="preserve">Prämienverbilligung OKP: effektiv ausgerichtete Beiträge nach Kanton </t>
  </si>
  <si>
    <t>KVG-Verteilmodell: Bundesbeiträge 2011 - 2013</t>
  </si>
  <si>
    <t>Versicherte mit ausstehenden Forderungen aus der OKP nach Kanton</t>
  </si>
  <si>
    <t>Zahlungen der Kantone für ausstehende Forderungen aus der OKP seit 2006</t>
  </si>
  <si>
    <r>
      <t xml:space="preserve">Anzahl Bezüger, subventionierte Haushalte sowie ausgerichtete Subventionen ab </t>
    </r>
    <r>
      <rPr>
        <sz val="10"/>
        <color indexed="10"/>
        <rFont val="Arial"/>
        <family val="2"/>
      </rPr>
      <t>1996</t>
    </r>
  </si>
  <si>
    <r>
      <t xml:space="preserve">T 4.01 Anzahl Bezüger, Bezügerquoten, subventionierte Haushalte sowie ausgerichtete Subventionen nach KVG ab </t>
    </r>
    <r>
      <rPr>
        <b/>
        <sz val="12"/>
        <color indexed="10"/>
        <rFont val="Arial"/>
        <family val="2"/>
      </rPr>
      <t>1996</t>
    </r>
  </si>
  <si>
    <t>26.2.13: 10.02, 10.05</t>
  </si>
  <si>
    <t>19.11.12: 12.04, T4, 4.01</t>
  </si>
  <si>
    <t>T 8.03  Stellen, Personal und Löhne in der OKP ab 2001</t>
  </si>
  <si>
    <r>
      <t>Jahr</t>
    </r>
    <r>
      <rPr>
        <vertAlign val="superscript"/>
        <sz val="11"/>
        <rFont val="Arial"/>
        <family val="2"/>
      </rPr>
      <t xml:space="preserve"> 1</t>
    </r>
  </si>
  <si>
    <t xml:space="preserve"> Verwaltung / Hauptsitz</t>
  </si>
  <si>
    <t xml:space="preserve"> Sektionen / Agenturen </t>
  </si>
  <si>
    <t xml:space="preserve">         Total             </t>
  </si>
  <si>
    <r>
      <t xml:space="preserve">  Bruttogehälter in Mio. Fr. </t>
    </r>
    <r>
      <rPr>
        <vertAlign val="superscript"/>
        <sz val="9"/>
        <rFont val="Arial"/>
        <family val="2"/>
      </rPr>
      <t xml:space="preserve">3 </t>
    </r>
  </si>
  <si>
    <r>
      <t xml:space="preserve"> Mittleres Bruttogehalt in Fr. </t>
    </r>
    <r>
      <rPr>
        <vertAlign val="superscript"/>
        <sz val="10"/>
        <rFont val="55 Helvetica Roman"/>
      </rPr>
      <t>4</t>
    </r>
  </si>
  <si>
    <t>Stellen</t>
  </si>
  <si>
    <t>pro Stelle</t>
  </si>
  <si>
    <r>
      <t xml:space="preserve">davon Kader </t>
    </r>
    <r>
      <rPr>
        <i/>
        <vertAlign val="superscript"/>
        <sz val="9"/>
        <rFont val="Arial"/>
        <family val="2"/>
      </rPr>
      <t>2</t>
    </r>
  </si>
  <si>
    <t xml:space="preserve">(Hauptsitz und </t>
  </si>
  <si>
    <t>(Total)</t>
  </si>
  <si>
    <r>
      <t xml:space="preserve">(Kader </t>
    </r>
    <r>
      <rPr>
        <vertAlign val="superscript"/>
        <sz val="9"/>
        <rFont val="Arial"/>
        <family val="2"/>
      </rPr>
      <t>2</t>
    </r>
    <r>
      <rPr>
        <sz val="9"/>
        <rFont val="Arial"/>
        <family val="2"/>
      </rPr>
      <t>)</t>
    </r>
  </si>
  <si>
    <t>Agenturen)</t>
  </si>
  <si>
    <t>copie coller valeurs</t>
  </si>
  <si>
    <t>1) Ab 2001 nur obligatorische Grundversicherung OKP.</t>
  </si>
  <si>
    <t>2) Mitglieder der Direktion und der Räte (Verwaltungsrat, Stiftungsrat…)</t>
  </si>
  <si>
    <t>3) Angaben unvollständig.</t>
  </si>
  <si>
    <t>4) Schätzungen aufgrund der Versicherer, die vollständige Angaben geliefert haben (2007-&gt;10 Total: ~ 50 Versicherer / Kader : ~35 Versicherer).</t>
  </si>
  <si>
    <t>Quelle: Formular EF 3.10.3</t>
  </si>
  <si>
    <r>
      <t xml:space="preserve">T 9.07 Gesamtbeitrag je versicherte Person (Prämie + Kostenbeteiligung </t>
    </r>
    <r>
      <rPr>
        <b/>
        <vertAlign val="superscript"/>
        <sz val="12"/>
        <rFont val="Arial"/>
        <family val="2"/>
      </rPr>
      <t xml:space="preserve">1 </t>
    </r>
    <r>
      <rPr>
        <b/>
        <sz val="12"/>
        <rFont val="Arial"/>
        <family val="2"/>
      </rPr>
      <t>) nach Versicherungsform ab 2001</t>
    </r>
  </si>
  <si>
    <t>Quelle: T 3.05 + 2.02</t>
  </si>
  <si>
    <t>Zusätzliche Angaben nach Altersgruppe</t>
  </si>
  <si>
    <t>T 9.06 Index der Krankenpflegekosten, der Krankenversicherungsausgaben der Versicherten sowie der Löhne ab 1996  (1996 = 100)</t>
  </si>
  <si>
    <t>Pflege-</t>
  </si>
  <si>
    <t>Gesundheits-</t>
  </si>
  <si>
    <t>Ausgaben der</t>
  </si>
  <si>
    <t>OKP-</t>
  </si>
  <si>
    <t>BFS-Lohn-</t>
  </si>
  <si>
    <t>kosten-</t>
  </si>
  <si>
    <t>wesen Kosten-</t>
  </si>
  <si>
    <r>
      <t xml:space="preserve">index </t>
    </r>
    <r>
      <rPr>
        <vertAlign val="superscript"/>
        <sz val="11"/>
        <rFont val="Arial"/>
        <family val="2"/>
      </rPr>
      <t>5</t>
    </r>
  </si>
  <si>
    <t>index</t>
  </si>
  <si>
    <r>
      <t xml:space="preserve">index </t>
    </r>
    <r>
      <rPr>
        <vertAlign val="superscript"/>
        <sz val="11"/>
        <rFont val="Arial"/>
        <family val="2"/>
      </rPr>
      <t>2</t>
    </r>
  </si>
  <si>
    <t>in der OKP</t>
  </si>
  <si>
    <t>OKP</t>
  </si>
  <si>
    <t>(nominal)</t>
  </si>
  <si>
    <t>Index</t>
  </si>
  <si>
    <r>
      <t xml:space="preserve">OKP </t>
    </r>
    <r>
      <rPr>
        <vertAlign val="superscript"/>
        <sz val="11"/>
        <rFont val="Arial"/>
        <family val="2"/>
      </rPr>
      <t>1</t>
    </r>
  </si>
  <si>
    <r>
      <t xml:space="preserve">Index </t>
    </r>
    <r>
      <rPr>
        <vertAlign val="superscript"/>
        <sz val="11"/>
        <rFont val="Arial"/>
        <family val="2"/>
      </rPr>
      <t>3</t>
    </r>
  </si>
  <si>
    <r>
      <t xml:space="preserve">Index </t>
    </r>
    <r>
      <rPr>
        <vertAlign val="superscript"/>
        <sz val="11"/>
        <rFont val="Arial"/>
        <family val="2"/>
      </rPr>
      <t>6</t>
    </r>
  </si>
  <si>
    <r>
      <t xml:space="preserve">Index </t>
    </r>
    <r>
      <rPr>
        <vertAlign val="superscript"/>
        <sz val="11"/>
        <rFont val="Arial"/>
        <family val="2"/>
      </rPr>
      <t>4</t>
    </r>
  </si>
  <si>
    <r>
      <t xml:space="preserve">OKP </t>
    </r>
    <r>
      <rPr>
        <vertAlign val="superscript"/>
        <sz val="11"/>
        <rFont val="Arial"/>
        <family val="2"/>
      </rPr>
      <t>7</t>
    </r>
  </si>
  <si>
    <t>1) Quelle: T 2.15. Entwicklung der Bruttoleistungen pro versicherte Person (erfasst mit der Kostenbeteiligung der Versicherten).</t>
  </si>
  <si>
    <r>
      <t xml:space="preserve">2) Quelle: T 9.15. Entwicklung pro Einwohner. </t>
    </r>
    <r>
      <rPr>
        <i/>
        <sz val="10"/>
        <rFont val="Arial"/>
        <family val="2"/>
      </rPr>
      <t>2011: keine Daten verfügbar.</t>
    </r>
  </si>
  <si>
    <t>3) Quelle: T 9.07. OKP Ausgaben = Prämien + Kostenbeteiligung (berücksichtigt nur die beim Versicherer eingereichten Rechnungen).</t>
  </si>
  <si>
    <t>4) Quelle: T 2.02. Berücksichtigt nur die bei dem Versicherer eingereichten Rechnungen.</t>
  </si>
  <si>
    <t>5) Quelle: BFS, Sektion Löhne und Arbeitsbedingungen.</t>
  </si>
  <si>
    <t>6) Quelle: T 3.05. Entwicklung pro versicherte Person für alle Versicherungsmodelle.</t>
  </si>
  <si>
    <t>7) Quelle: T 2.21. Entwicklung der Bruttoleistungen pro versicherte Person (erfasst ohne die Kostenbeteiligung der Versicherten).</t>
  </si>
  <si>
    <t>T 9.05 Index der Krankenversicherungsprämien je versicherte Person nach Versicherungsart ab 2001 (Basis 1999 = 100)</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</si>
  <si>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</si>
  <si>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</si>
  <si>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t xml:space="preserve">Kinder </t>
  </si>
  <si>
    <t>allgemein</t>
  </si>
  <si>
    <t>halbprivat</t>
  </si>
  <si>
    <t>privat</t>
  </si>
  <si>
    <t>(ganze CH)</t>
  </si>
  <si>
    <t>Veränderung gegenüber dem Vorjahr</t>
  </si>
  <si>
    <t>Einfluss auf das</t>
  </si>
  <si>
    <t>verfügbares</t>
  </si>
  <si>
    <t>Einkommen</t>
  </si>
  <si>
    <r>
      <t xml:space="preserve">in %  </t>
    </r>
    <r>
      <rPr>
        <vertAlign val="superscript"/>
        <sz val="10"/>
        <rFont val="Arial"/>
        <family val="2"/>
      </rPr>
      <t>1</t>
    </r>
  </si>
  <si>
    <r>
      <t xml:space="preserve">2012 </t>
    </r>
    <r>
      <rPr>
        <vertAlign val="superscript"/>
        <sz val="11"/>
        <rFont val="Arial"/>
        <family val="2"/>
      </rPr>
      <t>4</t>
    </r>
  </si>
  <si>
    <t>1) Auswirkung der Prämienentwicklung auf das Wachstum des verfügbaren Einkommens der Haushalte in %. Quelle: Siehe 3).</t>
  </si>
  <si>
    <r>
      <t xml:space="preserve">2) Quelle: T 3.05. </t>
    </r>
    <r>
      <rPr>
        <u/>
        <sz val="10"/>
        <rFont val="55 Helvetica Roman"/>
      </rPr>
      <t>Effektive</t>
    </r>
    <r>
      <rPr>
        <sz val="10"/>
        <rFont val="55 Helvetica Roman"/>
      </rPr>
      <t xml:space="preserve"> Erhöhungen für alle Versicherungsarten.</t>
    </r>
  </si>
  <si>
    <r>
      <t xml:space="preserve">Werte der </t>
    </r>
    <r>
      <rPr>
        <u/>
        <sz val="10"/>
        <rFont val="Arial"/>
        <family val="2"/>
      </rPr>
      <t>geschätzten</t>
    </r>
    <r>
      <rPr>
        <sz val="10"/>
        <rFont val="Arial"/>
        <family val="2"/>
      </rPr>
      <t xml:space="preserve"> Erhöhung der Prämien pro Altersgruppe für die ordentliche Franchise: vgl. T 3.01.</t>
    </r>
  </si>
  <si>
    <t>3) Quelle: BFS, Sektion Preise. Krankenversicherungsprämienindex (KVPI) [Medienmitteilung 11/12].</t>
  </si>
  <si>
    <r>
      <t xml:space="preserve">4) OKP: </t>
    </r>
    <r>
      <rPr>
        <i/>
        <sz val="10"/>
        <rFont val="Arial"/>
        <family val="2"/>
      </rPr>
      <t>Schätzung:</t>
    </r>
    <r>
      <rPr>
        <sz val="10"/>
        <rFont val="Arial"/>
        <family val="2"/>
      </rPr>
      <t xml:space="preserve"> Quelle: Siehe 3). Siehe auch Beilage J (Schätzung, pro versicherte Person).</t>
    </r>
  </si>
  <si>
    <r>
      <t xml:space="preserve">T 9.04  Entwicklung der Preisindizes für Gesundheitspflege ab 2001  (1996 = 100) </t>
    </r>
    <r>
      <rPr>
        <b/>
        <vertAlign val="superscript"/>
        <sz val="12"/>
        <rFont val="Arial"/>
        <family val="2"/>
      </rPr>
      <t>1</t>
    </r>
  </si>
  <si>
    <t>Ärztliche Leistungen</t>
  </si>
  <si>
    <t>Zahnärztliche Leistungen</t>
  </si>
  <si>
    <t>Spital-leistungen</t>
  </si>
  <si>
    <t>Medizinische Apparate</t>
  </si>
  <si>
    <t>Andere Gesundheits-leistungen</t>
  </si>
  <si>
    <t>Gesundheits-pflege (Total)</t>
  </si>
  <si>
    <t>Landesindex der Konsu-mentenpreise 
(LIK)</t>
  </si>
  <si>
    <t>Vorjahresveränderung der Preisindizes für Gesundheitspflege</t>
  </si>
  <si>
    <t>Landesindex 
der Konsu-
mentenpreise 
(LIK)</t>
  </si>
  <si>
    <t>1) Basis des Indexes der Konsumentenpreise: Dezember 2010 = 100. Indizes neu berechnet auf der Basis Jahresdurchschnitt 1996 = 100.</t>
  </si>
  <si>
    <t>Methode zur Ermittlung des Index  "Gesundheitspflege":</t>
  </si>
  <si>
    <t>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</si>
  <si>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</si>
  <si>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</si>
  <si>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</si>
  <si>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</si>
  <si>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</si>
  <si>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</si>
  <si>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</si>
  <si>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</si>
  <si>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</si>
  <si>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 xml:space="preserve"> - Andere Gesundheitsleistungen: Kostenermittlung nach den typischen Leistungen in den Bereichen Physiotherapie, Labor und Spitex. </t>
  </si>
  <si>
    <t>Quelle: BFS, Sektion Preise.</t>
  </si>
  <si>
    <r>
      <t xml:space="preserve">T 9.03 KVG-Versicherer </t>
    </r>
    <r>
      <rPr>
        <b/>
        <vertAlign val="superscript"/>
        <sz val="12"/>
        <rFont val="Arial"/>
        <family val="2"/>
      </rPr>
      <t>1</t>
    </r>
    <r>
      <rPr>
        <b/>
        <sz val="12"/>
        <rFont val="Arial"/>
        <family val="2"/>
      </rPr>
      <t xml:space="preserve"> : Spitalzusatzversicherungen seit 2001 in % der OKP-Versicherten</t>
    </r>
  </si>
  <si>
    <r>
      <t xml:space="preserve">Versicherte mit Grundversicherung </t>
    </r>
    <r>
      <rPr>
        <sz val="11"/>
        <rFont val="Arial"/>
        <family val="2"/>
      </rPr>
      <t xml:space="preserve">(bei dem selben KVG-Versicherer) </t>
    </r>
    <r>
      <rPr>
        <vertAlign val="superscript"/>
        <sz val="11"/>
        <rFont val="Arial"/>
        <family val="2"/>
      </rPr>
      <t>2</t>
    </r>
  </si>
  <si>
    <r>
      <t xml:space="preserve">Versicherte ohne Grundversicherung </t>
    </r>
    <r>
      <rPr>
        <sz val="11"/>
        <rFont val="Arial"/>
        <family val="2"/>
      </rPr>
      <t xml:space="preserve">(bei dem selben KVG-Versicherer) </t>
    </r>
    <r>
      <rPr>
        <vertAlign val="superscript"/>
        <sz val="11"/>
        <rFont val="Arial"/>
        <family val="2"/>
      </rPr>
      <t>4</t>
    </r>
  </si>
  <si>
    <r>
      <t xml:space="preserve">OKP </t>
    </r>
    <r>
      <rPr>
        <vertAlign val="superscript"/>
        <sz val="11"/>
        <rFont val="Arial"/>
        <family val="2"/>
      </rPr>
      <t>3</t>
    </r>
  </si>
  <si>
    <t>Besondere</t>
  </si>
  <si>
    <t>per 31.12</t>
  </si>
  <si>
    <r>
      <t xml:space="preserve">Angebote </t>
    </r>
    <r>
      <rPr>
        <vertAlign val="superscript"/>
        <sz val="11"/>
        <rFont val="Arial"/>
        <family val="2"/>
      </rPr>
      <t>5</t>
    </r>
  </si>
  <si>
    <t>ganze CH</t>
  </si>
  <si>
    <t>1) KVG-Versicherer: nur Spitalzusatzversicherungen, die den Versicherten von den KVG-Versicherern angeboten werden,</t>
  </si>
  <si>
    <t xml:space="preserve">   zum Teil über Drittversicherer (Gesellschaften, die dem VVG unterstellt sind).</t>
  </si>
  <si>
    <t xml:space="preserve">   Angaben der Privatversicherer: seit 2008 publiziert die FINMA keine Versichertenbestände mehr. Die Angaben von BAG/FINMA zu den Jahren 1996 -&gt; 2007 sind in der KV-Statistik BAG 2008 ersichtlich.</t>
  </si>
  <si>
    <t xml:space="preserve">   Folglich weisen die in dieser Tabelle enthaltenen Prozentwerte nur einen Teil der Versicherten aus, die eine Spitalzusatzversicherung abgeschlossen haben.</t>
  </si>
  <si>
    <t xml:space="preserve">   Kantonale Angaben zu den Spitalzusatzversicherungen stehen nicht zur Verfügung.</t>
  </si>
  <si>
    <t>2) Quelle: Bundesamt für Gesundheit (BAG), Formular EF3.7.3.</t>
  </si>
  <si>
    <t xml:space="preserve">   Es werden nur Versicherte berücksichtigt, welche die Zusatzversicherung beim gleichen Versicherer abgeschlossen haben wie die obligatorische Krankenpflegeversicherung.</t>
  </si>
  <si>
    <t>3) Quelle: T 11.06.</t>
  </si>
  <si>
    <t>4) Quelle: Bundesamt für Gesundheit (BAG), Formular EF3.7.3.</t>
  </si>
  <si>
    <t xml:space="preserve">   Nur Versicherte, welche die Zusatzversicherung bei einem anderen Versicherer abgeschlossen haben als die obligatorische Krankenpflegeversicherung.</t>
  </si>
  <si>
    <t>5) Besondere Versicherungsangebote :</t>
  </si>
  <si>
    <t xml:space="preserve">- Flex-Versicherung, bei der Versicherte von Fall zu Fall die Abteilung, in der sie behandelt werden wollen, und die dazu gehörige Franchise. </t>
  </si>
  <si>
    <t xml:space="preserve">  bzw. Kostenbeteiligung für die halbprivate oder private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</si>
  <si>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</si>
  <si>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</si>
  <si>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</si>
  <si>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t>T 9.02  Entwicklung der Wohnbevölkerung, der Ärzte mit Praxistätigkeit und der Apotheken ab 2001</t>
  </si>
  <si>
    <t xml:space="preserve"> Ärzte-</t>
  </si>
  <si>
    <r>
      <t xml:space="preserve">Veränderung </t>
    </r>
    <r>
      <rPr>
        <vertAlign val="superscript"/>
        <sz val="11"/>
        <rFont val="Arial"/>
        <family val="2"/>
      </rPr>
      <t>3</t>
    </r>
  </si>
  <si>
    <t>Apo-</t>
  </si>
  <si>
    <t>Wohn-</t>
  </si>
  <si>
    <r>
      <t xml:space="preserve">Ärzte </t>
    </r>
    <r>
      <rPr>
        <vertAlign val="superscript"/>
        <sz val="11"/>
        <rFont val="Arial"/>
        <family val="2"/>
      </rPr>
      <t>1</t>
    </r>
  </si>
  <si>
    <r>
      <t xml:space="preserve">dichte </t>
    </r>
    <r>
      <rPr>
        <vertAlign val="superscript"/>
        <sz val="11"/>
        <rFont val="Arial"/>
        <family val="2"/>
      </rPr>
      <t>2</t>
    </r>
  </si>
  <si>
    <t>Apothe-</t>
  </si>
  <si>
    <t>theken-</t>
  </si>
  <si>
    <t>bevölke-</t>
  </si>
  <si>
    <r>
      <t xml:space="preserve">ken </t>
    </r>
    <r>
      <rPr>
        <vertAlign val="superscript"/>
        <sz val="11"/>
        <rFont val="Arial"/>
        <family val="2"/>
      </rPr>
      <t>1</t>
    </r>
  </si>
  <si>
    <r>
      <t xml:space="preserve">dichte </t>
    </r>
    <r>
      <rPr>
        <vertAlign val="superscript"/>
        <sz val="11"/>
        <rFont val="Arial"/>
        <family val="2"/>
      </rPr>
      <t>4</t>
    </r>
  </si>
  <si>
    <r>
      <t xml:space="preserve">rung </t>
    </r>
    <r>
      <rPr>
        <vertAlign val="superscript"/>
        <sz val="11"/>
        <rFont val="Arial"/>
        <family val="2"/>
      </rPr>
      <t>1</t>
    </r>
  </si>
  <si>
    <t>1) Quelle: T 9.01</t>
  </si>
  <si>
    <t xml:space="preserve">    Ab 2008 ohne die Ärzte, die weder im ambulanten noch im stationären Sektor arbeiten (Versicherungen, Bundesverwaltung usw.).</t>
  </si>
  <si>
    <t>2) Anzahl Ärzte mit Praxistätigkeit pro 1'000 Einwohner.</t>
  </si>
  <si>
    <t>3) Veränderung der Dichte.</t>
  </si>
  <si>
    <t>4) Anzahl Apotheken (öffentliche Apotheken) pro 10'000 Einwohner.</t>
  </si>
  <si>
    <t xml:space="preserve">T 9.01  Wohnbevölkerung, Ärzte mit Praxistätigkeit und Apotheken nach Kanton </t>
  </si>
  <si>
    <t>Ärzte:</t>
  </si>
  <si>
    <t>Medika-</t>
  </si>
  <si>
    <t>Allge-</t>
  </si>
  <si>
    <t>Spezial-</t>
  </si>
  <si>
    <t>Ärzte mit</t>
  </si>
  <si>
    <r>
      <t xml:space="preserve">dichte </t>
    </r>
    <r>
      <rPr>
        <vertAlign val="superscript"/>
        <sz val="11"/>
        <rFont val="Arial"/>
        <family val="2"/>
      </rPr>
      <t>5</t>
    </r>
  </si>
  <si>
    <t>menten-</t>
  </si>
  <si>
    <t>mein-</t>
  </si>
  <si>
    <t>ärzte</t>
  </si>
  <si>
    <t>Praxistä-</t>
  </si>
  <si>
    <r>
      <t>ken</t>
    </r>
    <r>
      <rPr>
        <vertAlign val="superscript"/>
        <sz val="11"/>
        <rFont val="Arial"/>
        <family val="2"/>
      </rPr>
      <t xml:space="preserve"> 6</t>
    </r>
  </si>
  <si>
    <r>
      <t xml:space="preserve">verkauf </t>
    </r>
    <r>
      <rPr>
        <vertAlign val="superscript"/>
        <sz val="11"/>
        <rFont val="Arial"/>
        <family val="2"/>
      </rPr>
      <t>8</t>
    </r>
  </si>
  <si>
    <r>
      <t xml:space="preserve">dichte </t>
    </r>
    <r>
      <rPr>
        <vertAlign val="superscript"/>
        <sz val="11"/>
        <rFont val="Arial"/>
        <family val="2"/>
      </rPr>
      <t>7</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</si>
  <si>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</si>
  <si>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</si>
  <si>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</si>
  <si>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1) Durchschnittliche Wohnbevölkerung in einem bestimmten Gebiet nach wirtschaftlichem Wohnsitz.</t>
  </si>
  <si>
    <t xml:space="preserve">    Quelle: BFS Sektion Bevölkerungsentwicklung.</t>
  </si>
  <si>
    <t>2) Summe der Ärzte (mit Praxistätigkeit) mit Facharzttitel in Allgemeinmedizin und der Ärzte (mit Praxistätigkeit) ohne Facharzttitel.</t>
  </si>
  <si>
    <t xml:space="preserve">    Inklusiv Fachärzte für innere Medizin, die als Grundversorger tätig sind.</t>
  </si>
  <si>
    <t>3) Ohne Fachärzte für innere Medizin, die als Grundversorger tätig sind.</t>
  </si>
  <si>
    <t>4) Quelle: FMH, Ärztestatistik.</t>
  </si>
  <si>
    <t>5) Anzahl Ärzte mit Praxistätigkeit pro 1'000 Einwohner.</t>
  </si>
  <si>
    <t>6) Quelle: pharmaSuisse, Schweizerischer Apothekerverein SAV.</t>
  </si>
  <si>
    <t>7) Anzahl Apotheken (öffentliche Apotheken) pro 10'000 Einwohner.</t>
  </si>
  <si>
    <t>8) Selbstdispensation (Medikamentenverkauf durch Ärzte): 1: flächendeckend im Kanton / 2: Mischformen / 3: reines Rezeptursystem.</t>
  </si>
  <si>
    <t xml:space="preserve">    Quelle: pharmaSuisse, Schweizerischer Apothekerverein SAV.</t>
  </si>
  <si>
    <t>9: Zusatzinformationen zum Gesundheitswesen</t>
  </si>
  <si>
    <t>Wohnbevölkerung, Ärzte mit Praxistätigkeit und Apotheken nach Kanton</t>
  </si>
  <si>
    <t>(T 9.09 STAT10)</t>
  </si>
  <si>
    <t>Entwicklung der Wohnbevölkerung, der Ärzte mit Praxistätigkeit und der Apotheken ab 2001</t>
  </si>
  <si>
    <t>(T 9.10 STAT10)</t>
  </si>
  <si>
    <t>Aufteilung der Versicherten nach Art der Spitalzusatzversicherungen ab 2001</t>
  </si>
  <si>
    <t>(T 9.11 STAT10)</t>
  </si>
  <si>
    <t>Entwicklung der Preisindizes für Gesundheitspflege ab 2001</t>
  </si>
  <si>
    <t>(T 9.12 STAT10)</t>
  </si>
  <si>
    <t>Index der Krankenversicherungsprämien nach Versicherungsart ab 2001</t>
  </si>
  <si>
    <t>(T 9.13 STAT10)</t>
  </si>
  <si>
    <t>Index der Krankenpflegekosten, der Krankenversicherungsausgaben der Versicherten sowie der Löhne ab 1996</t>
  </si>
  <si>
    <t>(T 9.14 STAT10)</t>
  </si>
  <si>
    <t>Gesamtbeitrag je versicherte Person nach Versicherungsform in der OKP ab 2001</t>
  </si>
  <si>
    <t>(T 9.15 STAT10)</t>
  </si>
  <si>
    <t>Erkrankte, Spitaleinweisungen und Spitaltage in der OKP ab 2001</t>
  </si>
  <si>
    <t>(T 9.16 STAT10)</t>
  </si>
  <si>
    <t>Erkrankte, Spitaleinweisungen und Spitaltage in der OKP</t>
  </si>
  <si>
    <t>(T 9.20 STAT10)</t>
  </si>
  <si>
    <t>Taggeldversicherung KVG / VVG ab 2001</t>
  </si>
  <si>
    <t>(T 9.17 STAT10)</t>
  </si>
  <si>
    <t>Krankenversicherung (KVG-Versicherer und Privatversicherer) ab 2001</t>
  </si>
  <si>
    <t>(T 9.18 STAT10)</t>
  </si>
  <si>
    <t>Gesundheitskosten ausgewählter OECD–Länder ab 2001</t>
  </si>
  <si>
    <t>(T 9.19 STAT10)</t>
  </si>
  <si>
    <t>Kosten des Gesundheitswesens in der Schweiz nach Leistungserbringer ab 1996</t>
  </si>
  <si>
    <t>(T 9.03 STAT10)</t>
  </si>
  <si>
    <t>Kosten des Gesundheitswesens in der Schweiz nach Leistungen ab 1996</t>
  </si>
  <si>
    <t>(T 9.04 STAT10)</t>
  </si>
  <si>
    <t>Kosten des Gesundheitswesens in der Schweiz und obligatorische Krankenversicherung ab 1996</t>
  </si>
  <si>
    <t>(STAT11-&gt;)</t>
  </si>
  <si>
    <t>T 11.12 Versichertenbestand KVG nach Geschlecht 2010, 2011 und 2012</t>
  </si>
  <si>
    <t>a. Versichertenbestand am 1.1.12</t>
  </si>
  <si>
    <r>
      <t xml:space="preserve">Total </t>
    </r>
    <r>
      <rPr>
        <b/>
        <vertAlign val="superscript"/>
        <sz val="11"/>
        <rFont val="Arial"/>
        <family val="2"/>
      </rPr>
      <t>1</t>
    </r>
  </si>
  <si>
    <t>L</t>
  </si>
  <si>
    <r>
      <t xml:space="preserve">* davon Eintritte </t>
    </r>
    <r>
      <rPr>
        <i/>
        <vertAlign val="superscript"/>
        <sz val="11"/>
        <rFont val="Arial"/>
        <family val="2"/>
      </rPr>
      <t>2</t>
    </r>
    <r>
      <rPr>
        <i/>
        <sz val="11"/>
        <rFont val="Arial"/>
        <family val="2"/>
      </rPr>
      <t xml:space="preserve"> am 1.1.12</t>
    </r>
  </si>
  <si>
    <t>K</t>
  </si>
  <si>
    <t>b. Versichertenbestand am 31.12.10</t>
  </si>
  <si>
    <t>* davon Austritte am 31.12.10</t>
  </si>
  <si>
    <t>c. Versichertenbestand am 31.12.11</t>
  </si>
  <si>
    <t>I</t>
  </si>
  <si>
    <t>d. Versichertenbestand am 1.1.11</t>
  </si>
  <si>
    <t xml:space="preserve">Siehe Grafik G 11d    ↑   </t>
  </si>
  <si>
    <t>Quelle: EF 3.8.2 (a), T 11.12 c STAT 2010 oder EF 3.1 2010 (A), 3.8.5 (B), EF 3.8.6 (I), T 11.12 a STAT 2010 (D)</t>
  </si>
  <si>
    <t xml:space="preserve">1) Versichertenbestand KVG, Personen mit Wohnsitz in der Schweiz und schweizerischer Prämie </t>
  </si>
  <si>
    <t>(inkl. Versicherte gemäss Art. 4 und 5 KVV).</t>
  </si>
  <si>
    <r>
      <t>2) K:</t>
    </r>
    <r>
      <rPr>
        <i/>
        <sz val="10"/>
        <rFont val="Arial"/>
        <family val="2"/>
      </rPr>
      <t xml:space="preserve"> Schätzungen BAG.</t>
    </r>
  </si>
  <si>
    <t xml:space="preserve">T 11.10  Versicherteneintritte und Versichertenaustritte KVG nach Alter und Geschlecht </t>
  </si>
  <si>
    <t xml:space="preserve">a. Versicherteneintritte </t>
  </si>
  <si>
    <t xml:space="preserve">In % des durch- </t>
  </si>
  <si>
    <t>schnittlichen Ver-</t>
  </si>
  <si>
    <t>sichertenbestandes</t>
  </si>
  <si>
    <t>E</t>
  </si>
  <si>
    <t>* davon Neugeborene</t>
  </si>
  <si>
    <t>F</t>
  </si>
  <si>
    <r>
      <t xml:space="preserve">* davon Eintritte </t>
    </r>
    <r>
      <rPr>
        <i/>
        <vertAlign val="superscript"/>
        <sz val="11"/>
        <rFont val="Arial"/>
        <family val="2"/>
      </rPr>
      <t>1</t>
    </r>
    <r>
      <rPr>
        <i/>
        <sz val="11"/>
        <rFont val="Arial"/>
        <family val="2"/>
      </rPr>
      <t xml:space="preserve"> am 1.1.11</t>
    </r>
  </si>
  <si>
    <t xml:space="preserve">b. Versichertenaustritte </t>
  </si>
  <si>
    <t>G</t>
  </si>
  <si>
    <t>* davon gestorben</t>
  </si>
  <si>
    <t>H</t>
  </si>
  <si>
    <r>
      <t xml:space="preserve">* davon Austritte </t>
    </r>
    <r>
      <rPr>
        <i/>
        <vertAlign val="superscript"/>
        <sz val="11"/>
        <rFont val="Arial"/>
        <family val="2"/>
      </rPr>
      <t>1</t>
    </r>
    <r>
      <rPr>
        <i/>
        <sz val="11"/>
        <rFont val="Arial"/>
        <family val="2"/>
      </rPr>
      <t xml:space="preserve"> am 31.12.11</t>
    </r>
  </si>
  <si>
    <t>J</t>
  </si>
  <si>
    <t xml:space="preserve">Siehe Grafik G 11d     ↑   </t>
  </si>
  <si>
    <t>Quelle: Formular EF 3.8.3 (a), 3.8.4 (b) und T 11.13</t>
  </si>
  <si>
    <r>
      <rPr>
        <sz val="10"/>
        <rFont val="Arial"/>
        <family val="2"/>
      </rPr>
      <t>1) C und J:</t>
    </r>
    <r>
      <rPr>
        <i/>
        <sz val="10"/>
        <rFont val="Arial"/>
        <family val="2"/>
      </rPr>
      <t xml:space="preserve"> Schätzungen BAG.</t>
    </r>
  </si>
  <si>
    <r>
      <t>T 11.04 Versichertenbestand und Wohnbevölkerung</t>
    </r>
    <r>
      <rPr>
        <b/>
        <vertAlign val="superscript"/>
        <sz val="12"/>
        <rFont val="Arial"/>
        <family val="2"/>
      </rPr>
      <t xml:space="preserve"> </t>
    </r>
    <r>
      <rPr>
        <b/>
        <sz val="12"/>
        <rFont val="Arial"/>
        <family val="2"/>
      </rPr>
      <t>ab 1996</t>
    </r>
  </si>
  <si>
    <t>Durchschnittlicher</t>
  </si>
  <si>
    <t xml:space="preserve"> per 1.1</t>
  </si>
  <si>
    <t xml:space="preserve"> per 31.12</t>
  </si>
  <si>
    <t>Wohnbevölke-</t>
  </si>
  <si>
    <r>
      <t xml:space="preserve">EF </t>
    </r>
    <r>
      <rPr>
        <vertAlign val="superscript"/>
        <sz val="11"/>
        <rFont val="Arial"/>
        <family val="2"/>
      </rPr>
      <t>1</t>
    </r>
  </si>
  <si>
    <r>
      <t xml:space="preserve">RA </t>
    </r>
    <r>
      <rPr>
        <vertAlign val="superscript"/>
        <sz val="11"/>
        <rFont val="Arial"/>
        <family val="2"/>
      </rPr>
      <t>2</t>
    </r>
  </si>
  <si>
    <r>
      <t xml:space="preserve">EF </t>
    </r>
    <r>
      <rPr>
        <vertAlign val="superscript"/>
        <sz val="11"/>
        <rFont val="Arial"/>
        <family val="2"/>
      </rPr>
      <t>3</t>
    </r>
  </si>
  <si>
    <r>
      <t xml:space="preserve">rung BFS </t>
    </r>
    <r>
      <rPr>
        <vertAlign val="superscript"/>
        <sz val="11"/>
        <rFont val="Arial"/>
        <family val="2"/>
      </rPr>
      <t>4</t>
    </r>
  </si>
  <si>
    <t>1) Durchschnittlicher Versichertenbestand im Formular EF123: Stand aller Monate zusammengezählt und geteilt durch 12.</t>
  </si>
  <si>
    <t xml:space="preserve">2) Für den Risikoausgleich (RA) gelten im Vergleich zu den EF123-Formularen zum Teil unterschiedliche Regelungen in Bezug auf die </t>
  </si>
  <si>
    <t>gegenüber den Angaben im Formular EF123 der Versicherer.</t>
  </si>
  <si>
    <t xml:space="preserve">Mit dem in Kraft treten des Personenfreizügigkeitsabkommens mit den EG-Staaten bzw. dem revidierten </t>
  </si>
  <si>
    <t>welche Wohnsitz in einem EG-Staat bzw. in Island oder Norwegen haben.</t>
  </si>
  <si>
    <t xml:space="preserve">Mit der Änderung vom 16. Dezember 2005 des Asylgesetzes vom 26. Juni 1998 (Artikel 82a Asylgesetz) sowie des KVG (Artikel 105a) wurden </t>
  </si>
  <si>
    <t xml:space="preserve">Asylsuchende, vorläufig Aufgenommene und Schutzbedürftige ohne Aufenthaltsbewilligung, welche sich in der Schweiz aufhalten und Sozialhilfe </t>
  </si>
  <si>
    <t xml:space="preserve">beziehen, vom massgebenden Versichertenbestand des Risikoausgleichs (Art. 4 Abs. 1 VORA) ausgenommen. Die Änderung ist per 1. Januar </t>
  </si>
  <si>
    <t xml:space="preserve">2007 in Kraft getreten. In den Daten des Jahres 2007 sind diese Versicherten somit erstmals nicht berücksichtigt. Diese Änderung gilt nicht für </t>
  </si>
  <si>
    <t>anerkannte Flüchtlinge (Personen mit positivem Asylentscheid) sowie für "Sans-Papiers".</t>
  </si>
  <si>
    <t>3) Versichertenbestand per 1.1 und per 31.12. im Formular EF123.</t>
  </si>
  <si>
    <t>4) Durchschnittliche Wohnbevölkerung in einem bestimmten Gebiet nach wirtschaftlichem Wohnsitz (BFS).</t>
  </si>
  <si>
    <t>Quelle:  T 11.01, Statistik des Risikoausgleiches - Gemeinsame Einrichtung KVG, T 11.12, T 11.06, T 9.01</t>
  </si>
  <si>
    <r>
      <t xml:space="preserve">T 9.15 Kosten des Gesundheitswesens in der Schweiz </t>
    </r>
    <r>
      <rPr>
        <b/>
        <vertAlign val="superscript"/>
        <sz val="12"/>
        <rFont val="Arial"/>
        <family val="2"/>
      </rPr>
      <t>1</t>
    </r>
    <r>
      <rPr>
        <b/>
        <sz val="12"/>
        <rFont val="Arial"/>
        <family val="2"/>
      </rPr>
      <t xml:space="preserve"> und obligatorische Krankenversicherung ab 1996</t>
    </r>
  </si>
  <si>
    <r>
      <t xml:space="preserve">2011 </t>
    </r>
    <r>
      <rPr>
        <b/>
        <vertAlign val="superscript"/>
        <sz val="10"/>
        <rFont val="Arial"/>
        <family val="2"/>
      </rPr>
      <t>2</t>
    </r>
  </si>
  <si>
    <r>
      <t xml:space="preserve">nach Finanzierungsregimes (BFS) </t>
    </r>
    <r>
      <rPr>
        <b/>
        <i/>
        <vertAlign val="superscript"/>
        <sz val="10"/>
        <rFont val="Arial"/>
        <family val="2"/>
      </rPr>
      <t>3</t>
    </r>
    <r>
      <rPr>
        <b/>
        <i/>
        <sz val="10"/>
        <rFont val="Arial"/>
        <family val="2"/>
      </rPr>
      <t>, in Mio. Fr.</t>
    </r>
  </si>
  <si>
    <r>
      <t xml:space="preserve">Total Kosten des Gesundheitswesens </t>
    </r>
    <r>
      <rPr>
        <b/>
        <vertAlign val="superscript"/>
        <sz val="10"/>
        <rFont val="Arial"/>
        <family val="2"/>
      </rPr>
      <t>4</t>
    </r>
  </si>
  <si>
    <r>
      <t xml:space="preserve">Staat </t>
    </r>
    <r>
      <rPr>
        <b/>
        <vertAlign val="superscript"/>
        <sz val="10"/>
        <rFont val="Arial"/>
        <family val="2"/>
      </rPr>
      <t>5</t>
    </r>
  </si>
  <si>
    <t xml:space="preserve">  Bund</t>
  </si>
  <si>
    <t xml:space="preserve">  Kantone</t>
  </si>
  <si>
    <t xml:space="preserve">  Gemeinden</t>
  </si>
  <si>
    <t xml:space="preserve">Sozialversicherungen </t>
  </si>
  <si>
    <r>
      <t xml:space="preserve">  Krankenversicherung KVG (Grundvers.) </t>
    </r>
    <r>
      <rPr>
        <vertAlign val="superscript"/>
        <sz val="9"/>
        <rFont val="Arial"/>
        <family val="2"/>
      </rPr>
      <t>6</t>
    </r>
  </si>
  <si>
    <t>Privatversicherungen</t>
  </si>
  <si>
    <r>
      <t xml:space="preserve">  KVG-Versicherer (VVG) </t>
    </r>
    <r>
      <rPr>
        <vertAlign val="superscript"/>
        <sz val="9"/>
        <rFont val="Arial"/>
        <family val="2"/>
      </rPr>
      <t>6</t>
    </r>
  </si>
  <si>
    <r>
      <t xml:space="preserve">  Private Versicherungseinrichtungen </t>
    </r>
    <r>
      <rPr>
        <vertAlign val="superscript"/>
        <sz val="9"/>
        <rFont val="Arial"/>
        <family val="2"/>
      </rPr>
      <t>6</t>
    </r>
  </si>
  <si>
    <t>Private Haushalte</t>
  </si>
  <si>
    <r>
      <t xml:space="preserve">  Kostenbeteiligung, Sozialversicherung </t>
    </r>
    <r>
      <rPr>
        <vertAlign val="superscript"/>
        <sz val="9"/>
        <rFont val="Arial"/>
        <family val="2"/>
      </rPr>
      <t>7</t>
    </r>
  </si>
  <si>
    <r>
      <t xml:space="preserve">  Kostenbeteiligung, Privatversicherung </t>
    </r>
    <r>
      <rPr>
        <vertAlign val="superscript"/>
        <sz val="9"/>
        <rFont val="Arial"/>
        <family val="2"/>
      </rPr>
      <t>7</t>
    </r>
  </si>
  <si>
    <r>
      <t xml:space="preserve">Übrige private Finanzierung </t>
    </r>
    <r>
      <rPr>
        <b/>
        <vertAlign val="superscript"/>
        <sz val="10"/>
        <rFont val="Arial"/>
        <family val="2"/>
      </rPr>
      <t>8</t>
    </r>
  </si>
  <si>
    <r>
      <t xml:space="preserve">Andere </t>
    </r>
    <r>
      <rPr>
        <b/>
        <i/>
        <vertAlign val="superscript"/>
        <sz val="10"/>
        <rFont val="Arial"/>
        <family val="2"/>
      </rPr>
      <t>9</t>
    </r>
  </si>
  <si>
    <t>aus der Sicht der Krankenversicherung (BAG), in Mio. Fr.</t>
  </si>
  <si>
    <r>
      <t xml:space="preserve">  Prämien Krankenversicherung </t>
    </r>
    <r>
      <rPr>
        <vertAlign val="superscript"/>
        <sz val="9"/>
        <rFont val="Arial"/>
        <family val="2"/>
      </rPr>
      <t>10</t>
    </r>
  </si>
  <si>
    <t>Obligatorische Krankenpflegeversicherung KVG</t>
  </si>
  <si>
    <t xml:space="preserve">Zusatzversicherungen VVG der KVG-Versicherer </t>
  </si>
  <si>
    <t>Zusatzversicherungen VVG der Privatversicherer</t>
  </si>
  <si>
    <r>
      <t xml:space="preserve">  Nettoleistungen Krankenversicherung </t>
    </r>
    <r>
      <rPr>
        <vertAlign val="superscript"/>
        <sz val="9"/>
        <rFont val="Arial"/>
        <family val="2"/>
      </rPr>
      <t>10</t>
    </r>
  </si>
  <si>
    <t xml:space="preserve">  Kostenbeteiligung</t>
  </si>
  <si>
    <r>
      <t xml:space="preserve">Obligatorische Krankenpflegeversicherung KVG </t>
    </r>
    <r>
      <rPr>
        <vertAlign val="superscript"/>
        <sz val="8"/>
        <rFont val="Arial"/>
        <family val="2"/>
      </rPr>
      <t>11</t>
    </r>
  </si>
  <si>
    <r>
      <t xml:space="preserve">Zusatzversicherungen VVG der KVG-Versicherer </t>
    </r>
    <r>
      <rPr>
        <vertAlign val="superscript"/>
        <sz val="8"/>
        <rFont val="Arial"/>
        <family val="2"/>
      </rPr>
      <t>12</t>
    </r>
  </si>
  <si>
    <r>
      <t xml:space="preserve">  Bruttoleistungen Krankenversicherung </t>
    </r>
    <r>
      <rPr>
        <vertAlign val="superscript"/>
        <sz val="9"/>
        <rFont val="Arial"/>
        <family val="2"/>
      </rPr>
      <t>13</t>
    </r>
  </si>
  <si>
    <r>
      <t xml:space="preserve">  Prämienverbilligung KVG </t>
    </r>
    <r>
      <rPr>
        <vertAlign val="superscript"/>
        <sz val="9"/>
        <rFont val="Arial"/>
        <family val="2"/>
      </rPr>
      <t>14</t>
    </r>
  </si>
  <si>
    <r>
      <t xml:space="preserve">Kosten des Gesundheitswesens in Franken pro Einwohner </t>
    </r>
    <r>
      <rPr>
        <vertAlign val="superscript"/>
        <sz val="9"/>
        <rFont val="Arial"/>
        <family val="2"/>
      </rPr>
      <t>15</t>
    </r>
  </si>
  <si>
    <r>
      <t xml:space="preserve">Durchschnittliche Prämien in der OKP in Franken pro Versicherte </t>
    </r>
    <r>
      <rPr>
        <vertAlign val="superscript"/>
        <sz val="9"/>
        <rFont val="Arial"/>
        <family val="2"/>
      </rPr>
      <t>16</t>
    </r>
  </si>
  <si>
    <t>1) Als Folge der Revision der Kosten des Gesundheitssystems durch das BFS stehen die in den Tabellen T 9.01, 9.02, 9.05, 9.06, 9.07 und 9.08 der KV-Statistik 2010 vorhandenen weiteren Rubriken nicht mehr als Zeitreihe seit 1996 zur Verfügung.</t>
  </si>
  <si>
    <t>   Insbesondere publiziert das BFS seit 2010 die Angaben nicht mehr, die es erlauben, die Prämien und die Prämienverbilligungen und die Leistungen der OKP innerhalb des Gesundheitswesens auszuweisen.</t>
  </si>
  <si>
    <t xml:space="preserve">2) Seit 2012 publiziert die Konjunkturforschungsstelle KOF der ETHZ keine Prognose mehr zur Kostenentwicklung. </t>
  </si>
  <si>
    <t xml:space="preserve">    Das BFS publiziert die definitiven Kosten mit einer Verzögerung von zwei Jahren und publiziert keine Schätzungen für die zukünftige Entwicklung.</t>
  </si>
  <si>
    <t>3) Ersetzt die Finanzierung des Gesundheitswesens nach Direktzahler ab 2010.</t>
  </si>
  <si>
    <r>
      <t>4) Neue BFS-Berechnungsmethode im 2008 -&gt; vom BFS revidierte Werte für 1996-&gt;2006.</t>
    </r>
    <r>
      <rPr>
        <i/>
        <sz val="10"/>
        <rFont val="Arial"/>
        <family val="2"/>
      </rPr>
      <t xml:space="preserve"> Vom BFS revidierte Werte für 2009 (10/12).</t>
    </r>
  </si>
  <si>
    <t xml:space="preserve">5) Subventionen oder direkte Leistungen an das Gesundheitswesen (an die Leistungserbringer (Spitäler), an die   </t>
  </si>
  <si>
    <t xml:space="preserve">   sozialmedizinischen Institutionen, an die Spitex- und Rettungsdienste) und die Öffentliche Gesundheit, Verwaltung und Prävention.   </t>
  </si>
  <si>
    <t>6) Nettoleistungen + übriger Aufwand + Prävention + Verwaltungskosten (Leistungen III in T 9.08 STAT KV 10).</t>
  </si>
  <si>
    <t>7) Kostenbeteiligung, Obligatorische Krankenpflegeversicherung KVG und Zusatzversicherungen VVG der KVG-Versicherer, Quelle: BAG.</t>
  </si>
  <si>
    <t xml:space="preserve">8) Spenden und Legate an Organisationen ohne Erwerbszweck wie Pflegeheime für Betagte, Institutionen für Behinderte, Spitexorganisationen, Gesundheitsligen.   </t>
  </si>
  <si>
    <t>9) Andere Rubriken als die im Folgenden erwähnten: UV, IV, AHV, andere Regimes, soziale Leistungen, out of pocket (als Differenz berechnet).</t>
  </si>
  <si>
    <t>10) Quelle T 9.11.</t>
  </si>
  <si>
    <t>11) T 1.02 [32] ; erscheint auch als Privathaushalte in der Tabelle des BFS nach Finanzierungsregimes.</t>
  </si>
  <si>
    <t>12) T 7.03 [32] ; erscheint auch als Privathaushalte in der Tabelle des BFS nach Finanzierungsregimes.</t>
  </si>
  <si>
    <t>13) Bruttoleistungen = Nettoleistungen + Kostenbeteiligung.</t>
  </si>
  <si>
    <t>14) 2008 -&gt; : Ausbezahlte Subventionen gemäss KVG (T 4.01) / -&gt; 2007: Budget nach  Reduktion (T 4.07).</t>
  </si>
  <si>
    <t>15) Kosten des Gesundheitswesens (BFS) / Anzahl Einwohner (T 9.01) in Franken.</t>
  </si>
  <si>
    <t>16) Prämiensoll pro Versicherten in Fr. für alle Versicherungsformen (T 1.01).</t>
  </si>
  <si>
    <t xml:space="preserve">Quelle: BAG : 2011 : T 1.01, 1.02, 4.01, 7.03, 9.01, 9.11 ; 1996-&gt;2010 T 9.01-&gt;9.08 STAT KV 10  / OFS : 2010 : Statistisches Lexikon BFS, Kosten des Gesundheitswesens ; 1996-&gt;2009: T 9.01-&gt; 9.08 STAT KV 10 </t>
  </si>
  <si>
    <r>
      <t xml:space="preserve">T 9.14  Kosten des Gesundheitswesens in der Schweiz nach Leistungen </t>
    </r>
    <r>
      <rPr>
        <b/>
        <vertAlign val="superscript"/>
        <sz val="12"/>
        <rFont val="Arial"/>
        <family val="2"/>
      </rPr>
      <t>1</t>
    </r>
    <r>
      <rPr>
        <b/>
        <sz val="12"/>
        <rFont val="Arial"/>
        <family val="2"/>
      </rPr>
      <t xml:space="preserve"> in Mio. Fr. ab 1996</t>
    </r>
  </si>
  <si>
    <t>Stationäre</t>
  </si>
  <si>
    <t>Andere</t>
  </si>
  <si>
    <t>Verkauf</t>
  </si>
  <si>
    <t>Prävention</t>
  </si>
  <si>
    <t>Verwaltung</t>
  </si>
  <si>
    <t>Gesund-</t>
  </si>
  <si>
    <t>heitsgüter</t>
  </si>
  <si>
    <r>
      <t xml:space="preserve">1) Neue BFS-Berechnungsmethode im 2008 -&gt; vom BFS revidierte Werte für 1996-&gt;2006. </t>
    </r>
    <r>
      <rPr>
        <i/>
        <sz val="10"/>
        <rFont val="Arial"/>
        <family val="2"/>
      </rPr>
      <t>Vom BFS revidierte Werte für 2009 (10/12).</t>
    </r>
  </si>
  <si>
    <t xml:space="preserve">Quelle: 1996-2010: Statistisches Lexikon BFS, Kosten des Gesundheitswesens </t>
  </si>
  <si>
    <r>
      <t>T 9.13  Kosten des Gesundheitswesens in der Schweiz nach Leistungserbringer</t>
    </r>
    <r>
      <rPr>
        <b/>
        <vertAlign val="superscript"/>
        <sz val="12"/>
        <rFont val="Arial"/>
        <family val="2"/>
      </rPr>
      <t xml:space="preserve"> 1</t>
    </r>
    <r>
      <rPr>
        <b/>
        <sz val="12"/>
        <rFont val="Arial"/>
        <family val="2"/>
      </rPr>
      <t xml:space="preserve"> in Mio. Fr. ab 1996</t>
    </r>
  </si>
  <si>
    <t>Kranken-</t>
  </si>
  <si>
    <t>Sozialme-</t>
  </si>
  <si>
    <t>Detail-</t>
  </si>
  <si>
    <t xml:space="preserve">Staat </t>
  </si>
  <si>
    <t>Organisa-</t>
  </si>
  <si>
    <t>Total </t>
  </si>
  <si>
    <t xml:space="preserve">häuser </t>
  </si>
  <si>
    <t>dizinische</t>
  </si>
  <si>
    <t>Versorgung</t>
  </si>
  <si>
    <t xml:space="preserve">handel </t>
  </si>
  <si>
    <t>tionen ohne</t>
  </si>
  <si>
    <t>Institutionen</t>
  </si>
  <si>
    <t>Erwerbs-</t>
  </si>
  <si>
    <t>charakter</t>
  </si>
  <si>
    <t>Quelle: 1996-2010: Statistisches Lexikon BFS, Kosten des Gesundheitswesens</t>
  </si>
  <si>
    <t>T 9.12  Gesundheitskosten ausgewählter OECD–Länder ab 2001</t>
  </si>
  <si>
    <t>A. in % des BIP</t>
  </si>
  <si>
    <t>Land</t>
  </si>
  <si>
    <t>Australien</t>
  </si>
  <si>
    <t>Österreich</t>
  </si>
  <si>
    <t>Belgien</t>
  </si>
  <si>
    <t>Dänemark</t>
  </si>
  <si>
    <t>Finnland</t>
  </si>
  <si>
    <t>Frankreich</t>
  </si>
  <si>
    <t>Deutschland</t>
  </si>
  <si>
    <t>Italien</t>
  </si>
  <si>
    <t>Japan</t>
  </si>
  <si>
    <t>Niederlande</t>
  </si>
  <si>
    <t>Norwegen</t>
  </si>
  <si>
    <t>Spanien</t>
  </si>
  <si>
    <t>Schweden</t>
  </si>
  <si>
    <t>Grossbritannien</t>
  </si>
  <si>
    <t>USA</t>
  </si>
  <si>
    <r>
      <t xml:space="preserve">Schweiz * </t>
    </r>
    <r>
      <rPr>
        <b/>
        <vertAlign val="superscript"/>
        <sz val="11"/>
        <rFont val="Arial"/>
        <family val="2"/>
      </rPr>
      <t>1</t>
    </r>
  </si>
  <si>
    <r>
      <t xml:space="preserve">* davon Kosten OKP </t>
    </r>
    <r>
      <rPr>
        <b/>
        <vertAlign val="superscript"/>
        <sz val="11"/>
        <rFont val="Arial"/>
        <family val="2"/>
      </rPr>
      <t>2</t>
    </r>
  </si>
  <si>
    <r>
      <t xml:space="preserve">B. in CHF pro Person </t>
    </r>
    <r>
      <rPr>
        <b/>
        <vertAlign val="superscript"/>
        <sz val="12"/>
        <rFont val="Arial"/>
        <family val="2"/>
      </rPr>
      <t>3</t>
    </r>
  </si>
  <si>
    <t xml:space="preserve">1) 2010: Schätzung. </t>
  </si>
  <si>
    <t xml:space="preserve">2) nur die Kosten im Zusammenhang mit der obligatorischen Krankenpflegeversicherung, also Bruttoleistungen (bezahlte </t>
  </si>
  <si>
    <t xml:space="preserve">    Leistungen und Kostenbeteiligung) sowie Verwaltungskosten und Abschreibungen der KVG-Versicherer. Quelle: T 1.01 / BIP: BFS.</t>
  </si>
  <si>
    <t>3) Umrechnung von US$ in CHF mit dem Kurs des betrachteten Jahres, Kaufkraftbereinigt gemäss den OECD-Kaufkraftparitäten.</t>
  </si>
  <si>
    <t>Quelle: www.oecd.org -&gt; Topics: Health -&gt; OECD Health Data 2012 Version: March 2013.</t>
  </si>
  <si>
    <t xml:space="preserve">Topics &gt; OECD &gt; Themes &gt; Health Expenditure and Financing &gt;  total health expenditure &gt; total expenditure HC1-HC9,HCR1; HF1-HF3; HP1-HP9, </t>
  </si>
  <si>
    <t xml:space="preserve">% gross domestic product,    /capita, national currency unit (CH),   /capita, US$ purchasing power parity. </t>
  </si>
  <si>
    <t>Topics &gt; OECD &gt; Themes &gt; National accounts  &gt;  annual National accounts &gt; main aggregates &gt; PPP and exchange rates</t>
  </si>
  <si>
    <t>exchange rate and national currency per US dollar.</t>
  </si>
  <si>
    <r>
      <t xml:space="preserve">T 9.11  Krankenversicherung </t>
    </r>
    <r>
      <rPr>
        <b/>
        <vertAlign val="superscript"/>
        <sz val="12"/>
        <rFont val="Arial"/>
        <family val="2"/>
      </rPr>
      <t>1</t>
    </r>
    <r>
      <rPr>
        <b/>
        <sz val="12"/>
        <rFont val="Arial"/>
        <family val="2"/>
      </rPr>
      <t xml:space="preserve"> (KVG-Versicherer und Privatversicherer) ab 2001 in Mio. Fr.</t>
    </r>
  </si>
  <si>
    <t>KVG-Versicherer</t>
  </si>
  <si>
    <r>
      <t xml:space="preserve">Privat-versicherer </t>
    </r>
    <r>
      <rPr>
        <b/>
        <vertAlign val="superscript"/>
        <sz val="11"/>
        <rFont val="Arial"/>
        <family val="2"/>
      </rPr>
      <t>2</t>
    </r>
  </si>
  <si>
    <t>Grund-</t>
  </si>
  <si>
    <r>
      <t>versicherung</t>
    </r>
    <r>
      <rPr>
        <sz val="10"/>
        <rFont val="Arial"/>
        <family val="2"/>
      </rPr>
      <t xml:space="preserve"> </t>
    </r>
    <r>
      <rPr>
        <vertAlign val="superscript"/>
        <sz val="10"/>
        <rFont val="Arial"/>
        <family val="2"/>
      </rPr>
      <t>4</t>
    </r>
  </si>
  <si>
    <r>
      <t xml:space="preserve">sicherung </t>
    </r>
    <r>
      <rPr>
        <vertAlign val="superscript"/>
        <sz val="11"/>
        <rFont val="Arial"/>
        <family val="2"/>
      </rPr>
      <t>3</t>
    </r>
  </si>
  <si>
    <r>
      <t>1) Krankenpflegeversicherung ohne Taggeldversicherung</t>
    </r>
    <r>
      <rPr>
        <sz val="10"/>
        <rFont val="Arial"/>
        <family val="2"/>
      </rPr>
      <t>.</t>
    </r>
  </si>
  <si>
    <t>2) Quelle: Die privaten Versicherungseinrichtungen in der Schweiz (FINMA), Total der Tabelle AS03 N, C, D [Ohne Unfallversicherung] - Total KVG Versicherer Versicherung VVG [Spalte 2].</t>
  </si>
  <si>
    <t xml:space="preserve">    (-&gt; 2007: Die privaten Versicherungseinrichtungen in der Schweiz (BPV), detaillierte Fassung der Tabelle AS03N. Ohne Unfallversicherung)</t>
  </si>
  <si>
    <t xml:space="preserve">    Die Zusatzversicherungen gemäss VVG der KVG-Versicherer (Krankenkassen) sind nicht in diesen Zahlen inbegriffen (siehe Spalte 2).</t>
  </si>
  <si>
    <t>3) VVG Zusatzversicherungen der KVG-Versicherer (Krankenkassen). Mit Unfallversicherung.</t>
  </si>
  <si>
    <t xml:space="preserve">   Quelle: T 7.03 Brutto-Prämien [60-65] und bezahlte Leistungen [30-33] (BAG) - Krankentaggeld VVG.</t>
  </si>
  <si>
    <t xml:space="preserve">   (-&gt; 2003: Bundesamt für Privatversicherungen [BPV]).</t>
  </si>
  <si>
    <t>4) Quelle: T 1.02 Brutto-Prämien [60-65] und bezahlte Leistungen [30-33]. Mit Unfallversicherung.</t>
  </si>
  <si>
    <t>T 9.10 Taggeldversicherung KVG / VVG ab 2001 in Mio. Fr.</t>
  </si>
  <si>
    <r>
      <t xml:space="preserve">Prämien </t>
    </r>
    <r>
      <rPr>
        <b/>
        <vertAlign val="superscript"/>
        <sz val="11"/>
        <rFont val="Arial"/>
        <family val="2"/>
      </rPr>
      <t>4</t>
    </r>
  </si>
  <si>
    <r>
      <t xml:space="preserve">Nettoleistungen </t>
    </r>
    <r>
      <rPr>
        <b/>
        <vertAlign val="superscript"/>
        <sz val="11"/>
        <rFont val="Arial"/>
        <family val="2"/>
      </rPr>
      <t>4</t>
    </r>
  </si>
  <si>
    <t>Privat-versicherer</t>
  </si>
  <si>
    <t>freiwillige</t>
  </si>
  <si>
    <r>
      <t xml:space="preserve">VVG </t>
    </r>
    <r>
      <rPr>
        <vertAlign val="superscript"/>
        <sz val="11"/>
        <rFont val="Arial"/>
        <family val="2"/>
      </rPr>
      <t>2</t>
    </r>
  </si>
  <si>
    <r>
      <t xml:space="preserve">VVG </t>
    </r>
    <r>
      <rPr>
        <vertAlign val="superscript"/>
        <sz val="11"/>
        <rFont val="Arial"/>
        <family val="2"/>
      </rPr>
      <t>3</t>
    </r>
  </si>
  <si>
    <r>
      <t xml:space="preserve">KVG </t>
    </r>
    <r>
      <rPr>
        <vertAlign val="superscript"/>
        <sz val="11"/>
        <rFont val="Arial"/>
        <family val="2"/>
      </rPr>
      <t>1</t>
    </r>
  </si>
  <si>
    <t>1) Quelle: T 6.04 Brutto-Prämien [60-65] und bezahlte Leistungen [30-33]. Mit Unfallversicherung.</t>
  </si>
  <si>
    <t>2) Quelle: T 7.03 Krankentaggeld VVG (BAG). Mit Unfallversicherung.</t>
  </si>
  <si>
    <t xml:space="preserve">     (-&gt; 2003: Bundesamt für Privatversicherungen [BPV]. Ohne Unfallversicherung)</t>
  </si>
  <si>
    <t>3) Quelle: Die privaten Versicherungseinrichtungen in der Schweiz (FINMA), Total der Tabelle AS03 N, C, D [ohne Unfallversicherung] - Total KVG Versicherer für die VVG Versicherung [Spalte 2].</t>
  </si>
  <si>
    <t>4) Prämien = verdiente Prämien brutto; Leistungen = Zahlungen für Versicherungsfälle.</t>
  </si>
  <si>
    <t>Datenstand: 15.3.13</t>
  </si>
  <si>
    <t>Datenstand: 14.11.11</t>
  </si>
  <si>
    <t>Datenstand: 19.3.13</t>
  </si>
  <si>
    <t>Datenstand: 11.10.12</t>
  </si>
  <si>
    <t>25.3.13: 8.03,T9,9.01-&gt;9.07,9.10-&gt;9.15,11.04,11.10,11.12</t>
  </si>
  <si>
    <t>Datenstand: 26.3.13</t>
  </si>
  <si>
    <t>Beilage F1</t>
  </si>
  <si>
    <t>Entwicklung der Franchisen, Prämienrabatte und Selbstbehalte ab 1996 (Erwachsene)</t>
  </si>
  <si>
    <r>
      <t xml:space="preserve">Erwachsene (ab 19 Jahren) </t>
    </r>
    <r>
      <rPr>
        <b/>
        <i/>
        <vertAlign val="superscript"/>
        <sz val="9"/>
        <rFont val="Arial"/>
        <family val="2"/>
      </rPr>
      <t>1</t>
    </r>
  </si>
  <si>
    <t>1996-1997</t>
  </si>
  <si>
    <t>Selbstbehalt</t>
  </si>
  <si>
    <t>10% max. 600.-</t>
  </si>
  <si>
    <t>Franchise</t>
  </si>
  <si>
    <t>maximaler Prämienrabatt in %</t>
  </si>
  <si>
    <t>ordentlich 150.-</t>
  </si>
  <si>
    <t>1) 300.-</t>
  </si>
  <si>
    <t>2) 600.-</t>
  </si>
  <si>
    <t>3) 1200.-</t>
  </si>
  <si>
    <t>4) 1500.-</t>
  </si>
  <si>
    <t>1998-2000</t>
  </si>
  <si>
    <r>
      <t xml:space="preserve">ordentlich </t>
    </r>
    <r>
      <rPr>
        <b/>
        <i/>
        <sz val="10"/>
        <rFont val="Arial"/>
        <family val="2"/>
      </rPr>
      <t>230</t>
    </r>
    <r>
      <rPr>
        <b/>
        <sz val="10"/>
        <rFont val="Arial"/>
        <family val="2"/>
      </rPr>
      <t>.-</t>
    </r>
  </si>
  <si>
    <r>
      <t xml:space="preserve">1) </t>
    </r>
    <r>
      <rPr>
        <b/>
        <i/>
        <sz val="10"/>
        <rFont val="Arial"/>
        <family val="2"/>
      </rPr>
      <t>400.-</t>
    </r>
  </si>
  <si>
    <t>2001-2003</t>
  </si>
  <si>
    <t>jedoch höchstens Fr. pro Jahr</t>
  </si>
  <si>
    <t>(Differenz zwischen wählbarer und ordentlicher Franchise)</t>
  </si>
  <si>
    <t>ordentlich 230.-</t>
  </si>
  <si>
    <t>1) 400.-</t>
  </si>
  <si>
    <r>
      <t xml:space="preserve">10% </t>
    </r>
    <r>
      <rPr>
        <i/>
        <sz val="10"/>
        <rFont val="Arial"/>
        <family val="2"/>
      </rPr>
      <t>max</t>
    </r>
    <r>
      <rPr>
        <b/>
        <i/>
        <sz val="10"/>
        <rFont val="Arial"/>
        <family val="2"/>
      </rPr>
      <t>. 700.-</t>
    </r>
  </si>
  <si>
    <t>(80% der Differenz zwischen wählbarer und ordentlicher Franchise)</t>
  </si>
  <si>
    <r>
      <t xml:space="preserve">ordentlich </t>
    </r>
    <r>
      <rPr>
        <b/>
        <i/>
        <sz val="10"/>
        <rFont val="Arial"/>
        <family val="2"/>
      </rPr>
      <t>300</t>
    </r>
    <r>
      <rPr>
        <b/>
        <sz val="10"/>
        <rFont val="Arial"/>
        <family val="2"/>
      </rPr>
      <t>.-</t>
    </r>
  </si>
  <si>
    <t>10% max. 700.-</t>
  </si>
  <si>
    <t>ordentlich 300.-</t>
  </si>
  <si>
    <t>1) 500.-</t>
  </si>
  <si>
    <t>2) 1000.-</t>
  </si>
  <si>
    <t>3) 1500.-</t>
  </si>
  <si>
    <t>4) 2000.-</t>
  </si>
  <si>
    <t>5) 2500.-</t>
  </si>
  <si>
    <t>2006-2009</t>
  </si>
  <si>
    <r>
      <t>10%</t>
    </r>
    <r>
      <rPr>
        <sz val="10"/>
        <rFont val="Arial"/>
        <family val="2"/>
      </rPr>
      <t xml:space="preserve"> </t>
    </r>
    <r>
      <rPr>
        <vertAlign val="superscript"/>
        <sz val="10"/>
        <rFont val="Arial"/>
        <family val="2"/>
      </rPr>
      <t>2</t>
    </r>
    <r>
      <rPr>
        <sz val="10"/>
        <rFont val="Arial"/>
        <family val="2"/>
      </rPr>
      <t xml:space="preserve"> </t>
    </r>
    <r>
      <rPr>
        <i/>
        <sz val="10"/>
        <rFont val="Arial"/>
        <family val="2"/>
      </rPr>
      <t>max. 700.-</t>
    </r>
  </si>
  <si>
    <t>2010-</t>
  </si>
  <si>
    <t>(70% der Differenz zwischen wählbarer und ordentlicher Franchise)</t>
  </si>
  <si>
    <t>Quelle: BAG</t>
  </si>
  <si>
    <t>1) Erwachsene (ab 19 Jahren) = junge Erwachsene (19-25 Jahre) + Erwachsene (ab 26 Jahren)</t>
  </si>
  <si>
    <t xml:space="preserve">2) Ausnahme: Erhöhung des Selbstbehaltes auf 20 % für Originalpräparate, von welchen </t>
  </si>
  <si>
    <t xml:space="preserve">    ein mindestens 20 % billigeres Generikum in der Spezialitätenliste angeführt ist (Art. 38a KLV).</t>
  </si>
  <si>
    <t>(Änderungen grau)</t>
  </si>
  <si>
    <t>Beilage F2</t>
  </si>
  <si>
    <t>Entwicklung der Franchisen, Prämienrabatte und Selbstbehalte ab 1996 (Kinder)</t>
  </si>
  <si>
    <t>Kinder (0-18 Jahre)</t>
  </si>
  <si>
    <t>10% max. 300.-</t>
  </si>
  <si>
    <t>ordentlich 0.-</t>
  </si>
  <si>
    <t>1) 150.-</t>
  </si>
  <si>
    <t>2) 300.-</t>
  </si>
  <si>
    <t>3) 375.-</t>
  </si>
  <si>
    <r>
      <t xml:space="preserve">10% </t>
    </r>
    <r>
      <rPr>
        <i/>
        <sz val="10"/>
        <rFont val="Arial"/>
        <family val="2"/>
      </rPr>
      <t xml:space="preserve">max. </t>
    </r>
    <r>
      <rPr>
        <b/>
        <i/>
        <sz val="10"/>
        <rFont val="Arial"/>
        <family val="2"/>
      </rPr>
      <t>350.-</t>
    </r>
  </si>
  <si>
    <t>10% max. 350.-</t>
  </si>
  <si>
    <t>1) 100.-</t>
  </si>
  <si>
    <t>2) 200.-</t>
  </si>
  <si>
    <t>3) 300.-</t>
  </si>
  <si>
    <t>4) 400.-</t>
  </si>
  <si>
    <t>5) 500.-</t>
  </si>
  <si>
    <t>6) 600.-</t>
  </si>
  <si>
    <r>
      <t>10%</t>
    </r>
    <r>
      <rPr>
        <sz val="10"/>
        <rFont val="Arial"/>
        <family val="2"/>
      </rPr>
      <t xml:space="preserve"> </t>
    </r>
    <r>
      <rPr>
        <vertAlign val="superscript"/>
        <sz val="10"/>
        <rFont val="Arial"/>
        <family val="2"/>
      </rPr>
      <t>1</t>
    </r>
    <r>
      <rPr>
        <sz val="10"/>
        <rFont val="Arial"/>
        <family val="2"/>
      </rPr>
      <t xml:space="preserve"> </t>
    </r>
    <r>
      <rPr>
        <i/>
        <sz val="10"/>
        <rFont val="Arial"/>
        <family val="2"/>
      </rPr>
      <t xml:space="preserve">max. </t>
    </r>
    <r>
      <rPr>
        <sz val="10"/>
        <rFont val="Arial"/>
        <family val="2"/>
      </rPr>
      <t>350</t>
    </r>
    <r>
      <rPr>
        <i/>
        <sz val="10"/>
        <rFont val="Arial"/>
        <family val="2"/>
      </rPr>
      <t>.-</t>
    </r>
  </si>
  <si>
    <t xml:space="preserve">1) Ausnahme: Erhöhung des Selbstbehaltes auf 20 % für Originalpräparate, von welchen </t>
  </si>
  <si>
    <t>Beilage F3</t>
  </si>
  <si>
    <r>
      <t xml:space="preserve">Zunahme der Gesamtausgaben </t>
    </r>
    <r>
      <rPr>
        <b/>
        <vertAlign val="superscript"/>
        <sz val="11"/>
        <rFont val="Arial"/>
        <family val="2"/>
      </rPr>
      <t>1</t>
    </r>
    <r>
      <rPr>
        <b/>
        <sz val="11"/>
        <rFont val="Arial"/>
        <family val="2"/>
      </rPr>
      <t xml:space="preserve"> der Versicherten (Prämien + Kostenbeteiligung) als Folge der Änderungen der Franchisen, der Prämienrabatte und des Selbstbehalts </t>
    </r>
  </si>
  <si>
    <t>Erwachsene (ab 26 Jahren) : effektive Zunahme 2013</t>
  </si>
  <si>
    <r>
      <t xml:space="preserve">Durchschnittsprämie CH </t>
    </r>
    <r>
      <rPr>
        <b/>
        <i/>
        <vertAlign val="superscript"/>
        <sz val="10"/>
        <rFont val="Arial"/>
        <family val="2"/>
      </rPr>
      <t>2</t>
    </r>
    <r>
      <rPr>
        <b/>
        <i/>
        <sz val="10"/>
        <rFont val="Arial"/>
        <family val="2"/>
      </rPr>
      <t xml:space="preserve"> : 387.70</t>
    </r>
  </si>
  <si>
    <t>Gesamtausgaben in Fr. :</t>
  </si>
  <si>
    <t>Max. Gewinn (+) / Verlust (-) in Fr. / % gegenüber der ordentlichen Franchise :</t>
  </si>
  <si>
    <t>mit Leistungen von 0.-</t>
  </si>
  <si>
    <t>mit Leistungen von 9500.-</t>
  </si>
  <si>
    <t xml:space="preserve">ordentlich 300.- </t>
  </si>
  <si>
    <t xml:space="preserve">1) 500.- </t>
  </si>
  <si>
    <t xml:space="preserve">2) 1000.- </t>
  </si>
  <si>
    <t>Junge Erwachsene (19-25 Jahre) : effektive Zunahme 2013</t>
  </si>
  <si>
    <r>
      <t xml:space="preserve">Durchschnittsprämie CH </t>
    </r>
    <r>
      <rPr>
        <b/>
        <i/>
        <vertAlign val="superscript"/>
        <sz val="10"/>
        <rFont val="Arial"/>
        <family val="2"/>
      </rPr>
      <t>2</t>
    </r>
    <r>
      <rPr>
        <b/>
        <i/>
        <sz val="10"/>
        <rFont val="Arial"/>
        <family val="2"/>
      </rPr>
      <t xml:space="preserve"> : 353.10</t>
    </r>
  </si>
  <si>
    <t>Kinder (0-18 Jahre) : effektive Zunahme 2013</t>
  </si>
  <si>
    <r>
      <t xml:space="preserve">Durchschnittsprämie CH </t>
    </r>
    <r>
      <rPr>
        <b/>
        <i/>
        <vertAlign val="superscript"/>
        <sz val="10"/>
        <rFont val="Arial"/>
        <family val="2"/>
      </rPr>
      <t>2</t>
    </r>
    <r>
      <rPr>
        <b/>
        <i/>
        <sz val="10"/>
        <rFont val="Arial"/>
        <family val="2"/>
      </rPr>
      <t xml:space="preserve"> : 89.30</t>
    </r>
  </si>
  <si>
    <t>Gesamtausgaben in Fr.  :</t>
  </si>
  <si>
    <t>Max. Gewinn (+) / Verlust (-) in Fr. / %  gegenüber der ordentlichen Franchise :</t>
  </si>
  <si>
    <t>mit Leistungen von 4100.-</t>
  </si>
  <si>
    <t xml:space="preserve">4) 400.- </t>
  </si>
  <si>
    <t xml:space="preserve">6) 600.- </t>
  </si>
  <si>
    <t>Quelle: T 12.01; Anhang F1 und F2.</t>
  </si>
  <si>
    <t xml:space="preserve">1) Der tatsächliche Anstieg ist abhängig von der Prämienhöhe und den Leistungen. Hier wird er angegeben für die schweizerische Durchschnittsprämie für </t>
  </si>
  <si>
    <t>null Leistungen (0.-) und maximale Leistungen (ab diesem Betrag nehmen die Ausgaben der Versicherten mit der höchsten Franchise nicht mehr zu).</t>
  </si>
  <si>
    <t>Es wird von der Hypothese ausgegangen, dass der gesetzlich maximale Prämienrabatt für die wählbaren Franchisen gewährt wird.</t>
  </si>
  <si>
    <t xml:space="preserve">Ist dem nicht so, sieht der tatsächliche Anstieg anders aus. </t>
  </si>
  <si>
    <t>Berechnungsmethode:</t>
  </si>
  <si>
    <t>- Man berechnet den Gesamtanstieg (Prämie + Kostenbeteiligung, d.h. Franchise + Selbstbehalt [10 % vereinfacht gesagt]) für jede Franchisenhöhe gemäss Leistungen;</t>
  </si>
  <si>
    <t>- danach wird der effektive Anstieg in % im Vergleich zum Vorjahr bestimmt;</t>
  </si>
  <si>
    <t>- der maximale Gewinn oder Verlust für das laufende Jahr berechnet sich aus dem Gesamtanstieg für die ordentliche Franchise.</t>
  </si>
  <si>
    <t>Anstieg 1996-&gt;2012: siehe STAT KV 03-&gt;10 (Beilagen).</t>
  </si>
  <si>
    <t xml:space="preserve">2) Es handelt sich um eine Schätzung der monatlichen Durchschnittsprämie in Franken ausgehend von den Versicherungstarifen mit ordentlicher Franchise </t>
  </si>
  <si>
    <t>einschliesslich Unfalldeckung und den Versichertenbeständen nach Kantonen und Prämienregion.</t>
  </si>
  <si>
    <t>input (coller valeurs depuis onglet f et modifier manuellement les années 2007 -&gt; 2008 )</t>
  </si>
  <si>
    <t>3.07</t>
  </si>
  <si>
    <t>3.06</t>
  </si>
  <si>
    <t>3.02</t>
  </si>
  <si>
    <t>3.04</t>
  </si>
  <si>
    <t>3.03</t>
  </si>
  <si>
    <t>3.05</t>
  </si>
  <si>
    <t>12.02-12.04</t>
  </si>
  <si>
    <t>12.01</t>
  </si>
  <si>
    <t>Prämientarif</t>
  </si>
  <si>
    <t>Prämien für das Standardmodell mit ord. Franchise (inkl. Unfalldeckung).</t>
  </si>
  <si>
    <t>Prämien, die die Versicherten dem Versicherer zahlen müssen (= geschuldete Prämien)</t>
  </si>
  <si>
    <t>Versicherungsform Ordentliche Franchise, Wahlfranchisen, BONUS, Eingeschränkte Wahl.</t>
  </si>
  <si>
    <t>nach Leistungsprinzip.</t>
  </si>
  <si>
    <t>Eintritte (nach Geschlecht)</t>
  </si>
  <si>
    <t>Zeitreihen 2001 (1996) -&gt;</t>
  </si>
  <si>
    <t>Übergangsschlüssel Tabellen *  2011 -&gt; 1996</t>
  </si>
  <si>
    <t>Publikation 2011</t>
  </si>
  <si>
    <t>Beilage B: Übergangsschlüssel Tabellen T  2010 -&gt; 2011 / 2011 -&gt; 2010</t>
  </si>
  <si>
    <t>(131 Tabellen)</t>
  </si>
  <si>
    <t>Neuheiten im Jahr 2011 (1)</t>
  </si>
  <si>
    <t>nicht vorhanden</t>
  </si>
  <si>
    <t>Daten pro Kanton (4)</t>
  </si>
  <si>
    <t>neu im Jahr 2011 (4)</t>
  </si>
  <si>
    <t>Übergangsschlüssel Tabellen 2011 -&gt; 1996 : siehe Beilage B1 Version STAT KV 2011 Tabellen XLS auf dem www.</t>
  </si>
  <si>
    <t>vollständig (131 / 131 T.)</t>
  </si>
  <si>
    <t>26.3.13: B, B1, F1, F2, F3</t>
  </si>
  <si>
    <t>26.3.13: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</si>
</sst>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8" formatCode="0.0"/>
    <numFmt numFmtId="189" formatCode="#,##0.0"/>
    <numFmt numFmtId="190" formatCode="0.0%"/>
    <numFmt numFmtId="211" formatCode="#,##0.000"/>
    <numFmt numFmtId="212" formatCode="#,##0.000000"/>
  </numFmts>
  <fonts count="114">
    <font>
      <sz val="10"/>
      <name val="55 Helvetica Roman"/>
    </font>
    <font>
      <sz val="10"/>
      <name val="Geneva"/>
      <family val="2"/>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b/>
      <sz val="14"/>
      <name val="55 Helvetica Roman"/>
    </font>
    <font>
      <sz val="9"/>
      <name val="Arial"/>
      <family val="2"/>
    </font>
    <font>
      <b/>
      <sz val="11"/>
      <color indexed="9"/>
      <name val="55 Helvetica Roman"/>
    </font>
    <font>
      <b/>
      <sz val="12"/>
      <name val="55 Helvetica Roman"/>
    </font>
    <font>
      <sz val="8"/>
      <name val="Arial"/>
      <family val="2"/>
    </font>
    <font>
      <i/>
      <sz val="10"/>
      <name val="55 Helvetica Roman"/>
    </font>
    <font>
      <i/>
      <sz val="10"/>
      <name val="Arial"/>
      <family val="2"/>
    </font>
    <font>
      <sz val="10"/>
      <color indexed="10"/>
      <name val="55 Helvetica Roman"/>
    </font>
    <font>
      <b/>
      <sz val="9"/>
      <name val="55 Helvetica Roman"/>
    </font>
    <font>
      <sz val="9"/>
      <name val="55 Helvetica Roman"/>
    </font>
    <font>
      <sz val="10"/>
      <name val="Arial"/>
      <family val="2"/>
    </font>
    <font>
      <sz val="11"/>
      <name val="55 Helvetica Roman"/>
    </font>
    <font>
      <b/>
      <sz val="8"/>
      <name val="Arial"/>
      <family val="2"/>
    </font>
    <font>
      <b/>
      <sz val="7"/>
      <name val="Arial"/>
      <family val="2"/>
    </font>
    <font>
      <sz val="7"/>
      <name val="Arial"/>
      <family val="2"/>
    </font>
    <font>
      <i/>
      <sz val="7"/>
      <name val="Arial"/>
      <family val="2"/>
    </font>
    <font>
      <b/>
      <sz val="12"/>
      <color indexed="12"/>
      <name val="Arial"/>
      <family val="2"/>
    </font>
    <font>
      <sz val="10"/>
      <name val="55 Helvetica Roman"/>
    </font>
    <font>
      <b/>
      <sz val="9"/>
      <name val="Arial"/>
      <family val="2"/>
    </font>
    <font>
      <b/>
      <sz val="11"/>
      <color indexed="42"/>
      <name val="Arial"/>
      <family val="2"/>
    </font>
    <font>
      <sz val="6"/>
      <name val="Arial"/>
      <family val="2"/>
    </font>
    <font>
      <b/>
      <sz val="11"/>
      <name val="55 Helvetica Roman"/>
    </font>
    <font>
      <sz val="11"/>
      <color indexed="10"/>
      <name val="55 Helvetica Roman"/>
    </font>
    <font>
      <i/>
      <sz val="11"/>
      <name val="Arial"/>
      <family val="2"/>
    </font>
    <font>
      <b/>
      <sz val="11"/>
      <color indexed="10"/>
      <name val="Arial"/>
      <family val="2"/>
    </font>
    <font>
      <sz val="8"/>
      <name val="55 Helvetica Roman"/>
    </font>
    <font>
      <sz val="10"/>
      <color indexed="10"/>
      <name val="Arial"/>
      <family val="2"/>
    </font>
    <font>
      <b/>
      <sz val="14"/>
      <name val="Arial"/>
      <family val="2"/>
    </font>
    <font>
      <b/>
      <i/>
      <sz val="10"/>
      <name val="Arial"/>
      <family val="2"/>
    </font>
    <font>
      <sz val="10"/>
      <name val="Arial"/>
      <family val="2"/>
    </font>
    <font>
      <sz val="10"/>
      <name val="Arial"/>
      <family val="2"/>
    </font>
    <font>
      <sz val="10"/>
      <name val="Arial"/>
      <family val="2"/>
    </font>
    <font>
      <sz val="10"/>
      <name val="Tms Rmn"/>
    </font>
    <font>
      <sz val="10"/>
      <name val="Arial"/>
      <family val="2"/>
    </font>
    <font>
      <b/>
      <i/>
      <sz val="11"/>
      <name val="Arial"/>
      <family val="2"/>
    </font>
    <font>
      <b/>
      <vertAlign val="superscript"/>
      <sz val="11"/>
      <name val="Arial"/>
      <family val="2"/>
    </font>
    <font>
      <i/>
      <vertAlign val="superscript"/>
      <sz val="11"/>
      <name val="Arial"/>
      <family val="2"/>
    </font>
    <font>
      <b/>
      <vertAlign val="superscript"/>
      <sz val="12"/>
      <name val="Arial"/>
      <family val="2"/>
    </font>
    <font>
      <vertAlign val="superscript"/>
      <sz val="11"/>
      <name val="Arial"/>
      <family val="2"/>
    </font>
    <font>
      <sz val="10"/>
      <color indexed="8"/>
      <name val="Arial"/>
      <family val="2"/>
    </font>
    <font>
      <i/>
      <sz val="9"/>
      <name val="Arial"/>
      <family val="2"/>
    </font>
    <font>
      <i/>
      <sz val="12"/>
      <name val="Arial"/>
      <family val="2"/>
    </font>
    <font>
      <sz val="10"/>
      <name val="Arial"/>
      <family val="2"/>
    </font>
    <font>
      <sz val="9"/>
      <name val="Arial"/>
      <family val="2"/>
    </font>
    <font>
      <vertAlign val="superscript"/>
      <sz val="10"/>
      <name val="Arial"/>
      <family val="2"/>
    </font>
    <font>
      <i/>
      <u/>
      <sz val="10"/>
      <name val="Arial"/>
      <family val="2"/>
    </font>
    <font>
      <b/>
      <sz val="12"/>
      <color indexed="8"/>
      <name val="Arial"/>
      <family val="2"/>
    </font>
    <font>
      <b/>
      <sz val="10"/>
      <color indexed="8"/>
      <name val="Arial"/>
      <family val="2"/>
    </font>
    <font>
      <i/>
      <sz val="10"/>
      <color indexed="8"/>
      <name val="Arial"/>
      <family val="2"/>
    </font>
    <font>
      <b/>
      <i/>
      <u/>
      <sz val="11"/>
      <name val="Arial"/>
      <family val="2"/>
    </font>
    <font>
      <u/>
      <sz val="10"/>
      <name val="Arial"/>
      <family val="2"/>
    </font>
    <font>
      <b/>
      <sz val="8"/>
      <color indexed="81"/>
      <name val="Tahoma"/>
      <family val="2"/>
    </font>
    <font>
      <sz val="8"/>
      <color indexed="81"/>
      <name val="Tahoma"/>
      <family val="2"/>
    </font>
    <font>
      <i/>
      <sz val="8"/>
      <name val="Arial"/>
      <family val="2"/>
    </font>
    <font>
      <sz val="10"/>
      <name val="Arial"/>
      <family val="2"/>
    </font>
    <font>
      <sz val="11"/>
      <color indexed="8"/>
      <name val="Arial"/>
      <family val="2"/>
    </font>
    <font>
      <b/>
      <vertAlign val="superscript"/>
      <sz val="12"/>
      <name val="55 Helvetica Roman"/>
    </font>
    <font>
      <i/>
      <sz val="8"/>
      <color indexed="10"/>
      <name val="Arial"/>
      <family val="2"/>
    </font>
    <font>
      <i/>
      <sz val="9"/>
      <color indexed="10"/>
      <name val="Arial"/>
      <family val="2"/>
    </font>
    <font>
      <sz val="9"/>
      <color indexed="48"/>
      <name val="Arial"/>
      <family val="2"/>
    </font>
    <font>
      <b/>
      <sz val="12"/>
      <color indexed="10"/>
      <name val="Arial"/>
      <family val="2"/>
    </font>
    <font>
      <b/>
      <vertAlign val="superscript"/>
      <sz val="10"/>
      <name val="Arial"/>
      <family val="2"/>
    </font>
    <font>
      <sz val="10"/>
      <color indexed="10"/>
      <name val="Arial"/>
      <family val="2"/>
    </font>
    <font>
      <b/>
      <sz val="12"/>
      <color indexed="10"/>
      <name val="Arial"/>
      <family val="2"/>
    </font>
    <font>
      <sz val="10"/>
      <color indexed="9"/>
      <name val="Arial"/>
      <family val="2"/>
    </font>
    <font>
      <vertAlign val="superscript"/>
      <sz val="9"/>
      <name val="Arial"/>
      <family val="2"/>
    </font>
    <font>
      <vertAlign val="superscript"/>
      <sz val="10"/>
      <name val="55 Helvetica Roman"/>
    </font>
    <font>
      <i/>
      <vertAlign val="superscript"/>
      <sz val="9"/>
      <name val="Arial"/>
      <family val="2"/>
    </font>
    <font>
      <u/>
      <sz val="10"/>
      <name val="55 Helvetica Roman"/>
    </font>
    <font>
      <sz val="10"/>
      <name val="Arial"/>
      <family val="2"/>
    </font>
    <font>
      <u/>
      <sz val="12"/>
      <color indexed="12"/>
      <name val="55 Helvetica Roman"/>
    </font>
    <font>
      <sz val="10"/>
      <color indexed="15"/>
      <name val="Tms Rmn"/>
    </font>
    <font>
      <b/>
      <sz val="10"/>
      <name val="Tms Rmn"/>
    </font>
    <font>
      <b/>
      <i/>
      <sz val="10"/>
      <name val="Tms Rmn"/>
    </font>
    <font>
      <sz val="8"/>
      <name val="Tms Rmn"/>
    </font>
    <font>
      <b/>
      <i/>
      <vertAlign val="superscript"/>
      <sz val="10"/>
      <name val="Arial"/>
      <family val="2"/>
    </font>
    <font>
      <sz val="8"/>
      <color indexed="10"/>
      <name val="Arial"/>
      <family val="2"/>
    </font>
    <font>
      <vertAlign val="superscript"/>
      <sz val="8"/>
      <name val="Arial"/>
      <family val="2"/>
    </font>
    <font>
      <sz val="10"/>
      <color indexed="56"/>
      <name val="Tms Rmn"/>
    </font>
    <font>
      <b/>
      <sz val="10"/>
      <color indexed="56"/>
      <name val="Tms Rmn"/>
    </font>
    <font>
      <b/>
      <sz val="10"/>
      <color indexed="17"/>
      <name val="Tms Rmn"/>
    </font>
    <font>
      <b/>
      <sz val="10"/>
      <color indexed="52"/>
      <name val="Tms Rmn"/>
    </font>
    <font>
      <b/>
      <sz val="12"/>
      <name val="Times New Roman"/>
      <family val="1"/>
    </font>
    <font>
      <b/>
      <i/>
      <sz val="9"/>
      <name val="Arial"/>
      <family val="2"/>
    </font>
    <font>
      <b/>
      <i/>
      <vertAlign val="superscript"/>
      <sz val="9"/>
      <name val="Arial"/>
      <family val="2"/>
    </font>
    <font>
      <b/>
      <sz val="14"/>
      <name val="Times New Roman"/>
      <family val="1"/>
    </font>
    <font>
      <sz val="14"/>
      <name val="Times New Roman"/>
      <family val="1"/>
    </font>
    <font>
      <sz val="10"/>
      <name val="Times New Roman"/>
      <family val="1"/>
    </font>
    <font>
      <sz val="8"/>
      <name val="Times New Roman"/>
      <family val="1"/>
    </font>
    <font>
      <sz val="9"/>
      <name val="Geneva"/>
      <family val="2"/>
    </font>
    <font>
      <b/>
      <i/>
      <sz val="8"/>
      <name val="Arial"/>
      <family val="2"/>
    </font>
    <font>
      <sz val="11"/>
      <color rgb="FFFF0000"/>
      <name val="Arial"/>
      <family val="2"/>
    </font>
    <font>
      <b/>
      <sz val="11"/>
      <color rgb="FFFF0000"/>
      <name val="Arial"/>
      <family val="2"/>
    </font>
    <font>
      <sz val="10"/>
      <color rgb="FFFF0000"/>
      <name val="Arial"/>
      <family val="2"/>
    </font>
    <font>
      <b/>
      <sz val="11"/>
      <color theme="1"/>
      <name val="Calibri"/>
      <family val="2"/>
      <scheme val="minor"/>
    </font>
    <font>
      <sz val="10"/>
      <color theme="0"/>
      <name val="Arial"/>
      <family val="2"/>
    </font>
    <font>
      <sz val="10"/>
      <color theme="0"/>
      <name val="55 Helvetica Roman"/>
    </font>
  </fonts>
  <fills count="22">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47"/>
        <bgColor indexed="64"/>
      </patternFill>
    </fill>
    <fill>
      <patternFill patternType="lightGray">
        <fgColor indexed="22"/>
        <bgColor indexed="22"/>
      </patternFill>
    </fill>
    <fill>
      <patternFill patternType="solid">
        <fgColor indexed="47"/>
        <bgColor indexed="47"/>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0" tint="-0.249977111117893"/>
        <bgColor indexed="64"/>
      </patternFill>
    </fill>
    <fill>
      <patternFill patternType="solid">
        <fgColor rgb="FFDDDDDD"/>
        <bgColor indexed="64"/>
      </patternFill>
    </fill>
    <fill>
      <patternFill patternType="solid">
        <fgColor rgb="FFEAEAEA"/>
        <bgColor indexed="64"/>
      </patternFill>
    </fill>
    <fill>
      <patternFill patternType="solid">
        <fgColor rgb="FFC0C0C0"/>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0" tint="-0.14999847407452621"/>
        <bgColor indexed="47"/>
      </patternFill>
    </fill>
  </fills>
  <borders count="49">
    <border>
      <left/>
      <right/>
      <top/>
      <bottom/>
      <diagonal/>
    </border>
    <border>
      <left style="hair">
        <color indexed="64"/>
      </left>
      <right style="hair">
        <color indexed="64"/>
      </right>
      <top style="hair">
        <color indexed="64"/>
      </top>
      <bottom/>
      <diagonal/>
    </border>
    <border>
      <left style="thin">
        <color indexed="64"/>
      </left>
      <right/>
      <top/>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medium">
        <color indexed="9"/>
      </bottom>
      <diagonal/>
    </border>
    <border>
      <left/>
      <right/>
      <top/>
      <bottom style="medium">
        <color indexed="9"/>
      </bottom>
      <diagonal/>
    </border>
    <border>
      <left/>
      <right/>
      <top style="medium">
        <color indexed="9"/>
      </top>
      <bottom style="medium">
        <color indexed="9"/>
      </bottom>
      <diagonal/>
    </border>
    <border>
      <left/>
      <right/>
      <top style="medium">
        <color indexed="64"/>
      </top>
      <bottom/>
      <diagonal/>
    </border>
    <border>
      <left/>
      <right/>
      <top style="medium">
        <color indexed="9"/>
      </top>
      <bottom/>
      <diagonal/>
    </border>
    <border>
      <left style="thin">
        <color indexed="64"/>
      </left>
      <right/>
      <top style="medium">
        <color indexed="9"/>
      </top>
      <bottom style="medium">
        <color indexed="9"/>
      </bottom>
      <diagonal/>
    </border>
    <border>
      <left/>
      <right style="thin">
        <color indexed="64"/>
      </right>
      <top/>
      <bottom/>
      <diagonal/>
    </border>
    <border>
      <left/>
      <right/>
      <top style="medium">
        <color indexed="9"/>
      </top>
      <bottom style="medium">
        <color indexed="64"/>
      </bottom>
      <diagonal/>
    </border>
    <border>
      <left/>
      <right style="thin">
        <color indexed="64"/>
      </right>
      <top style="thin">
        <color indexed="64"/>
      </top>
      <bottom/>
      <diagonal/>
    </border>
    <border>
      <left/>
      <right/>
      <top style="hair">
        <color indexed="64"/>
      </top>
      <bottom style="hair">
        <color indexed="64"/>
      </bottom>
      <diagonal/>
    </border>
    <border>
      <left/>
      <right/>
      <top style="hair">
        <color indexed="8"/>
      </top>
      <bottom style="hair">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9"/>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9"/>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style="medium">
        <color indexed="64"/>
      </left>
      <right/>
      <top/>
      <bottom style="thin">
        <color indexed="64"/>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style="medium">
        <color indexed="64"/>
      </left>
      <right/>
      <top style="thin">
        <color indexed="8"/>
      </top>
      <bottom/>
      <diagonal/>
    </border>
    <border>
      <left/>
      <right/>
      <top style="thin">
        <color indexed="8"/>
      </top>
      <bottom/>
      <diagonal/>
    </border>
    <border>
      <left style="medium">
        <color indexed="64"/>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9"/>
      </top>
      <bottom style="medium">
        <color theme="0"/>
      </bottom>
      <diagonal/>
    </border>
    <border>
      <left/>
      <right/>
      <top style="medium">
        <color theme="0"/>
      </top>
      <bottom style="medium">
        <color theme="0"/>
      </bottom>
      <diagonal/>
    </border>
    <border>
      <left/>
      <right/>
      <top style="medium">
        <color theme="0"/>
      </top>
      <bottom style="medium">
        <color indexed="9"/>
      </bottom>
      <diagonal/>
    </border>
    <border>
      <left/>
      <right/>
      <top style="thin">
        <color indexed="64"/>
      </top>
      <bottom style="medium">
        <color theme="0"/>
      </bottom>
      <diagonal/>
    </border>
    <border>
      <left/>
      <right/>
      <top/>
      <bottom style="medium">
        <color theme="0"/>
      </bottom>
      <diagonal/>
    </border>
    <border>
      <left style="medium">
        <color indexed="64"/>
      </left>
      <right/>
      <top style="medium">
        <color theme="0"/>
      </top>
      <bottom style="medium">
        <color theme="0"/>
      </bottom>
      <diagonal/>
    </border>
  </borders>
  <cellStyleXfs count="21">
    <xf numFmtId="0" fontId="0" fillId="0" borderId="0"/>
    <xf numFmtId="0" fontId="87" fillId="0" borderId="0" applyNumberFormat="0" applyFill="0" applyBorder="0" applyAlignment="0" applyProtection="0">
      <alignment vertical="top"/>
      <protection locked="0"/>
    </xf>
    <xf numFmtId="0" fontId="71" fillId="0" borderId="0"/>
    <xf numFmtId="0" fontId="86" fillId="0" borderId="0"/>
    <xf numFmtId="0" fontId="27" fillId="0" borderId="0"/>
    <xf numFmtId="0" fontId="5" fillId="0" borderId="0"/>
    <xf numFmtId="0" fontId="46" fillId="0" borderId="0"/>
    <xf numFmtId="0" fontId="5" fillId="0" borderId="0"/>
    <xf numFmtId="0" fontId="47" fillId="0" borderId="0"/>
    <xf numFmtId="0" fontId="48" fillId="0" borderId="0"/>
    <xf numFmtId="0" fontId="49" fillId="0" borderId="0"/>
    <xf numFmtId="0" fontId="50" fillId="0" borderId="0"/>
    <xf numFmtId="0" fontId="59" fillId="0" borderId="0"/>
    <xf numFmtId="0" fontId="59" fillId="0" borderId="0"/>
    <xf numFmtId="0" fontId="5" fillId="0" borderId="0"/>
    <xf numFmtId="0" fontId="34" fillId="0" borderId="0"/>
    <xf numFmtId="0" fontId="5" fillId="0" borderId="0"/>
    <xf numFmtId="0" fontId="34" fillId="0" borderId="0"/>
    <xf numFmtId="0" fontId="5" fillId="0" borderId="0"/>
    <xf numFmtId="0" fontId="1" fillId="0" borderId="0"/>
    <xf numFmtId="0" fontId="20" fillId="1" borderId="1" applyNumberFormat="0" applyFont="0" applyFill="0" applyBorder="0" applyAlignment="0">
      <alignment horizontal="right" vertical="top" wrapText="1"/>
    </xf>
  </cellStyleXfs>
  <cellXfs count="1875">
    <xf numFmtId="0" fontId="0" fillId="0" borderId="0" xfId="0"/>
    <xf numFmtId="0" fontId="9" fillId="0" borderId="4" xfId="16" applyFont="1" applyBorder="1" applyAlignment="1">
      <alignment horizontal="center"/>
    </xf>
    <xf numFmtId="0" fontId="2" fillId="0" borderId="0" xfId="0" applyFont="1"/>
    <xf numFmtId="0" fontId="5" fillId="0" borderId="0" xfId="0" applyFont="1"/>
    <xf numFmtId="0" fontId="5" fillId="0" borderId="0" xfId="0" applyFont="1" applyFill="1"/>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3" fontId="5" fillId="0" borderId="0" xfId="0" applyNumberFormat="1" applyFont="1"/>
    <xf numFmtId="3" fontId="4" fillId="0" borderId="0" xfId="0" applyNumberFormat="1" applyFont="1" applyBorder="1" applyAlignment="1">
      <alignment horizontal="right"/>
    </xf>
    <xf numFmtId="0" fontId="13" fillId="2" borderId="0" xfId="0" applyFont="1" applyFill="1"/>
    <xf numFmtId="0" fontId="0" fillId="2" borderId="0" xfId="0" applyFill="1"/>
    <xf numFmtId="0" fontId="5" fillId="2" borderId="0" xfId="0" applyFont="1" applyFill="1"/>
    <xf numFmtId="0" fontId="11" fillId="0" borderId="0" xfId="0" applyFont="1"/>
    <xf numFmtId="2" fontId="3" fillId="0" borderId="0" xfId="0" applyNumberFormat="1" applyFont="1"/>
    <xf numFmtId="2" fontId="11" fillId="0" borderId="0" xfId="0" applyNumberFormat="1" applyFont="1"/>
    <xf numFmtId="0" fontId="5" fillId="3" borderId="0" xfId="0" applyFont="1" applyFill="1"/>
    <xf numFmtId="0" fontId="3" fillId="0" borderId="0" xfId="0" applyFont="1"/>
    <xf numFmtId="0" fontId="12" fillId="4" borderId="0" xfId="0" applyFont="1" applyFill="1"/>
    <xf numFmtId="0" fontId="6" fillId="4" borderId="0" xfId="0" applyFont="1" applyFill="1"/>
    <xf numFmtId="0" fontId="5" fillId="5" borderId="0" xfId="0" applyFont="1" applyFill="1"/>
    <xf numFmtId="0" fontId="15" fillId="0" borderId="0" xfId="0" applyFont="1" applyFill="1"/>
    <xf numFmtId="14" fontId="5" fillId="5" borderId="0" xfId="0" applyNumberFormat="1" applyFont="1" applyFill="1"/>
    <xf numFmtId="0" fontId="0" fillId="0" borderId="0" xfId="0" applyFill="1"/>
    <xf numFmtId="9" fontId="23" fillId="0" borderId="0" xfId="0" applyNumberFormat="1" applyFont="1" applyFill="1" applyAlignment="1">
      <alignment horizontal="right"/>
    </xf>
    <xf numFmtId="2" fontId="5" fillId="5" borderId="0" xfId="0" applyNumberFormat="1" applyFont="1" applyFill="1" applyAlignment="1">
      <alignment horizontal="left"/>
    </xf>
    <xf numFmtId="0" fontId="13" fillId="0" borderId="0" xfId="0" applyFont="1" applyFill="1"/>
    <xf numFmtId="0" fontId="14" fillId="0" borderId="0" xfId="0" applyFont="1" applyFill="1"/>
    <xf numFmtId="0" fontId="25" fillId="2" borderId="0" xfId="0" applyFont="1" applyFill="1"/>
    <xf numFmtId="0" fontId="26" fillId="2" borderId="0" xfId="0" applyFont="1" applyFill="1"/>
    <xf numFmtId="0" fontId="18" fillId="2" borderId="0" xfId="0" applyFont="1" applyFill="1"/>
    <xf numFmtId="14" fontId="5" fillId="0" borderId="0" xfId="0" applyNumberFormat="1" applyFont="1" applyFill="1"/>
    <xf numFmtId="2" fontId="5" fillId="0" borderId="0" xfId="0" applyNumberFormat="1" applyFont="1" applyFill="1" applyAlignment="1">
      <alignment horizontal="left"/>
    </xf>
    <xf numFmtId="0" fontId="5" fillId="0" borderId="2" xfId="0" applyFont="1" applyBorder="1"/>
    <xf numFmtId="0" fontId="20" fillId="0" borderId="0" xfId="0" applyFont="1" applyFill="1"/>
    <xf numFmtId="0" fontId="26" fillId="0" borderId="0" xfId="0" applyFont="1" applyFill="1"/>
    <xf numFmtId="0" fontId="18" fillId="0" borderId="0" xfId="0" applyFont="1" applyFill="1"/>
    <xf numFmtId="0" fontId="22" fillId="0" borderId="0" xfId="0" applyFont="1" applyFill="1"/>
    <xf numFmtId="0" fontId="33" fillId="0" borderId="0" xfId="0" applyFont="1"/>
    <xf numFmtId="0" fontId="14" fillId="2" borderId="0" xfId="0" applyFont="1" applyFill="1"/>
    <xf numFmtId="14" fontId="26" fillId="2" borderId="0" xfId="0" applyNumberFormat="1" applyFont="1" applyFill="1"/>
    <xf numFmtId="0" fontId="35" fillId="2" borderId="0" xfId="0" applyFont="1" applyFill="1"/>
    <xf numFmtId="0" fontId="35" fillId="0" borderId="0" xfId="0" applyFont="1" applyFill="1"/>
    <xf numFmtId="0" fontId="38" fillId="5" borderId="0" xfId="0" applyFont="1" applyFill="1"/>
    <xf numFmtId="0" fontId="23" fillId="0" borderId="0" xfId="0" applyFont="1"/>
    <xf numFmtId="0" fontId="34" fillId="0" borderId="0" xfId="0" applyFont="1" applyFill="1"/>
    <xf numFmtId="0" fontId="24" fillId="0" borderId="0" xfId="0" applyFont="1" applyFill="1"/>
    <xf numFmtId="0" fontId="5" fillId="0" borderId="0" xfId="15" applyFont="1" applyAlignment="1">
      <alignment horizontal="right"/>
    </xf>
    <xf numFmtId="0" fontId="28" fillId="0" borderId="0" xfId="15" applyFont="1"/>
    <xf numFmtId="0" fontId="9" fillId="0" borderId="0" xfId="0" applyFont="1" applyFill="1"/>
    <xf numFmtId="0" fontId="41" fillId="2" borderId="0" xfId="0" applyFont="1" applyFill="1"/>
    <xf numFmtId="0" fontId="23" fillId="0" borderId="2" xfId="0" applyFont="1" applyBorder="1"/>
    <xf numFmtId="14" fontId="42" fillId="2" borderId="0" xfId="0" applyNumberFormat="1" applyFont="1" applyFill="1"/>
    <xf numFmtId="0" fontId="14" fillId="4" borderId="0" xfId="0" applyFont="1" applyFill="1"/>
    <xf numFmtId="0" fontId="9" fillId="4" borderId="0" xfId="0" applyFont="1" applyFill="1"/>
    <xf numFmtId="0" fontId="43" fillId="2" borderId="0" xfId="0" applyFont="1" applyFill="1"/>
    <xf numFmtId="0" fontId="21" fillId="0" borderId="0" xfId="0" applyFont="1"/>
    <xf numFmtId="14" fontId="42" fillId="5" borderId="0" xfId="0" applyNumberFormat="1" applyFont="1" applyFill="1"/>
    <xf numFmtId="14" fontId="21" fillId="5" borderId="0" xfId="0" applyNumberFormat="1" applyFont="1" applyFill="1"/>
    <xf numFmtId="2" fontId="21" fillId="5" borderId="0" xfId="0" applyNumberFormat="1" applyFont="1" applyFill="1" applyAlignment="1">
      <alignment horizontal="left"/>
    </xf>
    <xf numFmtId="14" fontId="42" fillId="0" borderId="0" xfId="0" applyNumberFormat="1" applyFont="1" applyFill="1"/>
    <xf numFmtId="0" fontId="5" fillId="11" borderId="0" xfId="0" applyFont="1" applyFill="1"/>
    <xf numFmtId="0" fontId="5" fillId="4" borderId="0" xfId="0" applyFont="1" applyFill="1"/>
    <xf numFmtId="0" fontId="44" fillId="0" borderId="0" xfId="16" applyFont="1"/>
    <xf numFmtId="0" fontId="5" fillId="0" borderId="0" xfId="16"/>
    <xf numFmtId="0" fontId="5" fillId="0" borderId="0" xfId="16" applyBorder="1"/>
    <xf numFmtId="0" fontId="9" fillId="0" borderId="0" xfId="16" applyFont="1" applyBorder="1"/>
    <xf numFmtId="0" fontId="9" fillId="0" borderId="3" xfId="16" applyFont="1" applyBorder="1"/>
    <xf numFmtId="0" fontId="5" fillId="0" borderId="3" xfId="16" applyBorder="1"/>
    <xf numFmtId="0" fontId="9" fillId="0" borderId="0" xfId="16" applyFont="1" applyBorder="1" applyAlignment="1">
      <alignment horizontal="center"/>
    </xf>
    <xf numFmtId="0" fontId="5" fillId="0" borderId="0" xfId="16" applyAlignment="1">
      <alignment horizontal="center"/>
    </xf>
    <xf numFmtId="0" fontId="5" fillId="0" borderId="4" xfId="16" applyBorder="1"/>
    <xf numFmtId="0" fontId="5" fillId="0" borderId="4" xfId="16" applyBorder="1" applyAlignment="1">
      <alignment horizontal="center"/>
    </xf>
    <xf numFmtId="49" fontId="5" fillId="0" borderId="0" xfId="16" applyNumberFormat="1" applyBorder="1" applyAlignment="1">
      <alignment horizontal="center"/>
    </xf>
    <xf numFmtId="0" fontId="5" fillId="0" borderId="0" xfId="16" applyBorder="1" applyAlignment="1">
      <alignment horizontal="center"/>
    </xf>
    <xf numFmtId="49" fontId="5" fillId="0" borderId="0" xfId="16" applyNumberFormat="1" applyAlignment="1">
      <alignment horizontal="center"/>
    </xf>
    <xf numFmtId="49" fontId="5" fillId="0" borderId="4" xfId="16" applyNumberFormat="1" applyBorder="1" applyAlignment="1">
      <alignment horizontal="center"/>
    </xf>
    <xf numFmtId="49" fontId="23" fillId="0" borderId="3" xfId="16" applyNumberFormat="1" applyFont="1" applyBorder="1" applyAlignment="1">
      <alignment horizontal="center"/>
    </xf>
    <xf numFmtId="49" fontId="5" fillId="0" borderId="3" xfId="16" applyNumberFormat="1" applyBorder="1" applyAlignment="1">
      <alignment horizontal="center"/>
    </xf>
    <xf numFmtId="0" fontId="5" fillId="0" borderId="3" xfId="16" applyBorder="1" applyAlignment="1">
      <alignment horizontal="center"/>
    </xf>
    <xf numFmtId="0" fontId="45" fillId="0" borderId="0" xfId="16" applyFont="1"/>
    <xf numFmtId="0" fontId="5" fillId="0" borderId="0" xfId="16" applyAlignment="1">
      <alignment horizontal="left"/>
    </xf>
    <xf numFmtId="0" fontId="5" fillId="0" borderId="0" xfId="16" applyFont="1"/>
    <xf numFmtId="0" fontId="5" fillId="0" borderId="0" xfId="16" quotePrefix="1" applyAlignment="1">
      <alignment horizontal="left"/>
    </xf>
    <xf numFmtId="14" fontId="5" fillId="0" borderId="0" xfId="16" quotePrefix="1" applyNumberFormat="1" applyAlignment="1">
      <alignment horizontal="left"/>
    </xf>
    <xf numFmtId="0" fontId="36" fillId="11" borderId="0" xfId="0" applyFont="1" applyFill="1"/>
    <xf numFmtId="0" fontId="3" fillId="0" borderId="0" xfId="0" applyFont="1" applyAlignment="1">
      <alignment vertical="center"/>
    </xf>
    <xf numFmtId="3" fontId="3" fillId="0" borderId="0" xfId="0" applyNumberFormat="1" applyFont="1" applyAlignment="1">
      <alignment horizontal="left" vertical="center"/>
    </xf>
    <xf numFmtId="0" fontId="2" fillId="0" borderId="0" xfId="0" applyFont="1" applyAlignment="1">
      <alignment horizontal="center"/>
    </xf>
    <xf numFmtId="3" fontId="2" fillId="0" borderId="0" xfId="0" applyNumberFormat="1" applyFont="1" applyAlignment="1">
      <alignment horizontal="right"/>
    </xf>
    <xf numFmtId="0" fontId="0" fillId="0" borderId="4" xfId="0" applyBorder="1" applyAlignment="1">
      <alignment wrapText="1"/>
    </xf>
    <xf numFmtId="0" fontId="3" fillId="6" borderId="0" xfId="0" applyFont="1" applyFill="1" applyAlignment="1">
      <alignment horizontal="right" vertical="top"/>
    </xf>
    <xf numFmtId="0" fontId="4" fillId="3" borderId="5" xfId="0" applyFont="1" applyFill="1" applyBorder="1" applyAlignment="1">
      <alignment horizontal="left"/>
    </xf>
    <xf numFmtId="3" fontId="4" fillId="7" borderId="5" xfId="0" applyNumberFormat="1" applyFont="1" applyFill="1" applyBorder="1" applyAlignment="1">
      <alignment horizontal="right"/>
    </xf>
    <xf numFmtId="0" fontId="4" fillId="3" borderId="5" xfId="0" applyFont="1" applyFill="1" applyBorder="1" applyAlignment="1">
      <alignment horizontal="center"/>
    </xf>
    <xf numFmtId="0" fontId="4" fillId="3" borderId="0" xfId="0" applyFont="1" applyFill="1" applyBorder="1" applyAlignment="1">
      <alignment horizontal="center"/>
    </xf>
    <xf numFmtId="3" fontId="4" fillId="7" borderId="0" xfId="0" applyNumberFormat="1" applyFont="1" applyFill="1" applyBorder="1" applyAlignment="1">
      <alignment horizontal="right"/>
    </xf>
    <xf numFmtId="0" fontId="4" fillId="3" borderId="4" xfId="0" applyFont="1" applyFill="1" applyBorder="1" applyAlignment="1">
      <alignment horizontal="center" vertical="top"/>
    </xf>
    <xf numFmtId="3" fontId="4" fillId="7" borderId="4" xfId="0" applyNumberFormat="1" applyFont="1" applyFill="1" applyBorder="1" applyAlignment="1">
      <alignment horizontal="right" vertical="top"/>
    </xf>
    <xf numFmtId="0" fontId="4" fillId="3" borderId="6" xfId="0" applyFont="1" applyFill="1" applyBorder="1" applyAlignment="1">
      <alignment horizontal="left"/>
    </xf>
    <xf numFmtId="3" fontId="4" fillId="7" borderId="7" xfId="0" applyNumberFormat="1" applyFont="1" applyFill="1" applyBorder="1" applyAlignment="1">
      <alignment horizontal="right"/>
    </xf>
    <xf numFmtId="190" fontId="4" fillId="3" borderId="7" xfId="0" applyNumberFormat="1" applyFont="1" applyFill="1" applyBorder="1" applyAlignment="1">
      <alignment horizontal="center"/>
    </xf>
    <xf numFmtId="1" fontId="5" fillId="0" borderId="0" xfId="0" applyNumberFormat="1" applyFont="1"/>
    <xf numFmtId="0" fontId="4" fillId="3" borderId="8" xfId="0" applyFont="1" applyFill="1" applyBorder="1" applyAlignment="1">
      <alignment horizontal="left"/>
    </xf>
    <xf numFmtId="0" fontId="51" fillId="3" borderId="8" xfId="0" applyFont="1" applyFill="1" applyBorder="1" applyAlignment="1">
      <alignment horizontal="left"/>
    </xf>
    <xf numFmtId="3" fontId="51" fillId="7" borderId="7" xfId="0" applyNumberFormat="1" applyFont="1" applyFill="1" applyBorder="1" applyAlignment="1">
      <alignment horizontal="right"/>
    </xf>
    <xf numFmtId="190" fontId="51" fillId="3" borderId="7" xfId="0" applyNumberFormat="1" applyFont="1" applyFill="1" applyBorder="1" applyAlignment="1">
      <alignment horizontal="center"/>
    </xf>
    <xf numFmtId="0" fontId="6" fillId="3" borderId="0" xfId="0" applyFont="1" applyFill="1" applyBorder="1" applyAlignment="1">
      <alignment horizontal="left" vertical="center"/>
    </xf>
    <xf numFmtId="3" fontId="6" fillId="7" borderId="8" xfId="0" applyNumberFormat="1" applyFont="1" applyFill="1" applyBorder="1" applyAlignment="1">
      <alignment horizontal="right" vertical="center"/>
    </xf>
    <xf numFmtId="190" fontId="6" fillId="3" borderId="8" xfId="0" applyNumberFormat="1" applyFont="1" applyFill="1" applyBorder="1" applyAlignment="1">
      <alignment horizontal="center" vertical="center"/>
    </xf>
    <xf numFmtId="0" fontId="9" fillId="0" borderId="0" xfId="0" applyFont="1"/>
    <xf numFmtId="1" fontId="9" fillId="0" borderId="0" xfId="0" applyNumberFormat="1" applyFont="1"/>
    <xf numFmtId="0" fontId="5" fillId="0" borderId="9" xfId="0" applyFont="1" applyBorder="1"/>
    <xf numFmtId="3" fontId="5" fillId="0" borderId="9" xfId="0" applyNumberFormat="1" applyFont="1" applyBorder="1" applyAlignment="1">
      <alignment horizontal="right"/>
    </xf>
    <xf numFmtId="0" fontId="5" fillId="0" borderId="9" xfId="0" applyFont="1" applyBorder="1" applyAlignment="1">
      <alignment horizontal="center"/>
    </xf>
    <xf numFmtId="0" fontId="5" fillId="0" borderId="0" xfId="0" applyFont="1" applyBorder="1"/>
    <xf numFmtId="3" fontId="5" fillId="0" borderId="0" xfId="0" applyNumberFormat="1" applyFont="1" applyBorder="1" applyAlignment="1">
      <alignment horizontal="right"/>
    </xf>
    <xf numFmtId="0" fontId="5" fillId="0" borderId="0" xfId="0" applyFont="1" applyBorder="1" applyAlignment="1">
      <alignment horizontal="center"/>
    </xf>
    <xf numFmtId="3" fontId="5" fillId="0" borderId="0" xfId="0" applyNumberFormat="1" applyFont="1" applyAlignment="1">
      <alignment horizontal="right"/>
    </xf>
    <xf numFmtId="0" fontId="5" fillId="0" borderId="0" xfId="0" applyFont="1" applyAlignment="1">
      <alignment horizontal="center"/>
    </xf>
    <xf numFmtId="0" fontId="3" fillId="6" borderId="0" xfId="0" applyFont="1" applyFill="1" applyAlignment="1">
      <alignment vertical="center"/>
    </xf>
    <xf numFmtId="0" fontId="2" fillId="6" borderId="0" xfId="0" applyFont="1" applyFill="1"/>
    <xf numFmtId="0" fontId="3" fillId="6" borderId="0" xfId="0" applyFont="1" applyFill="1" applyAlignment="1">
      <alignment vertical="top"/>
    </xf>
    <xf numFmtId="0" fontId="3" fillId="6" borderId="4" xfId="0" applyFont="1" applyFill="1" applyBorder="1" applyAlignment="1">
      <alignment vertical="top"/>
    </xf>
    <xf numFmtId="0" fontId="2" fillId="6" borderId="4" xfId="0" applyFont="1" applyFill="1" applyBorder="1"/>
    <xf numFmtId="0" fontId="3" fillId="6" borderId="4" xfId="0" applyFont="1" applyFill="1" applyBorder="1" applyAlignment="1">
      <alignment horizontal="right" vertical="top"/>
    </xf>
    <xf numFmtId="0" fontId="2" fillId="0" borderId="0" xfId="0" applyFont="1" applyBorder="1"/>
    <xf numFmtId="0" fontId="6" fillId="3" borderId="0" xfId="0" applyFont="1" applyFill="1" applyBorder="1" applyAlignment="1">
      <alignment vertical="center" wrapText="1"/>
    </xf>
    <xf numFmtId="0" fontId="6" fillId="7" borderId="0" xfId="0" applyFont="1" applyFill="1" applyBorder="1" applyAlignment="1">
      <alignment vertical="center" wrapText="1"/>
    </xf>
    <xf numFmtId="0" fontId="4" fillId="3" borderId="0"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4" fillId="7" borderId="0" xfId="0" applyFont="1" applyFill="1" applyBorder="1" applyAlignment="1">
      <alignment horizontal="right" vertical="center" wrapText="1"/>
    </xf>
    <xf numFmtId="0" fontId="40" fillId="3" borderId="0" xfId="0" applyFont="1" applyFill="1" applyBorder="1" applyAlignment="1">
      <alignment horizontal="right" vertical="center" wrapText="1"/>
    </xf>
    <xf numFmtId="0" fontId="40" fillId="7" borderId="0" xfId="0" applyFont="1" applyFill="1" applyBorder="1" applyAlignment="1">
      <alignment horizontal="right" vertical="center" wrapText="1"/>
    </xf>
    <xf numFmtId="0" fontId="6" fillId="3" borderId="4" xfId="0" applyFont="1" applyFill="1" applyBorder="1" applyAlignment="1">
      <alignment horizontal="left"/>
    </xf>
    <xf numFmtId="0" fontId="4" fillId="7" borderId="4" xfId="0" applyFont="1" applyFill="1" applyBorder="1" applyAlignment="1">
      <alignment horizontal="right"/>
    </xf>
    <xf numFmtId="0" fontId="4" fillId="3" borderId="4" xfId="0" applyFont="1" applyFill="1" applyBorder="1" applyAlignment="1">
      <alignment horizontal="right"/>
    </xf>
    <xf numFmtId="0" fontId="40" fillId="3" borderId="4" xfId="0" applyFont="1" applyFill="1" applyBorder="1" applyAlignment="1">
      <alignment horizontal="right"/>
    </xf>
    <xf numFmtId="0" fontId="4" fillId="7" borderId="4" xfId="0" applyFont="1" applyFill="1" applyBorder="1"/>
    <xf numFmtId="0" fontId="6" fillId="3" borderId="0" xfId="0" applyFont="1" applyFill="1" applyBorder="1" applyAlignment="1">
      <alignment horizontal="left" vertical="center" wrapText="1"/>
    </xf>
    <xf numFmtId="0" fontId="6" fillId="7" borderId="6" xfId="0" applyFont="1" applyFill="1" applyBorder="1" applyAlignment="1">
      <alignment horizontal="left" vertical="center"/>
    </xf>
    <xf numFmtId="3" fontId="4" fillId="3" borderId="7" xfId="0" applyNumberFormat="1" applyFont="1" applyFill="1" applyBorder="1" applyAlignment="1">
      <alignment horizontal="right" vertical="center"/>
    </xf>
    <xf numFmtId="3" fontId="4" fillId="7" borderId="7" xfId="0" applyNumberFormat="1" applyFont="1" applyFill="1" applyBorder="1" applyAlignment="1">
      <alignment horizontal="right" vertical="center"/>
    </xf>
    <xf numFmtId="3" fontId="40" fillId="3" borderId="7" xfId="0" applyNumberFormat="1" applyFont="1" applyFill="1" applyBorder="1" applyAlignment="1">
      <alignment horizontal="right" vertical="center"/>
    </xf>
    <xf numFmtId="3" fontId="40" fillId="7" borderId="7" xfId="0" applyNumberFormat="1" applyFont="1" applyFill="1" applyBorder="1" applyAlignment="1">
      <alignment vertical="center"/>
    </xf>
    <xf numFmtId="0" fontId="4" fillId="3" borderId="8" xfId="0" applyFont="1" applyFill="1" applyBorder="1" applyAlignment="1">
      <alignment horizontal="left" vertical="center"/>
    </xf>
    <xf numFmtId="0" fontId="4" fillId="7" borderId="8" xfId="0" applyFont="1" applyFill="1" applyBorder="1" applyAlignment="1">
      <alignment horizontal="left" vertical="center"/>
    </xf>
    <xf numFmtId="3" fontId="4" fillId="3" borderId="8" xfId="0" applyNumberFormat="1" applyFont="1" applyFill="1" applyBorder="1" applyAlignment="1">
      <alignment vertical="center"/>
    </xf>
    <xf numFmtId="3" fontId="4" fillId="7" borderId="8" xfId="0" applyNumberFormat="1" applyFont="1" applyFill="1" applyBorder="1" applyAlignment="1">
      <alignment vertical="center"/>
    </xf>
    <xf numFmtId="3" fontId="40" fillId="3" borderId="8" xfId="0" applyNumberFormat="1" applyFont="1" applyFill="1" applyBorder="1" applyAlignment="1">
      <alignment vertical="center"/>
    </xf>
    <xf numFmtId="3" fontId="40" fillId="7" borderId="8" xfId="0" applyNumberFormat="1" applyFont="1" applyFill="1" applyBorder="1" applyAlignment="1">
      <alignment vertical="center"/>
    </xf>
    <xf numFmtId="0" fontId="6" fillId="3" borderId="10" xfId="0" applyFont="1" applyFill="1" applyBorder="1" applyAlignment="1">
      <alignment horizontal="left" vertical="center" wrapText="1"/>
    </xf>
    <xf numFmtId="0" fontId="6" fillId="7" borderId="11" xfId="0" applyFont="1" applyFill="1" applyBorder="1" applyAlignment="1">
      <alignment horizontal="left" vertical="center"/>
    </xf>
    <xf numFmtId="0" fontId="6" fillId="3" borderId="12" xfId="0" applyFont="1" applyFill="1" applyBorder="1" applyAlignment="1">
      <alignment horizontal="left" vertical="center"/>
    </xf>
    <xf numFmtId="3" fontId="4" fillId="7" borderId="8" xfId="0" applyNumberFormat="1" applyFont="1" applyFill="1" applyBorder="1" applyAlignment="1">
      <alignment horizontal="right" vertical="center"/>
    </xf>
    <xf numFmtId="3" fontId="4" fillId="3" borderId="8" xfId="0" applyNumberFormat="1" applyFont="1" applyFill="1" applyBorder="1" applyAlignment="1">
      <alignment horizontal="right" vertical="center"/>
    </xf>
    <xf numFmtId="3" fontId="40" fillId="7" borderId="8" xfId="0" applyNumberFormat="1" applyFont="1" applyFill="1" applyBorder="1" applyAlignment="1">
      <alignment horizontal="right" vertical="center"/>
    </xf>
    <xf numFmtId="0" fontId="6" fillId="3" borderId="7" xfId="0" applyFont="1" applyFill="1" applyBorder="1" applyAlignment="1">
      <alignment horizontal="left" vertical="center"/>
    </xf>
    <xf numFmtId="0" fontId="6" fillId="3" borderId="8" xfId="0" applyFont="1" applyFill="1" applyBorder="1" applyAlignment="1">
      <alignment horizontal="left" vertical="center"/>
    </xf>
    <xf numFmtId="0" fontId="6" fillId="7" borderId="8" xfId="0" applyFont="1" applyFill="1" applyBorder="1" applyAlignment="1">
      <alignment horizontal="left" vertical="center"/>
    </xf>
    <xf numFmtId="0" fontId="40" fillId="3" borderId="0" xfId="0" applyFont="1" applyFill="1" applyBorder="1" applyAlignment="1">
      <alignment horizontal="left" vertical="center" wrapText="1"/>
    </xf>
    <xf numFmtId="0" fontId="40" fillId="7" borderId="11" xfId="0" applyFont="1" applyFill="1" applyBorder="1" applyAlignment="1">
      <alignment horizontal="left" vertical="center" wrapText="1"/>
    </xf>
    <xf numFmtId="0" fontId="40" fillId="7" borderId="11" xfId="0" applyFont="1" applyFill="1" applyBorder="1" applyAlignment="1">
      <alignment vertical="center" wrapText="1"/>
    </xf>
    <xf numFmtId="0" fontId="40" fillId="3" borderId="7" xfId="0" applyFont="1" applyFill="1" applyBorder="1" applyAlignment="1">
      <alignment vertical="center" wrapText="1"/>
    </xf>
    <xf numFmtId="0" fontId="6" fillId="3" borderId="8" xfId="0" applyFont="1" applyFill="1" applyBorder="1" applyAlignment="1">
      <alignment vertical="center"/>
    </xf>
    <xf numFmtId="0" fontId="6" fillId="7" borderId="8" xfId="0" applyFont="1" applyFill="1" applyBorder="1" applyAlignment="1">
      <alignment vertical="center"/>
    </xf>
    <xf numFmtId="0" fontId="6" fillId="3" borderId="13" xfId="0" applyFont="1" applyFill="1" applyBorder="1" applyAlignment="1">
      <alignment vertical="center"/>
    </xf>
    <xf numFmtId="0" fontId="6" fillId="7" borderId="13" xfId="0" applyFont="1" applyFill="1" applyBorder="1" applyAlignment="1">
      <alignment vertical="center"/>
    </xf>
    <xf numFmtId="3" fontId="6" fillId="3" borderId="13" xfId="0" applyNumberFormat="1" applyFont="1" applyFill="1" applyBorder="1" applyAlignment="1">
      <alignment vertical="center"/>
    </xf>
    <xf numFmtId="3" fontId="6" fillId="7" borderId="13" xfId="0" applyNumberFormat="1" applyFont="1" applyFill="1" applyBorder="1" applyAlignment="1">
      <alignment vertical="center"/>
    </xf>
    <xf numFmtId="3" fontId="51" fillId="3" borderId="13" xfId="0" applyNumberFormat="1" applyFont="1" applyFill="1" applyBorder="1" applyAlignment="1">
      <alignment vertical="center"/>
    </xf>
    <xf numFmtId="3" fontId="51" fillId="7" borderId="13" xfId="0" applyNumberFormat="1" applyFont="1" applyFill="1" applyBorder="1" applyAlignment="1">
      <alignment vertical="center"/>
    </xf>
    <xf numFmtId="0" fontId="5" fillId="6" borderId="0" xfId="0" applyFont="1" applyFill="1" applyBorder="1"/>
    <xf numFmtId="0" fontId="5" fillId="0" borderId="0" xfId="0" applyFont="1" applyFill="1" applyBorder="1"/>
    <xf numFmtId="3" fontId="9" fillId="0" borderId="0" xfId="0" quotePrefix="1" applyNumberFormat="1" applyFont="1" applyFill="1"/>
    <xf numFmtId="3" fontId="5" fillId="0" borderId="0" xfId="0" applyNumberFormat="1" applyFont="1" applyFill="1" applyAlignment="1">
      <alignment horizontal="center"/>
    </xf>
    <xf numFmtId="3" fontId="5" fillId="0" borderId="0" xfId="0" applyNumberFormat="1" applyFont="1" applyFill="1" applyAlignment="1">
      <alignment horizontal="right"/>
    </xf>
    <xf numFmtId="3" fontId="9" fillId="0" borderId="0" xfId="0" applyNumberFormat="1" applyFont="1" applyFill="1"/>
    <xf numFmtId="3" fontId="9" fillId="0" borderId="0" xfId="0" applyNumberFormat="1" applyFont="1" applyFill="1" applyAlignment="1">
      <alignment horizontal="center"/>
    </xf>
    <xf numFmtId="0" fontId="5" fillId="0" borderId="0" xfId="0" applyFont="1" applyFill="1" applyAlignment="1">
      <alignment horizontal="center"/>
    </xf>
    <xf numFmtId="0" fontId="3" fillId="0" borderId="0" xfId="0" applyFont="1" applyAlignment="1">
      <alignment vertical="top"/>
    </xf>
    <xf numFmtId="0" fontId="3" fillId="0" borderId="4" xfId="0" applyFont="1" applyBorder="1" applyAlignment="1">
      <alignment vertical="top"/>
    </xf>
    <xf numFmtId="0" fontId="4" fillId="7" borderId="5" xfId="0" applyFont="1" applyFill="1" applyBorder="1" applyAlignment="1">
      <alignment horizontal="right"/>
    </xf>
    <xf numFmtId="0" fontId="4" fillId="3" borderId="5" xfId="0" applyFont="1" applyFill="1" applyBorder="1" applyAlignment="1">
      <alignment horizontal="right"/>
    </xf>
    <xf numFmtId="0" fontId="4" fillId="3" borderId="0" xfId="0" applyFont="1" applyFill="1" applyBorder="1" applyAlignment="1">
      <alignment horizontal="left"/>
    </xf>
    <xf numFmtId="0" fontId="4" fillId="7" borderId="0" xfId="0" applyFont="1" applyFill="1" applyBorder="1" applyAlignment="1">
      <alignment horizontal="right"/>
    </xf>
    <xf numFmtId="0" fontId="4" fillId="3" borderId="0" xfId="0" applyFont="1" applyFill="1" applyBorder="1" applyAlignment="1">
      <alignment horizontal="right"/>
    </xf>
    <xf numFmtId="3" fontId="4" fillId="3" borderId="0" xfId="0" applyNumberFormat="1" applyFont="1" applyFill="1" applyBorder="1" applyAlignment="1">
      <alignment horizontal="right"/>
    </xf>
    <xf numFmtId="0" fontId="4" fillId="3" borderId="4" xfId="0" applyFont="1" applyFill="1" applyBorder="1" applyAlignment="1">
      <alignment horizontal="left" vertical="top"/>
    </xf>
    <xf numFmtId="0" fontId="4" fillId="7" borderId="4" xfId="0" applyFont="1" applyFill="1" applyBorder="1" applyAlignment="1">
      <alignment horizontal="right" vertical="top"/>
    </xf>
    <xf numFmtId="0" fontId="4" fillId="3" borderId="4" xfId="0" applyFont="1" applyFill="1" applyBorder="1" applyAlignment="1">
      <alignment horizontal="right" vertical="top"/>
    </xf>
    <xf numFmtId="3" fontId="4" fillId="3" borderId="4" xfId="0" applyNumberFormat="1" applyFont="1" applyFill="1" applyBorder="1" applyAlignment="1">
      <alignment horizontal="right" vertical="top"/>
    </xf>
    <xf numFmtId="0" fontId="4" fillId="3" borderId="7" xfId="0" quotePrefix="1" applyFont="1" applyFill="1" applyBorder="1" applyAlignment="1">
      <alignment horizontal="left"/>
    </xf>
    <xf numFmtId="3" fontId="4" fillId="3" borderId="7" xfId="0" applyNumberFormat="1" applyFont="1" applyFill="1" applyBorder="1" applyAlignment="1">
      <alignment horizontal="right"/>
    </xf>
    <xf numFmtId="0" fontId="4" fillId="3" borderId="8" xfId="0" quotePrefix="1" applyFont="1" applyFill="1" applyBorder="1" applyAlignment="1">
      <alignment horizontal="left"/>
    </xf>
    <xf numFmtId="3" fontId="4" fillId="7" borderId="8" xfId="0" applyNumberFormat="1" applyFont="1" applyFill="1" applyBorder="1" applyAlignment="1">
      <alignment horizontal="right"/>
    </xf>
    <xf numFmtId="3" fontId="4" fillId="3" borderId="8" xfId="0" applyNumberFormat="1" applyFont="1" applyFill="1" applyBorder="1" applyAlignment="1">
      <alignment horizontal="right"/>
    </xf>
    <xf numFmtId="190" fontId="4" fillId="3" borderId="8" xfId="0" applyNumberFormat="1" applyFont="1" applyFill="1" applyBorder="1" applyAlignment="1">
      <alignment horizontal="center"/>
    </xf>
    <xf numFmtId="0" fontId="6" fillId="3" borderId="0" xfId="0" quotePrefix="1" applyFont="1" applyFill="1" applyBorder="1" applyAlignment="1">
      <alignment horizontal="left" vertical="center"/>
    </xf>
    <xf numFmtId="3" fontId="6" fillId="7" borderId="0" xfId="0" applyNumberFormat="1" applyFont="1" applyFill="1" applyBorder="1" applyAlignment="1">
      <alignment horizontal="right" vertical="center"/>
    </xf>
    <xf numFmtId="3" fontId="6" fillId="3" borderId="0" xfId="0" applyNumberFormat="1" applyFont="1" applyFill="1" applyBorder="1" applyAlignment="1">
      <alignment horizontal="right" vertical="center"/>
    </xf>
    <xf numFmtId="3" fontId="4" fillId="0" borderId="9" xfId="0" applyNumberFormat="1" applyFont="1" applyBorder="1" applyAlignment="1">
      <alignment horizontal="right" vertical="top"/>
    </xf>
    <xf numFmtId="188" fontId="4" fillId="0" borderId="9" xfId="0" applyNumberFormat="1" applyFont="1" applyBorder="1" applyAlignment="1">
      <alignment horizontal="right" vertical="top"/>
    </xf>
    <xf numFmtId="3" fontId="4" fillId="0" borderId="0" xfId="0" applyNumberFormat="1" applyFont="1" applyBorder="1" applyAlignment="1">
      <alignment horizontal="right" vertical="top"/>
    </xf>
    <xf numFmtId="188" fontId="4" fillId="0" borderId="0" xfId="0" applyNumberFormat="1" applyFont="1" applyBorder="1" applyAlignment="1">
      <alignment horizontal="right" vertical="top"/>
    </xf>
    <xf numFmtId="0" fontId="5" fillId="0" borderId="0" xfId="0" applyFont="1" applyBorder="1" applyAlignment="1"/>
    <xf numFmtId="0" fontId="5" fillId="6" borderId="0" xfId="0" applyFont="1" applyFill="1" applyBorder="1" applyProtection="1"/>
    <xf numFmtId="0" fontId="3" fillId="0" borderId="0" xfId="0" applyFont="1" applyFill="1" applyAlignment="1">
      <alignment horizontal="right" vertical="top"/>
    </xf>
    <xf numFmtId="0" fontId="18" fillId="6" borderId="0" xfId="0" applyFont="1" applyFill="1" applyBorder="1"/>
    <xf numFmtId="190" fontId="2" fillId="0" borderId="0" xfId="0" applyNumberFormat="1" applyFont="1"/>
    <xf numFmtId="190" fontId="4" fillId="7" borderId="5" xfId="0" applyNumberFormat="1" applyFont="1" applyFill="1" applyBorder="1" applyAlignment="1">
      <alignment horizontal="center"/>
    </xf>
    <xf numFmtId="0" fontId="4" fillId="7" borderId="0" xfId="0" applyFont="1" applyFill="1" applyBorder="1" applyAlignment="1">
      <alignment horizontal="center"/>
    </xf>
    <xf numFmtId="190" fontId="4" fillId="7" borderId="0" xfId="0" applyNumberFormat="1" applyFont="1" applyFill="1" applyBorder="1" applyAlignment="1">
      <alignment horizontal="center"/>
    </xf>
    <xf numFmtId="0" fontId="4" fillId="7" borderId="4" xfId="0" applyFont="1" applyFill="1" applyBorder="1" applyAlignment="1">
      <alignment horizontal="center" vertical="top"/>
    </xf>
    <xf numFmtId="190" fontId="4" fillId="7" borderId="4" xfId="0" applyNumberFormat="1" applyFont="1" applyFill="1" applyBorder="1" applyAlignment="1">
      <alignment horizontal="center" vertical="top"/>
    </xf>
    <xf numFmtId="3" fontId="4" fillId="7" borderId="6" xfId="0" applyNumberFormat="1" applyFont="1" applyFill="1" applyBorder="1"/>
    <xf numFmtId="3" fontId="4" fillId="3" borderId="6" xfId="0" applyNumberFormat="1" applyFont="1" applyFill="1" applyBorder="1"/>
    <xf numFmtId="190" fontId="4" fillId="7" borderId="6" xfId="0" applyNumberFormat="1" applyFont="1" applyFill="1" applyBorder="1" applyAlignment="1">
      <alignment horizontal="center"/>
    </xf>
    <xf numFmtId="3" fontId="4" fillId="7" borderId="8" xfId="0" applyNumberFormat="1" applyFont="1" applyFill="1" applyBorder="1"/>
    <xf numFmtId="3" fontId="4" fillId="3" borderId="8" xfId="0" applyNumberFormat="1" applyFont="1" applyFill="1" applyBorder="1"/>
    <xf numFmtId="190" fontId="4" fillId="7" borderId="8" xfId="0" applyNumberFormat="1" applyFont="1" applyFill="1" applyBorder="1" applyAlignment="1">
      <alignment horizontal="center"/>
    </xf>
    <xf numFmtId="190" fontId="4" fillId="7" borderId="8" xfId="0" applyNumberFormat="1" applyFont="1" applyFill="1" applyBorder="1" applyAlignment="1">
      <alignment horizontal="center" vertical="center"/>
    </xf>
    <xf numFmtId="0" fontId="4" fillId="3" borderId="7" xfId="0" applyFont="1" applyFill="1" applyBorder="1" applyAlignment="1">
      <alignment horizontal="left" vertical="center"/>
    </xf>
    <xf numFmtId="0" fontId="6" fillId="3" borderId="13" xfId="0" applyFont="1" applyFill="1" applyBorder="1" applyAlignment="1">
      <alignment horizontal="left" vertical="center"/>
    </xf>
    <xf numFmtId="3" fontId="6" fillId="7" borderId="13" xfId="0" applyNumberFormat="1" applyFont="1" applyFill="1" applyBorder="1" applyAlignment="1">
      <alignment horizontal="right" vertical="center"/>
    </xf>
    <xf numFmtId="3" fontId="6" fillId="3" borderId="13" xfId="0" applyNumberFormat="1" applyFont="1" applyFill="1" applyBorder="1" applyAlignment="1">
      <alignment horizontal="right" vertical="center"/>
    </xf>
    <xf numFmtId="190" fontId="6" fillId="7" borderId="13" xfId="0" applyNumberFormat="1" applyFont="1" applyFill="1" applyBorder="1" applyAlignment="1">
      <alignment horizontal="center" vertical="center"/>
    </xf>
    <xf numFmtId="190" fontId="5" fillId="0" borderId="0" xfId="0" applyNumberFormat="1" applyFont="1"/>
    <xf numFmtId="0" fontId="5" fillId="0" borderId="0" xfId="0" applyNumberFormat="1" applyFont="1" applyBorder="1"/>
    <xf numFmtId="3" fontId="4" fillId="3" borderId="5" xfId="0" applyNumberFormat="1" applyFont="1" applyFill="1" applyBorder="1" applyAlignment="1">
      <alignment horizontal="right"/>
    </xf>
    <xf numFmtId="3" fontId="4" fillId="7" borderId="7" xfId="0" applyNumberFormat="1" applyFont="1" applyFill="1" applyBorder="1"/>
    <xf numFmtId="0" fontId="4" fillId="3" borderId="4" xfId="0" applyFont="1" applyFill="1" applyBorder="1" applyAlignment="1">
      <alignment horizontal="center"/>
    </xf>
    <xf numFmtId="0" fontId="4" fillId="3" borderId="7" xfId="0" applyFont="1" applyFill="1" applyBorder="1" applyAlignment="1">
      <alignment wrapText="1"/>
    </xf>
    <xf numFmtId="3" fontId="4" fillId="3" borderId="7" xfId="0" applyNumberFormat="1" applyFont="1" applyFill="1" applyBorder="1"/>
    <xf numFmtId="190" fontId="4" fillId="7" borderId="7" xfId="0" applyNumberFormat="1" applyFont="1" applyFill="1" applyBorder="1"/>
    <xf numFmtId="0" fontId="40" fillId="3" borderId="7" xfId="0" applyFont="1" applyFill="1" applyBorder="1" applyAlignment="1">
      <alignment wrapText="1"/>
    </xf>
    <xf numFmtId="3" fontId="40" fillId="7" borderId="7" xfId="0" applyNumberFormat="1" applyFont="1" applyFill="1" applyBorder="1" applyAlignment="1">
      <alignment horizontal="right"/>
    </xf>
    <xf numFmtId="3" fontId="40" fillId="3" borderId="7" xfId="0" applyNumberFormat="1" applyFont="1" applyFill="1" applyBorder="1" applyAlignment="1">
      <alignment horizontal="right"/>
    </xf>
    <xf numFmtId="3" fontId="40" fillId="3" borderId="7" xfId="0" applyNumberFormat="1" applyFont="1" applyFill="1" applyBorder="1"/>
    <xf numFmtId="190" fontId="40" fillId="7" borderId="7" xfId="0" applyNumberFormat="1" applyFont="1" applyFill="1" applyBorder="1"/>
    <xf numFmtId="190" fontId="40" fillId="3" borderId="7" xfId="0" applyNumberFormat="1" applyFont="1" applyFill="1" applyBorder="1" applyAlignment="1">
      <alignment horizontal="center"/>
    </xf>
    <xf numFmtId="0" fontId="6" fillId="3" borderId="0" xfId="0" applyFont="1" applyFill="1" applyBorder="1" applyAlignment="1">
      <alignment vertical="center"/>
    </xf>
    <xf numFmtId="3" fontId="6" fillId="7" borderId="0" xfId="0" applyNumberFormat="1" applyFont="1" applyFill="1" applyBorder="1" applyAlignment="1">
      <alignment vertical="center"/>
    </xf>
    <xf numFmtId="3" fontId="6" fillId="3" borderId="0" xfId="0" applyNumberFormat="1" applyFont="1" applyFill="1" applyBorder="1" applyAlignment="1">
      <alignment vertical="center"/>
    </xf>
    <xf numFmtId="190" fontId="6" fillId="7" borderId="7" xfId="0" applyNumberFormat="1" applyFont="1" applyFill="1" applyBorder="1" applyAlignment="1">
      <alignment vertical="center"/>
    </xf>
    <xf numFmtId="190" fontId="6" fillId="3" borderId="7" xfId="0" applyNumberFormat="1" applyFont="1" applyFill="1" applyBorder="1" applyAlignment="1">
      <alignment horizontal="center" vertical="center"/>
    </xf>
    <xf numFmtId="0" fontId="3" fillId="0" borderId="0" xfId="0" applyFont="1" applyBorder="1" applyAlignment="1">
      <alignment vertical="top"/>
    </xf>
    <xf numFmtId="190" fontId="4" fillId="7" borderId="7" xfId="0" applyNumberFormat="1" applyFont="1" applyFill="1" applyBorder="1" applyAlignment="1">
      <alignment horizontal="right"/>
    </xf>
    <xf numFmtId="190" fontId="4" fillId="3" borderId="7" xfId="0" applyNumberFormat="1" applyFont="1" applyFill="1" applyBorder="1" applyAlignment="1">
      <alignment horizontal="right"/>
    </xf>
    <xf numFmtId="190" fontId="4" fillId="7" borderId="8" xfId="0" applyNumberFormat="1" applyFont="1" applyFill="1" applyBorder="1" applyAlignment="1">
      <alignment horizontal="right"/>
    </xf>
    <xf numFmtId="190" fontId="4" fillId="3" borderId="8" xfId="0" applyNumberFormat="1" applyFont="1" applyFill="1" applyBorder="1" applyAlignment="1">
      <alignment horizontal="right"/>
    </xf>
    <xf numFmtId="190" fontId="6" fillId="7" borderId="0" xfId="0" applyNumberFormat="1" applyFont="1" applyFill="1" applyBorder="1" applyAlignment="1">
      <alignment horizontal="right" vertical="center"/>
    </xf>
    <xf numFmtId="190" fontId="6" fillId="3" borderId="0" xfId="0" applyNumberFormat="1" applyFont="1" applyFill="1" applyBorder="1" applyAlignment="1">
      <alignment horizontal="right" vertical="center"/>
    </xf>
    <xf numFmtId="0" fontId="3" fillId="6" borderId="0" xfId="0" applyFont="1" applyFill="1"/>
    <xf numFmtId="0" fontId="3" fillId="6" borderId="0" xfId="0" applyFont="1" applyFill="1" applyAlignment="1">
      <alignment horizontal="center"/>
    </xf>
    <xf numFmtId="0" fontId="3" fillId="0" borderId="4" xfId="0" applyFont="1" applyBorder="1"/>
    <xf numFmtId="0" fontId="6" fillId="7" borderId="5" xfId="0" applyFont="1" applyFill="1" applyBorder="1" applyAlignment="1">
      <alignment horizontal="left" vertical="center"/>
    </xf>
    <xf numFmtId="0" fontId="6" fillId="12" borderId="5" xfId="0" applyFont="1" applyFill="1" applyBorder="1" applyAlignment="1" applyProtection="1">
      <alignment vertical="center"/>
    </xf>
    <xf numFmtId="0" fontId="4" fillId="12" borderId="5" xfId="0" applyFont="1" applyFill="1" applyBorder="1" applyProtection="1"/>
    <xf numFmtId="0" fontId="4" fillId="12" borderId="5" xfId="0" applyFont="1" applyFill="1" applyBorder="1" applyAlignment="1" applyProtection="1">
      <alignment horizontal="center"/>
    </xf>
    <xf numFmtId="0" fontId="6" fillId="3" borderId="0" xfId="0" applyFont="1" applyFill="1" applyBorder="1" applyAlignment="1">
      <alignment horizontal="center" vertical="center" wrapText="1"/>
    </xf>
    <xf numFmtId="0" fontId="6" fillId="13" borderId="5" xfId="0" applyFont="1" applyFill="1" applyBorder="1" applyAlignment="1">
      <alignment horizontal="left" vertical="center"/>
    </xf>
    <xf numFmtId="0" fontId="4" fillId="13" borderId="14" xfId="0" applyFont="1" applyFill="1" applyBorder="1" applyProtection="1"/>
    <xf numFmtId="0" fontId="4" fillId="13" borderId="5" xfId="0" applyFont="1" applyFill="1" applyBorder="1" applyProtection="1"/>
    <xf numFmtId="0" fontId="4" fillId="3" borderId="5" xfId="0" applyFont="1" applyFill="1" applyBorder="1" applyProtection="1"/>
    <xf numFmtId="0" fontId="9" fillId="7" borderId="0"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40" fillId="3" borderId="0" xfId="0" applyFont="1" applyFill="1" applyBorder="1" applyAlignment="1">
      <alignment horizontal="center" vertical="center" wrapText="1"/>
    </xf>
    <xf numFmtId="0" fontId="40" fillId="7" borderId="0" xfId="0" applyFont="1" applyFill="1" applyBorder="1" applyAlignment="1">
      <alignment horizontal="center" vertical="center" wrapText="1"/>
    </xf>
    <xf numFmtId="0" fontId="6" fillId="3" borderId="0" xfId="0" applyFont="1" applyFill="1" applyBorder="1" applyAlignment="1" applyProtection="1">
      <alignment horizontal="center" vertical="center"/>
    </xf>
    <xf numFmtId="0" fontId="6" fillId="3" borderId="4" xfId="0" applyFont="1" applyFill="1" applyBorder="1" applyAlignment="1">
      <alignment horizontal="center" vertical="top"/>
    </xf>
    <xf numFmtId="0" fontId="6" fillId="7" borderId="4" xfId="0" applyFont="1" applyFill="1" applyBorder="1" applyAlignment="1">
      <alignment horizontal="center" vertical="top"/>
    </xf>
    <xf numFmtId="0" fontId="6" fillId="3" borderId="4" xfId="0" applyFont="1" applyFill="1" applyBorder="1" applyAlignment="1">
      <alignment horizontal="right" vertical="top"/>
    </xf>
    <xf numFmtId="0" fontId="6" fillId="7" borderId="4" xfId="0" applyFont="1" applyFill="1" applyBorder="1" applyAlignment="1">
      <alignment horizontal="right" vertical="top"/>
    </xf>
    <xf numFmtId="0" fontId="4" fillId="7" borderId="6" xfId="0" applyFont="1" applyFill="1" applyBorder="1" applyAlignment="1">
      <alignment horizontal="left"/>
    </xf>
    <xf numFmtId="190" fontId="6" fillId="3" borderId="6" xfId="0" applyNumberFormat="1" applyFont="1" applyFill="1" applyBorder="1" applyAlignment="1">
      <alignment horizontal="right"/>
    </xf>
    <xf numFmtId="190" fontId="4" fillId="7" borderId="6" xfId="0" applyNumberFormat="1" applyFont="1" applyFill="1" applyBorder="1" applyAlignment="1">
      <alignment horizontal="right"/>
    </xf>
    <xf numFmtId="190" fontId="4" fillId="3" borderId="6" xfId="0" applyNumberFormat="1" applyFont="1" applyFill="1" applyBorder="1" applyAlignment="1">
      <alignment horizontal="right"/>
    </xf>
    <xf numFmtId="190" fontId="4" fillId="3" borderId="6" xfId="0" applyNumberFormat="1" applyFont="1" applyFill="1" applyBorder="1" applyAlignment="1">
      <alignment horizontal="center"/>
    </xf>
    <xf numFmtId="190" fontId="6" fillId="7" borderId="6" xfId="0" applyNumberFormat="1" applyFont="1" applyFill="1" applyBorder="1" applyAlignment="1">
      <alignment horizontal="right"/>
    </xf>
    <xf numFmtId="190" fontId="40" fillId="3" borderId="6" xfId="0" applyNumberFormat="1" applyFont="1" applyFill="1" applyBorder="1" applyAlignment="1">
      <alignment horizontal="right"/>
    </xf>
    <xf numFmtId="190" fontId="40" fillId="7" borderId="6" xfId="0" applyNumberFormat="1" applyFont="1" applyFill="1" applyBorder="1" applyAlignment="1">
      <alignment horizontal="right"/>
    </xf>
    <xf numFmtId="0" fontId="4" fillId="7" borderId="8" xfId="0" applyFont="1" applyFill="1" applyBorder="1" applyAlignment="1">
      <alignment horizontal="left"/>
    </xf>
    <xf numFmtId="0" fontId="6" fillId="7" borderId="13" xfId="0" applyFont="1" applyFill="1" applyBorder="1" applyAlignment="1">
      <alignment horizontal="left" vertical="center"/>
    </xf>
    <xf numFmtId="190" fontId="6" fillId="3" borderId="6" xfId="0" applyNumberFormat="1" applyFont="1" applyFill="1" applyBorder="1" applyAlignment="1">
      <alignment horizontal="right" vertical="center"/>
    </xf>
    <xf numFmtId="190" fontId="4" fillId="7" borderId="6" xfId="0" applyNumberFormat="1" applyFont="1" applyFill="1" applyBorder="1" applyAlignment="1">
      <alignment horizontal="right" vertical="center"/>
    </xf>
    <xf numFmtId="190" fontId="4" fillId="3" borderId="6" xfId="0" applyNumberFormat="1" applyFont="1" applyFill="1" applyBorder="1" applyAlignment="1">
      <alignment horizontal="right" vertical="center"/>
    </xf>
    <xf numFmtId="190" fontId="4" fillId="3" borderId="6" xfId="0" applyNumberFormat="1" applyFont="1" applyFill="1" applyBorder="1" applyAlignment="1">
      <alignment horizontal="center" vertical="center"/>
    </xf>
    <xf numFmtId="190" fontId="6" fillId="7" borderId="6" xfId="0" applyNumberFormat="1" applyFont="1" applyFill="1" applyBorder="1" applyAlignment="1">
      <alignment horizontal="right" vertical="center"/>
    </xf>
    <xf numFmtId="190" fontId="6" fillId="3" borderId="13" xfId="0" applyNumberFormat="1" applyFont="1" applyFill="1" applyBorder="1" applyAlignment="1">
      <alignment horizontal="right" vertical="center"/>
    </xf>
    <xf numFmtId="190" fontId="4" fillId="7" borderId="13" xfId="0" applyNumberFormat="1" applyFont="1" applyFill="1" applyBorder="1" applyAlignment="1">
      <alignment horizontal="right" vertical="center"/>
    </xf>
    <xf numFmtId="190" fontId="4" fillId="3" borderId="13" xfId="0" applyNumberFormat="1" applyFont="1" applyFill="1" applyBorder="1" applyAlignment="1">
      <alignment horizontal="right" vertical="center"/>
    </xf>
    <xf numFmtId="190" fontId="6" fillId="7" borderId="13" xfId="0" applyNumberFormat="1" applyFont="1" applyFill="1" applyBorder="1" applyAlignment="1">
      <alignment horizontal="right" vertical="center"/>
    </xf>
    <xf numFmtId="190" fontId="40" fillId="3" borderId="13" xfId="0" applyNumberFormat="1" applyFont="1" applyFill="1" applyBorder="1" applyAlignment="1">
      <alignment horizontal="right" vertical="center"/>
    </xf>
    <xf numFmtId="190" fontId="40" fillId="7" borderId="13" xfId="0" applyNumberFormat="1" applyFont="1" applyFill="1" applyBorder="1" applyAlignment="1">
      <alignment horizontal="right" vertical="center"/>
    </xf>
    <xf numFmtId="0" fontId="9" fillId="6" borderId="9" xfId="0" applyFont="1" applyFill="1" applyBorder="1"/>
    <xf numFmtId="0" fontId="5" fillId="6" borderId="9" xfId="0" applyFont="1" applyFill="1" applyBorder="1"/>
    <xf numFmtId="0" fontId="9" fillId="6" borderId="9" xfId="0" applyFont="1" applyFill="1" applyBorder="1" applyAlignment="1">
      <alignment horizontal="center"/>
    </xf>
    <xf numFmtId="0" fontId="9" fillId="6" borderId="0" xfId="0" applyFont="1" applyFill="1" applyBorder="1"/>
    <xf numFmtId="0" fontId="9" fillId="6" borderId="0" xfId="0" applyFont="1" applyFill="1" applyBorder="1" applyAlignment="1">
      <alignment horizontal="center"/>
    </xf>
    <xf numFmtId="0" fontId="9" fillId="6" borderId="0" xfId="0" applyFont="1" applyFill="1"/>
    <xf numFmtId="0" fontId="9" fillId="6" borderId="0" xfId="0" applyFont="1" applyFill="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4" fillId="7" borderId="5" xfId="0" applyFont="1" applyFill="1" applyBorder="1" applyAlignment="1">
      <alignment horizontal="center"/>
    </xf>
    <xf numFmtId="0" fontId="4" fillId="0" borderId="0" xfId="0" applyFont="1"/>
    <xf numFmtId="3" fontId="4" fillId="0" borderId="0" xfId="0" applyNumberFormat="1" applyFont="1"/>
    <xf numFmtId="3" fontId="6" fillId="7" borderId="6" xfId="0" applyNumberFormat="1" applyFont="1" applyFill="1" applyBorder="1" applyAlignment="1">
      <alignment vertical="center"/>
    </xf>
    <xf numFmtId="3" fontId="6" fillId="3" borderId="6" xfId="0" applyNumberFormat="1" applyFont="1" applyFill="1" applyBorder="1" applyAlignment="1">
      <alignment vertical="center"/>
    </xf>
    <xf numFmtId="190" fontId="6" fillId="7" borderId="6" xfId="0" applyNumberFormat="1" applyFont="1" applyFill="1" applyBorder="1" applyAlignment="1">
      <alignment horizontal="center" vertical="center"/>
    </xf>
    <xf numFmtId="0" fontId="5" fillId="0" borderId="0" xfId="0" applyNumberFormat="1" applyFont="1"/>
    <xf numFmtId="189" fontId="4" fillId="7" borderId="7" xfId="0" applyNumberFormat="1" applyFont="1" applyFill="1" applyBorder="1" applyAlignment="1">
      <alignment horizontal="right"/>
    </xf>
    <xf numFmtId="189" fontId="4" fillId="3" borderId="7" xfId="0" applyNumberFormat="1" applyFont="1" applyFill="1" applyBorder="1" applyAlignment="1">
      <alignment horizontal="right"/>
    </xf>
    <xf numFmtId="189" fontId="4" fillId="7" borderId="8" xfId="0" applyNumberFormat="1" applyFont="1" applyFill="1" applyBorder="1" applyAlignment="1">
      <alignment horizontal="right"/>
    </xf>
    <xf numFmtId="189" fontId="4" fillId="3" borderId="8" xfId="0" applyNumberFormat="1" applyFont="1" applyFill="1" applyBorder="1" applyAlignment="1">
      <alignment horizontal="right"/>
    </xf>
    <xf numFmtId="189" fontId="6" fillId="7" borderId="0" xfId="0" applyNumberFormat="1" applyFont="1" applyFill="1" applyBorder="1" applyAlignment="1">
      <alignment horizontal="right" vertical="center"/>
    </xf>
    <xf numFmtId="189" fontId="6" fillId="3" borderId="0" xfId="0" applyNumberFormat="1" applyFont="1" applyFill="1" applyBorder="1" applyAlignment="1">
      <alignment horizontal="right" vertical="center"/>
    </xf>
    <xf numFmtId="0" fontId="5" fillId="0" borderId="0" xfId="0" applyFont="1" applyAlignment="1">
      <alignment vertical="top"/>
    </xf>
    <xf numFmtId="0" fontId="3" fillId="0" borderId="4" xfId="0" applyFont="1" applyFill="1" applyBorder="1" applyAlignment="1">
      <alignment horizontal="right" vertical="top"/>
    </xf>
    <xf numFmtId="0" fontId="4" fillId="7" borderId="0" xfId="0" applyFont="1" applyFill="1" applyBorder="1" applyAlignment="1">
      <alignment horizontal="right" wrapText="1"/>
    </xf>
    <xf numFmtId="0" fontId="4" fillId="3" borderId="0" xfId="0" applyFont="1" applyFill="1" applyBorder="1" applyAlignment="1">
      <alignment horizontal="right" wrapText="1"/>
    </xf>
    <xf numFmtId="0" fontId="4" fillId="7" borderId="0" xfId="0" applyFont="1" applyFill="1" applyBorder="1" applyAlignment="1">
      <alignment horizontal="right" vertical="top"/>
    </xf>
    <xf numFmtId="1" fontId="4" fillId="3" borderId="7" xfId="0" applyNumberFormat="1" applyFont="1" applyFill="1" applyBorder="1" applyAlignment="1">
      <alignment horizontal="left"/>
    </xf>
    <xf numFmtId="211" fontId="4" fillId="7" borderId="7" xfId="0" applyNumberFormat="1" applyFont="1" applyFill="1" applyBorder="1" applyAlignment="1">
      <alignment horizontal="right"/>
    </xf>
    <xf numFmtId="1" fontId="4" fillId="3" borderId="8" xfId="0" applyNumberFormat="1" applyFont="1" applyFill="1" applyBorder="1" applyAlignment="1">
      <alignment horizontal="left"/>
    </xf>
    <xf numFmtId="211" fontId="4" fillId="7" borderId="8" xfId="0" applyNumberFormat="1" applyFont="1" applyFill="1" applyBorder="1" applyAlignment="1">
      <alignment horizontal="right"/>
    </xf>
    <xf numFmtId="1" fontId="6" fillId="3" borderId="0" xfId="0" applyNumberFormat="1" applyFont="1" applyFill="1" applyBorder="1" applyAlignment="1">
      <alignment horizontal="left" vertical="center"/>
    </xf>
    <xf numFmtId="211" fontId="6" fillId="7" borderId="0" xfId="0" applyNumberFormat="1" applyFont="1" applyFill="1" applyBorder="1" applyAlignment="1">
      <alignment horizontal="right" vertical="center"/>
    </xf>
    <xf numFmtId="189" fontId="6" fillId="7" borderId="13" xfId="0" applyNumberFormat="1" applyFont="1" applyFill="1" applyBorder="1" applyAlignment="1">
      <alignment horizontal="right" vertical="center"/>
    </xf>
    <xf numFmtId="3" fontId="0" fillId="0" borderId="0" xfId="0" applyNumberFormat="1"/>
    <xf numFmtId="0" fontId="44" fillId="6" borderId="0" xfId="0" applyFont="1" applyFill="1" applyAlignment="1">
      <alignment vertical="top"/>
    </xf>
    <xf numFmtId="0" fontId="18" fillId="6" borderId="0" xfId="0" applyFont="1" applyFill="1"/>
    <xf numFmtId="0" fontId="44" fillId="6" borderId="4" xfId="0" applyFont="1" applyFill="1" applyBorder="1" applyAlignment="1">
      <alignment vertical="top"/>
    </xf>
    <xf numFmtId="0" fontId="18" fillId="6" borderId="4" xfId="0" applyFont="1" applyFill="1" applyBorder="1" applyAlignment="1">
      <alignment vertical="center"/>
    </xf>
    <xf numFmtId="0" fontId="5" fillId="6" borderId="4" xfId="0" applyFont="1" applyFill="1" applyBorder="1" applyAlignment="1">
      <alignment vertical="center"/>
    </xf>
    <xf numFmtId="0" fontId="9" fillId="6" borderId="4" xfId="0" applyFont="1" applyFill="1" applyBorder="1" applyAlignment="1">
      <alignment vertical="center"/>
    </xf>
    <xf numFmtId="0" fontId="9" fillId="0" borderId="4" xfId="0" applyFont="1" applyFill="1" applyBorder="1" applyAlignment="1">
      <alignment vertical="center"/>
    </xf>
    <xf numFmtId="0" fontId="5" fillId="0" borderId="4" xfId="0" applyFont="1" applyBorder="1"/>
    <xf numFmtId="0" fontId="29" fillId="7" borderId="0" xfId="0" applyFont="1" applyFill="1" applyBorder="1" applyAlignment="1">
      <alignment horizontal="center"/>
    </xf>
    <xf numFmtId="0" fontId="6" fillId="7" borderId="0" xfId="0" applyFont="1" applyFill="1" applyBorder="1"/>
    <xf numFmtId="0" fontId="6" fillId="3" borderId="0" xfId="0" applyFont="1" applyFill="1" applyBorder="1"/>
    <xf numFmtId="0" fontId="6" fillId="7" borderId="0" xfId="0" applyFont="1" applyFill="1" applyBorder="1" applyAlignment="1">
      <alignment horizontal="right"/>
    </xf>
    <xf numFmtId="0" fontId="6" fillId="3" borderId="0" xfId="0" applyFont="1" applyFill="1" applyBorder="1" applyAlignment="1">
      <alignment horizontal="right"/>
    </xf>
    <xf numFmtId="0" fontId="6" fillId="0" borderId="0" xfId="0" applyFont="1" applyFill="1" applyBorder="1" applyAlignment="1">
      <alignment horizontal="right"/>
    </xf>
    <xf numFmtId="0" fontId="18" fillId="7" borderId="0" xfId="0" applyFont="1" applyFill="1" applyBorder="1" applyAlignment="1">
      <alignment horizontal="center" wrapText="1"/>
    </xf>
    <xf numFmtId="0" fontId="18" fillId="3" borderId="0" xfId="0" applyFont="1" applyFill="1" applyBorder="1" applyAlignment="1">
      <alignment horizontal="center" wrapText="1"/>
    </xf>
    <xf numFmtId="0" fontId="18" fillId="0" borderId="0" xfId="0" applyFont="1" applyFill="1" applyBorder="1" applyAlignment="1">
      <alignment horizontal="right" wrapText="1"/>
    </xf>
    <xf numFmtId="0" fontId="35" fillId="3" borderId="0" xfId="0" applyFont="1" applyFill="1" applyBorder="1"/>
    <xf numFmtId="0" fontId="6" fillId="0" borderId="0" xfId="0" applyFont="1" applyFill="1" applyBorder="1"/>
    <xf numFmtId="0" fontId="29" fillId="7" borderId="4" xfId="0" applyFont="1" applyFill="1" applyBorder="1" applyAlignment="1">
      <alignment horizontal="center"/>
    </xf>
    <xf numFmtId="0" fontId="6" fillId="7" borderId="4" xfId="0" applyFont="1" applyFill="1" applyBorder="1" applyAlignment="1">
      <alignment vertical="top"/>
    </xf>
    <xf numFmtId="0" fontId="6" fillId="3" borderId="4" xfId="0" applyFont="1" applyFill="1" applyBorder="1" applyAlignment="1">
      <alignment vertical="top"/>
    </xf>
    <xf numFmtId="0" fontId="6" fillId="3" borderId="4" xfId="0" applyFont="1" applyFill="1" applyBorder="1"/>
    <xf numFmtId="0" fontId="6" fillId="0" borderId="4" xfId="0" applyFont="1" applyFill="1" applyBorder="1" applyAlignment="1">
      <alignment horizontal="right" vertical="top"/>
    </xf>
    <xf numFmtId="0" fontId="6" fillId="7" borderId="4" xfId="0" applyFont="1" applyFill="1" applyBorder="1"/>
    <xf numFmtId="0" fontId="21" fillId="7" borderId="7" xfId="0" applyFont="1" applyFill="1" applyBorder="1" applyAlignment="1">
      <alignment horizontal="center"/>
    </xf>
    <xf numFmtId="0" fontId="4" fillId="7" borderId="7" xfId="0" applyFont="1" applyFill="1" applyBorder="1" applyAlignment="1"/>
    <xf numFmtId="3" fontId="4" fillId="3" borderId="7" xfId="0" applyNumberFormat="1" applyFont="1" applyFill="1" applyBorder="1" applyAlignment="1"/>
    <xf numFmtId="3" fontId="4" fillId="7" borderId="7" xfId="0" applyNumberFormat="1" applyFont="1" applyFill="1" applyBorder="1" applyAlignment="1"/>
    <xf numFmtId="3" fontId="4" fillId="0" borderId="7" xfId="0" applyNumberFormat="1" applyFont="1" applyFill="1" applyBorder="1" applyAlignment="1"/>
    <xf numFmtId="190" fontId="5" fillId="7" borderId="7" xfId="0" applyNumberFormat="1" applyFont="1" applyFill="1" applyBorder="1" applyAlignment="1">
      <alignment horizontal="center"/>
    </xf>
    <xf numFmtId="190" fontId="5" fillId="3" borderId="7" xfId="0" applyNumberFormat="1" applyFont="1" applyFill="1" applyBorder="1" applyAlignment="1">
      <alignment horizontal="center"/>
    </xf>
    <xf numFmtId="190" fontId="5" fillId="0" borderId="0" xfId="0" applyNumberFormat="1" applyFont="1" applyFill="1" applyBorder="1" applyAlignment="1">
      <alignment horizontal="center"/>
    </xf>
    <xf numFmtId="0" fontId="21" fillId="7" borderId="8" xfId="0" applyFont="1" applyFill="1" applyBorder="1" applyAlignment="1">
      <alignment horizontal="center"/>
    </xf>
    <xf numFmtId="0" fontId="4" fillId="7" borderId="8" xfId="0" applyFont="1" applyFill="1" applyBorder="1" applyAlignment="1"/>
    <xf numFmtId="3" fontId="4" fillId="3" borderId="8" xfId="0" applyNumberFormat="1" applyFont="1" applyFill="1" applyBorder="1" applyAlignment="1"/>
    <xf numFmtId="3" fontId="4" fillId="7" borderId="8" xfId="0" applyNumberFormat="1" applyFont="1" applyFill="1" applyBorder="1" applyAlignment="1"/>
    <xf numFmtId="189" fontId="4" fillId="3" borderId="8" xfId="0" applyNumberFormat="1" applyFont="1" applyFill="1" applyBorder="1" applyAlignment="1"/>
    <xf numFmtId="189" fontId="4" fillId="7" borderId="8" xfId="0" applyNumberFormat="1" applyFont="1" applyFill="1" applyBorder="1" applyAlignment="1"/>
    <xf numFmtId="188" fontId="4" fillId="3" borderId="8" xfId="0" applyNumberFormat="1" applyFont="1" applyFill="1" applyBorder="1" applyAlignment="1">
      <alignment horizontal="right"/>
    </xf>
    <xf numFmtId="189" fontId="4" fillId="0" borderId="7" xfId="0" applyNumberFormat="1" applyFont="1" applyFill="1" applyBorder="1" applyAlignment="1"/>
    <xf numFmtId="0" fontId="5" fillId="7" borderId="8" xfId="0" applyFont="1" applyFill="1" applyBorder="1" applyAlignment="1"/>
    <xf numFmtId="190" fontId="4" fillId="3" borderId="8" xfId="0" applyNumberFormat="1" applyFont="1" applyFill="1" applyBorder="1" applyAlignment="1"/>
    <xf numFmtId="190" fontId="4" fillId="7" borderId="8" xfId="0" applyNumberFormat="1" applyFont="1" applyFill="1" applyBorder="1" applyAlignment="1"/>
    <xf numFmtId="0" fontId="21" fillId="7" borderId="13" xfId="0" applyFont="1" applyFill="1" applyBorder="1" applyAlignment="1">
      <alignment horizontal="center" vertical="center"/>
    </xf>
    <xf numFmtId="0" fontId="4" fillId="7" borderId="13" xfId="0" applyFont="1" applyFill="1" applyBorder="1" applyAlignment="1">
      <alignment vertical="center"/>
    </xf>
    <xf numFmtId="190" fontId="4" fillId="3" borderId="13" xfId="0" applyNumberFormat="1" applyFont="1" applyFill="1" applyBorder="1" applyAlignment="1">
      <alignment vertical="center"/>
    </xf>
    <xf numFmtId="190" fontId="4" fillId="7" borderId="13" xfId="0" applyNumberFormat="1" applyFont="1" applyFill="1" applyBorder="1" applyAlignment="1">
      <alignment vertical="center"/>
    </xf>
    <xf numFmtId="190" fontId="4" fillId="0" borderId="13" xfId="0" applyNumberFormat="1" applyFont="1" applyFill="1" applyBorder="1" applyAlignment="1">
      <alignment vertical="center"/>
    </xf>
    <xf numFmtId="190" fontId="5" fillId="7" borderId="13" xfId="0" applyNumberFormat="1" applyFont="1" applyFill="1" applyBorder="1" applyAlignment="1">
      <alignment horizontal="center" vertical="center"/>
    </xf>
    <xf numFmtId="190" fontId="5" fillId="3" borderId="13" xfId="0" applyNumberFormat="1" applyFont="1" applyFill="1" applyBorder="1" applyAlignment="1">
      <alignment horizontal="center" vertical="center"/>
    </xf>
    <xf numFmtId="190" fontId="5" fillId="0" borderId="0" xfId="0" applyNumberFormat="1" applyFont="1" applyFill="1" applyBorder="1" applyAlignment="1">
      <alignment horizontal="center" vertical="center"/>
    </xf>
    <xf numFmtId="0" fontId="5" fillId="0" borderId="0" xfId="0" applyFont="1" applyAlignment="1">
      <alignment vertical="center"/>
    </xf>
    <xf numFmtId="0" fontId="5" fillId="11" borderId="9" xfId="0" applyFont="1" applyFill="1" applyBorder="1" applyAlignment="1"/>
    <xf numFmtId="190" fontId="4" fillId="0" borderId="9" xfId="0" applyNumberFormat="1" applyFont="1" applyFill="1" applyBorder="1" applyAlignment="1"/>
    <xf numFmtId="190" fontId="6" fillId="0" borderId="9" xfId="0" applyNumberFormat="1" applyFont="1" applyFill="1" applyBorder="1" applyAlignment="1"/>
    <xf numFmtId="190" fontId="6" fillId="0" borderId="0" xfId="0" applyNumberFormat="1" applyFont="1" applyFill="1" applyBorder="1" applyAlignment="1"/>
    <xf numFmtId="0" fontId="9" fillId="0" borderId="0" xfId="0" applyFont="1" applyBorder="1"/>
    <xf numFmtId="3" fontId="2" fillId="0" borderId="0" xfId="0" applyNumberFormat="1" applyFont="1" applyFill="1"/>
    <xf numFmtId="0" fontId="4" fillId="0" borderId="0" xfId="0" applyFont="1" applyFill="1" applyBorder="1"/>
    <xf numFmtId="3" fontId="2" fillId="0" borderId="0" xfId="0" applyNumberFormat="1" applyFont="1" applyFill="1" applyBorder="1"/>
    <xf numFmtId="0" fontId="3" fillId="0" borderId="0" xfId="0" applyFont="1" applyBorder="1"/>
    <xf numFmtId="0" fontId="23" fillId="0" borderId="0" xfId="0" applyFont="1" applyFill="1"/>
    <xf numFmtId="0" fontId="18" fillId="0" borderId="0" xfId="0" applyFont="1"/>
    <xf numFmtId="0" fontId="57" fillId="0" borderId="0" xfId="0" applyFont="1" applyFill="1" applyAlignment="1">
      <alignment horizontal="center"/>
    </xf>
    <xf numFmtId="0" fontId="45" fillId="0" borderId="0" xfId="0" applyFont="1"/>
    <xf numFmtId="0" fontId="5" fillId="0" borderId="0" xfId="0" applyFont="1" applyAlignment="1">
      <alignment horizontal="right"/>
    </xf>
    <xf numFmtId="0" fontId="5" fillId="0" borderId="15" xfId="0" applyFont="1" applyBorder="1" applyAlignment="1">
      <alignment horizontal="center"/>
    </xf>
    <xf numFmtId="0" fontId="5" fillId="0" borderId="15" xfId="0" applyFont="1" applyFill="1" applyBorder="1"/>
    <xf numFmtId="0" fontId="5" fillId="0" borderId="15" xfId="0" applyFont="1" applyFill="1" applyBorder="1" applyAlignment="1">
      <alignment horizontal="right"/>
    </xf>
    <xf numFmtId="0" fontId="5" fillId="0" borderId="15" xfId="0" quotePrefix="1" applyFont="1" applyBorder="1"/>
    <xf numFmtId="0" fontId="5" fillId="0" borderId="15" xfId="0" applyFont="1" applyBorder="1"/>
    <xf numFmtId="0" fontId="9" fillId="0" borderId="15" xfId="0" applyFont="1" applyBorder="1"/>
    <xf numFmtId="0" fontId="5" fillId="0" borderId="16" xfId="17" applyFont="1" applyFill="1" applyBorder="1"/>
    <xf numFmtId="0" fontId="5" fillId="0" borderId="15" xfId="0" applyFont="1" applyBorder="1" applyAlignment="1">
      <alignment horizontal="right"/>
    </xf>
    <xf numFmtId="0" fontId="5" fillId="0" borderId="15" xfId="0" quotePrefix="1" applyFont="1" applyBorder="1" applyAlignment="1">
      <alignment horizontal="center"/>
    </xf>
    <xf numFmtId="3" fontId="2" fillId="0" borderId="0" xfId="0" applyNumberFormat="1" applyFont="1"/>
    <xf numFmtId="3" fontId="6" fillId="7" borderId="5" xfId="0" applyNumberFormat="1" applyFont="1" applyFill="1" applyBorder="1" applyAlignment="1">
      <alignment horizontal="right"/>
    </xf>
    <xf numFmtId="0" fontId="4" fillId="3" borderId="4" xfId="0" applyFont="1" applyFill="1" applyBorder="1" applyAlignment="1">
      <alignment horizontal="left"/>
    </xf>
    <xf numFmtId="3" fontId="6" fillId="7" borderId="4" xfId="0" applyNumberFormat="1" applyFont="1" applyFill="1" applyBorder="1" applyAlignment="1">
      <alignment horizontal="right" vertical="top"/>
    </xf>
    <xf numFmtId="3" fontId="4" fillId="7" borderId="6" xfId="0" applyNumberFormat="1" applyFont="1" applyFill="1" applyBorder="1" applyAlignment="1">
      <alignment horizontal="right"/>
    </xf>
    <xf numFmtId="3" fontId="4" fillId="3" borderId="6" xfId="0" applyNumberFormat="1" applyFont="1" applyFill="1" applyBorder="1" applyAlignment="1">
      <alignment horizontal="right"/>
    </xf>
    <xf numFmtId="3" fontId="6" fillId="7" borderId="6" xfId="0" applyNumberFormat="1" applyFont="1" applyFill="1" applyBorder="1" applyAlignment="1">
      <alignment horizontal="right"/>
    </xf>
    <xf numFmtId="3" fontId="6" fillId="7" borderId="8" xfId="0" applyNumberFormat="1" applyFont="1" applyFill="1" applyBorder="1" applyAlignment="1">
      <alignment horizontal="right"/>
    </xf>
    <xf numFmtId="0" fontId="4" fillId="3" borderId="3" xfId="0" applyFont="1" applyFill="1" applyBorder="1" applyAlignment="1">
      <alignment horizontal="left" vertical="center"/>
    </xf>
    <xf numFmtId="3" fontId="4" fillId="7" borderId="3" xfId="0" applyNumberFormat="1" applyFont="1" applyFill="1" applyBorder="1" applyAlignment="1">
      <alignment horizontal="right" vertical="center"/>
    </xf>
    <xf numFmtId="3" fontId="4" fillId="3" borderId="3" xfId="0" applyNumberFormat="1" applyFont="1" applyFill="1" applyBorder="1" applyAlignment="1">
      <alignment horizontal="right" vertical="center"/>
    </xf>
    <xf numFmtId="3" fontId="6" fillId="7" borderId="3" xfId="0" applyNumberFormat="1" applyFont="1" applyFill="1" applyBorder="1" applyAlignment="1">
      <alignment horizontal="right" vertical="center"/>
    </xf>
    <xf numFmtId="0" fontId="21" fillId="6" borderId="0" xfId="0" applyFont="1" applyFill="1" applyBorder="1"/>
    <xf numFmtId="0" fontId="6" fillId="3" borderId="5" xfId="0" applyFont="1" applyFill="1" applyBorder="1" applyAlignment="1">
      <alignment horizontal="left"/>
    </xf>
    <xf numFmtId="3" fontId="6" fillId="7" borderId="7" xfId="0" applyNumberFormat="1" applyFont="1" applyFill="1" applyBorder="1" applyAlignment="1">
      <alignment horizontal="right"/>
    </xf>
    <xf numFmtId="0" fontId="4" fillId="3" borderId="7" xfId="0" applyFont="1" applyFill="1" applyBorder="1" applyAlignment="1">
      <alignment horizontal="left"/>
    </xf>
    <xf numFmtId="0" fontId="4" fillId="3" borderId="13" xfId="0" applyFont="1" applyFill="1" applyBorder="1" applyAlignment="1">
      <alignment horizontal="left" vertical="center"/>
    </xf>
    <xf numFmtId="3" fontId="4" fillId="7" borderId="13" xfId="0" applyNumberFormat="1" applyFont="1" applyFill="1" applyBorder="1" applyAlignment="1">
      <alignment horizontal="right"/>
    </xf>
    <xf numFmtId="3" fontId="4" fillId="3" borderId="13" xfId="0" applyNumberFormat="1" applyFont="1" applyFill="1" applyBorder="1" applyAlignment="1">
      <alignment horizontal="right"/>
    </xf>
    <xf numFmtId="3" fontId="6" fillId="7" borderId="13" xfId="0" applyNumberFormat="1" applyFont="1" applyFill="1" applyBorder="1" applyAlignment="1">
      <alignment horizontal="right"/>
    </xf>
    <xf numFmtId="0" fontId="4" fillId="0" borderId="0" xfId="0" applyFont="1" applyFill="1" applyBorder="1" applyAlignment="1">
      <alignment horizontal="left" vertical="center"/>
    </xf>
    <xf numFmtId="3" fontId="4" fillId="0" borderId="0" xfId="0" applyNumberFormat="1" applyFont="1" applyFill="1" applyBorder="1" applyAlignment="1">
      <alignment horizontal="right" vertical="center"/>
    </xf>
    <xf numFmtId="3" fontId="6" fillId="0" borderId="0" xfId="0" applyNumberFormat="1" applyFont="1" applyFill="1" applyBorder="1" applyAlignment="1">
      <alignment horizontal="right" vertical="center"/>
    </xf>
    <xf numFmtId="0" fontId="3" fillId="0" borderId="4" xfId="0" applyFont="1" applyBorder="1" applyAlignment="1">
      <alignment vertical="center"/>
    </xf>
    <xf numFmtId="0" fontId="0" fillId="0" borderId="4" xfId="0" applyBorder="1" applyAlignment="1">
      <alignment vertical="center"/>
    </xf>
    <xf numFmtId="3" fontId="6" fillId="7" borderId="7" xfId="0" applyNumberFormat="1" applyFont="1" applyFill="1" applyBorder="1" applyAlignment="1">
      <alignment horizontal="right" vertical="center"/>
    </xf>
    <xf numFmtId="3" fontId="5" fillId="0" borderId="9" xfId="0" applyNumberFormat="1" applyFont="1" applyBorder="1"/>
    <xf numFmtId="3" fontId="9" fillId="0" borderId="9" xfId="0" applyNumberFormat="1" applyFont="1" applyBorder="1"/>
    <xf numFmtId="3" fontId="9" fillId="0" borderId="0" xfId="0" applyNumberFormat="1" applyFont="1"/>
    <xf numFmtId="0" fontId="5" fillId="0" borderId="0" xfId="18" applyFont="1"/>
    <xf numFmtId="0" fontId="0" fillId="0" borderId="4" xfId="0" applyBorder="1" applyAlignment="1"/>
    <xf numFmtId="0" fontId="6" fillId="3" borderId="5" xfId="0" applyFont="1" applyFill="1" applyBorder="1" applyAlignment="1">
      <alignment horizontal="right"/>
    </xf>
    <xf numFmtId="3" fontId="6" fillId="3" borderId="0" xfId="0" applyNumberFormat="1" applyFont="1" applyFill="1" applyBorder="1" applyAlignment="1">
      <alignment horizontal="right"/>
    </xf>
    <xf numFmtId="3" fontId="6" fillId="3" borderId="4" xfId="0" applyNumberFormat="1" applyFont="1" applyFill="1" applyBorder="1" applyAlignment="1">
      <alignment horizontal="right" vertical="top"/>
    </xf>
    <xf numFmtId="0" fontId="4" fillId="3" borderId="6" xfId="0" quotePrefix="1" applyFont="1" applyFill="1" applyBorder="1" applyAlignment="1">
      <alignment horizontal="left"/>
    </xf>
    <xf numFmtId="3" fontId="6" fillId="3" borderId="6" xfId="0" applyNumberFormat="1" applyFont="1" applyFill="1" applyBorder="1" applyAlignment="1">
      <alignment horizontal="right"/>
    </xf>
    <xf numFmtId="3" fontId="6" fillId="3" borderId="8" xfId="0" applyNumberFormat="1" applyFont="1" applyFill="1" applyBorder="1" applyAlignment="1">
      <alignment horizontal="right"/>
    </xf>
    <xf numFmtId="0" fontId="4" fillId="3" borderId="13" xfId="0" quotePrefix="1" applyFont="1" applyFill="1" applyBorder="1" applyAlignment="1">
      <alignment horizontal="left" vertical="center"/>
    </xf>
    <xf numFmtId="3" fontId="4" fillId="7" borderId="13" xfId="0" applyNumberFormat="1" applyFont="1" applyFill="1" applyBorder="1" applyAlignment="1">
      <alignment horizontal="right" vertical="center"/>
    </xf>
    <xf numFmtId="3" fontId="4" fillId="3" borderId="13" xfId="0" applyNumberFormat="1" applyFont="1" applyFill="1" applyBorder="1" applyAlignment="1">
      <alignment horizontal="right" vertical="center"/>
    </xf>
    <xf numFmtId="190" fontId="4" fillId="7" borderId="13" xfId="0" applyNumberFormat="1" applyFont="1" applyFill="1" applyBorder="1" applyAlignment="1">
      <alignment horizontal="center" vertical="center"/>
    </xf>
    <xf numFmtId="0" fontId="4" fillId="0" borderId="0" xfId="0" quotePrefix="1" applyFont="1" applyFill="1" applyBorder="1" applyAlignment="1">
      <alignment horizontal="left" vertical="center"/>
    </xf>
    <xf numFmtId="190" fontId="4" fillId="0" borderId="0" xfId="0" applyNumberFormat="1" applyFont="1" applyFill="1" applyBorder="1" applyAlignment="1">
      <alignment horizontal="right" vertical="center"/>
    </xf>
    <xf numFmtId="190" fontId="4" fillId="0" borderId="0" xfId="0" applyNumberFormat="1" applyFont="1" applyFill="1" applyBorder="1" applyAlignment="1">
      <alignment horizontal="center" vertical="center"/>
    </xf>
    <xf numFmtId="0" fontId="40" fillId="3" borderId="6" xfId="0" quotePrefix="1" applyFont="1" applyFill="1" applyBorder="1" applyAlignment="1">
      <alignment horizontal="left" vertical="center"/>
    </xf>
    <xf numFmtId="3" fontId="40" fillId="7" borderId="6" xfId="0" applyNumberFormat="1" applyFont="1" applyFill="1" applyBorder="1" applyAlignment="1">
      <alignment horizontal="right" vertical="center"/>
    </xf>
    <xf numFmtId="3" fontId="40" fillId="3" borderId="6" xfId="0" applyNumberFormat="1" applyFont="1" applyFill="1" applyBorder="1" applyAlignment="1">
      <alignment horizontal="right" vertical="center"/>
    </xf>
    <xf numFmtId="3" fontId="51" fillId="3" borderId="6" xfId="0" applyNumberFormat="1" applyFont="1" applyFill="1" applyBorder="1" applyAlignment="1">
      <alignment horizontal="right" vertical="center"/>
    </xf>
    <xf numFmtId="190" fontId="40" fillId="7" borderId="6" xfId="0" applyNumberFormat="1" applyFont="1" applyFill="1" applyBorder="1" applyAlignment="1">
      <alignment horizontal="right" vertical="center"/>
    </xf>
    <xf numFmtId="190" fontId="40" fillId="7" borderId="6" xfId="0" applyNumberFormat="1" applyFont="1" applyFill="1" applyBorder="1" applyAlignment="1">
      <alignment horizontal="center" vertical="center"/>
    </xf>
    <xf numFmtId="0" fontId="40" fillId="3" borderId="3" xfId="0" quotePrefix="1" applyFont="1" applyFill="1" applyBorder="1" applyAlignment="1">
      <alignment horizontal="left" vertical="center" wrapText="1"/>
    </xf>
    <xf numFmtId="3" fontId="40" fillId="7" borderId="3" xfId="0" applyNumberFormat="1" applyFont="1" applyFill="1" applyBorder="1" applyAlignment="1">
      <alignment horizontal="right" vertical="center"/>
    </xf>
    <xf numFmtId="3" fontId="40" fillId="3" borderId="3" xfId="0" applyNumberFormat="1" applyFont="1" applyFill="1" applyBorder="1" applyAlignment="1">
      <alignment horizontal="right" vertical="center"/>
    </xf>
    <xf numFmtId="3" fontId="51" fillId="3" borderId="3" xfId="0" applyNumberFormat="1" applyFont="1" applyFill="1" applyBorder="1" applyAlignment="1">
      <alignment horizontal="right" vertical="center"/>
    </xf>
    <xf numFmtId="190" fontId="40" fillId="7" borderId="3" xfId="0" applyNumberFormat="1" applyFont="1" applyFill="1" applyBorder="1" applyAlignment="1">
      <alignment horizontal="right" vertical="center"/>
    </xf>
    <xf numFmtId="190" fontId="40" fillId="7" borderId="3" xfId="0" applyNumberFormat="1" applyFont="1" applyFill="1" applyBorder="1" applyAlignment="1">
      <alignment horizontal="center" vertical="center"/>
    </xf>
    <xf numFmtId="3" fontId="6" fillId="0" borderId="9" xfId="0" applyNumberFormat="1" applyFont="1" applyBorder="1" applyAlignment="1">
      <alignment horizontal="right" vertical="top"/>
    </xf>
    <xf numFmtId="3" fontId="6" fillId="0" borderId="0" xfId="0" applyNumberFormat="1" applyFont="1" applyBorder="1" applyAlignment="1">
      <alignment horizontal="right" vertical="top"/>
    </xf>
    <xf numFmtId="190" fontId="2" fillId="6" borderId="0" xfId="0" applyNumberFormat="1" applyFont="1" applyFill="1"/>
    <xf numFmtId="0" fontId="21" fillId="0" borderId="0" xfId="0" applyFont="1" applyAlignment="1">
      <alignment horizontal="left" wrapText="1"/>
    </xf>
    <xf numFmtId="0" fontId="6" fillId="7" borderId="5" xfId="0" applyFont="1" applyFill="1" applyBorder="1" applyAlignment="1">
      <alignment horizontal="right"/>
    </xf>
    <xf numFmtId="190" fontId="4" fillId="3" borderId="5" xfId="0" applyNumberFormat="1" applyFont="1" applyFill="1" applyBorder="1" applyAlignment="1">
      <alignment horizontal="right"/>
    </xf>
    <xf numFmtId="0" fontId="23" fillId="7" borderId="0" xfId="0" applyFont="1" applyFill="1" applyBorder="1" applyAlignment="1">
      <alignment horizontal="right"/>
    </xf>
    <xf numFmtId="190" fontId="23" fillId="3" borderId="0" xfId="0" applyNumberFormat="1" applyFont="1" applyFill="1" applyBorder="1" applyAlignment="1">
      <alignment horizontal="right"/>
    </xf>
    <xf numFmtId="0" fontId="4" fillId="3" borderId="0" xfId="0" applyFont="1" applyFill="1" applyBorder="1" applyAlignment="1">
      <alignment horizontal="left" vertical="top"/>
    </xf>
    <xf numFmtId="190" fontId="4" fillId="3" borderId="0" xfId="0" applyNumberFormat="1" applyFont="1" applyFill="1" applyBorder="1" applyAlignment="1">
      <alignment horizontal="center" vertical="top"/>
    </xf>
    <xf numFmtId="0" fontId="23" fillId="7" borderId="0" xfId="0" applyFont="1" applyFill="1" applyBorder="1" applyAlignment="1">
      <alignment horizontal="right" vertical="top"/>
    </xf>
    <xf numFmtId="190" fontId="23" fillId="3" borderId="0" xfId="0" applyNumberFormat="1" applyFont="1" applyFill="1" applyBorder="1" applyAlignment="1">
      <alignment horizontal="right" vertical="top"/>
    </xf>
    <xf numFmtId="190" fontId="4" fillId="3" borderId="4" xfId="0" applyNumberFormat="1" applyFont="1" applyFill="1" applyBorder="1" applyAlignment="1">
      <alignment horizontal="center" vertical="top"/>
    </xf>
    <xf numFmtId="190" fontId="4" fillId="3" borderId="0" xfId="0" applyNumberFormat="1" applyFont="1" applyFill="1" applyBorder="1" applyAlignment="1">
      <alignment horizontal="right" vertical="top"/>
    </xf>
    <xf numFmtId="190" fontId="4" fillId="3" borderId="4" xfId="0" applyNumberFormat="1" applyFont="1" applyFill="1" applyBorder="1" applyAlignment="1">
      <alignment horizontal="right" vertical="top"/>
    </xf>
    <xf numFmtId="190" fontId="6" fillId="3" borderId="10" xfId="0" applyNumberFormat="1" applyFont="1" applyFill="1" applyBorder="1" applyAlignment="1">
      <alignment horizontal="center" vertical="center"/>
    </xf>
    <xf numFmtId="3" fontId="6" fillId="3" borderId="10" xfId="0" applyNumberFormat="1" applyFont="1" applyFill="1" applyBorder="1" applyAlignment="1">
      <alignment horizontal="right" vertical="center"/>
    </xf>
    <xf numFmtId="3" fontId="6" fillId="7" borderId="10" xfId="0" applyNumberFormat="1" applyFont="1" applyFill="1" applyBorder="1" applyAlignment="1">
      <alignment horizontal="right" vertical="center"/>
    </xf>
    <xf numFmtId="0" fontId="5" fillId="0" borderId="0" xfId="0" applyFont="1" applyFill="1" applyAlignment="1">
      <alignment vertical="center"/>
    </xf>
    <xf numFmtId="0" fontId="9" fillId="0" borderId="0" xfId="0" applyFont="1" applyFill="1" applyAlignment="1">
      <alignment vertical="center"/>
    </xf>
    <xf numFmtId="0" fontId="9" fillId="0" borderId="0" xfId="0" applyFont="1" applyAlignment="1">
      <alignment vertical="center"/>
    </xf>
    <xf numFmtId="3" fontId="4" fillId="0" borderId="0" xfId="0" applyNumberFormat="1" applyFont="1" applyFill="1" applyBorder="1" applyAlignment="1">
      <alignment horizontal="right" vertical="top"/>
    </xf>
    <xf numFmtId="190" fontId="4" fillId="0" borderId="0" xfId="0" applyNumberFormat="1" applyFont="1" applyFill="1" applyBorder="1" applyAlignment="1">
      <alignment horizontal="center" vertical="top"/>
    </xf>
    <xf numFmtId="190" fontId="4" fillId="0" borderId="0" xfId="0" applyNumberFormat="1" applyFont="1" applyFill="1" applyBorder="1" applyAlignment="1">
      <alignment horizontal="right" vertical="top"/>
    </xf>
    <xf numFmtId="0" fontId="18" fillId="3" borderId="13" xfId="0" applyFont="1" applyFill="1" applyBorder="1" applyAlignment="1">
      <alignment horizontal="left" vertical="center" wrapText="1"/>
    </xf>
    <xf numFmtId="190" fontId="4" fillId="7" borderId="3" xfId="0" applyNumberFormat="1" applyFont="1" applyFill="1" applyBorder="1" applyAlignment="1">
      <alignment horizontal="right" vertical="center"/>
    </xf>
    <xf numFmtId="190" fontId="4" fillId="3" borderId="13" xfId="0" applyNumberFormat="1" applyFont="1" applyFill="1" applyBorder="1" applyAlignment="1">
      <alignment horizontal="center" vertical="center"/>
    </xf>
    <xf numFmtId="3" fontId="4" fillId="0" borderId="4" xfId="0" applyNumberFormat="1" applyFont="1" applyFill="1" applyBorder="1" applyAlignment="1">
      <alignment horizontal="right" vertical="top"/>
    </xf>
    <xf numFmtId="0" fontId="23" fillId="7" borderId="0" xfId="0" applyFont="1" applyFill="1" applyBorder="1" applyAlignment="1">
      <alignment horizontal="right" vertical="center"/>
    </xf>
    <xf numFmtId="190" fontId="23" fillId="3" borderId="0" xfId="0" applyNumberFormat="1" applyFont="1" applyFill="1" applyBorder="1" applyAlignment="1">
      <alignment horizontal="right" vertical="center"/>
    </xf>
    <xf numFmtId="0" fontId="57" fillId="7" borderId="0" xfId="0" applyFont="1" applyFill="1" applyBorder="1" applyAlignment="1">
      <alignment horizontal="right" vertical="top"/>
    </xf>
    <xf numFmtId="190" fontId="57" fillId="3" borderId="0" xfId="0" applyNumberFormat="1" applyFont="1" applyFill="1" applyBorder="1" applyAlignment="1">
      <alignment horizontal="right" vertical="top"/>
    </xf>
    <xf numFmtId="0" fontId="0" fillId="0" borderId="0" xfId="0" applyBorder="1"/>
    <xf numFmtId="0" fontId="34" fillId="0" borderId="0" xfId="0" applyFont="1"/>
    <xf numFmtId="190" fontId="5" fillId="0" borderId="0" xfId="0" applyNumberFormat="1" applyFont="1" applyFill="1"/>
    <xf numFmtId="0" fontId="58" fillId="0" borderId="0" xfId="0" applyFont="1"/>
    <xf numFmtId="0" fontId="4" fillId="0" borderId="0" xfId="0" applyFont="1" applyFill="1" applyBorder="1" applyAlignment="1">
      <alignment horizontal="left"/>
    </xf>
    <xf numFmtId="0" fontId="6" fillId="3" borderId="8" xfId="0" quotePrefix="1" applyFont="1" applyFill="1" applyBorder="1" applyAlignment="1">
      <alignment horizontal="left" vertical="center"/>
    </xf>
    <xf numFmtId="3" fontId="6" fillId="3" borderId="8" xfId="0" applyNumberFormat="1" applyFont="1" applyFill="1" applyBorder="1" applyAlignment="1">
      <alignment horizontal="right" vertical="center"/>
    </xf>
    <xf numFmtId="0" fontId="4" fillId="3" borderId="43" xfId="0" applyFont="1" applyFill="1" applyBorder="1" applyAlignment="1">
      <alignment horizontal="left"/>
    </xf>
    <xf numFmtId="3" fontId="4" fillId="7" borderId="43" xfId="0" applyNumberFormat="1" applyFont="1" applyFill="1" applyBorder="1"/>
    <xf numFmtId="3" fontId="4" fillId="3" borderId="43" xfId="0" applyNumberFormat="1" applyFont="1" applyFill="1" applyBorder="1"/>
    <xf numFmtId="190" fontId="4" fillId="7" borderId="43" xfId="0" applyNumberFormat="1" applyFont="1" applyFill="1" applyBorder="1" applyAlignment="1">
      <alignment horizontal="center"/>
    </xf>
    <xf numFmtId="0" fontId="4" fillId="3" borderId="44" xfId="0" applyFont="1" applyFill="1" applyBorder="1" applyAlignment="1">
      <alignment horizontal="left"/>
    </xf>
    <xf numFmtId="3" fontId="4" fillId="7" borderId="44" xfId="0" applyNumberFormat="1" applyFont="1" applyFill="1" applyBorder="1"/>
    <xf numFmtId="3" fontId="4" fillId="3" borderId="44" xfId="0" applyNumberFormat="1" applyFont="1" applyFill="1" applyBorder="1"/>
    <xf numFmtId="190" fontId="4" fillId="7" borderId="44" xfId="0" applyNumberFormat="1" applyFont="1" applyFill="1" applyBorder="1" applyAlignment="1">
      <alignment horizontal="center"/>
    </xf>
    <xf numFmtId="0" fontId="4" fillId="3" borderId="45" xfId="0" applyFont="1" applyFill="1" applyBorder="1" applyAlignment="1">
      <alignment horizontal="left"/>
    </xf>
    <xf numFmtId="3" fontId="4" fillId="7" borderId="45" xfId="0" applyNumberFormat="1" applyFont="1" applyFill="1" applyBorder="1"/>
    <xf numFmtId="3" fontId="4" fillId="3" borderId="45" xfId="0" applyNumberFormat="1" applyFont="1" applyFill="1" applyBorder="1"/>
    <xf numFmtId="190" fontId="4" fillId="7" borderId="45" xfId="0" applyNumberFormat="1" applyFont="1" applyFill="1" applyBorder="1" applyAlignment="1">
      <alignment horizontal="center"/>
    </xf>
    <xf numFmtId="0" fontId="5" fillId="0" borderId="0" xfId="0" applyFont="1" applyFill="1" applyBorder="1" applyAlignment="1">
      <alignment vertical="top"/>
    </xf>
    <xf numFmtId="0" fontId="2" fillId="0" borderId="0" xfId="0" applyFont="1" applyAlignment="1">
      <alignment horizontal="right"/>
    </xf>
    <xf numFmtId="0" fontId="3" fillId="0" borderId="0" xfId="0" applyFont="1" applyAlignment="1">
      <alignment horizontal="right" vertical="top"/>
    </xf>
    <xf numFmtId="0" fontId="5" fillId="0" borderId="0" xfId="0" applyFont="1" applyBorder="1" applyAlignment="1">
      <alignment horizontal="right"/>
    </xf>
    <xf numFmtId="3" fontId="5" fillId="0" borderId="0" xfId="0" applyNumberFormat="1" applyFont="1" applyFill="1" applyBorder="1" applyAlignment="1">
      <alignment horizontal="right"/>
    </xf>
    <xf numFmtId="3" fontId="6" fillId="7" borderId="8" xfId="0" applyNumberFormat="1" applyFont="1" applyFill="1" applyBorder="1" applyAlignment="1">
      <alignment vertical="center"/>
    </xf>
    <xf numFmtId="3" fontId="6" fillId="3" borderId="8" xfId="0" applyNumberFormat="1" applyFont="1" applyFill="1" applyBorder="1" applyAlignment="1">
      <alignment vertical="center"/>
    </xf>
    <xf numFmtId="0" fontId="6" fillId="7" borderId="4" xfId="0" applyFont="1" applyFill="1" applyBorder="1" applyAlignment="1">
      <alignment horizontal="left"/>
    </xf>
    <xf numFmtId="3" fontId="4" fillId="7" borderId="4" xfId="0" applyNumberFormat="1" applyFont="1" applyFill="1" applyBorder="1" applyAlignment="1">
      <alignment horizontal="center" vertical="top"/>
    </xf>
    <xf numFmtId="3" fontId="4" fillId="3" borderId="4" xfId="0" applyNumberFormat="1" applyFont="1" applyFill="1" applyBorder="1" applyAlignment="1">
      <alignment horizontal="center" vertical="top"/>
    </xf>
    <xf numFmtId="190" fontId="4" fillId="7" borderId="7" xfId="0" applyNumberFormat="1" applyFont="1" applyFill="1" applyBorder="1" applyAlignment="1">
      <alignment horizontal="center"/>
    </xf>
    <xf numFmtId="3" fontId="6" fillId="7" borderId="7" xfId="0" applyNumberFormat="1" applyFont="1" applyFill="1" applyBorder="1" applyAlignment="1">
      <alignment vertical="center"/>
    </xf>
    <xf numFmtId="3" fontId="6" fillId="3" borderId="7" xfId="0" applyNumberFormat="1" applyFont="1" applyFill="1" applyBorder="1" applyAlignment="1">
      <alignment vertical="center"/>
    </xf>
    <xf numFmtId="190" fontId="6" fillId="7" borderId="8" xfId="0" applyNumberFormat="1" applyFont="1" applyFill="1" applyBorder="1" applyAlignment="1">
      <alignment horizontal="center" vertical="center"/>
    </xf>
    <xf numFmtId="3" fontId="6" fillId="0" borderId="0" xfId="0" applyNumberFormat="1" applyFont="1" applyAlignment="1">
      <alignment vertical="center"/>
    </xf>
    <xf numFmtId="0" fontId="5" fillId="0" borderId="9" xfId="0" applyFont="1" applyBorder="1" applyAlignment="1">
      <alignment horizontal="right"/>
    </xf>
    <xf numFmtId="3" fontId="5" fillId="0" borderId="0" xfId="0" applyNumberFormat="1" applyFont="1" applyBorder="1"/>
    <xf numFmtId="0" fontId="4" fillId="7" borderId="5" xfId="0" applyFont="1" applyFill="1" applyBorder="1" applyAlignment="1">
      <alignment horizontal="left"/>
    </xf>
    <xf numFmtId="0" fontId="4" fillId="7" borderId="0" xfId="0" applyFont="1" applyFill="1" applyBorder="1" applyAlignment="1">
      <alignment horizontal="left"/>
    </xf>
    <xf numFmtId="0" fontId="4" fillId="7" borderId="4" xfId="0" applyFont="1" applyFill="1" applyBorder="1" applyAlignment="1">
      <alignment horizontal="left" vertical="top"/>
    </xf>
    <xf numFmtId="188" fontId="4" fillId="7" borderId="6" xfId="0" applyNumberFormat="1" applyFont="1" applyFill="1" applyBorder="1" applyAlignment="1">
      <alignment horizontal="left"/>
    </xf>
    <xf numFmtId="188" fontId="4" fillId="7" borderId="8" xfId="0" applyNumberFormat="1" applyFont="1" applyFill="1" applyBorder="1" applyAlignment="1">
      <alignment horizontal="left"/>
    </xf>
    <xf numFmtId="0" fontId="6" fillId="7" borderId="0" xfId="0" applyFont="1" applyFill="1" applyBorder="1" applyAlignment="1">
      <alignment horizontal="left" vertical="center"/>
    </xf>
    <xf numFmtId="3" fontId="6" fillId="3" borderId="7" xfId="0" applyNumberFormat="1" applyFont="1" applyFill="1" applyBorder="1" applyAlignment="1">
      <alignment horizontal="right" vertical="center"/>
    </xf>
    <xf numFmtId="3" fontId="18" fillId="0" borderId="9" xfId="0" applyNumberFormat="1" applyFont="1" applyBorder="1" applyAlignment="1">
      <alignment horizontal="left" vertical="center"/>
    </xf>
    <xf numFmtId="0" fontId="4" fillId="7" borderId="0" xfId="0" applyNumberFormat="1" applyFont="1" applyFill="1" applyBorder="1" applyAlignment="1">
      <alignment horizontal="right"/>
    </xf>
    <xf numFmtId="0" fontId="4" fillId="3" borderId="0" xfId="0" applyNumberFormat="1" applyFont="1" applyFill="1" applyBorder="1" applyAlignment="1">
      <alignment horizontal="right"/>
    </xf>
    <xf numFmtId="0" fontId="3" fillId="0" borderId="0" xfId="12" applyFont="1"/>
    <xf numFmtId="0" fontId="59" fillId="0" borderId="0" xfId="12"/>
    <xf numFmtId="2" fontId="18" fillId="0" borderId="0" xfId="12" applyNumberFormat="1" applyFont="1"/>
    <xf numFmtId="0" fontId="18" fillId="0" borderId="0" xfId="12" applyFont="1"/>
    <xf numFmtId="0" fontId="59" fillId="0" borderId="0" xfId="13" applyFont="1"/>
    <xf numFmtId="0" fontId="18" fillId="0" borderId="0" xfId="12" applyFont="1" applyFill="1"/>
    <xf numFmtId="0" fontId="18" fillId="0" borderId="0" xfId="12" applyFont="1" applyAlignment="1"/>
    <xf numFmtId="0" fontId="5" fillId="0" borderId="0" xfId="12" applyFont="1" applyAlignment="1"/>
    <xf numFmtId="0" fontId="21" fillId="0" borderId="0" xfId="12" applyFont="1"/>
    <xf numFmtId="0" fontId="5" fillId="0" borderId="0" xfId="12" applyFont="1"/>
    <xf numFmtId="0" fontId="18" fillId="0" borderId="0" xfId="12" quotePrefix="1" applyFont="1" applyAlignment="1">
      <alignment horizontal="right"/>
    </xf>
    <xf numFmtId="0" fontId="18" fillId="0" borderId="0" xfId="5" applyFont="1"/>
    <xf numFmtId="0" fontId="59" fillId="0" borderId="0" xfId="12" applyAlignment="1"/>
    <xf numFmtId="0" fontId="18" fillId="0" borderId="0" xfId="5" applyFont="1" applyAlignment="1"/>
    <xf numFmtId="2" fontId="18" fillId="0" borderId="0" xfId="12" quotePrefix="1" applyNumberFormat="1" applyFont="1"/>
    <xf numFmtId="2" fontId="60" fillId="0" borderId="0" xfId="12" applyNumberFormat="1" applyFont="1"/>
    <xf numFmtId="0" fontId="60" fillId="0" borderId="0" xfId="12" applyFont="1"/>
    <xf numFmtId="0" fontId="60" fillId="0" borderId="0" xfId="12" applyFont="1" applyAlignment="1"/>
    <xf numFmtId="0" fontId="5" fillId="0" borderId="0" xfId="12" quotePrefix="1" applyFont="1" applyAlignment="1">
      <alignment horizontal="right"/>
    </xf>
    <xf numFmtId="0" fontId="2" fillId="0" borderId="0" xfId="0" applyNumberFormat="1" applyFont="1" applyAlignment="1">
      <alignment horizontal="center"/>
    </xf>
    <xf numFmtId="0" fontId="2" fillId="0" borderId="0" xfId="0" applyFont="1" applyFill="1" applyAlignment="1">
      <alignment horizontal="center"/>
    </xf>
    <xf numFmtId="0" fontId="2" fillId="0" borderId="0" xfId="0" applyFont="1" applyFill="1"/>
    <xf numFmtId="0" fontId="3" fillId="0" borderId="0" xfId="0" applyNumberFormat="1" applyFont="1" applyAlignment="1"/>
    <xf numFmtId="0" fontId="3" fillId="0" borderId="0" xfId="0" applyNumberFormat="1" applyFont="1" applyAlignment="1">
      <alignment horizontal="right"/>
    </xf>
    <xf numFmtId="0" fontId="2" fillId="0" borderId="4" xfId="0" applyNumberFormat="1" applyFont="1" applyBorder="1" applyAlignment="1">
      <alignment horizontal="center"/>
    </xf>
    <xf numFmtId="0" fontId="2" fillId="0" borderId="4" xfId="0" applyFont="1" applyBorder="1"/>
    <xf numFmtId="0" fontId="5" fillId="3" borderId="5" xfId="0" applyFont="1" applyFill="1" applyBorder="1" applyAlignment="1">
      <alignment horizontal="left"/>
    </xf>
    <xf numFmtId="0" fontId="5" fillId="7" borderId="5" xfId="0" applyFont="1" applyFill="1" applyBorder="1" applyAlignment="1">
      <alignment horizontal="center"/>
    </xf>
    <xf numFmtId="0" fontId="5" fillId="3" borderId="5" xfId="0" applyFont="1" applyFill="1" applyBorder="1" applyAlignment="1">
      <alignment horizontal="center"/>
    </xf>
    <xf numFmtId="3" fontId="5" fillId="3" borderId="5" xfId="0" applyNumberFormat="1" applyFont="1" applyFill="1" applyBorder="1" applyAlignment="1">
      <alignment horizontal="center"/>
    </xf>
    <xf numFmtId="3" fontId="5" fillId="7" borderId="5" xfId="0" applyNumberFormat="1" applyFont="1" applyFill="1" applyBorder="1" applyAlignment="1">
      <alignment horizontal="center"/>
    </xf>
    <xf numFmtId="0" fontId="5" fillId="3" borderId="0" xfId="0" applyFont="1" applyFill="1" applyBorder="1" applyAlignment="1">
      <alignment horizontal="center"/>
    </xf>
    <xf numFmtId="0" fontId="5" fillId="7" borderId="0" xfId="0" applyFont="1" applyFill="1"/>
    <xf numFmtId="0" fontId="5" fillId="3" borderId="0" xfId="0" applyFont="1" applyFill="1" applyBorder="1" applyAlignment="1">
      <alignment horizontal="left"/>
    </xf>
    <xf numFmtId="0" fontId="5" fillId="7" borderId="0" xfId="0" applyFont="1" applyFill="1" applyBorder="1" applyAlignment="1">
      <alignment horizontal="center"/>
    </xf>
    <xf numFmtId="3" fontId="5" fillId="3" borderId="0" xfId="0" applyNumberFormat="1" applyFont="1" applyFill="1" applyBorder="1" applyAlignment="1">
      <alignment horizontal="center"/>
    </xf>
    <xf numFmtId="3" fontId="5" fillId="7" borderId="0" xfId="0" applyNumberFormat="1" applyFont="1" applyFill="1" applyBorder="1" applyAlignment="1">
      <alignment horizontal="center"/>
    </xf>
    <xf numFmtId="0" fontId="5" fillId="3" borderId="0" xfId="0" applyFont="1" applyFill="1" applyAlignment="1">
      <alignment horizontal="center"/>
    </xf>
    <xf numFmtId="0" fontId="5" fillId="7" borderId="0" xfId="0" applyFont="1" applyFill="1" applyAlignment="1">
      <alignment horizontal="center"/>
    </xf>
    <xf numFmtId="0" fontId="5" fillId="3" borderId="4" xfId="0" applyFont="1" applyFill="1" applyBorder="1" applyAlignment="1">
      <alignment horizontal="center" vertical="center"/>
    </xf>
    <xf numFmtId="0" fontId="5" fillId="7" borderId="4" xfId="0" applyFont="1" applyFill="1" applyBorder="1" applyAlignment="1">
      <alignment horizontal="right" vertical="center"/>
    </xf>
    <xf numFmtId="0" fontId="5" fillId="3" borderId="4" xfId="0" applyFont="1" applyFill="1" applyBorder="1" applyAlignment="1">
      <alignment horizontal="right" vertical="center"/>
    </xf>
    <xf numFmtId="3" fontId="5" fillId="3" borderId="4" xfId="0" applyNumberFormat="1" applyFont="1" applyFill="1" applyBorder="1" applyAlignment="1">
      <alignment horizontal="right" vertical="center"/>
    </xf>
    <xf numFmtId="3" fontId="5" fillId="7" borderId="4" xfId="0" applyNumberFormat="1" applyFont="1" applyFill="1" applyBorder="1" applyAlignment="1">
      <alignment horizontal="right" vertical="center"/>
    </xf>
    <xf numFmtId="1" fontId="5" fillId="3" borderId="7" xfId="0" applyNumberFormat="1" applyFont="1" applyFill="1" applyBorder="1" applyAlignment="1">
      <alignment horizontal="center" vertical="center"/>
    </xf>
    <xf numFmtId="1" fontId="5" fillId="3" borderId="7" xfId="0" applyNumberFormat="1" applyFont="1" applyFill="1" applyBorder="1" applyAlignment="1">
      <alignment horizontal="left" vertical="center"/>
    </xf>
    <xf numFmtId="3" fontId="5" fillId="7" borderId="7" xfId="0" applyNumberFormat="1" applyFont="1" applyFill="1" applyBorder="1" applyAlignment="1">
      <alignment vertical="center"/>
    </xf>
    <xf numFmtId="3" fontId="5" fillId="3" borderId="7" xfId="0" applyNumberFormat="1" applyFont="1" applyFill="1" applyBorder="1" applyAlignment="1">
      <alignment horizontal="right" vertical="center"/>
    </xf>
    <xf numFmtId="3" fontId="5" fillId="7" borderId="7" xfId="0" applyNumberFormat="1" applyFont="1" applyFill="1" applyBorder="1" applyAlignment="1">
      <alignment horizontal="right" vertical="center"/>
    </xf>
    <xf numFmtId="3" fontId="5" fillId="7" borderId="8" xfId="0" applyNumberFormat="1" applyFont="1" applyFill="1" applyBorder="1" applyAlignment="1">
      <alignment horizontal="right" vertical="center"/>
    </xf>
    <xf numFmtId="3" fontId="5" fillId="3" borderId="8" xfId="0" applyNumberFormat="1" applyFont="1" applyFill="1" applyBorder="1" applyAlignment="1">
      <alignment horizontal="right" vertical="center"/>
    </xf>
    <xf numFmtId="3" fontId="5" fillId="7" borderId="10" xfId="0" applyNumberFormat="1" applyFont="1" applyFill="1" applyBorder="1" applyAlignment="1">
      <alignment horizontal="right" vertical="center"/>
    </xf>
    <xf numFmtId="3" fontId="5" fillId="3" borderId="10" xfId="0" applyNumberFormat="1" applyFont="1" applyFill="1" applyBorder="1" applyAlignment="1">
      <alignment horizontal="right" vertical="center"/>
    </xf>
    <xf numFmtId="1" fontId="35" fillId="3" borderId="13" xfId="0" applyNumberFormat="1" applyFont="1" applyFill="1" applyBorder="1" applyAlignment="1">
      <alignment horizontal="left" vertical="center"/>
    </xf>
    <xf numFmtId="1" fontId="9" fillId="3" borderId="13" xfId="0" applyNumberFormat="1" applyFont="1" applyFill="1" applyBorder="1" applyAlignment="1">
      <alignment horizontal="left" vertical="center"/>
    </xf>
    <xf numFmtId="3" fontId="9" fillId="7" borderId="13" xfId="0" applyNumberFormat="1" applyFont="1" applyFill="1" applyBorder="1" applyAlignment="1">
      <alignment vertical="center"/>
    </xf>
    <xf numFmtId="3" fontId="9" fillId="3" borderId="13" xfId="0" applyNumberFormat="1" applyFont="1" applyFill="1" applyBorder="1" applyAlignment="1">
      <alignment horizontal="right" vertical="center"/>
    </xf>
    <xf numFmtId="3" fontId="9" fillId="7" borderId="13" xfId="0" applyNumberFormat="1" applyFont="1" applyFill="1" applyBorder="1" applyAlignment="1">
      <alignment horizontal="right" vertical="center"/>
    </xf>
    <xf numFmtId="3" fontId="9" fillId="3" borderId="13" xfId="0" quotePrefix="1" applyNumberFormat="1" applyFont="1" applyFill="1" applyBorder="1" applyAlignment="1">
      <alignment horizontal="right" vertical="center"/>
    </xf>
    <xf numFmtId="1" fontId="5" fillId="0" borderId="0" xfId="0" applyNumberFormat="1" applyFont="1" applyAlignment="1">
      <alignment horizontal="left"/>
    </xf>
    <xf numFmtId="189" fontId="5" fillId="0" borderId="8" xfId="0" applyNumberFormat="1" applyFont="1" applyFill="1" applyBorder="1" applyAlignment="1">
      <alignment horizontal="right"/>
    </xf>
    <xf numFmtId="190" fontId="5" fillId="0" borderId="8" xfId="0" applyNumberFormat="1" applyFont="1" applyFill="1" applyBorder="1" applyAlignment="1">
      <alignment horizontal="right"/>
    </xf>
    <xf numFmtId="3" fontId="5" fillId="0" borderId="8" xfId="0" applyNumberFormat="1" applyFont="1" applyFill="1" applyBorder="1" applyAlignment="1">
      <alignment horizontal="left"/>
    </xf>
    <xf numFmtId="190" fontId="5" fillId="0" borderId="8" xfId="0" applyNumberFormat="1" applyFont="1" applyFill="1" applyBorder="1" applyAlignment="1"/>
    <xf numFmtId="3" fontId="5" fillId="0" borderId="8" xfId="0" applyNumberFormat="1" applyFont="1" applyFill="1" applyBorder="1" applyAlignment="1">
      <alignment horizontal="right"/>
    </xf>
    <xf numFmtId="189" fontId="5" fillId="0" borderId="0" xfId="0" applyNumberFormat="1" applyFont="1" applyFill="1" applyBorder="1" applyAlignment="1">
      <alignment horizontal="right"/>
    </xf>
    <xf numFmtId="190" fontId="5" fillId="0" borderId="0" xfId="0" applyNumberFormat="1" applyFont="1" applyFill="1" applyBorder="1" applyAlignment="1">
      <alignment horizontal="right"/>
    </xf>
    <xf numFmtId="3" fontId="5" fillId="0" borderId="0" xfId="0" applyNumberFormat="1" applyFont="1" applyFill="1" applyBorder="1" applyAlignment="1">
      <alignment horizontal="left"/>
    </xf>
    <xf numFmtId="190" fontId="5" fillId="0" borderId="0" xfId="0" applyNumberFormat="1" applyFont="1" applyFill="1" applyBorder="1" applyAlignment="1"/>
    <xf numFmtId="0" fontId="5" fillId="0" borderId="0" xfId="0" applyFont="1" applyAlignment="1">
      <alignment horizontal="left"/>
    </xf>
    <xf numFmtId="0" fontId="0" fillId="0" borderId="0" xfId="0" applyAlignment="1"/>
    <xf numFmtId="0" fontId="5" fillId="0" borderId="0" xfId="0" applyNumberFormat="1" applyFont="1" applyAlignment="1">
      <alignment horizontal="center"/>
    </xf>
    <xf numFmtId="0" fontId="2" fillId="0" borderId="0" xfId="0" applyNumberFormat="1" applyFont="1" applyFill="1"/>
    <xf numFmtId="0" fontId="3" fillId="0" borderId="0" xfId="0" applyFont="1" applyFill="1"/>
    <xf numFmtId="0" fontId="5" fillId="3" borderId="5" xfId="0" applyNumberFormat="1" applyFont="1" applyFill="1" applyBorder="1" applyAlignment="1">
      <alignment horizontal="left"/>
    </xf>
    <xf numFmtId="0" fontId="5" fillId="3" borderId="0" xfId="0" applyNumberFormat="1" applyFont="1" applyFill="1" applyBorder="1" applyAlignment="1">
      <alignment horizontal="left"/>
    </xf>
    <xf numFmtId="0" fontId="5" fillId="3" borderId="0" xfId="0" applyNumberFormat="1" applyFont="1" applyFill="1" applyBorder="1" applyAlignment="1">
      <alignment horizontal="center"/>
    </xf>
    <xf numFmtId="0" fontId="5" fillId="3" borderId="4" xfId="0" applyFont="1" applyFill="1" applyBorder="1" applyAlignment="1">
      <alignment horizontal="left"/>
    </xf>
    <xf numFmtId="0" fontId="5" fillId="3" borderId="4" xfId="0" applyFont="1" applyFill="1" applyBorder="1" applyAlignment="1">
      <alignment horizontal="center"/>
    </xf>
    <xf numFmtId="0" fontId="5" fillId="7" borderId="4" xfId="0" applyFont="1" applyFill="1" applyBorder="1" applyAlignment="1">
      <alignment horizontal="center" vertical="top"/>
    </xf>
    <xf numFmtId="0" fontId="5" fillId="3" borderId="4" xfId="0" applyFont="1" applyFill="1" applyBorder="1" applyAlignment="1">
      <alignment horizontal="center" vertical="top"/>
    </xf>
    <xf numFmtId="3" fontId="5" fillId="7" borderId="4" xfId="0" applyNumberFormat="1" applyFont="1" applyFill="1" applyBorder="1" applyAlignment="1">
      <alignment horizontal="center" vertical="top"/>
    </xf>
    <xf numFmtId="3" fontId="5" fillId="3" borderId="4" xfId="0" applyNumberFormat="1" applyFont="1" applyFill="1" applyBorder="1" applyAlignment="1">
      <alignment horizontal="center" vertical="top"/>
    </xf>
    <xf numFmtId="0" fontId="5" fillId="3" borderId="4" xfId="0" applyNumberFormat="1" applyFont="1" applyFill="1" applyBorder="1" applyAlignment="1">
      <alignment horizontal="center" vertical="top"/>
    </xf>
    <xf numFmtId="14" fontId="5" fillId="7" borderId="7" xfId="0" quotePrefix="1" applyNumberFormat="1" applyFont="1" applyFill="1" applyBorder="1" applyAlignment="1">
      <alignment horizontal="center" vertical="center"/>
    </xf>
    <xf numFmtId="189" fontId="5" fillId="3" borderId="7" xfId="0" applyNumberFormat="1" applyFont="1" applyFill="1" applyBorder="1" applyAlignment="1">
      <alignment horizontal="center" vertical="center" wrapText="1"/>
    </xf>
    <xf numFmtId="189" fontId="5" fillId="7" borderId="7" xfId="0" applyNumberFormat="1" applyFont="1" applyFill="1" applyBorder="1" applyAlignment="1">
      <alignment horizontal="center" vertical="center" wrapText="1"/>
    </xf>
    <xf numFmtId="1" fontId="5" fillId="3" borderId="7" xfId="0" applyNumberFormat="1" applyFont="1" applyFill="1" applyBorder="1" applyAlignment="1">
      <alignment vertical="center" wrapText="1"/>
    </xf>
    <xf numFmtId="0" fontId="5" fillId="3" borderId="7" xfId="0" applyNumberFormat="1" applyFont="1" applyFill="1" applyBorder="1" applyAlignment="1">
      <alignment horizontal="center" vertical="center" wrapText="1"/>
    </xf>
    <xf numFmtId="189" fontId="5" fillId="3" borderId="7" xfId="0" applyNumberFormat="1" applyFont="1" applyFill="1" applyBorder="1" applyAlignment="1">
      <alignment horizontal="left" vertical="center" wrapText="1"/>
    </xf>
    <xf numFmtId="1" fontId="5" fillId="3" borderId="7" xfId="0" applyNumberFormat="1" applyFont="1" applyFill="1" applyBorder="1" applyAlignment="1">
      <alignment horizontal="left" vertical="center" wrapText="1"/>
    </xf>
    <xf numFmtId="189" fontId="5" fillId="3" borderId="7" xfId="0" applyNumberFormat="1" applyFont="1" applyFill="1" applyBorder="1" applyAlignment="1">
      <alignment vertical="center" wrapText="1"/>
    </xf>
    <xf numFmtId="189" fontId="18" fillId="7" borderId="7" xfId="0" applyNumberFormat="1" applyFont="1" applyFill="1" applyBorder="1" applyAlignment="1">
      <alignment horizontal="center" vertical="center" wrapText="1"/>
    </xf>
    <xf numFmtId="0" fontId="9" fillId="0" borderId="0" xfId="0" applyNumberFormat="1" applyFont="1" applyAlignment="1">
      <alignment horizontal="center"/>
    </xf>
    <xf numFmtId="189" fontId="31" fillId="7" borderId="7" xfId="0" applyNumberFormat="1" applyFont="1" applyFill="1" applyBorder="1" applyAlignment="1">
      <alignment horizontal="center" vertical="center" wrapText="1"/>
    </xf>
    <xf numFmtId="14" fontId="5" fillId="7" borderId="7" xfId="0" applyNumberFormat="1" applyFont="1" applyFill="1" applyBorder="1" applyAlignment="1">
      <alignment horizontal="center" vertical="center"/>
    </xf>
    <xf numFmtId="0" fontId="9" fillId="3" borderId="13" xfId="0" applyNumberFormat="1" applyFont="1" applyFill="1" applyBorder="1" applyAlignment="1">
      <alignment horizontal="center" vertical="center"/>
    </xf>
    <xf numFmtId="0" fontId="9" fillId="3" borderId="13" xfId="0" applyNumberFormat="1" applyFont="1" applyFill="1" applyBorder="1" applyAlignment="1">
      <alignment horizontal="left" vertical="center"/>
    </xf>
    <xf numFmtId="0" fontId="9" fillId="7" borderId="13" xfId="0" applyNumberFormat="1" applyFont="1" applyFill="1" applyBorder="1" applyAlignment="1">
      <alignment horizontal="center" vertical="center"/>
    </xf>
    <xf numFmtId="0" fontId="9" fillId="7" borderId="13" xfId="0" quotePrefix="1" applyNumberFormat="1" applyFont="1" applyFill="1" applyBorder="1" applyAlignment="1">
      <alignment horizontal="center" vertical="center"/>
    </xf>
    <xf numFmtId="1" fontId="5" fillId="0" borderId="0" xfId="0" applyNumberFormat="1" applyFont="1" applyFill="1" applyAlignment="1">
      <alignment horizontal="left"/>
    </xf>
    <xf numFmtId="0" fontId="5" fillId="0" borderId="0" xfId="0" applyFont="1" applyFill="1" applyAlignment="1">
      <alignment horizontal="left"/>
    </xf>
    <xf numFmtId="0" fontId="3" fillId="0" borderId="0" xfId="0" applyFont="1" applyFill="1" applyAlignment="1">
      <alignment vertical="top"/>
    </xf>
    <xf numFmtId="0" fontId="2" fillId="0" borderId="3" xfId="0" applyFont="1" applyBorder="1"/>
    <xf numFmtId="0" fontId="2" fillId="0" borderId="3" xfId="0" applyFont="1" applyBorder="1" applyAlignment="1">
      <alignment horizontal="center"/>
    </xf>
    <xf numFmtId="3" fontId="2" fillId="0" borderId="3" xfId="0" applyNumberFormat="1" applyFont="1" applyBorder="1"/>
    <xf numFmtId="3" fontId="5" fillId="7" borderId="46" xfId="0" applyNumberFormat="1" applyFont="1" applyFill="1" applyBorder="1" applyAlignment="1">
      <alignment horizontal="center" vertical="center"/>
    </xf>
    <xf numFmtId="189" fontId="5" fillId="3" borderId="46" xfId="0" applyNumberFormat="1" applyFont="1" applyFill="1" applyBorder="1" applyAlignment="1">
      <alignment horizontal="right" vertical="center"/>
    </xf>
    <xf numFmtId="189" fontId="5" fillId="7" borderId="46" xfId="0" applyNumberFormat="1" applyFont="1" applyFill="1" applyBorder="1" applyAlignment="1">
      <alignment horizontal="right" vertical="center"/>
    </xf>
    <xf numFmtId="189" fontId="5" fillId="7" borderId="46" xfId="0" applyNumberFormat="1" applyFont="1" applyFill="1" applyBorder="1" applyAlignment="1">
      <alignment vertical="center"/>
    </xf>
    <xf numFmtId="1" fontId="5" fillId="12" borderId="46" xfId="0" applyNumberFormat="1" applyFont="1" applyFill="1" applyBorder="1" applyAlignment="1">
      <alignment horizontal="center" vertical="center"/>
    </xf>
    <xf numFmtId="3" fontId="5" fillId="12" borderId="46" xfId="0" applyNumberFormat="1" applyFont="1" applyFill="1" applyBorder="1" applyAlignment="1">
      <alignment horizontal="left" vertical="center"/>
    </xf>
    <xf numFmtId="3" fontId="5" fillId="7" borderId="44" xfId="0" applyNumberFormat="1" applyFont="1" applyFill="1" applyBorder="1" applyAlignment="1">
      <alignment horizontal="center" vertical="center"/>
    </xf>
    <xf numFmtId="189" fontId="5" fillId="3" borderId="44" xfId="0" applyNumberFormat="1" applyFont="1" applyFill="1" applyBorder="1" applyAlignment="1">
      <alignment horizontal="right" vertical="center"/>
    </xf>
    <xf numFmtId="189" fontId="5" fillId="7" borderId="44" xfId="0" applyNumberFormat="1" applyFont="1" applyFill="1" applyBorder="1" applyAlignment="1">
      <alignment horizontal="right" vertical="center"/>
    </xf>
    <xf numFmtId="189" fontId="5" fillId="7" borderId="44" xfId="0" applyNumberFormat="1" applyFont="1" applyFill="1" applyBorder="1" applyAlignment="1">
      <alignment vertical="center"/>
    </xf>
    <xf numFmtId="3" fontId="5" fillId="7" borderId="7" xfId="0" applyNumberFormat="1" applyFont="1" applyFill="1" applyBorder="1" applyAlignment="1">
      <alignment horizontal="center" vertical="center"/>
    </xf>
    <xf numFmtId="189" fontId="5" fillId="3" borderId="7" xfId="0" applyNumberFormat="1" applyFont="1" applyFill="1" applyBorder="1" applyAlignment="1">
      <alignment horizontal="right" vertical="center"/>
    </xf>
    <xf numFmtId="189" fontId="5" fillId="7" borderId="7" xfId="0" applyNumberFormat="1" applyFont="1" applyFill="1" applyBorder="1" applyAlignment="1">
      <alignment horizontal="right" vertical="center"/>
    </xf>
    <xf numFmtId="189" fontId="5" fillId="7" borderId="7" xfId="0" applyNumberFormat="1" applyFont="1" applyFill="1" applyBorder="1" applyAlignment="1">
      <alignment vertical="center"/>
    </xf>
    <xf numFmtId="1" fontId="5" fillId="12" borderId="5" xfId="0" applyNumberFormat="1" applyFont="1" applyFill="1" applyBorder="1" applyAlignment="1">
      <alignment horizontal="center" vertical="center"/>
    </xf>
    <xf numFmtId="3" fontId="5" fillId="12" borderId="5" xfId="0" applyNumberFormat="1" applyFont="1" applyFill="1" applyBorder="1" applyAlignment="1">
      <alignment horizontal="left" vertical="center"/>
    </xf>
    <xf numFmtId="3" fontId="5" fillId="7" borderId="0" xfId="0" applyNumberFormat="1" applyFont="1" applyFill="1" applyBorder="1" applyAlignment="1">
      <alignment horizontal="center" vertical="center"/>
    </xf>
    <xf numFmtId="189" fontId="5" fillId="3" borderId="0" xfId="0" applyNumberFormat="1" applyFont="1" applyFill="1" applyBorder="1" applyAlignment="1">
      <alignment horizontal="right" vertical="center"/>
    </xf>
    <xf numFmtId="189" fontId="5" fillId="7" borderId="0" xfId="0" applyNumberFormat="1" applyFont="1" applyFill="1" applyBorder="1" applyAlignment="1">
      <alignment horizontal="right" vertical="center"/>
    </xf>
    <xf numFmtId="189" fontId="5" fillId="7" borderId="0" xfId="0" applyNumberFormat="1" applyFont="1" applyFill="1" applyBorder="1" applyAlignment="1">
      <alignment vertical="center"/>
    </xf>
    <xf numFmtId="1" fontId="5" fillId="12" borderId="44" xfId="0" applyNumberFormat="1" applyFont="1" applyFill="1" applyBorder="1" applyAlignment="1">
      <alignment horizontal="center" vertical="center"/>
    </xf>
    <xf numFmtId="3" fontId="5" fillId="12" borderId="44" xfId="0" applyNumberFormat="1" applyFont="1" applyFill="1" applyBorder="1" applyAlignment="1">
      <alignment horizontal="left" vertical="center"/>
    </xf>
    <xf numFmtId="3" fontId="5" fillId="7" borderId="45" xfId="0" applyNumberFormat="1" applyFont="1" applyFill="1" applyBorder="1" applyAlignment="1">
      <alignment horizontal="center" vertical="center"/>
    </xf>
    <xf numFmtId="189" fontId="5" fillId="3" borderId="45" xfId="0" applyNumberFormat="1" applyFont="1" applyFill="1" applyBorder="1" applyAlignment="1">
      <alignment horizontal="right" vertical="center"/>
    </xf>
    <xf numFmtId="189" fontId="5" fillId="7" borderId="45" xfId="0" applyNumberFormat="1" applyFont="1" applyFill="1" applyBorder="1" applyAlignment="1">
      <alignment horizontal="right" vertical="center"/>
    </xf>
    <xf numFmtId="189" fontId="5" fillId="7" borderId="45" xfId="0" applyNumberFormat="1" applyFont="1" applyFill="1" applyBorder="1" applyAlignment="1">
      <alignment vertical="center"/>
    </xf>
    <xf numFmtId="1" fontId="5" fillId="12" borderId="47" xfId="0" applyNumberFormat="1" applyFont="1" applyFill="1" applyBorder="1" applyAlignment="1">
      <alignment horizontal="center" vertical="center"/>
    </xf>
    <xf numFmtId="3" fontId="5" fillId="12" borderId="47" xfId="0" applyNumberFormat="1" applyFont="1" applyFill="1" applyBorder="1" applyAlignment="1">
      <alignment horizontal="left" vertical="center"/>
    </xf>
    <xf numFmtId="1" fontId="9" fillId="3" borderId="13" xfId="0" applyNumberFormat="1" applyFont="1" applyFill="1" applyBorder="1" applyAlignment="1">
      <alignment horizontal="right" vertical="center"/>
    </xf>
    <xf numFmtId="0" fontId="9" fillId="3" borderId="13" xfId="0" applyFont="1" applyFill="1" applyBorder="1" applyAlignment="1">
      <alignment horizontal="left" vertical="center"/>
    </xf>
    <xf numFmtId="3" fontId="9" fillId="7" borderId="13" xfId="0" applyNumberFormat="1" applyFont="1" applyFill="1" applyBorder="1" applyAlignment="1">
      <alignment horizontal="center" vertical="center"/>
    </xf>
    <xf numFmtId="189" fontId="9" fillId="3" borderId="13" xfId="0" applyNumberFormat="1" applyFont="1" applyFill="1" applyBorder="1" applyAlignment="1">
      <alignment horizontal="right" vertical="center"/>
    </xf>
    <xf numFmtId="189" fontId="9" fillId="7" borderId="13" xfId="0" applyNumberFormat="1" applyFont="1" applyFill="1" applyBorder="1" applyAlignment="1">
      <alignment horizontal="right" vertical="center"/>
    </xf>
    <xf numFmtId="189" fontId="9" fillId="7" borderId="13" xfId="0" applyNumberFormat="1" applyFont="1" applyFill="1" applyBorder="1" applyAlignment="1">
      <alignment vertical="center"/>
    </xf>
    <xf numFmtId="3" fontId="5" fillId="0" borderId="8" xfId="0" applyNumberFormat="1" applyFont="1" applyFill="1" applyBorder="1" applyAlignment="1">
      <alignment horizontal="center"/>
    </xf>
    <xf numFmtId="0" fontId="62" fillId="0" borderId="0" xfId="0" applyFont="1" applyAlignment="1">
      <alignment horizontal="left"/>
    </xf>
    <xf numFmtId="0" fontId="62" fillId="0" borderId="0" xfId="0" applyFont="1" applyAlignment="1">
      <alignment horizontal="center"/>
    </xf>
    <xf numFmtId="0" fontId="0" fillId="0" borderId="0" xfId="0" applyAlignment="1">
      <alignment vertical="top"/>
    </xf>
    <xf numFmtId="0" fontId="20" fillId="0" borderId="0" xfId="0" applyFont="1" applyAlignment="1">
      <alignment vertical="top"/>
    </xf>
    <xf numFmtId="0" fontId="63" fillId="0" borderId="0" xfId="0" applyFont="1" applyAlignment="1"/>
    <xf numFmtId="0" fontId="64" fillId="0" borderId="0" xfId="0" applyFont="1" applyAlignment="1"/>
    <xf numFmtId="0" fontId="56" fillId="0" borderId="0" xfId="0" applyFont="1" applyFill="1" applyAlignment="1">
      <alignment horizontal="left"/>
    </xf>
    <xf numFmtId="0" fontId="56" fillId="0" borderId="0" xfId="0" applyFont="1" applyAlignment="1"/>
    <xf numFmtId="0" fontId="5" fillId="0" borderId="17" xfId="0" applyFont="1" applyBorder="1" applyAlignment="1">
      <alignment horizontal="center" vertical="top" wrapText="1"/>
    </xf>
    <xf numFmtId="0" fontId="56" fillId="0" borderId="18" xfId="0" applyFont="1" applyBorder="1" applyAlignment="1">
      <alignment horizontal="justify" vertical="top" wrapText="1"/>
    </xf>
    <xf numFmtId="0" fontId="56" fillId="0" borderId="17" xfId="0" applyFont="1" applyBorder="1" applyAlignment="1">
      <alignment horizontal="justify" vertical="top" wrapText="1"/>
    </xf>
    <xf numFmtId="0" fontId="65" fillId="0" borderId="19" xfId="0" applyFont="1" applyBorder="1" applyAlignment="1">
      <alignment horizontal="center" vertical="top" wrapText="1"/>
    </xf>
    <xf numFmtId="9" fontId="65" fillId="0" borderId="20" xfId="0" applyNumberFormat="1" applyFont="1" applyBorder="1" applyAlignment="1">
      <alignment horizontal="justify" vertical="top" wrapText="1"/>
    </xf>
    <xf numFmtId="0" fontId="5" fillId="0" borderId="17" xfId="0" applyFont="1" applyBorder="1" applyAlignment="1">
      <alignment horizontal="right" vertical="top" wrapText="1"/>
    </xf>
    <xf numFmtId="0" fontId="23" fillId="0" borderId="17" xfId="0" applyFont="1" applyBorder="1" applyAlignment="1">
      <alignment horizontal="center" vertical="top" wrapText="1"/>
    </xf>
    <xf numFmtId="0" fontId="23" fillId="0" borderId="17" xfId="0" applyFont="1" applyBorder="1" applyAlignment="1">
      <alignment horizontal="right" vertical="top" wrapText="1"/>
    </xf>
    <xf numFmtId="9" fontId="23" fillId="0" borderId="17" xfId="0" applyNumberFormat="1" applyFont="1" applyBorder="1" applyAlignment="1">
      <alignment horizontal="right" vertical="top" wrapText="1"/>
    </xf>
    <xf numFmtId="0" fontId="23" fillId="0" borderId="17" xfId="0" applyFont="1" applyFill="1" applyBorder="1" applyAlignment="1">
      <alignment horizontal="center" vertical="top" wrapText="1"/>
    </xf>
    <xf numFmtId="0" fontId="23" fillId="0" borderId="17" xfId="0" applyFont="1" applyFill="1" applyBorder="1" applyAlignment="1">
      <alignment horizontal="right" vertical="top" wrapText="1"/>
    </xf>
    <xf numFmtId="9" fontId="23" fillId="0" borderId="17" xfId="0" applyNumberFormat="1" applyFont="1" applyFill="1" applyBorder="1" applyAlignment="1">
      <alignment horizontal="right" vertical="top" wrapText="1"/>
    </xf>
    <xf numFmtId="0" fontId="9" fillId="0" borderId="17" xfId="0" applyFont="1" applyFill="1" applyBorder="1" applyAlignment="1">
      <alignment horizontal="center" vertical="top" wrapText="1"/>
    </xf>
    <xf numFmtId="0" fontId="9" fillId="0" borderId="17" xfId="0" applyFont="1" applyFill="1" applyBorder="1" applyAlignment="1">
      <alignment horizontal="right" vertical="top" wrapText="1"/>
    </xf>
    <xf numFmtId="9" fontId="9" fillId="0" borderId="17" xfId="0" applyNumberFormat="1" applyFont="1" applyFill="1" applyBorder="1" applyAlignment="1">
      <alignment horizontal="right" vertical="top" wrapText="1"/>
    </xf>
    <xf numFmtId="0" fontId="56" fillId="0" borderId="0" xfId="0" applyFont="1"/>
    <xf numFmtId="0" fontId="64" fillId="0" borderId="0" xfId="0" applyFont="1"/>
    <xf numFmtId="0" fontId="56" fillId="0" borderId="0" xfId="0" applyNumberFormat="1" applyFont="1" applyAlignment="1"/>
    <xf numFmtId="0" fontId="5" fillId="0" borderId="0" xfId="0" applyFont="1" applyAlignment="1"/>
    <xf numFmtId="1" fontId="66" fillId="0" borderId="0" xfId="0" applyNumberFormat="1" applyFont="1" applyFill="1" applyBorder="1" applyAlignment="1"/>
    <xf numFmtId="0" fontId="9" fillId="0" borderId="0" xfId="0" applyFont="1" applyFill="1" applyBorder="1" applyAlignment="1">
      <alignment horizontal="center"/>
    </xf>
    <xf numFmtId="0" fontId="18" fillId="0" borderId="0" xfId="0" applyFont="1" applyFill="1" applyBorder="1"/>
    <xf numFmtId="0" fontId="9" fillId="0" borderId="0" xfId="0" quotePrefix="1" applyFont="1" applyFill="1" applyBorder="1" applyAlignment="1">
      <alignment horizontal="center"/>
    </xf>
    <xf numFmtId="0" fontId="18" fillId="0" borderId="0" xfId="0" quotePrefix="1" applyFont="1" applyFill="1" applyBorder="1"/>
    <xf numFmtId="16" fontId="9" fillId="0" borderId="0" xfId="0" quotePrefix="1" applyNumberFormat="1" applyFont="1" applyFill="1" applyBorder="1" applyAlignment="1">
      <alignment horizontal="center"/>
    </xf>
    <xf numFmtId="0" fontId="9" fillId="0" borderId="0" xfId="0" applyFont="1" applyBorder="1" applyAlignment="1">
      <alignment horizontal="center"/>
    </xf>
    <xf numFmtId="0" fontId="18" fillId="0" borderId="0" xfId="0" applyFont="1" applyBorder="1"/>
    <xf numFmtId="18" fontId="9" fillId="0" borderId="0" xfId="0" quotePrefix="1" applyNumberFormat="1" applyFont="1" applyFill="1" applyBorder="1" applyAlignment="1">
      <alignment horizontal="center"/>
    </xf>
    <xf numFmtId="1" fontId="5" fillId="0" borderId="0" xfId="0" applyNumberFormat="1" applyFont="1" applyBorder="1" applyAlignment="1">
      <alignment horizontal="left"/>
    </xf>
    <xf numFmtId="0" fontId="5" fillId="0" borderId="0" xfId="0" applyFont="1" applyBorder="1" applyAlignment="1">
      <alignment horizontal="left"/>
    </xf>
    <xf numFmtId="0" fontId="5" fillId="13" borderId="5" xfId="0" applyFont="1" applyFill="1" applyBorder="1" applyAlignment="1">
      <alignment horizontal="left"/>
    </xf>
    <xf numFmtId="0" fontId="5" fillId="12" borderId="5" xfId="0" applyFont="1" applyFill="1" applyBorder="1" applyAlignment="1">
      <alignment horizontal="center"/>
    </xf>
    <xf numFmtId="0" fontId="5" fillId="13" borderId="5" xfId="0" applyFont="1" applyFill="1" applyBorder="1" applyAlignment="1">
      <alignment horizontal="center"/>
    </xf>
    <xf numFmtId="3" fontId="5" fillId="13" borderId="5" xfId="0" applyNumberFormat="1" applyFont="1" applyFill="1" applyBorder="1" applyAlignment="1">
      <alignment horizontal="center"/>
    </xf>
    <xf numFmtId="3" fontId="5" fillId="12" borderId="5" xfId="0" applyNumberFormat="1" applyFont="1" applyFill="1" applyBorder="1" applyAlignment="1">
      <alignment horizontal="center"/>
    </xf>
    <xf numFmtId="0" fontId="5" fillId="13" borderId="0" xfId="0" applyFont="1" applyFill="1" applyBorder="1" applyAlignment="1">
      <alignment horizontal="center"/>
    </xf>
    <xf numFmtId="0" fontId="5" fillId="13" borderId="0" xfId="0" applyFont="1" applyFill="1" applyAlignment="1">
      <alignment horizontal="center"/>
    </xf>
    <xf numFmtId="0" fontId="5" fillId="12" borderId="0" xfId="0" applyFont="1" applyFill="1" applyAlignment="1">
      <alignment horizontal="center"/>
    </xf>
    <xf numFmtId="0" fontId="5" fillId="13" borderId="0" xfId="0" applyFont="1" applyFill="1" applyBorder="1" applyAlignment="1">
      <alignment horizontal="left"/>
    </xf>
    <xf numFmtId="0" fontId="5" fillId="12" borderId="0" xfId="0" applyFont="1" applyFill="1" applyBorder="1" applyAlignment="1">
      <alignment horizontal="center"/>
    </xf>
    <xf numFmtId="3" fontId="5" fillId="13" borderId="0" xfId="0" applyNumberFormat="1" applyFont="1" applyFill="1" applyBorder="1" applyAlignment="1">
      <alignment horizontal="center"/>
    </xf>
    <xf numFmtId="3" fontId="5" fillId="12" borderId="0" xfId="0" applyNumberFormat="1" applyFont="1" applyFill="1" applyBorder="1" applyAlignment="1">
      <alignment horizontal="center"/>
    </xf>
    <xf numFmtId="0" fontId="18" fillId="12" borderId="0" xfId="0" applyFont="1" applyFill="1" applyBorder="1" applyAlignment="1">
      <alignment horizontal="center"/>
    </xf>
    <xf numFmtId="0" fontId="5" fillId="12" borderId="0" xfId="0" applyFont="1" applyFill="1" applyBorder="1" applyAlignment="1">
      <alignment horizontal="right"/>
    </xf>
    <xf numFmtId="0" fontId="5" fillId="13" borderId="4" xfId="0" applyFont="1" applyFill="1" applyBorder="1" applyAlignment="1">
      <alignment horizontal="center" vertical="center"/>
    </xf>
    <xf numFmtId="0" fontId="5" fillId="12" borderId="4" xfId="0" applyFont="1" applyFill="1" applyBorder="1" applyAlignment="1">
      <alignment horizontal="center" vertical="center"/>
    </xf>
    <xf numFmtId="3" fontId="5" fillId="13" borderId="4" xfId="0" applyNumberFormat="1" applyFont="1" applyFill="1" applyBorder="1" applyAlignment="1">
      <alignment horizontal="center" vertical="center"/>
    </xf>
    <xf numFmtId="3" fontId="5" fillId="12" borderId="4" xfId="0" applyNumberFormat="1" applyFont="1" applyFill="1" applyBorder="1" applyAlignment="1">
      <alignment horizontal="center" vertical="center"/>
    </xf>
    <xf numFmtId="1" fontId="5" fillId="13" borderId="7" xfId="0" applyNumberFormat="1" applyFont="1" applyFill="1" applyBorder="1" applyAlignment="1">
      <alignment horizontal="center" vertical="center"/>
    </xf>
    <xf numFmtId="1" fontId="5" fillId="13" borderId="7" xfId="0" applyNumberFormat="1" applyFont="1" applyFill="1" applyBorder="1" applyAlignment="1">
      <alignment horizontal="left" vertical="center"/>
    </xf>
    <xf numFmtId="3" fontId="5" fillId="12" borderId="7" xfId="0" applyNumberFormat="1" applyFont="1" applyFill="1" applyBorder="1" applyAlignment="1">
      <alignment vertical="center"/>
    </xf>
    <xf numFmtId="3" fontId="5" fillId="13" borderId="7" xfId="0" applyNumberFormat="1" applyFont="1" applyFill="1" applyBorder="1" applyAlignment="1">
      <alignment horizontal="right" vertical="center"/>
    </xf>
    <xf numFmtId="3" fontId="5" fillId="12" borderId="7" xfId="0" applyNumberFormat="1" applyFont="1" applyFill="1" applyBorder="1" applyAlignment="1">
      <alignment horizontal="right" vertical="center"/>
    </xf>
    <xf numFmtId="190" fontId="5" fillId="12" borderId="7" xfId="0" applyNumberFormat="1" applyFont="1" applyFill="1" applyBorder="1" applyAlignment="1">
      <alignment horizontal="right" vertical="center"/>
    </xf>
    <xf numFmtId="190" fontId="5" fillId="13" borderId="7" xfId="0" applyNumberFormat="1" applyFont="1" applyFill="1" applyBorder="1" applyAlignment="1">
      <alignment horizontal="right" vertical="center"/>
    </xf>
    <xf numFmtId="189" fontId="5" fillId="12" borderId="7" xfId="0" applyNumberFormat="1" applyFont="1" applyFill="1" applyBorder="1" applyAlignment="1">
      <alignment horizontal="right" vertical="center"/>
    </xf>
    <xf numFmtId="189" fontId="5" fillId="13" borderId="7" xfId="0" applyNumberFormat="1" applyFont="1" applyFill="1" applyBorder="1" applyAlignment="1">
      <alignment horizontal="right" vertical="center"/>
    </xf>
    <xf numFmtId="189" fontId="5" fillId="12" borderId="8" xfId="0" applyNumberFormat="1" applyFont="1" applyFill="1" applyBorder="1" applyAlignment="1">
      <alignment horizontal="right" vertical="center"/>
    </xf>
    <xf numFmtId="189" fontId="5" fillId="13" borderId="8" xfId="0" applyNumberFormat="1" applyFont="1" applyFill="1" applyBorder="1" applyAlignment="1">
      <alignment horizontal="right" vertical="center"/>
    </xf>
    <xf numFmtId="189" fontId="5" fillId="12" borderId="10" xfId="0" applyNumberFormat="1" applyFont="1" applyFill="1" applyBorder="1" applyAlignment="1">
      <alignment horizontal="right" vertical="center"/>
    </xf>
    <xf numFmtId="189" fontId="5" fillId="13" borderId="10" xfId="0" applyNumberFormat="1" applyFont="1" applyFill="1" applyBorder="1" applyAlignment="1">
      <alignment horizontal="right" vertical="center"/>
    </xf>
    <xf numFmtId="1" fontId="35" fillId="13" borderId="13" xfId="0" applyNumberFormat="1" applyFont="1" applyFill="1" applyBorder="1" applyAlignment="1">
      <alignment horizontal="left" vertical="center"/>
    </xf>
    <xf numFmtId="1" fontId="9" fillId="13" borderId="13" xfId="0" applyNumberFormat="1" applyFont="1" applyFill="1" applyBorder="1" applyAlignment="1">
      <alignment horizontal="left" vertical="center"/>
    </xf>
    <xf numFmtId="3" fontId="9" fillId="12" borderId="13" xfId="0" applyNumberFormat="1" applyFont="1" applyFill="1" applyBorder="1" applyAlignment="1">
      <alignment vertical="center"/>
    </xf>
    <xf numFmtId="3" fontId="9" fillId="13" borderId="13" xfId="0" applyNumberFormat="1" applyFont="1" applyFill="1" applyBorder="1" applyAlignment="1">
      <alignment horizontal="right" vertical="center"/>
    </xf>
    <xf numFmtId="3" fontId="9" fillId="12" borderId="13" xfId="0" applyNumberFormat="1" applyFont="1" applyFill="1" applyBorder="1" applyAlignment="1">
      <alignment horizontal="right" vertical="center"/>
    </xf>
    <xf numFmtId="3" fontId="9" fillId="13" borderId="13" xfId="0" quotePrefix="1" applyNumberFormat="1" applyFont="1" applyFill="1" applyBorder="1" applyAlignment="1">
      <alignment horizontal="right" vertical="center"/>
    </xf>
    <xf numFmtId="190" fontId="9" fillId="12" borderId="13" xfId="0" applyNumberFormat="1" applyFont="1" applyFill="1" applyBorder="1" applyAlignment="1">
      <alignment horizontal="right" vertical="center"/>
    </xf>
    <xf numFmtId="190" fontId="9" fillId="13" borderId="13" xfId="0" applyNumberFormat="1" applyFont="1" applyFill="1" applyBorder="1" applyAlignment="1">
      <alignment horizontal="right" vertical="center"/>
    </xf>
    <xf numFmtId="189" fontId="9" fillId="12" borderId="13" xfId="0" applyNumberFormat="1" applyFont="1" applyFill="1" applyBorder="1" applyAlignment="1">
      <alignment horizontal="right" vertical="center"/>
    </xf>
    <xf numFmtId="189" fontId="9" fillId="13" borderId="13" xfId="0" applyNumberFormat="1" applyFont="1" applyFill="1" applyBorder="1" applyAlignment="1">
      <alignment horizontal="right" vertical="center"/>
    </xf>
    <xf numFmtId="3" fontId="5" fillId="0" borderId="8" xfId="0" applyNumberFormat="1" applyFont="1" applyFill="1" applyBorder="1" applyAlignment="1"/>
    <xf numFmtId="190" fontId="108" fillId="7" borderId="13" xfId="0" applyNumberFormat="1" applyFont="1" applyFill="1" applyBorder="1" applyAlignment="1">
      <alignment horizontal="right" vertical="center"/>
    </xf>
    <xf numFmtId="190" fontId="109" fillId="7" borderId="6" xfId="0" applyNumberFormat="1" applyFont="1" applyFill="1" applyBorder="1" applyAlignment="1">
      <alignment horizontal="right"/>
    </xf>
    <xf numFmtId="190" fontId="108" fillId="7" borderId="6" xfId="0" applyNumberFormat="1" applyFont="1" applyFill="1" applyBorder="1" applyAlignment="1">
      <alignment horizontal="right"/>
    </xf>
    <xf numFmtId="190" fontId="109" fillId="7" borderId="6" xfId="0" applyNumberFormat="1" applyFont="1" applyFill="1" applyBorder="1" applyAlignment="1">
      <alignment horizontal="right" vertical="center"/>
    </xf>
    <xf numFmtId="0" fontId="28" fillId="14" borderId="0" xfId="0" applyFont="1" applyFill="1" applyAlignment="1">
      <alignment horizontal="left"/>
    </xf>
    <xf numFmtId="0" fontId="16" fillId="14" borderId="0" xfId="0" applyNumberFormat="1" applyFont="1" applyFill="1" applyAlignment="1">
      <alignment horizontal="center"/>
    </xf>
    <xf numFmtId="0" fontId="5" fillId="14" borderId="0" xfId="0" applyFont="1" applyFill="1"/>
    <xf numFmtId="2" fontId="16" fillId="14" borderId="0" xfId="0" applyNumberFormat="1" applyFont="1" applyFill="1" applyAlignment="1">
      <alignment horizontal="center"/>
    </xf>
    <xf numFmtId="3" fontId="3" fillId="0" borderId="0" xfId="0" applyNumberFormat="1" applyFont="1"/>
    <xf numFmtId="0" fontId="4" fillId="3" borderId="6" xfId="0" applyFont="1" applyFill="1" applyBorder="1" applyAlignment="1">
      <alignment horizontal="left" vertical="center"/>
    </xf>
    <xf numFmtId="0" fontId="4" fillId="3" borderId="0" xfId="0" applyFont="1" applyFill="1" applyBorder="1" applyAlignment="1">
      <alignment horizontal="left" vertical="center"/>
    </xf>
    <xf numFmtId="3" fontId="9" fillId="0" borderId="0" xfId="0" applyNumberFormat="1" applyFont="1" applyBorder="1"/>
    <xf numFmtId="0" fontId="20" fillId="0" borderId="0" xfId="5" applyFont="1"/>
    <xf numFmtId="0" fontId="5" fillId="0" borderId="0" xfId="5"/>
    <xf numFmtId="0" fontId="3" fillId="0" borderId="0" xfId="5" applyFont="1"/>
    <xf numFmtId="0" fontId="5" fillId="0" borderId="0" xfId="5" applyFont="1" applyAlignment="1"/>
    <xf numFmtId="189" fontId="4" fillId="7" borderId="7" xfId="0" applyNumberFormat="1" applyFont="1" applyFill="1" applyBorder="1" applyAlignment="1"/>
    <xf numFmtId="0" fontId="4" fillId="3" borderId="7" xfId="0" applyNumberFormat="1" applyFont="1" applyFill="1" applyBorder="1" applyAlignment="1">
      <alignment horizontal="center"/>
    </xf>
    <xf numFmtId="0" fontId="4" fillId="3" borderId="8" xfId="0" applyNumberFormat="1" applyFont="1" applyFill="1" applyBorder="1" applyAlignment="1">
      <alignment horizontal="center"/>
    </xf>
    <xf numFmtId="189" fontId="6" fillId="7" borderId="8" xfId="0" applyNumberFormat="1" applyFont="1" applyFill="1" applyBorder="1" applyAlignment="1">
      <alignment vertical="center"/>
    </xf>
    <xf numFmtId="0" fontId="6" fillId="3" borderId="8" xfId="0" applyNumberFormat="1" applyFont="1" applyFill="1" applyBorder="1" applyAlignment="1">
      <alignment horizontal="center" vertical="center"/>
    </xf>
    <xf numFmtId="190" fontId="2" fillId="0" borderId="0" xfId="0" applyNumberFormat="1" applyFont="1" applyAlignment="1">
      <alignment horizontal="center"/>
    </xf>
    <xf numFmtId="190" fontId="4" fillId="3" borderId="5" xfId="0" applyNumberFormat="1" applyFont="1" applyFill="1" applyBorder="1" applyAlignment="1">
      <alignment horizontal="center"/>
    </xf>
    <xf numFmtId="190" fontId="4" fillId="3" borderId="0" xfId="0" applyNumberFormat="1" applyFont="1" applyFill="1" applyBorder="1" applyAlignment="1">
      <alignment horizontal="center"/>
    </xf>
    <xf numFmtId="0" fontId="4" fillId="0" borderId="0" xfId="0" applyFont="1" applyAlignment="1">
      <alignment horizontal="right"/>
    </xf>
    <xf numFmtId="0" fontId="6" fillId="3" borderId="6" xfId="0" quotePrefix="1" applyFont="1" applyFill="1" applyBorder="1" applyAlignment="1"/>
    <xf numFmtId="190" fontId="6" fillId="3" borderId="7" xfId="0" applyNumberFormat="1" applyFont="1" applyFill="1" applyBorder="1" applyAlignment="1">
      <alignment horizontal="center"/>
    </xf>
    <xf numFmtId="0" fontId="6" fillId="3" borderId="8" xfId="0" quotePrefix="1" applyFont="1" applyFill="1" applyBorder="1" applyAlignment="1"/>
    <xf numFmtId="190" fontId="6" fillId="3" borderId="8" xfId="0" applyNumberFormat="1" applyFont="1" applyFill="1" applyBorder="1" applyAlignment="1">
      <alignment horizontal="center"/>
    </xf>
    <xf numFmtId="0" fontId="6" fillId="3" borderId="8" xfId="0" quotePrefix="1" applyFont="1" applyFill="1" applyBorder="1" applyAlignment="1">
      <alignment wrapText="1"/>
    </xf>
    <xf numFmtId="0" fontId="4" fillId="3" borderId="0" xfId="0" quotePrefix="1" applyFont="1" applyFill="1" applyBorder="1" applyAlignment="1">
      <alignment vertical="center"/>
    </xf>
    <xf numFmtId="190" fontId="4" fillId="3" borderId="8" xfId="0" applyNumberFormat="1" applyFont="1" applyFill="1" applyBorder="1" applyAlignment="1">
      <alignment horizontal="center" vertical="center"/>
    </xf>
    <xf numFmtId="3" fontId="4" fillId="7" borderId="0" xfId="0" applyNumberFormat="1" applyFont="1" applyFill="1" applyBorder="1" applyAlignment="1">
      <alignment horizontal="right" vertical="center"/>
    </xf>
    <xf numFmtId="0" fontId="9" fillId="0" borderId="9" xfId="0" applyFont="1" applyBorder="1"/>
    <xf numFmtId="190" fontId="5" fillId="0" borderId="9" xfId="0" applyNumberFormat="1" applyFont="1" applyBorder="1" applyAlignment="1">
      <alignment horizontal="center"/>
    </xf>
    <xf numFmtId="190" fontId="5" fillId="0" borderId="0" xfId="0" applyNumberFormat="1" applyFont="1" applyBorder="1" applyAlignment="1">
      <alignment horizontal="center"/>
    </xf>
    <xf numFmtId="190" fontId="5" fillId="0" borderId="0" xfId="0" applyNumberFormat="1" applyFont="1" applyAlignment="1">
      <alignment horizontal="center"/>
    </xf>
    <xf numFmtId="3" fontId="5" fillId="0" borderId="0" xfId="0" applyNumberFormat="1" applyFont="1" applyFill="1"/>
    <xf numFmtId="0" fontId="5" fillId="0" borderId="0" xfId="0" quotePrefix="1" applyFont="1" applyFill="1" applyAlignment="1">
      <alignment horizontal="center"/>
    </xf>
    <xf numFmtId="0" fontId="55" fillId="7" borderId="0" xfId="0" applyFont="1" applyFill="1" applyBorder="1" applyAlignment="1">
      <alignment horizontal="center"/>
    </xf>
    <xf numFmtId="0" fontId="4" fillId="3" borderId="6" xfId="0" quotePrefix="1" applyFont="1" applyFill="1" applyBorder="1" applyAlignment="1">
      <alignment horizontal="left" vertical="center"/>
    </xf>
    <xf numFmtId="190" fontId="4" fillId="7" borderId="7" xfId="0" applyNumberFormat="1" applyFont="1" applyFill="1" applyBorder="1" applyAlignment="1">
      <alignment horizontal="center" vertical="center"/>
    </xf>
    <xf numFmtId="0" fontId="4" fillId="3" borderId="0" xfId="0" quotePrefix="1" applyFont="1" applyFill="1" applyBorder="1" applyAlignment="1">
      <alignment horizontal="left" vertical="center"/>
    </xf>
    <xf numFmtId="0" fontId="3" fillId="0" borderId="0" xfId="0" applyFont="1" applyBorder="1" applyAlignment="1">
      <alignment horizontal="center" vertical="top"/>
    </xf>
    <xf numFmtId="0" fontId="5" fillId="0" borderId="0" xfId="5" applyFont="1"/>
    <xf numFmtId="0" fontId="4" fillId="8" borderId="5" xfId="0" applyFont="1" applyFill="1" applyBorder="1" applyAlignment="1">
      <alignment horizontal="left"/>
    </xf>
    <xf numFmtId="0" fontId="4" fillId="8" borderId="5" xfId="0" applyFont="1" applyFill="1" applyBorder="1" applyAlignment="1">
      <alignment horizontal="right"/>
    </xf>
    <xf numFmtId="0" fontId="5" fillId="0" borderId="0" xfId="0" applyFont="1" applyFill="1" applyBorder="1" applyAlignment="1">
      <alignment horizontal="center"/>
    </xf>
    <xf numFmtId="0" fontId="4" fillId="8" borderId="0" xfId="0" applyFont="1" applyFill="1" applyBorder="1" applyAlignment="1">
      <alignment horizontal="left"/>
    </xf>
    <xf numFmtId="0" fontId="4" fillId="9" borderId="0" xfId="0" applyFont="1" applyFill="1" applyBorder="1" applyAlignment="1">
      <alignment horizontal="right"/>
    </xf>
    <xf numFmtId="0" fontId="4" fillId="8" borderId="0" xfId="0" applyFont="1" applyFill="1" applyBorder="1" applyAlignment="1">
      <alignment horizontal="right"/>
    </xf>
    <xf numFmtId="3" fontId="4" fillId="8" borderId="0" xfId="0" applyNumberFormat="1" applyFont="1" applyFill="1" applyBorder="1" applyAlignment="1">
      <alignment horizontal="right"/>
    </xf>
    <xf numFmtId="0" fontId="4" fillId="7" borderId="0" xfId="0" quotePrefix="1" applyFont="1" applyFill="1" applyBorder="1" applyAlignment="1">
      <alignment horizontal="right"/>
    </xf>
    <xf numFmtId="0" fontId="5" fillId="8" borderId="0" xfId="0" applyFont="1" applyFill="1" applyBorder="1" applyAlignment="1">
      <alignment horizontal="right"/>
    </xf>
    <xf numFmtId="0" fontId="4" fillId="8" borderId="4" xfId="0" applyFont="1" applyFill="1" applyBorder="1" applyAlignment="1">
      <alignment horizontal="left" vertical="top"/>
    </xf>
    <xf numFmtId="0" fontId="4" fillId="9" borderId="4" xfId="0" applyFont="1" applyFill="1" applyBorder="1" applyAlignment="1">
      <alignment horizontal="right" vertical="top"/>
    </xf>
    <xf numFmtId="0" fontId="4" fillId="8" borderId="4" xfId="0" applyFont="1" applyFill="1" applyBorder="1" applyAlignment="1">
      <alignment horizontal="right" vertical="top"/>
    </xf>
    <xf numFmtId="0" fontId="18" fillId="0" borderId="0" xfId="0" applyFont="1" applyFill="1" applyBorder="1" applyAlignment="1">
      <alignment horizontal="center"/>
    </xf>
    <xf numFmtId="0" fontId="4" fillId="8" borderId="7" xfId="0" quotePrefix="1" applyFont="1" applyFill="1" applyBorder="1" applyAlignment="1">
      <alignment horizontal="left"/>
    </xf>
    <xf numFmtId="190" fontId="4" fillId="9" borderId="7" xfId="0" applyNumberFormat="1" applyFont="1" applyFill="1" applyBorder="1" applyAlignment="1">
      <alignment horizontal="right"/>
    </xf>
    <xf numFmtId="190" fontId="4" fillId="8" borderId="7" xfId="0" quotePrefix="1" applyNumberFormat="1" applyFont="1" applyFill="1" applyBorder="1" applyAlignment="1">
      <alignment horizontal="right"/>
    </xf>
    <xf numFmtId="3" fontId="4" fillId="8" borderId="7" xfId="0" quotePrefix="1" applyNumberFormat="1" applyFont="1" applyFill="1" applyBorder="1" applyAlignment="1">
      <alignment horizontal="right"/>
    </xf>
    <xf numFmtId="0" fontId="4" fillId="8" borderId="8" xfId="0" quotePrefix="1" applyFont="1" applyFill="1" applyBorder="1" applyAlignment="1">
      <alignment horizontal="left"/>
    </xf>
    <xf numFmtId="190" fontId="4" fillId="9" borderId="8" xfId="0" applyNumberFormat="1" applyFont="1" applyFill="1" applyBorder="1" applyAlignment="1">
      <alignment horizontal="right"/>
    </xf>
    <xf numFmtId="190" fontId="4" fillId="8" borderId="8" xfId="0" quotePrefix="1" applyNumberFormat="1" applyFont="1" applyFill="1" applyBorder="1" applyAlignment="1">
      <alignment horizontal="right"/>
    </xf>
    <xf numFmtId="3" fontId="4" fillId="8" borderId="8" xfId="0" quotePrefix="1" applyNumberFormat="1" applyFont="1" applyFill="1" applyBorder="1" applyAlignment="1">
      <alignment horizontal="right"/>
    </xf>
    <xf numFmtId="0" fontId="6" fillId="8" borderId="0" xfId="0" quotePrefix="1" applyFont="1" applyFill="1" applyBorder="1" applyAlignment="1">
      <alignment horizontal="left" vertical="center"/>
    </xf>
    <xf numFmtId="190" fontId="6" fillId="9" borderId="0" xfId="0" applyNumberFormat="1" applyFont="1" applyFill="1" applyBorder="1" applyAlignment="1">
      <alignment horizontal="right" vertical="center"/>
    </xf>
    <xf numFmtId="190" fontId="6" fillId="8" borderId="0" xfId="0" quotePrefix="1" applyNumberFormat="1" applyFont="1" applyFill="1" applyBorder="1" applyAlignment="1">
      <alignment horizontal="right" vertical="center"/>
    </xf>
    <xf numFmtId="3" fontId="6" fillId="8" borderId="8" xfId="0" quotePrefix="1" applyNumberFormat="1" applyFont="1" applyFill="1" applyBorder="1" applyAlignment="1">
      <alignment horizontal="right" vertical="center"/>
    </xf>
    <xf numFmtId="2" fontId="18" fillId="0" borderId="0" xfId="5" applyNumberFormat="1" applyFont="1"/>
    <xf numFmtId="0" fontId="18" fillId="0" borderId="0" xfId="14" applyFont="1"/>
    <xf numFmtId="0" fontId="18" fillId="0" borderId="0" xfId="5" applyFont="1" applyFill="1" applyBorder="1"/>
    <xf numFmtId="3" fontId="4" fillId="7" borderId="5" xfId="0" applyNumberFormat="1" applyFont="1" applyFill="1" applyBorder="1" applyAlignment="1">
      <alignment horizontal="center"/>
    </xf>
    <xf numFmtId="0" fontId="51" fillId="3" borderId="6" xfId="0" applyFont="1" applyFill="1" applyBorder="1" applyAlignment="1">
      <alignment horizontal="left"/>
    </xf>
    <xf numFmtId="3" fontId="6" fillId="7" borderId="6" xfId="0" applyNumberFormat="1" applyFont="1" applyFill="1" applyBorder="1" applyAlignment="1">
      <alignment horizontal="left"/>
    </xf>
    <xf numFmtId="190" fontId="6" fillId="3" borderId="6" xfId="0" applyNumberFormat="1" applyFont="1" applyFill="1" applyBorder="1" applyAlignment="1">
      <alignment horizontal="center"/>
    </xf>
    <xf numFmtId="0" fontId="4" fillId="3" borderId="8" xfId="0" applyFont="1" applyFill="1" applyBorder="1" applyAlignment="1">
      <alignment horizontal="center"/>
    </xf>
    <xf numFmtId="0" fontId="4" fillId="3" borderId="8" xfId="0" applyFont="1" applyFill="1" applyBorder="1" applyAlignment="1">
      <alignment horizontal="left" wrapText="1"/>
    </xf>
    <xf numFmtId="3" fontId="66" fillId="7" borderId="8" xfId="0" applyNumberFormat="1" applyFont="1" applyFill="1" applyBorder="1" applyAlignment="1">
      <alignment horizontal="center" wrapText="1"/>
    </xf>
    <xf numFmtId="190" fontId="66" fillId="3" borderId="6" xfId="0" applyNumberFormat="1" applyFont="1" applyFill="1" applyBorder="1" applyAlignment="1">
      <alignment horizontal="center" wrapText="1"/>
    </xf>
    <xf numFmtId="3" fontId="4" fillId="3" borderId="6" xfId="0" applyNumberFormat="1" applyFont="1" applyFill="1" applyBorder="1" applyAlignment="1">
      <alignment horizontal="center"/>
    </xf>
    <xf numFmtId="0" fontId="4" fillId="3" borderId="8" xfId="0" applyFont="1" applyFill="1" applyBorder="1" applyAlignment="1">
      <alignment horizontal="center" wrapText="1"/>
    </xf>
    <xf numFmtId="0" fontId="51" fillId="3" borderId="8" xfId="0" applyFont="1" applyFill="1" applyBorder="1" applyAlignment="1">
      <alignment horizontal="left" wrapText="1"/>
    </xf>
    <xf numFmtId="0" fontId="5" fillId="0" borderId="0" xfId="0" applyFont="1" applyAlignment="1">
      <alignment wrapText="1"/>
    </xf>
    <xf numFmtId="0" fontId="6" fillId="3" borderId="8" xfId="0" applyFont="1" applyFill="1" applyBorder="1" applyAlignment="1">
      <alignment horizontal="center"/>
    </xf>
    <xf numFmtId="0" fontId="6" fillId="3" borderId="8" xfId="0" applyFont="1" applyFill="1" applyBorder="1" applyAlignment="1">
      <alignment horizontal="left"/>
    </xf>
    <xf numFmtId="0" fontId="6" fillId="3" borderId="8" xfId="0" applyFont="1" applyFill="1" applyBorder="1" applyAlignment="1">
      <alignment horizontal="left" vertical="center" wrapText="1"/>
    </xf>
    <xf numFmtId="190" fontId="6" fillId="3" borderId="6" xfId="0" applyNumberFormat="1" applyFont="1" applyFill="1" applyBorder="1" applyAlignment="1">
      <alignment horizontal="center" vertical="center"/>
    </xf>
    <xf numFmtId="0" fontId="51" fillId="3" borderId="6" xfId="0" applyFont="1" applyFill="1" applyBorder="1" applyAlignment="1">
      <alignment horizontal="left" wrapText="1"/>
    </xf>
    <xf numFmtId="0" fontId="40" fillId="3" borderId="8" xfId="0" applyFont="1" applyFill="1" applyBorder="1" applyAlignment="1">
      <alignment horizontal="center"/>
    </xf>
    <xf numFmtId="0" fontId="40" fillId="3" borderId="8" xfId="0" applyFont="1" applyFill="1" applyBorder="1" applyAlignment="1">
      <alignment horizontal="left"/>
    </xf>
    <xf numFmtId="3" fontId="4" fillId="7" borderId="8" xfId="0" applyNumberFormat="1" applyFont="1" applyFill="1" applyBorder="1" applyAlignment="1">
      <alignment horizontal="right" wrapText="1"/>
    </xf>
    <xf numFmtId="0" fontId="6" fillId="3" borderId="6" xfId="0" applyFont="1" applyFill="1" applyBorder="1" applyAlignment="1">
      <alignment horizontal="left"/>
    </xf>
    <xf numFmtId="0" fontId="40" fillId="3" borderId="8" xfId="0" applyFont="1" applyFill="1" applyBorder="1" applyAlignment="1">
      <alignment horizontal="center" wrapText="1"/>
    </xf>
    <xf numFmtId="0" fontId="40" fillId="3" borderId="8" xfId="0" applyFont="1" applyFill="1" applyBorder="1" applyAlignment="1">
      <alignment horizontal="left" wrapText="1"/>
    </xf>
    <xf numFmtId="0" fontId="40" fillId="3" borderId="8" xfId="0" applyFont="1" applyFill="1" applyBorder="1" applyAlignment="1">
      <alignment horizontal="left" vertical="center"/>
    </xf>
    <xf numFmtId="189" fontId="6" fillId="7" borderId="8" xfId="0" applyNumberFormat="1" applyFont="1" applyFill="1" applyBorder="1" applyAlignment="1">
      <alignment horizontal="right" vertical="center"/>
    </xf>
    <xf numFmtId="189" fontId="6" fillId="3" borderId="8" xfId="0" applyNumberFormat="1" applyFont="1" applyFill="1" applyBorder="1" applyAlignment="1">
      <alignment horizontal="right" vertical="center"/>
    </xf>
    <xf numFmtId="189" fontId="6" fillId="3" borderId="13" xfId="0" applyNumberFormat="1" applyFont="1" applyFill="1" applyBorder="1" applyAlignment="1">
      <alignment horizontal="right" vertical="center"/>
    </xf>
    <xf numFmtId="3" fontId="2" fillId="0" borderId="0" xfId="0" applyNumberFormat="1" applyFont="1" applyAlignment="1">
      <alignment horizontal="center"/>
    </xf>
    <xf numFmtId="3" fontId="4" fillId="3" borderId="5" xfId="0" applyNumberFormat="1" applyFont="1" applyFill="1" applyBorder="1" applyAlignment="1">
      <alignment horizontal="center"/>
    </xf>
    <xf numFmtId="0" fontId="4" fillId="3" borderId="8" xfId="0" applyFont="1" applyFill="1" applyBorder="1" applyAlignment="1">
      <alignment horizontal="left" vertical="center" wrapText="1"/>
    </xf>
    <xf numFmtId="190" fontId="4" fillId="3" borderId="7" xfId="0" applyNumberFormat="1" applyFont="1" applyFill="1" applyBorder="1" applyAlignment="1">
      <alignment horizontal="center" vertical="center"/>
    </xf>
    <xf numFmtId="189" fontId="4" fillId="3" borderId="8" xfId="0" applyNumberFormat="1" applyFont="1" applyFill="1" applyBorder="1" applyAlignment="1">
      <alignment horizontal="center" vertical="center"/>
    </xf>
    <xf numFmtId="189" fontId="4" fillId="3" borderId="0" xfId="0" applyNumberFormat="1" applyFont="1" applyFill="1" applyBorder="1" applyAlignment="1">
      <alignment horizontal="center" vertical="center"/>
    </xf>
    <xf numFmtId="3" fontId="5" fillId="0" borderId="9" xfId="0" applyNumberFormat="1" applyFont="1" applyBorder="1" applyAlignment="1">
      <alignment horizontal="center"/>
    </xf>
    <xf numFmtId="3" fontId="5" fillId="0" borderId="0" xfId="0" applyNumberFormat="1" applyFont="1" applyBorder="1" applyAlignment="1">
      <alignment horizontal="center"/>
    </xf>
    <xf numFmtId="3" fontId="5" fillId="0" borderId="0" xfId="0" applyNumberFormat="1" applyFont="1" applyAlignment="1">
      <alignment horizontal="center"/>
    </xf>
    <xf numFmtId="3" fontId="5" fillId="0" borderId="0" xfId="0" applyNumberFormat="1" applyFont="1" applyAlignment="1">
      <alignment vertical="center"/>
    </xf>
    <xf numFmtId="0" fontId="4" fillId="9" borderId="5" xfId="0" applyFont="1" applyFill="1" applyBorder="1" applyAlignment="1">
      <alignment horizontal="right"/>
    </xf>
    <xf numFmtId="0" fontId="4" fillId="8" borderId="5" xfId="0" applyFont="1" applyFill="1" applyBorder="1" applyAlignment="1">
      <alignment horizontal="center"/>
    </xf>
    <xf numFmtId="0" fontId="4" fillId="8" borderId="0" xfId="0" applyFont="1" applyFill="1" applyBorder="1" applyAlignment="1">
      <alignment horizontal="center"/>
    </xf>
    <xf numFmtId="0" fontId="4" fillId="8" borderId="4" xfId="0" applyFont="1" applyFill="1" applyBorder="1" applyAlignment="1">
      <alignment horizontal="center" vertical="top"/>
    </xf>
    <xf numFmtId="3" fontId="4" fillId="9" borderId="7" xfId="0" applyNumberFormat="1" applyFont="1" applyFill="1" applyBorder="1" applyAlignment="1">
      <alignment horizontal="right"/>
    </xf>
    <xf numFmtId="0" fontId="4" fillId="8" borderId="7" xfId="0" quotePrefix="1" applyFont="1" applyFill="1" applyBorder="1" applyAlignment="1">
      <alignment horizontal="right"/>
    </xf>
    <xf numFmtId="190" fontId="4" fillId="8" borderId="7" xfId="0" quotePrefix="1" applyNumberFormat="1" applyFont="1" applyFill="1" applyBorder="1" applyAlignment="1">
      <alignment horizontal="center"/>
    </xf>
    <xf numFmtId="3" fontId="4" fillId="9" borderId="8" xfId="0" applyNumberFormat="1" applyFont="1" applyFill="1" applyBorder="1" applyAlignment="1">
      <alignment horizontal="right"/>
    </xf>
    <xf numFmtId="0" fontId="4" fillId="8" borderId="8" xfId="0" quotePrefix="1" applyFont="1" applyFill="1" applyBorder="1" applyAlignment="1">
      <alignment horizontal="right"/>
    </xf>
    <xf numFmtId="190" fontId="4" fillId="8" borderId="8" xfId="0" quotePrefix="1" applyNumberFormat="1" applyFont="1" applyFill="1" applyBorder="1" applyAlignment="1">
      <alignment horizontal="center"/>
    </xf>
    <xf numFmtId="3" fontId="6" fillId="9" borderId="0" xfId="0" applyNumberFormat="1" applyFont="1" applyFill="1" applyBorder="1" applyAlignment="1">
      <alignment horizontal="right" vertical="center"/>
    </xf>
    <xf numFmtId="0" fontId="6" fillId="8" borderId="0" xfId="0" quotePrefix="1" applyFont="1" applyFill="1" applyBorder="1" applyAlignment="1">
      <alignment horizontal="right" vertical="center"/>
    </xf>
    <xf numFmtId="190" fontId="6" fillId="8" borderId="8" xfId="0" quotePrefix="1" applyNumberFormat="1" applyFont="1" applyFill="1" applyBorder="1" applyAlignment="1">
      <alignment horizontal="center" vertical="center"/>
    </xf>
    <xf numFmtId="0" fontId="2" fillId="0" borderId="4" xfId="0" applyFont="1" applyBorder="1" applyAlignment="1">
      <alignment horizontal="center"/>
    </xf>
    <xf numFmtId="0" fontId="4" fillId="7" borderId="7" xfId="0" applyFont="1" applyFill="1" applyBorder="1" applyAlignment="1">
      <alignment horizontal="left"/>
    </xf>
    <xf numFmtId="3" fontId="4" fillId="3" borderId="7" xfId="0" applyNumberFormat="1" applyFont="1" applyFill="1" applyBorder="1" applyAlignment="1">
      <alignment horizontal="center" vertical="center"/>
    </xf>
    <xf numFmtId="3" fontId="4" fillId="7" borderId="7" xfId="0" applyNumberFormat="1" applyFont="1" applyFill="1" applyBorder="1" applyAlignment="1">
      <alignment horizontal="center" vertical="center"/>
    </xf>
    <xf numFmtId="3" fontId="4" fillId="3" borderId="8" xfId="0" applyNumberFormat="1" applyFont="1" applyFill="1" applyBorder="1" applyAlignment="1">
      <alignment horizontal="center" vertical="center"/>
    </xf>
    <xf numFmtId="3" fontId="4" fillId="7" borderId="8" xfId="0" applyNumberFormat="1" applyFont="1" applyFill="1" applyBorder="1" applyAlignment="1">
      <alignment horizontal="center" vertical="center"/>
    </xf>
    <xf numFmtId="3" fontId="6" fillId="3" borderId="0" xfId="0" applyNumberFormat="1" applyFont="1" applyFill="1" applyBorder="1" applyAlignment="1">
      <alignment horizontal="center" vertical="center"/>
    </xf>
    <xf numFmtId="3" fontId="6" fillId="3" borderId="7" xfId="0" applyNumberFormat="1" applyFont="1" applyFill="1" applyBorder="1" applyAlignment="1">
      <alignment horizontal="center" vertical="center"/>
    </xf>
    <xf numFmtId="3" fontId="6" fillId="7" borderId="0" xfId="0" applyNumberFormat="1" applyFont="1" applyFill="1" applyBorder="1" applyAlignment="1">
      <alignment horizontal="center" vertical="center"/>
    </xf>
    <xf numFmtId="3" fontId="6" fillId="7" borderId="13" xfId="0" applyNumberFormat="1" applyFont="1" applyFill="1" applyBorder="1" applyAlignment="1">
      <alignment horizontal="center" vertical="center"/>
    </xf>
    <xf numFmtId="0" fontId="70" fillId="0" borderId="0" xfId="0" applyFont="1"/>
    <xf numFmtId="0" fontId="57" fillId="0" borderId="0" xfId="12" applyFont="1"/>
    <xf numFmtId="190" fontId="4" fillId="7" borderId="0" xfId="0" applyNumberFormat="1" applyFont="1" applyFill="1" applyBorder="1" applyAlignment="1">
      <alignment horizontal="right"/>
    </xf>
    <xf numFmtId="190" fontId="4" fillId="7" borderId="4" xfId="0" applyNumberFormat="1" applyFont="1" applyFill="1" applyBorder="1" applyAlignment="1">
      <alignment horizontal="right" vertical="top"/>
    </xf>
    <xf numFmtId="188" fontId="4" fillId="7" borderId="7" xfId="0" applyNumberFormat="1" applyFont="1" applyFill="1" applyBorder="1" applyAlignment="1">
      <alignment horizontal="right"/>
    </xf>
    <xf numFmtId="188" fontId="4" fillId="7" borderId="8" xfId="0" applyNumberFormat="1" applyFont="1" applyFill="1" applyBorder="1" applyAlignment="1">
      <alignment horizontal="right"/>
    </xf>
    <xf numFmtId="188" fontId="6" fillId="7" borderId="0" xfId="0" applyNumberFormat="1" applyFont="1" applyFill="1" applyBorder="1" applyAlignment="1">
      <alignment horizontal="right" vertical="center"/>
    </xf>
    <xf numFmtId="190" fontId="5" fillId="0" borderId="9" xfId="0" applyNumberFormat="1" applyFont="1" applyBorder="1"/>
    <xf numFmtId="190" fontId="5" fillId="0" borderId="0" xfId="0" applyNumberFormat="1" applyFont="1" applyBorder="1"/>
    <xf numFmtId="188" fontId="5" fillId="0" borderId="0" xfId="0" applyNumberFormat="1" applyFont="1"/>
    <xf numFmtId="188" fontId="0" fillId="0" borderId="0" xfId="0" applyNumberFormat="1" applyFont="1"/>
    <xf numFmtId="0" fontId="3" fillId="0" borderId="0" xfId="2" applyFont="1"/>
    <xf numFmtId="0" fontId="71" fillId="0" borderId="0" xfId="2"/>
    <xf numFmtId="0" fontId="18" fillId="0" borderId="0" xfId="2" applyFont="1"/>
    <xf numFmtId="0" fontId="70" fillId="0" borderId="0" xfId="2" applyFont="1"/>
    <xf numFmtId="0" fontId="21" fillId="0" borderId="0" xfId="2" applyFont="1"/>
    <xf numFmtId="9" fontId="6" fillId="7" borderId="5" xfId="0" applyNumberFormat="1" applyFont="1" applyFill="1" applyBorder="1" applyAlignment="1">
      <alignment horizontal="right" wrapText="1"/>
    </xf>
    <xf numFmtId="9" fontId="6" fillId="3" borderId="5" xfId="0" applyNumberFormat="1" applyFont="1" applyFill="1" applyBorder="1" applyAlignment="1">
      <alignment horizontal="right" wrapText="1"/>
    </xf>
    <xf numFmtId="9" fontId="4" fillId="3" borderId="5" xfId="0" applyNumberFormat="1" applyFont="1" applyFill="1" applyBorder="1" applyAlignment="1">
      <alignment horizontal="center" vertical="center" wrapText="1"/>
    </xf>
    <xf numFmtId="9" fontId="4" fillId="7" borderId="5" xfId="0" applyNumberFormat="1" applyFont="1" applyFill="1" applyBorder="1" applyAlignment="1">
      <alignment horizontal="center" vertical="center" wrapText="1"/>
    </xf>
    <xf numFmtId="9" fontId="4" fillId="7" borderId="0" xfId="0" applyNumberFormat="1" applyFont="1" applyFill="1" applyBorder="1" applyAlignment="1">
      <alignment horizontal="right" wrapText="1"/>
    </xf>
    <xf numFmtId="9" fontId="4" fillId="3" borderId="0" xfId="0" applyNumberFormat="1" applyFont="1" applyFill="1" applyBorder="1" applyAlignment="1">
      <alignment horizontal="right" wrapText="1"/>
    </xf>
    <xf numFmtId="9" fontId="6" fillId="7" borderId="0" xfId="0" applyNumberFormat="1" applyFont="1" applyFill="1" applyBorder="1" applyAlignment="1">
      <alignment horizontal="right" wrapText="1"/>
    </xf>
    <xf numFmtId="9" fontId="4" fillId="3" borderId="0" xfId="0" applyNumberFormat="1" applyFont="1" applyFill="1" applyBorder="1" applyAlignment="1">
      <alignment horizontal="center" vertical="center" wrapText="1"/>
    </xf>
    <xf numFmtId="9" fontId="4" fillId="7" borderId="0" xfId="0" applyNumberFormat="1" applyFont="1" applyFill="1" applyBorder="1" applyAlignment="1">
      <alignment horizontal="center" vertical="center" wrapText="1"/>
    </xf>
    <xf numFmtId="0" fontId="4" fillId="3" borderId="0" xfId="0" applyFont="1" applyFill="1" applyBorder="1" applyAlignment="1">
      <alignment horizontal="right" vertical="top"/>
    </xf>
    <xf numFmtId="3" fontId="4" fillId="7" borderId="0" xfId="0" applyNumberFormat="1" applyFont="1" applyFill="1" applyBorder="1" applyAlignment="1">
      <alignment horizontal="right" vertical="top"/>
    </xf>
    <xf numFmtId="0" fontId="4" fillId="3" borderId="0" xfId="0" applyFont="1" applyFill="1" applyBorder="1" applyAlignment="1">
      <alignment horizontal="center" vertical="center"/>
    </xf>
    <xf numFmtId="3" fontId="4" fillId="7" borderId="0" xfId="0" applyNumberFormat="1" applyFont="1" applyFill="1" applyBorder="1" applyAlignment="1">
      <alignment horizontal="center" vertical="center"/>
    </xf>
    <xf numFmtId="0" fontId="4" fillId="3" borderId="4" xfId="0" applyFont="1" applyFill="1" applyBorder="1" applyAlignment="1">
      <alignment horizontal="center" vertical="center"/>
    </xf>
    <xf numFmtId="3" fontId="4" fillId="7" borderId="4" xfId="0" applyNumberFormat="1" applyFont="1" applyFill="1" applyBorder="1" applyAlignment="1">
      <alignment horizontal="center" vertical="center"/>
    </xf>
    <xf numFmtId="188" fontId="4" fillId="3" borderId="6" xfId="0" applyNumberFormat="1" applyFont="1" applyFill="1" applyBorder="1" applyAlignment="1">
      <alignment horizontal="left"/>
    </xf>
    <xf numFmtId="189" fontId="6" fillId="7" borderId="7" xfId="0" applyNumberFormat="1" applyFont="1" applyFill="1" applyBorder="1" applyAlignment="1">
      <alignment horizontal="right"/>
    </xf>
    <xf numFmtId="188" fontId="4" fillId="3" borderId="8" xfId="0" applyNumberFormat="1" applyFont="1" applyFill="1" applyBorder="1" applyAlignment="1">
      <alignment horizontal="left"/>
    </xf>
    <xf numFmtId="189" fontId="6" fillId="7" borderId="8" xfId="0" applyNumberFormat="1" applyFont="1" applyFill="1" applyBorder="1" applyAlignment="1">
      <alignment horizontal="right"/>
    </xf>
    <xf numFmtId="190" fontId="6" fillId="3" borderId="13" xfId="0" applyNumberFormat="1" applyFont="1" applyFill="1" applyBorder="1" applyAlignment="1">
      <alignment horizontal="center" vertical="center"/>
    </xf>
    <xf numFmtId="3" fontId="4" fillId="6" borderId="9" xfId="0" applyNumberFormat="1" applyFont="1" applyFill="1" applyBorder="1" applyAlignment="1">
      <alignment horizontal="right" vertical="top"/>
    </xf>
    <xf numFmtId="3" fontId="4" fillId="6" borderId="0" xfId="0" applyNumberFormat="1" applyFont="1" applyFill="1" applyBorder="1" applyAlignment="1">
      <alignment horizontal="right" vertical="top"/>
    </xf>
    <xf numFmtId="0" fontId="35" fillId="4" borderId="0" xfId="0" applyFont="1" applyFill="1"/>
    <xf numFmtId="190" fontId="4" fillId="7" borderId="5" xfId="0" applyNumberFormat="1" applyFont="1" applyFill="1" applyBorder="1" applyAlignment="1">
      <alignment horizontal="right"/>
    </xf>
    <xf numFmtId="0" fontId="4" fillId="0" borderId="0" xfId="0" applyFont="1" applyFill="1" applyBorder="1" applyAlignment="1">
      <alignment horizontal="right"/>
    </xf>
    <xf numFmtId="0" fontId="4" fillId="0" borderId="0" xfId="0" applyFont="1" applyFill="1" applyBorder="1" applyAlignment="1">
      <alignment horizontal="right" vertical="top"/>
    </xf>
    <xf numFmtId="190" fontId="4" fillId="0" borderId="0" xfId="0" applyNumberFormat="1" applyFont="1" applyFill="1" applyBorder="1" applyAlignment="1">
      <alignment horizontal="right"/>
    </xf>
    <xf numFmtId="190" fontId="6" fillId="0" borderId="0" xfId="0" applyNumberFormat="1" applyFont="1" applyFill="1" applyBorder="1" applyAlignment="1">
      <alignment horizontal="right" vertical="center"/>
    </xf>
    <xf numFmtId="0" fontId="3" fillId="0" borderId="0" xfId="0" applyFont="1" applyFill="1" applyBorder="1" applyAlignment="1">
      <alignment horizontal="right" vertical="top"/>
    </xf>
    <xf numFmtId="190" fontId="4" fillId="3" borderId="0" xfId="0" applyNumberFormat="1" applyFont="1" applyFill="1" applyBorder="1" applyAlignment="1">
      <alignment horizontal="right"/>
    </xf>
    <xf numFmtId="190" fontId="6" fillId="3" borderId="8" xfId="0" applyNumberFormat="1" applyFont="1" applyFill="1" applyBorder="1" applyAlignment="1">
      <alignment horizontal="right" vertical="center"/>
    </xf>
    <xf numFmtId="3" fontId="3" fillId="6" borderId="4" xfId="0" applyNumberFormat="1" applyFont="1" applyFill="1" applyBorder="1" applyAlignment="1">
      <alignment horizontal="left" vertical="top"/>
    </xf>
    <xf numFmtId="3" fontId="4" fillId="15" borderId="0" xfId="0" applyNumberFormat="1" applyFont="1" applyFill="1" applyBorder="1" applyAlignment="1">
      <alignment horizontal="right"/>
    </xf>
    <xf numFmtId="0" fontId="4" fillId="15" borderId="4" xfId="0" applyFont="1" applyFill="1" applyBorder="1" applyAlignment="1">
      <alignment horizontal="center" vertical="top"/>
    </xf>
    <xf numFmtId="3" fontId="4" fillId="15" borderId="4" xfId="0" applyNumberFormat="1" applyFont="1" applyFill="1" applyBorder="1" applyAlignment="1">
      <alignment horizontal="right" vertical="top"/>
    </xf>
    <xf numFmtId="3" fontId="4" fillId="15" borderId="7" xfId="0" applyNumberFormat="1" applyFont="1" applyFill="1" applyBorder="1" applyAlignment="1">
      <alignment horizontal="right"/>
    </xf>
    <xf numFmtId="190" fontId="4" fillId="15" borderId="7" xfId="0" applyNumberFormat="1" applyFont="1" applyFill="1" applyBorder="1" applyAlignment="1">
      <alignment horizontal="right"/>
    </xf>
    <xf numFmtId="189" fontId="51" fillId="7" borderId="7" xfId="0" applyNumberFormat="1" applyFont="1" applyFill="1" applyBorder="1" applyAlignment="1">
      <alignment horizontal="right"/>
    </xf>
    <xf numFmtId="3" fontId="51" fillId="15" borderId="7" xfId="0" applyNumberFormat="1" applyFont="1" applyFill="1" applyBorder="1" applyAlignment="1">
      <alignment horizontal="right"/>
    </xf>
    <xf numFmtId="190" fontId="51" fillId="15" borderId="7" xfId="0" applyNumberFormat="1" applyFont="1" applyFill="1" applyBorder="1" applyAlignment="1">
      <alignment horizontal="right"/>
    </xf>
    <xf numFmtId="3" fontId="6" fillId="15" borderId="8" xfId="0" applyNumberFormat="1" applyFont="1" applyFill="1" applyBorder="1" applyAlignment="1">
      <alignment horizontal="right" vertical="center"/>
    </xf>
    <xf numFmtId="190" fontId="6" fillId="15" borderId="13" xfId="0" applyNumberFormat="1" applyFont="1" applyFill="1" applyBorder="1" applyAlignment="1">
      <alignment horizontal="right" vertical="center"/>
    </xf>
    <xf numFmtId="0" fontId="3" fillId="0" borderId="0" xfId="0" applyFont="1" applyFill="1" applyBorder="1" applyAlignment="1">
      <alignment vertical="center"/>
    </xf>
    <xf numFmtId="0" fontId="6" fillId="3" borderId="0" xfId="0" applyFont="1" applyFill="1" applyBorder="1" applyAlignment="1">
      <alignment horizontal="left"/>
    </xf>
    <xf numFmtId="3" fontId="4" fillId="3" borderId="7" xfId="0" applyNumberFormat="1" applyFont="1" applyFill="1" applyBorder="1" applyAlignment="1">
      <alignment horizontal="center"/>
    </xf>
    <xf numFmtId="0" fontId="6" fillId="3" borderId="13" xfId="0" quotePrefix="1" applyFont="1" applyFill="1" applyBorder="1" applyAlignment="1">
      <alignment horizontal="left" vertical="center"/>
    </xf>
    <xf numFmtId="0" fontId="5" fillId="11" borderId="0" xfId="0" applyFont="1" applyFill="1" applyBorder="1"/>
    <xf numFmtId="0" fontId="6" fillId="3" borderId="10" xfId="0" quotePrefix="1" applyFont="1" applyFill="1" applyBorder="1" applyAlignment="1">
      <alignment horizontal="left" vertical="center"/>
    </xf>
    <xf numFmtId="189" fontId="6" fillId="7" borderId="10" xfId="0" applyNumberFormat="1" applyFont="1" applyFill="1" applyBorder="1" applyAlignment="1">
      <alignment horizontal="right" vertical="center"/>
    </xf>
    <xf numFmtId="189" fontId="6" fillId="3" borderId="10" xfId="0" applyNumberFormat="1" applyFont="1" applyFill="1" applyBorder="1" applyAlignment="1">
      <alignment horizontal="right" vertical="center"/>
    </xf>
    <xf numFmtId="0" fontId="4" fillId="3" borderId="7" xfId="0" applyFont="1" applyFill="1" applyBorder="1" applyAlignment="1">
      <alignment vertical="center" wrapText="1"/>
    </xf>
    <xf numFmtId="3" fontId="4" fillId="7" borderId="7" xfId="0" applyNumberFormat="1" applyFont="1" applyFill="1" applyBorder="1" applyAlignment="1">
      <alignment vertical="center"/>
    </xf>
    <xf numFmtId="3" fontId="4" fillId="3" borderId="7" xfId="0" applyNumberFormat="1" applyFont="1" applyFill="1" applyBorder="1" applyAlignment="1">
      <alignment vertical="center"/>
    </xf>
    <xf numFmtId="190" fontId="4" fillId="7" borderId="7" xfId="0" applyNumberFormat="1" applyFont="1" applyFill="1" applyBorder="1" applyAlignment="1">
      <alignment horizontal="right" vertical="center"/>
    </xf>
    <xf numFmtId="3" fontId="4" fillId="3" borderId="0" xfId="0" applyNumberFormat="1" applyFont="1" applyFill="1" applyBorder="1"/>
    <xf numFmtId="190" fontId="6" fillId="3" borderId="0" xfId="0" applyNumberFormat="1" applyFont="1" applyFill="1" applyBorder="1" applyAlignment="1">
      <alignment horizontal="center" vertical="center"/>
    </xf>
    <xf numFmtId="3" fontId="4" fillId="3" borderId="0" xfId="0" applyNumberFormat="1" applyFont="1" applyFill="1" applyBorder="1" applyAlignment="1">
      <alignment vertical="center"/>
    </xf>
    <xf numFmtId="0" fontId="3" fillId="0" borderId="0" xfId="0" applyFont="1" applyBorder="1" applyAlignment="1">
      <alignment vertical="top" wrapText="1"/>
    </xf>
    <xf numFmtId="0" fontId="0" fillId="0" borderId="0" xfId="0" applyAlignment="1">
      <alignment wrapText="1"/>
    </xf>
    <xf numFmtId="3" fontId="6" fillId="7" borderId="13" xfId="0" quotePrefix="1" applyNumberFormat="1" applyFont="1" applyFill="1" applyBorder="1" applyAlignment="1">
      <alignment horizontal="right" vertical="center"/>
    </xf>
    <xf numFmtId="3" fontId="4" fillId="3" borderId="8" xfId="0" applyNumberFormat="1" applyFont="1" applyFill="1" applyBorder="1" applyAlignment="1">
      <alignment horizontal="center"/>
    </xf>
    <xf numFmtId="0" fontId="6" fillId="0" borderId="0" xfId="0" applyFont="1" applyFill="1"/>
    <xf numFmtId="3" fontId="6" fillId="0" borderId="0" xfId="0" applyNumberFormat="1" applyFont="1" applyFill="1"/>
    <xf numFmtId="190" fontId="6" fillId="7" borderId="0" xfId="0" applyNumberFormat="1" applyFont="1" applyFill="1" applyBorder="1" applyAlignment="1">
      <alignment vertical="center"/>
    </xf>
    <xf numFmtId="0" fontId="3" fillId="0" borderId="0" xfId="0" applyFont="1" applyFill="1" applyAlignment="1">
      <alignment horizontal="center" vertical="top"/>
    </xf>
    <xf numFmtId="3" fontId="40" fillId="7" borderId="8" xfId="0" applyNumberFormat="1" applyFont="1" applyFill="1" applyBorder="1" applyAlignment="1">
      <alignment horizontal="right"/>
    </xf>
    <xf numFmtId="190" fontId="40" fillId="3" borderId="8" xfId="0" applyNumberFormat="1" applyFont="1" applyFill="1" applyBorder="1" applyAlignment="1">
      <alignment horizontal="center"/>
    </xf>
    <xf numFmtId="0" fontId="23" fillId="0" borderId="0" xfId="0" applyFont="1" applyBorder="1"/>
    <xf numFmtId="0" fontId="4" fillId="3" borderId="5" xfId="0" applyFont="1" applyFill="1" applyBorder="1"/>
    <xf numFmtId="0" fontId="4" fillId="3" borderId="0" xfId="0" applyFont="1" applyFill="1" applyBorder="1"/>
    <xf numFmtId="0" fontId="4" fillId="3" borderId="4" xfId="0" applyFont="1" applyFill="1" applyBorder="1"/>
    <xf numFmtId="3" fontId="4" fillId="7" borderId="4" xfId="0" applyNumberFormat="1" applyFont="1" applyFill="1" applyBorder="1" applyAlignment="1">
      <alignment horizontal="right"/>
    </xf>
    <xf numFmtId="3" fontId="4" fillId="3" borderId="4" xfId="0" applyNumberFormat="1" applyFont="1" applyFill="1" applyBorder="1" applyAlignment="1">
      <alignment horizontal="right"/>
    </xf>
    <xf numFmtId="0" fontId="4" fillId="3" borderId="6" xfId="0" applyFont="1" applyFill="1" applyBorder="1"/>
    <xf numFmtId="0" fontId="4" fillId="3" borderId="8" xfId="0" applyFont="1" applyFill="1" applyBorder="1"/>
    <xf numFmtId="0" fontId="40" fillId="3" borderId="8" xfId="0" applyFont="1" applyFill="1" applyBorder="1"/>
    <xf numFmtId="3" fontId="40" fillId="3" borderId="8" xfId="0" applyNumberFormat="1" applyFont="1" applyFill="1" applyBorder="1" applyAlignment="1">
      <alignment horizontal="right"/>
    </xf>
    <xf numFmtId="3" fontId="51" fillId="7" borderId="44" xfId="0" applyNumberFormat="1" applyFont="1" applyFill="1" applyBorder="1" applyAlignment="1">
      <alignment horizontal="right"/>
    </xf>
    <xf numFmtId="190" fontId="40" fillId="3" borderId="6" xfId="0" applyNumberFormat="1" applyFont="1" applyFill="1" applyBorder="1" applyAlignment="1">
      <alignment horizontal="center"/>
    </xf>
    <xf numFmtId="188" fontId="40" fillId="7" borderId="8" xfId="0" applyNumberFormat="1" applyFont="1" applyFill="1" applyBorder="1" applyAlignment="1">
      <alignment horizontal="right"/>
    </xf>
    <xf numFmtId="0" fontId="4" fillId="3" borderId="0" xfId="0" applyFont="1" applyFill="1" applyBorder="1" applyAlignment="1">
      <alignment vertical="center"/>
    </xf>
    <xf numFmtId="189" fontId="4" fillId="7" borderId="0" xfId="0" applyNumberFormat="1" applyFont="1" applyFill="1" applyBorder="1" applyAlignment="1">
      <alignment horizontal="right" vertical="center"/>
    </xf>
    <xf numFmtId="189" fontId="4" fillId="3" borderId="0" xfId="0" applyNumberFormat="1" applyFont="1" applyFill="1" applyBorder="1" applyAlignment="1">
      <alignment horizontal="right" vertical="center"/>
    </xf>
    <xf numFmtId="0" fontId="5" fillId="6" borderId="0" xfId="0" applyFont="1" applyFill="1" applyBorder="1" applyAlignment="1" applyProtection="1">
      <alignment vertical="center"/>
    </xf>
    <xf numFmtId="0" fontId="20" fillId="0" borderId="4" xfId="0" applyFont="1" applyBorder="1" applyAlignment="1"/>
    <xf numFmtId="0" fontId="0" fillId="0" borderId="0" xfId="0" applyBorder="1" applyAlignment="1">
      <alignment wrapText="1"/>
    </xf>
    <xf numFmtId="190" fontId="4" fillId="3" borderId="7" xfId="0" applyNumberFormat="1" applyFont="1" applyFill="1" applyBorder="1" applyAlignment="1">
      <alignment vertical="center"/>
    </xf>
    <xf numFmtId="190" fontId="6" fillId="3" borderId="0" xfId="0" applyNumberFormat="1" applyFont="1" applyFill="1" applyBorder="1" applyAlignment="1">
      <alignment vertical="center"/>
    </xf>
    <xf numFmtId="0" fontId="4" fillId="3" borderId="21" xfId="0" applyFont="1" applyFill="1" applyBorder="1" applyAlignment="1">
      <alignment vertical="center"/>
    </xf>
    <xf numFmtId="4" fontId="4" fillId="7" borderId="21" xfId="0" applyNumberFormat="1" applyFont="1" applyFill="1" applyBorder="1" applyAlignment="1">
      <alignment vertical="center"/>
    </xf>
    <xf numFmtId="4" fontId="4" fillId="3" borderId="21" xfId="0" applyNumberFormat="1" applyFont="1" applyFill="1" applyBorder="1" applyAlignment="1">
      <alignment vertical="center"/>
    </xf>
    <xf numFmtId="190" fontId="40" fillId="3" borderId="21" xfId="0" applyNumberFormat="1" applyFont="1" applyFill="1" applyBorder="1" applyAlignment="1">
      <alignment horizontal="right" vertical="center"/>
    </xf>
    <xf numFmtId="0" fontId="3" fillId="0" borderId="0" xfId="0" applyFont="1" applyAlignment="1">
      <alignment wrapText="1"/>
    </xf>
    <xf numFmtId="0" fontId="6" fillId="3" borderId="5" xfId="0" applyFont="1" applyFill="1" applyBorder="1" applyAlignment="1">
      <alignment horizontal="left" vertical="center"/>
    </xf>
    <xf numFmtId="0" fontId="6" fillId="7" borderId="5" xfId="0" applyFont="1" applyFill="1" applyBorder="1" applyAlignment="1">
      <alignment horizontal="right" vertical="center"/>
    </xf>
    <xf numFmtId="0" fontId="6" fillId="3" borderId="5" xfId="0" applyFont="1" applyFill="1" applyBorder="1" applyAlignment="1">
      <alignment horizontal="right" vertical="center"/>
    </xf>
    <xf numFmtId="0" fontId="6" fillId="3" borderId="21" xfId="0" applyFont="1" applyFill="1" applyBorder="1" applyAlignment="1">
      <alignment vertical="center"/>
    </xf>
    <xf numFmtId="3" fontId="4" fillId="7" borderId="21" xfId="0" applyNumberFormat="1" applyFont="1" applyFill="1" applyBorder="1" applyAlignment="1">
      <alignment vertical="center"/>
    </xf>
    <xf numFmtId="3" fontId="4" fillId="3" borderId="21" xfId="0" applyNumberFormat="1" applyFont="1" applyFill="1" applyBorder="1" applyAlignment="1">
      <alignment vertical="center"/>
    </xf>
    <xf numFmtId="3" fontId="6" fillId="3" borderId="21" xfId="0" applyNumberFormat="1" applyFont="1" applyFill="1" applyBorder="1" applyAlignment="1">
      <alignment vertical="center"/>
    </xf>
    <xf numFmtId="3" fontId="108" fillId="3" borderId="8" xfId="0" applyNumberFormat="1" applyFont="1" applyFill="1" applyBorder="1" applyAlignment="1">
      <alignment vertical="center"/>
    </xf>
    <xf numFmtId="3" fontId="108" fillId="7" borderId="8" xfId="0" applyNumberFormat="1" applyFont="1" applyFill="1" applyBorder="1" applyAlignment="1">
      <alignment vertical="center"/>
    </xf>
    <xf numFmtId="0" fontId="40" fillId="3" borderId="0" xfId="0" applyFont="1" applyFill="1" applyBorder="1" applyAlignment="1">
      <alignment horizontal="right"/>
    </xf>
    <xf numFmtId="3" fontId="51" fillId="3" borderId="0" xfId="0" applyNumberFormat="1" applyFont="1" applyFill="1" applyBorder="1" applyAlignment="1">
      <alignment horizontal="right" vertical="center"/>
    </xf>
    <xf numFmtId="0" fontId="29" fillId="0" borderId="0" xfId="5" applyFont="1"/>
    <xf numFmtId="0" fontId="18" fillId="0" borderId="0" xfId="5" applyFont="1" applyAlignment="1">
      <alignment horizontal="center"/>
    </xf>
    <xf numFmtId="0" fontId="21" fillId="0" borderId="0" xfId="5" applyFont="1" applyAlignment="1">
      <alignment horizontal="center"/>
    </xf>
    <xf numFmtId="0" fontId="21" fillId="0" borderId="0" xfId="5" applyFont="1"/>
    <xf numFmtId="0" fontId="74" fillId="0" borderId="0" xfId="5" applyFont="1"/>
    <xf numFmtId="0" fontId="75" fillId="0" borderId="0" xfId="5" applyFont="1" applyAlignment="1">
      <alignment horizontal="center"/>
    </xf>
    <xf numFmtId="0" fontId="5" fillId="10" borderId="0" xfId="5" applyFont="1" applyFill="1"/>
    <xf numFmtId="0" fontId="23" fillId="10" borderId="0" xfId="5" applyFont="1" applyFill="1"/>
    <xf numFmtId="0" fontId="35" fillId="10" borderId="0" xfId="5" applyFont="1" applyFill="1" applyAlignment="1">
      <alignment horizontal="center" wrapText="1"/>
    </xf>
    <xf numFmtId="0" fontId="9" fillId="0" borderId="0" xfId="5" applyFont="1"/>
    <xf numFmtId="3" fontId="18" fillId="0" borderId="0" xfId="5" applyNumberFormat="1" applyFont="1" applyAlignment="1">
      <alignment horizontal="right"/>
    </xf>
    <xf numFmtId="3" fontId="18" fillId="0" borderId="0" xfId="5" applyNumberFormat="1" applyFont="1"/>
    <xf numFmtId="3" fontId="57" fillId="0" borderId="0" xfId="5" applyNumberFormat="1" applyFont="1" applyAlignment="1">
      <alignment horizontal="right"/>
    </xf>
    <xf numFmtId="10" fontId="18" fillId="0" borderId="0" xfId="5" applyNumberFormat="1" applyFont="1" applyAlignment="1">
      <alignment horizontal="center"/>
    </xf>
    <xf numFmtId="0" fontId="70" fillId="0" borderId="0" xfId="5" applyFont="1"/>
    <xf numFmtId="3" fontId="57" fillId="0" borderId="0" xfId="5" applyNumberFormat="1" applyFont="1"/>
    <xf numFmtId="10" fontId="57" fillId="0" borderId="0" xfId="5" applyNumberFormat="1" applyFont="1" applyAlignment="1">
      <alignment horizontal="center"/>
    </xf>
    <xf numFmtId="10" fontId="57" fillId="0" borderId="0" xfId="5" applyNumberFormat="1" applyFont="1" applyAlignment="1">
      <alignment horizontal="right"/>
    </xf>
    <xf numFmtId="10" fontId="57" fillId="0" borderId="0" xfId="5" applyNumberFormat="1" applyFont="1"/>
    <xf numFmtId="0" fontId="5" fillId="0" borderId="0" xfId="5" applyAlignment="1">
      <alignment horizontal="right"/>
    </xf>
    <xf numFmtId="3" fontId="57" fillId="0" borderId="0" xfId="5" applyNumberFormat="1" applyFont="1" applyFill="1" applyAlignment="1">
      <alignment horizontal="right"/>
    </xf>
    <xf numFmtId="3" fontId="18" fillId="0" borderId="0" xfId="5" applyNumberFormat="1" applyFont="1" applyFill="1" applyAlignment="1">
      <alignment horizontal="right"/>
    </xf>
    <xf numFmtId="3" fontId="18" fillId="0" borderId="0" xfId="5" applyNumberFormat="1" applyFont="1" applyFill="1"/>
    <xf numFmtId="10" fontId="18" fillId="0" borderId="0" xfId="5" applyNumberFormat="1" applyFont="1"/>
    <xf numFmtId="3" fontId="57" fillId="0" borderId="0" xfId="5" applyNumberFormat="1" applyFont="1" applyFill="1"/>
    <xf numFmtId="10" fontId="57" fillId="0" borderId="0" xfId="5" applyNumberFormat="1" applyFont="1" applyFill="1"/>
    <xf numFmtId="0" fontId="21" fillId="0" borderId="0" xfId="5" quotePrefix="1" applyFont="1"/>
    <xf numFmtId="0" fontId="76" fillId="0" borderId="0" xfId="5" applyFont="1" applyAlignment="1">
      <alignment horizontal="center"/>
    </xf>
    <xf numFmtId="0" fontId="21" fillId="0" borderId="0" xfId="5" applyFont="1" applyAlignment="1">
      <alignment vertical="center"/>
    </xf>
    <xf numFmtId="0" fontId="31" fillId="0" borderId="22" xfId="5" applyFont="1" applyBorder="1"/>
    <xf numFmtId="0" fontId="5" fillId="0" borderId="14" xfId="5" applyFont="1" applyBorder="1"/>
    <xf numFmtId="0" fontId="5" fillId="0" borderId="5" xfId="5" applyFont="1" applyBorder="1"/>
    <xf numFmtId="0" fontId="5" fillId="0" borderId="14" xfId="5" applyBorder="1"/>
    <xf numFmtId="0" fontId="5" fillId="0" borderId="5" xfId="5" applyBorder="1"/>
    <xf numFmtId="0" fontId="5" fillId="0" borderId="17" xfId="5" applyFont="1" applyBorder="1" applyAlignment="1">
      <alignment horizontal="center"/>
    </xf>
    <xf numFmtId="0" fontId="31" fillId="0" borderId="2" xfId="5" applyFont="1" applyBorder="1"/>
    <xf numFmtId="0" fontId="5" fillId="0" borderId="0" xfId="5" applyFont="1" applyBorder="1" applyAlignment="1">
      <alignment horizontal="center"/>
    </xf>
    <xf numFmtId="0" fontId="5" fillId="0" borderId="0" xfId="5" applyFont="1" applyBorder="1"/>
    <xf numFmtId="0" fontId="5" fillId="0" borderId="12" xfId="5" applyBorder="1"/>
    <xf numFmtId="0" fontId="5" fillId="0" borderId="0" xfId="5" applyBorder="1"/>
    <xf numFmtId="0" fontId="30" fillId="0" borderId="23" xfId="5" applyFont="1" applyBorder="1"/>
    <xf numFmtId="0" fontId="9" fillId="0" borderId="4" xfId="5" applyFont="1" applyBorder="1"/>
    <xf numFmtId="0" fontId="5" fillId="0" borderId="20" xfId="5" applyBorder="1"/>
    <xf numFmtId="0" fontId="5" fillId="0" borderId="4" xfId="5" applyBorder="1"/>
    <xf numFmtId="0" fontId="9" fillId="0" borderId="17" xfId="5" applyFont="1" applyBorder="1" applyAlignment="1">
      <alignment horizontal="center"/>
    </xf>
    <xf numFmtId="0" fontId="21" fillId="0" borderId="8" xfId="5" applyFont="1" applyFill="1" applyBorder="1" applyAlignment="1"/>
    <xf numFmtId="0" fontId="18" fillId="0" borderId="0" xfId="5" quotePrefix="1" applyFont="1" applyAlignment="1"/>
    <xf numFmtId="0" fontId="5" fillId="0" borderId="0" xfId="5" applyAlignment="1"/>
    <xf numFmtId="190" fontId="4" fillId="3" borderId="44" xfId="0" applyNumberFormat="1" applyFont="1" applyFill="1" applyBorder="1" applyAlignment="1">
      <alignment horizontal="center"/>
    </xf>
    <xf numFmtId="0" fontId="4" fillId="13" borderId="5" xfId="0" applyFont="1" applyFill="1" applyBorder="1" applyAlignment="1">
      <alignment horizontal="left" vertical="center"/>
    </xf>
    <xf numFmtId="0" fontId="4" fillId="13" borderId="5" xfId="0" applyFont="1" applyFill="1" applyBorder="1" applyAlignment="1">
      <alignment horizontal="right" vertical="center"/>
    </xf>
    <xf numFmtId="0" fontId="4" fillId="12" borderId="5" xfId="0" applyFont="1" applyFill="1" applyBorder="1" applyAlignment="1">
      <alignment horizontal="left" vertical="center"/>
    </xf>
    <xf numFmtId="0" fontId="4" fillId="12" borderId="5" xfId="0" applyFont="1" applyFill="1" applyBorder="1" applyAlignment="1">
      <alignment horizontal="right" vertical="center"/>
    </xf>
    <xf numFmtId="0" fontId="4" fillId="7" borderId="0" xfId="0" applyFont="1" applyFill="1" applyBorder="1" applyAlignment="1">
      <alignment horizontal="right" vertical="center"/>
    </xf>
    <xf numFmtId="189" fontId="4" fillId="3" borderId="7" xfId="0" applyNumberFormat="1" applyFont="1" applyFill="1" applyBorder="1" applyAlignment="1">
      <alignment horizontal="center"/>
    </xf>
    <xf numFmtId="0" fontId="2" fillId="0" borderId="0" xfId="0" applyFont="1" applyAlignment="1">
      <alignment horizontal="right" vertical="center"/>
    </xf>
    <xf numFmtId="3" fontId="2" fillId="0" borderId="0" xfId="0" applyNumberFormat="1" applyFont="1" applyAlignment="1">
      <alignment horizontal="right" vertical="center"/>
    </xf>
    <xf numFmtId="2" fontId="5" fillId="0" borderId="0" xfId="0" applyNumberFormat="1" applyFont="1"/>
    <xf numFmtId="3" fontId="4" fillId="7" borderId="10" xfId="0" applyNumberFormat="1" applyFont="1" applyFill="1" applyBorder="1" applyAlignment="1">
      <alignment horizontal="right"/>
    </xf>
    <xf numFmtId="1" fontId="4" fillId="3" borderId="5" xfId="0" quotePrefix="1" applyNumberFormat="1" applyFont="1" applyFill="1" applyBorder="1" applyAlignment="1">
      <alignment horizontal="right"/>
    </xf>
    <xf numFmtId="3" fontId="4" fillId="7" borderId="44" xfId="0" applyNumberFormat="1" applyFont="1" applyFill="1" applyBorder="1" applyAlignment="1">
      <alignment horizontal="right"/>
    </xf>
    <xf numFmtId="1" fontId="4" fillId="3" borderId="44" xfId="0" quotePrefix="1" applyNumberFormat="1" applyFont="1" applyFill="1" applyBorder="1" applyAlignment="1">
      <alignment horizontal="right"/>
    </xf>
    <xf numFmtId="1" fontId="4" fillId="3" borderId="7" xfId="0" quotePrefix="1" applyNumberFormat="1" applyFont="1" applyFill="1" applyBorder="1" applyAlignment="1">
      <alignment horizontal="right"/>
    </xf>
    <xf numFmtId="1" fontId="4" fillId="3" borderId="6" xfId="0" quotePrefix="1" applyNumberFormat="1" applyFont="1" applyFill="1" applyBorder="1" applyAlignment="1">
      <alignment horizontal="right"/>
    </xf>
    <xf numFmtId="1" fontId="4" fillId="3" borderId="6" xfId="0" quotePrefix="1" applyNumberFormat="1" applyFont="1" applyFill="1" applyBorder="1" applyAlignment="1">
      <alignment horizontal="right" vertical="center"/>
    </xf>
    <xf numFmtId="3" fontId="4" fillId="7" borderId="6" xfId="0" applyNumberFormat="1" applyFont="1" applyFill="1" applyBorder="1" applyAlignment="1">
      <alignment horizontal="right" vertical="center"/>
    </xf>
    <xf numFmtId="0" fontId="5" fillId="0" borderId="0" xfId="0" applyFont="1" applyBorder="1" applyAlignment="1">
      <alignment vertical="top"/>
    </xf>
    <xf numFmtId="0" fontId="40" fillId="3" borderId="5" xfId="0" applyFont="1" applyFill="1" applyBorder="1" applyAlignment="1">
      <alignment horizontal="right"/>
    </xf>
    <xf numFmtId="0" fontId="40" fillId="3" borderId="4" xfId="0" applyFont="1" applyFill="1" applyBorder="1" applyAlignment="1">
      <alignment horizontal="right" vertical="top"/>
    </xf>
    <xf numFmtId="3" fontId="40" fillId="3" borderId="6" xfId="0" applyNumberFormat="1" applyFont="1" applyFill="1" applyBorder="1"/>
    <xf numFmtId="0" fontId="0" fillId="0" borderId="0" xfId="0" applyNumberFormat="1"/>
    <xf numFmtId="0" fontId="5" fillId="0" borderId="0" xfId="0" quotePrefix="1" applyFont="1"/>
    <xf numFmtId="0" fontId="5" fillId="0" borderId="0" xfId="0" applyNumberFormat="1" applyFont="1" applyFill="1"/>
    <xf numFmtId="0" fontId="4" fillId="14" borderId="0" xfId="0" applyFont="1" applyFill="1" applyAlignment="1">
      <alignment horizontal="left"/>
    </xf>
    <xf numFmtId="0" fontId="4" fillId="14" borderId="0" xfId="0" applyFont="1" applyFill="1"/>
    <xf numFmtId="0" fontId="40" fillId="14" borderId="0" xfId="0" applyFont="1" applyFill="1" applyAlignment="1">
      <alignment horizontal="left"/>
    </xf>
    <xf numFmtId="0" fontId="40" fillId="14" borderId="0" xfId="0" applyFont="1" applyFill="1"/>
    <xf numFmtId="0" fontId="23" fillId="14" borderId="0" xfId="0" applyFont="1" applyFill="1"/>
    <xf numFmtId="0" fontId="72" fillId="14" borderId="0" xfId="0" applyFont="1" applyFill="1" applyAlignment="1"/>
    <xf numFmtId="0" fontId="10" fillId="0" borderId="0" xfId="0" applyFont="1"/>
    <xf numFmtId="0" fontId="110" fillId="0" borderId="0" xfId="0" applyFont="1"/>
    <xf numFmtId="0" fontId="2" fillId="0" borderId="0" xfId="0" applyFont="1" applyFill="1" applyBorder="1"/>
    <xf numFmtId="0" fontId="4" fillId="3" borderId="5" xfId="0" applyFont="1" applyFill="1" applyBorder="1" applyAlignment="1">
      <alignment horizontal="left" vertical="center"/>
    </xf>
    <xf numFmtId="0" fontId="6" fillId="0" borderId="0" xfId="0" applyFont="1" applyFill="1" applyBorder="1" applyAlignment="1">
      <alignment horizontal="center" vertical="center"/>
    </xf>
    <xf numFmtId="0" fontId="4" fillId="0" borderId="0" xfId="0" applyFont="1" applyFill="1" applyBorder="1" applyAlignment="1">
      <alignment horizontal="right" vertical="center"/>
    </xf>
    <xf numFmtId="0" fontId="6" fillId="7" borderId="0" xfId="0" applyNumberFormat="1" applyFont="1" applyFill="1" applyBorder="1" applyAlignment="1">
      <alignment horizontal="right"/>
    </xf>
    <xf numFmtId="0" fontId="6" fillId="3" borderId="0" xfId="0" applyNumberFormat="1" applyFont="1" applyFill="1" applyBorder="1" applyAlignment="1">
      <alignment horizontal="right"/>
    </xf>
    <xf numFmtId="0" fontId="4" fillId="0" borderId="0" xfId="0" applyFont="1" applyFill="1" applyBorder="1" applyAlignment="1">
      <alignment horizontal="center"/>
    </xf>
    <xf numFmtId="0" fontId="6" fillId="0" borderId="0" xfId="0" applyNumberFormat="1" applyFont="1" applyFill="1" applyBorder="1" applyAlignment="1">
      <alignment horizontal="right"/>
    </xf>
    <xf numFmtId="0" fontId="4" fillId="0" borderId="0" xfId="0" applyFont="1" applyFill="1" applyBorder="1" applyAlignment="1">
      <alignment horizontal="center" vertical="top"/>
    </xf>
    <xf numFmtId="3" fontId="4" fillId="0" borderId="0" xfId="0" applyNumberFormat="1" applyFont="1" applyFill="1" applyBorder="1" applyAlignment="1">
      <alignment horizontal="right"/>
    </xf>
    <xf numFmtId="190" fontId="4" fillId="0" borderId="0" xfId="0" applyNumberFormat="1" applyFont="1" applyFill="1" applyBorder="1" applyAlignment="1">
      <alignment horizontal="center"/>
    </xf>
    <xf numFmtId="188" fontId="6" fillId="3" borderId="0" xfId="0" applyNumberFormat="1" applyFont="1" applyFill="1" applyBorder="1" applyAlignment="1">
      <alignment horizontal="left" vertical="center"/>
    </xf>
    <xf numFmtId="190" fontId="6" fillId="0" borderId="0" xfId="0" applyNumberFormat="1" applyFont="1" applyFill="1" applyBorder="1" applyAlignment="1">
      <alignment horizontal="center" vertical="center"/>
    </xf>
    <xf numFmtId="2" fontId="5" fillId="0" borderId="9" xfId="0" applyNumberFormat="1" applyFont="1" applyBorder="1"/>
    <xf numFmtId="3" fontId="4" fillId="0" borderId="9" xfId="0" applyNumberFormat="1" applyFont="1" applyBorder="1" applyAlignment="1">
      <alignment horizontal="center" vertical="top"/>
    </xf>
    <xf numFmtId="3" fontId="4" fillId="0" borderId="0" xfId="0" applyNumberFormat="1" applyFont="1" applyBorder="1" applyAlignment="1">
      <alignment horizontal="center" vertical="top"/>
    </xf>
    <xf numFmtId="2" fontId="5" fillId="0" borderId="0" xfId="0" applyNumberFormat="1" applyFont="1" applyBorder="1"/>
    <xf numFmtId="188" fontId="5" fillId="0" borderId="0" xfId="0" applyNumberFormat="1" applyFont="1" applyBorder="1"/>
    <xf numFmtId="0" fontId="40" fillId="7" borderId="5" xfId="0" applyFont="1" applyFill="1" applyBorder="1" applyAlignment="1">
      <alignment horizontal="center"/>
    </xf>
    <xf numFmtId="3" fontId="6" fillId="7" borderId="0" xfId="0" applyNumberFormat="1" applyFont="1" applyFill="1" applyBorder="1" applyAlignment="1">
      <alignment horizontal="right"/>
    </xf>
    <xf numFmtId="3" fontId="4" fillId="7" borderId="0" xfId="0" applyNumberFormat="1" applyFont="1" applyFill="1" applyBorder="1" applyAlignment="1">
      <alignment horizontal="center"/>
    </xf>
    <xf numFmtId="3" fontId="6" fillId="7" borderId="0" xfId="0" applyNumberFormat="1" applyFont="1" applyFill="1" applyBorder="1" applyAlignment="1">
      <alignment horizontal="right" vertical="top"/>
    </xf>
    <xf numFmtId="0" fontId="4" fillId="3" borderId="0" xfId="0" applyFont="1" applyFill="1" applyBorder="1" applyAlignment="1">
      <alignment horizontal="center" vertical="top"/>
    </xf>
    <xf numFmtId="3" fontId="4" fillId="7" borderId="0" xfId="0" applyNumberFormat="1" applyFont="1" applyFill="1" applyBorder="1" applyAlignment="1">
      <alignment horizontal="center" vertical="top"/>
    </xf>
    <xf numFmtId="3" fontId="6" fillId="7" borderId="6" xfId="0" applyNumberFormat="1" applyFont="1" applyFill="1" applyBorder="1"/>
    <xf numFmtId="3" fontId="4" fillId="7" borderId="6" xfId="0" applyNumberFormat="1" applyFont="1" applyFill="1" applyBorder="1" applyAlignment="1">
      <alignment horizontal="center"/>
    </xf>
    <xf numFmtId="3" fontId="6" fillId="7" borderId="8" xfId="0" applyNumberFormat="1" applyFont="1" applyFill="1" applyBorder="1"/>
    <xf numFmtId="3" fontId="4" fillId="7" borderId="8" xfId="0" applyNumberFormat="1" applyFont="1" applyFill="1" applyBorder="1" applyAlignment="1">
      <alignment horizontal="center"/>
    </xf>
    <xf numFmtId="3" fontId="4" fillId="7" borderId="10" xfId="0" applyNumberFormat="1" applyFont="1" applyFill="1" applyBorder="1" applyAlignment="1">
      <alignment horizontal="center"/>
    </xf>
    <xf numFmtId="190" fontId="4" fillId="7" borderId="10" xfId="0" applyNumberFormat="1" applyFont="1" applyFill="1" applyBorder="1" applyAlignment="1">
      <alignment horizontal="center"/>
    </xf>
    <xf numFmtId="3" fontId="4" fillId="7" borderId="44" xfId="0" applyNumberFormat="1" applyFont="1" applyFill="1" applyBorder="1" applyAlignment="1">
      <alignment horizontal="center"/>
    </xf>
    <xf numFmtId="3" fontId="4" fillId="3" borderId="44" xfId="0" applyNumberFormat="1" applyFont="1" applyFill="1" applyBorder="1" applyAlignment="1">
      <alignment horizontal="center"/>
    </xf>
    <xf numFmtId="3" fontId="4" fillId="7" borderId="7" xfId="0" applyNumberFormat="1" applyFont="1" applyFill="1" applyBorder="1" applyAlignment="1">
      <alignment horizontal="center"/>
    </xf>
    <xf numFmtId="3" fontId="6" fillId="3" borderId="6" xfId="0" applyNumberFormat="1" applyFont="1" applyFill="1" applyBorder="1" applyAlignment="1">
      <alignment horizontal="center" vertical="center"/>
    </xf>
    <xf numFmtId="0" fontId="4" fillId="16" borderId="5" xfId="0" applyFont="1" applyFill="1" applyBorder="1" applyAlignment="1">
      <alignment horizontal="left"/>
    </xf>
    <xf numFmtId="0" fontId="6" fillId="16" borderId="5" xfId="0" applyFont="1" applyFill="1" applyBorder="1" applyAlignment="1">
      <alignment horizontal="right"/>
    </xf>
    <xf numFmtId="3" fontId="4" fillId="3" borderId="0" xfId="0" applyNumberFormat="1" applyFont="1" applyFill="1" applyBorder="1" applyAlignment="1">
      <alignment horizontal="center"/>
    </xf>
    <xf numFmtId="0" fontId="4" fillId="7" borderId="0" xfId="0" applyFont="1" applyFill="1" applyBorder="1" applyAlignment="1">
      <alignment horizontal="center" vertical="top"/>
    </xf>
    <xf numFmtId="3" fontId="6" fillId="3" borderId="0" xfId="0" applyNumberFormat="1" applyFont="1" applyFill="1" applyBorder="1" applyAlignment="1">
      <alignment horizontal="right" vertical="top"/>
    </xf>
    <xf numFmtId="3" fontId="6" fillId="3" borderId="6" xfId="0" applyNumberFormat="1" applyFont="1" applyFill="1" applyBorder="1"/>
    <xf numFmtId="3" fontId="4" fillId="7" borderId="8" xfId="0" quotePrefix="1" applyNumberFormat="1" applyFont="1" applyFill="1" applyBorder="1"/>
    <xf numFmtId="3" fontId="6" fillId="3" borderId="8" xfId="0" applyNumberFormat="1" applyFont="1" applyFill="1" applyBorder="1"/>
    <xf numFmtId="3" fontId="111" fillId="0" borderId="0" xfId="0" applyNumberFormat="1" applyFont="1" applyAlignment="1">
      <alignment horizontal="right"/>
    </xf>
    <xf numFmtId="0" fontId="2" fillId="0" borderId="0" xfId="0" applyFont="1" applyFill="1" applyAlignment="1">
      <alignment horizontal="right"/>
    </xf>
    <xf numFmtId="0" fontId="2" fillId="0" borderId="0" xfId="0" applyFont="1" applyFill="1" applyAlignment="1">
      <alignment horizontal="left"/>
    </xf>
    <xf numFmtId="0" fontId="3" fillId="11" borderId="0" xfId="0" applyFont="1" applyFill="1" applyBorder="1" applyAlignment="1">
      <alignment horizontal="right" vertical="top"/>
    </xf>
    <xf numFmtId="0" fontId="0" fillId="11" borderId="0" xfId="0" applyFill="1" applyBorder="1" applyAlignment="1">
      <alignment horizontal="right"/>
    </xf>
    <xf numFmtId="0" fontId="4" fillId="11" borderId="0" xfId="0" applyFont="1" applyFill="1" applyBorder="1" applyAlignment="1">
      <alignment horizontal="right"/>
    </xf>
    <xf numFmtId="3" fontId="4" fillId="3" borderId="0" xfId="0" applyNumberFormat="1" applyFont="1" applyFill="1" applyBorder="1" applyAlignment="1">
      <alignment horizontal="right" vertical="center"/>
    </xf>
    <xf numFmtId="3" fontId="4" fillId="7" borderId="4" xfId="0" applyNumberFormat="1" applyFont="1" applyFill="1" applyBorder="1" applyAlignment="1">
      <alignment horizontal="right" vertical="center"/>
    </xf>
    <xf numFmtId="3" fontId="4" fillId="3" borderId="0" xfId="0" applyNumberFormat="1" applyFont="1" applyFill="1" applyBorder="1" applyAlignment="1">
      <alignment horizontal="right" vertical="top"/>
    </xf>
    <xf numFmtId="3" fontId="4" fillId="11" borderId="0" xfId="0" applyNumberFormat="1" applyFont="1" applyFill="1" applyBorder="1" applyAlignment="1">
      <alignment horizontal="right" vertical="top"/>
    </xf>
    <xf numFmtId="189" fontId="4" fillId="7" borderId="6" xfId="0" applyNumberFormat="1" applyFont="1" applyFill="1" applyBorder="1"/>
    <xf numFmtId="189" fontId="4" fillId="3" borderId="6" xfId="0" applyNumberFormat="1" applyFont="1" applyFill="1" applyBorder="1"/>
    <xf numFmtId="189" fontId="4" fillId="3" borderId="6" xfId="0" applyNumberFormat="1" applyFont="1" applyFill="1" applyBorder="1" applyAlignment="1">
      <alignment horizontal="right"/>
    </xf>
    <xf numFmtId="189" fontId="6" fillId="7" borderId="6" xfId="0" applyNumberFormat="1" applyFont="1" applyFill="1" applyBorder="1" applyAlignment="1">
      <alignment horizontal="right"/>
    </xf>
    <xf numFmtId="189" fontId="4" fillId="7" borderId="6" xfId="0" applyNumberFormat="1" applyFont="1" applyFill="1" applyBorder="1" applyAlignment="1">
      <alignment horizontal="right"/>
    </xf>
    <xf numFmtId="189" fontId="4" fillId="11" borderId="0" xfId="0" applyNumberFormat="1" applyFont="1" applyFill="1" applyBorder="1" applyAlignment="1">
      <alignment horizontal="right"/>
    </xf>
    <xf numFmtId="189" fontId="5" fillId="0" borderId="0" xfId="0" applyNumberFormat="1" applyFont="1"/>
    <xf numFmtId="189" fontId="40" fillId="7" borderId="6" xfId="0" applyNumberFormat="1" applyFont="1" applyFill="1" applyBorder="1" applyAlignment="1">
      <alignment vertical="center"/>
    </xf>
    <xf numFmtId="189" fontId="40" fillId="3" borderId="6" xfId="0" applyNumberFormat="1" applyFont="1" applyFill="1" applyBorder="1" applyAlignment="1">
      <alignment vertical="center"/>
    </xf>
    <xf numFmtId="189" fontId="4" fillId="3" borderId="6" xfId="0" applyNumberFormat="1" applyFont="1" applyFill="1" applyBorder="1" applyAlignment="1">
      <alignment horizontal="right" vertical="center"/>
    </xf>
    <xf numFmtId="189" fontId="6" fillId="7" borderId="6" xfId="0" applyNumberFormat="1" applyFont="1" applyFill="1" applyBorder="1" applyAlignment="1">
      <alignment horizontal="right" vertical="center"/>
    </xf>
    <xf numFmtId="189" fontId="40" fillId="7" borderId="6" xfId="0" applyNumberFormat="1" applyFont="1" applyFill="1" applyBorder="1" applyAlignment="1">
      <alignment horizontal="right" vertical="center"/>
    </xf>
    <xf numFmtId="189" fontId="40" fillId="3" borderId="13" xfId="0" applyNumberFormat="1" applyFont="1" applyFill="1" applyBorder="1" applyAlignment="1">
      <alignment horizontal="right" vertical="center"/>
    </xf>
    <xf numFmtId="189" fontId="6" fillId="11" borderId="0" xfId="0" applyNumberFormat="1" applyFont="1" applyFill="1" applyBorder="1" applyAlignment="1">
      <alignment horizontal="right" vertical="center"/>
    </xf>
    <xf numFmtId="0" fontId="4" fillId="16" borderId="5" xfId="0" applyFont="1" applyFill="1" applyBorder="1" applyAlignment="1">
      <alignment horizontal="right"/>
    </xf>
    <xf numFmtId="0" fontId="4" fillId="3" borderId="14" xfId="0" applyFont="1" applyFill="1" applyBorder="1" applyAlignment="1">
      <alignment horizontal="left"/>
    </xf>
    <xf numFmtId="0" fontId="4" fillId="16" borderId="22" xfId="0" applyFont="1" applyFill="1" applyBorder="1" applyAlignment="1"/>
    <xf numFmtId="0" fontId="0" fillId="16" borderId="5" xfId="0" applyFill="1" applyBorder="1" applyAlignment="1"/>
    <xf numFmtId="0" fontId="6" fillId="16" borderId="5" xfId="0" applyFont="1" applyFill="1" applyBorder="1" applyAlignment="1"/>
    <xf numFmtId="0" fontId="4" fillId="16" borderId="5" xfId="0" applyFont="1" applyFill="1" applyBorder="1" applyAlignment="1"/>
    <xf numFmtId="0" fontId="4" fillId="16" borderId="14" xfId="0" applyFont="1" applyFill="1" applyBorder="1" applyAlignment="1"/>
    <xf numFmtId="3" fontId="6" fillId="3" borderId="0" xfId="0" applyNumberFormat="1" applyFont="1" applyFill="1" applyBorder="1" applyAlignment="1"/>
    <xf numFmtId="0" fontId="4" fillId="7" borderId="0" xfId="0" applyFont="1" applyFill="1" applyAlignment="1">
      <alignment horizontal="center"/>
    </xf>
    <xf numFmtId="0" fontId="4" fillId="3" borderId="12" xfId="0" applyFont="1" applyFill="1" applyBorder="1" applyAlignment="1">
      <alignment horizontal="left"/>
    </xf>
    <xf numFmtId="0" fontId="4" fillId="16" borderId="0" xfId="0" applyFont="1" applyFill="1" applyBorder="1" applyAlignment="1"/>
    <xf numFmtId="3" fontId="4" fillId="16" borderId="0" xfId="0" applyNumberFormat="1" applyFont="1" applyFill="1" applyBorder="1" applyAlignment="1"/>
    <xf numFmtId="3" fontId="6" fillId="16" borderId="0" xfId="0" applyNumberFormat="1" applyFont="1" applyFill="1" applyBorder="1" applyAlignment="1"/>
    <xf numFmtId="0" fontId="4" fillId="16" borderId="12" xfId="0" applyFont="1" applyFill="1" applyBorder="1" applyAlignment="1"/>
    <xf numFmtId="0" fontId="28" fillId="16" borderId="0" xfId="0" applyFont="1" applyFill="1" applyBorder="1" applyAlignment="1"/>
    <xf numFmtId="0" fontId="4" fillId="16" borderId="20" xfId="0" applyFont="1" applyFill="1" applyBorder="1" applyAlignment="1"/>
    <xf numFmtId="0" fontId="6" fillId="3" borderId="0" xfId="0" applyFont="1" applyFill="1" applyBorder="1" applyAlignment="1"/>
    <xf numFmtId="0" fontId="4" fillId="7" borderId="22" xfId="0" applyFont="1" applyFill="1" applyBorder="1" applyAlignment="1">
      <alignment horizontal="center"/>
    </xf>
    <xf numFmtId="0" fontId="28" fillId="3" borderId="24" xfId="0" applyFont="1" applyFill="1" applyBorder="1" applyAlignment="1">
      <alignment horizontal="center"/>
    </xf>
    <xf numFmtId="0" fontId="4" fillId="7" borderId="24" xfId="0" applyFont="1" applyFill="1" applyBorder="1" applyAlignment="1">
      <alignment horizontal="center"/>
    </xf>
    <xf numFmtId="0" fontId="4" fillId="7" borderId="2" xfId="0" applyFont="1" applyFill="1" applyBorder="1" applyAlignment="1">
      <alignment horizontal="center"/>
    </xf>
    <xf numFmtId="3" fontId="4" fillId="3" borderId="25" xfId="0" applyNumberFormat="1" applyFont="1" applyFill="1" applyBorder="1" applyAlignment="1">
      <alignment horizontal="center"/>
    </xf>
    <xf numFmtId="0" fontId="4" fillId="7" borderId="25" xfId="0" applyFont="1" applyFill="1" applyBorder="1" applyAlignment="1">
      <alignment horizontal="center"/>
    </xf>
    <xf numFmtId="0" fontId="4" fillId="17" borderId="25" xfId="0" applyFont="1" applyFill="1" applyBorder="1" applyAlignment="1">
      <alignment horizontal="center"/>
    </xf>
    <xf numFmtId="0" fontId="4" fillId="3" borderId="25" xfId="0" applyFont="1" applyFill="1" applyBorder="1" applyAlignment="1">
      <alignment horizontal="center" vertical="top"/>
    </xf>
    <xf numFmtId="0" fontId="4" fillId="3" borderId="25" xfId="0" applyFont="1" applyFill="1" applyBorder="1" applyAlignment="1">
      <alignment horizontal="center"/>
    </xf>
    <xf numFmtId="0" fontId="4" fillId="7" borderId="23" xfId="0" applyFont="1" applyFill="1" applyBorder="1" applyAlignment="1">
      <alignment vertical="top"/>
    </xf>
    <xf numFmtId="0" fontId="4" fillId="3" borderId="19" xfId="0" applyFont="1" applyFill="1" applyBorder="1" applyAlignment="1">
      <alignment horizontal="center" vertical="top"/>
    </xf>
    <xf numFmtId="0" fontId="4" fillId="3" borderId="19" xfId="0" applyFont="1" applyFill="1" applyBorder="1" applyAlignment="1">
      <alignment vertical="top"/>
    </xf>
    <xf numFmtId="0" fontId="4" fillId="7" borderId="19" xfId="0" applyFont="1" applyFill="1" applyBorder="1" applyAlignment="1">
      <alignment horizontal="center" vertical="top"/>
    </xf>
    <xf numFmtId="3" fontId="6" fillId="3" borderId="4" xfId="0" applyNumberFormat="1" applyFont="1" applyFill="1" applyBorder="1" applyAlignment="1">
      <alignment vertical="top"/>
    </xf>
    <xf numFmtId="3" fontId="6" fillId="3" borderId="7" xfId="0" applyNumberFormat="1" applyFont="1" applyFill="1" applyBorder="1" applyAlignment="1">
      <alignment horizontal="right"/>
    </xf>
    <xf numFmtId="3" fontId="6" fillId="3" borderId="26" xfId="0" applyNumberFormat="1" applyFont="1" applyFill="1" applyBorder="1" applyAlignment="1">
      <alignment vertical="center"/>
    </xf>
    <xf numFmtId="3" fontId="40" fillId="7" borderId="0" xfId="0" applyNumberFormat="1" applyFont="1" applyFill="1" applyBorder="1" applyAlignment="1">
      <alignment horizontal="right" vertical="center"/>
    </xf>
    <xf numFmtId="3" fontId="40" fillId="3" borderId="0" xfId="0" applyNumberFormat="1" applyFont="1" applyFill="1" applyBorder="1" applyAlignment="1">
      <alignment horizontal="right" vertical="center"/>
    </xf>
    <xf numFmtId="3" fontId="4" fillId="3" borderId="21" xfId="0" applyNumberFormat="1" applyFont="1" applyFill="1" applyBorder="1" applyAlignment="1">
      <alignment vertical="center" wrapText="1"/>
    </xf>
    <xf numFmtId="189" fontId="40" fillId="7" borderId="21" xfId="0" applyNumberFormat="1" applyFont="1" applyFill="1" applyBorder="1" applyAlignment="1">
      <alignment horizontal="right" vertical="center"/>
    </xf>
    <xf numFmtId="189" fontId="6" fillId="7" borderId="21" xfId="0" applyNumberFormat="1" applyFont="1" applyFill="1" applyBorder="1" applyAlignment="1">
      <alignment horizontal="right" vertical="center"/>
    </xf>
    <xf numFmtId="190" fontId="6" fillId="7" borderId="21" xfId="0" applyNumberFormat="1" applyFont="1" applyFill="1" applyBorder="1" applyAlignment="1">
      <alignment horizontal="center" vertical="center"/>
    </xf>
    <xf numFmtId="189" fontId="40" fillId="7" borderId="7" xfId="0" applyNumberFormat="1" applyFont="1" applyFill="1" applyBorder="1" applyAlignment="1">
      <alignment horizontal="right"/>
    </xf>
    <xf numFmtId="189" fontId="40" fillId="7" borderId="6" xfId="0" applyNumberFormat="1" applyFont="1" applyFill="1" applyBorder="1" applyAlignment="1">
      <alignment horizontal="right"/>
    </xf>
    <xf numFmtId="189" fontId="4" fillId="0" borderId="0" xfId="0" applyNumberFormat="1" applyFont="1"/>
    <xf numFmtId="10" fontId="5" fillId="0" borderId="0" xfId="0" applyNumberFormat="1" applyFont="1"/>
    <xf numFmtId="3" fontId="4" fillId="3" borderId="4" xfId="0" applyNumberFormat="1" applyFont="1" applyFill="1" applyBorder="1" applyAlignment="1">
      <alignment horizontal="right" vertical="center"/>
    </xf>
    <xf numFmtId="190" fontId="4" fillId="3" borderId="43" xfId="0" applyNumberFormat="1" applyFont="1" applyFill="1" applyBorder="1" applyAlignment="1">
      <alignment horizontal="right"/>
    </xf>
    <xf numFmtId="3" fontId="4" fillId="7" borderId="43" xfId="0" applyNumberFormat="1" applyFont="1" applyFill="1" applyBorder="1" applyAlignment="1">
      <alignment horizontal="right"/>
    </xf>
    <xf numFmtId="3" fontId="4" fillId="3" borderId="43" xfId="0" applyNumberFormat="1" applyFont="1" applyFill="1" applyBorder="1" applyAlignment="1">
      <alignment horizontal="right"/>
    </xf>
    <xf numFmtId="3" fontId="4" fillId="3" borderId="6" xfId="0" applyNumberFormat="1" applyFont="1" applyFill="1" applyBorder="1" applyAlignment="1">
      <alignment horizontal="right" vertical="center"/>
    </xf>
    <xf numFmtId="0" fontId="4" fillId="16" borderId="5" xfId="0" applyFont="1" applyFill="1" applyBorder="1" applyAlignment="1">
      <alignment horizontal="center"/>
    </xf>
    <xf numFmtId="189" fontId="4" fillId="7" borderId="5" xfId="0" applyNumberFormat="1" applyFont="1" applyFill="1" applyBorder="1" applyAlignment="1">
      <alignment horizontal="center"/>
    </xf>
    <xf numFmtId="1" fontId="4" fillId="3" borderId="0" xfId="0" applyNumberFormat="1" applyFont="1" applyFill="1" applyBorder="1" applyAlignment="1">
      <alignment horizontal="right"/>
    </xf>
    <xf numFmtId="1" fontId="4" fillId="7" borderId="0" xfId="0" applyNumberFormat="1" applyFont="1" applyFill="1" applyBorder="1" applyAlignment="1">
      <alignment horizontal="right"/>
    </xf>
    <xf numFmtId="189" fontId="4" fillId="7" borderId="0" xfId="0" applyNumberFormat="1" applyFont="1" applyFill="1" applyBorder="1" applyAlignment="1">
      <alignment horizontal="center"/>
    </xf>
    <xf numFmtId="0" fontId="4" fillId="7" borderId="4" xfId="0" applyFont="1" applyFill="1" applyBorder="1" applyAlignment="1">
      <alignment horizontal="left"/>
    </xf>
    <xf numFmtId="189" fontId="4" fillId="7" borderId="4" xfId="0" applyNumberFormat="1" applyFont="1" applyFill="1" applyBorder="1" applyAlignment="1">
      <alignment horizontal="center" vertical="top"/>
    </xf>
    <xf numFmtId="189" fontId="4" fillId="7" borderId="8" xfId="0" quotePrefix="1" applyNumberFormat="1" applyFont="1" applyFill="1" applyBorder="1" applyAlignment="1">
      <alignment horizontal="right"/>
    </xf>
    <xf numFmtId="190" fontId="4" fillId="7" borderId="8" xfId="0" quotePrefix="1" applyNumberFormat="1" applyFont="1" applyFill="1" applyBorder="1" applyAlignment="1">
      <alignment horizontal="center"/>
    </xf>
    <xf numFmtId="4" fontId="4" fillId="7" borderId="8" xfId="0" applyNumberFormat="1" applyFont="1" applyFill="1" applyBorder="1" applyAlignment="1">
      <alignment horizontal="right"/>
    </xf>
    <xf numFmtId="4" fontId="4" fillId="3" borderId="8" xfId="0" applyNumberFormat="1" applyFont="1" applyFill="1" applyBorder="1" applyAlignment="1">
      <alignment horizontal="right"/>
    </xf>
    <xf numFmtId="0" fontId="111" fillId="0" borderId="0" xfId="0" applyFont="1" applyAlignment="1">
      <alignment horizontal="right"/>
    </xf>
    <xf numFmtId="0" fontId="4" fillId="0" borderId="0" xfId="0" applyFont="1" applyBorder="1" applyAlignment="1">
      <alignment horizontal="right"/>
    </xf>
    <xf numFmtId="189" fontId="51" fillId="7" borderId="0" xfId="0" applyNumberFormat="1" applyFont="1" applyFill="1" applyBorder="1" applyAlignment="1">
      <alignment horizontal="right" vertical="center"/>
    </xf>
    <xf numFmtId="189" fontId="51" fillId="3" borderId="0" xfId="0" applyNumberFormat="1" applyFont="1" applyFill="1" applyBorder="1" applyAlignment="1">
      <alignment horizontal="right" vertical="center"/>
    </xf>
    <xf numFmtId="189" fontId="51" fillId="3" borderId="13" xfId="0" applyNumberFormat="1" applyFont="1" applyFill="1" applyBorder="1" applyAlignment="1">
      <alignment horizontal="right" vertical="center"/>
    </xf>
    <xf numFmtId="190" fontId="51" fillId="7" borderId="0" xfId="0" applyNumberFormat="1" applyFont="1" applyFill="1" applyBorder="1" applyAlignment="1">
      <alignment horizontal="center" vertical="center"/>
    </xf>
    <xf numFmtId="0" fontId="5" fillId="6" borderId="0" xfId="19" applyFont="1" applyFill="1" applyAlignment="1"/>
    <xf numFmtId="0" fontId="1" fillId="6" borderId="0" xfId="19" applyFont="1" applyFill="1"/>
    <xf numFmtId="0" fontId="5" fillId="6" borderId="0" xfId="19" applyFont="1" applyFill="1" applyProtection="1"/>
    <xf numFmtId="0" fontId="4" fillId="7" borderId="0" xfId="0" quotePrefix="1" applyFont="1" applyFill="1" applyBorder="1" applyAlignment="1">
      <alignment horizontal="right" vertical="top"/>
    </xf>
    <xf numFmtId="3" fontId="6" fillId="7" borderId="0" xfId="0" applyNumberFormat="1" applyFont="1" applyFill="1" applyBorder="1" applyAlignment="1">
      <alignment horizontal="center" vertical="top"/>
    </xf>
    <xf numFmtId="3" fontId="5" fillId="0" borderId="0" xfId="0" applyNumberFormat="1" applyFont="1" applyAlignment="1">
      <alignment vertical="top"/>
    </xf>
    <xf numFmtId="190" fontId="4" fillId="18" borderId="6" xfId="0" applyNumberFormat="1" applyFont="1" applyFill="1" applyBorder="1" applyAlignment="1">
      <alignment horizontal="center"/>
    </xf>
    <xf numFmtId="3" fontId="6" fillId="7" borderId="8" xfId="0" quotePrefix="1" applyNumberFormat="1" applyFont="1" applyFill="1" applyBorder="1" applyAlignment="1">
      <alignment horizontal="right"/>
    </xf>
    <xf numFmtId="190" fontId="4" fillId="18" borderId="8" xfId="0" applyNumberFormat="1" applyFont="1" applyFill="1" applyBorder="1" applyAlignment="1">
      <alignment horizontal="center"/>
    </xf>
    <xf numFmtId="3" fontId="51" fillId="7" borderId="0" xfId="0" applyNumberFormat="1" applyFont="1" applyFill="1" applyBorder="1" applyAlignment="1">
      <alignment horizontal="right" vertical="center"/>
    </xf>
    <xf numFmtId="190" fontId="51" fillId="3" borderId="0" xfId="0" applyNumberFormat="1" applyFont="1" applyFill="1" applyBorder="1" applyAlignment="1">
      <alignment horizontal="center" vertical="center"/>
    </xf>
    <xf numFmtId="190" fontId="51" fillId="18" borderId="13" xfId="0" applyNumberFormat="1" applyFont="1" applyFill="1" applyBorder="1" applyAlignment="1">
      <alignment horizontal="center" vertical="center"/>
    </xf>
    <xf numFmtId="0" fontId="2" fillId="0" borderId="0" xfId="0" applyFont="1" applyAlignment="1"/>
    <xf numFmtId="2" fontId="5" fillId="0" borderId="0" xfId="5" applyNumberFormat="1" applyFont="1"/>
    <xf numFmtId="0" fontId="23" fillId="0" borderId="0" xfId="5" applyFont="1"/>
    <xf numFmtId="189" fontId="108" fillId="7" borderId="7" xfId="0" applyNumberFormat="1" applyFont="1" applyFill="1" applyBorder="1" applyAlignment="1">
      <alignment horizontal="right"/>
    </xf>
    <xf numFmtId="189" fontId="108" fillId="3" borderId="7" xfId="0" applyNumberFormat="1" applyFont="1" applyFill="1" applyBorder="1" applyAlignment="1">
      <alignment horizontal="right"/>
    </xf>
    <xf numFmtId="189" fontId="108" fillId="7" borderId="8" xfId="0" applyNumberFormat="1" applyFont="1" applyFill="1" applyBorder="1" applyAlignment="1">
      <alignment horizontal="right"/>
    </xf>
    <xf numFmtId="189" fontId="108" fillId="3" borderId="8" xfId="0" applyNumberFormat="1" applyFont="1" applyFill="1" applyBorder="1" applyAlignment="1">
      <alignment horizontal="right"/>
    </xf>
    <xf numFmtId="0" fontId="108" fillId="3" borderId="8" xfId="0" quotePrefix="1" applyFont="1" applyFill="1" applyBorder="1" applyAlignment="1">
      <alignment horizontal="left"/>
    </xf>
    <xf numFmtId="190" fontId="108" fillId="3" borderId="8" xfId="0" applyNumberFormat="1" applyFont="1" applyFill="1" applyBorder="1" applyAlignment="1">
      <alignment horizontal="right"/>
    </xf>
    <xf numFmtId="3" fontId="108" fillId="7" borderId="8" xfId="0" applyNumberFormat="1" applyFont="1" applyFill="1" applyBorder="1" applyAlignment="1">
      <alignment horizontal="right"/>
    </xf>
    <xf numFmtId="3" fontId="108" fillId="7" borderId="6" xfId="0" applyNumberFormat="1" applyFont="1" applyFill="1" applyBorder="1" applyAlignment="1">
      <alignment horizontal="right"/>
    </xf>
    <xf numFmtId="3" fontId="108" fillId="3" borderId="8" xfId="0" applyNumberFormat="1" applyFont="1" applyFill="1" applyBorder="1" applyAlignment="1">
      <alignment horizontal="right"/>
    </xf>
    <xf numFmtId="0" fontId="108" fillId="3" borderId="6" xfId="0" quotePrefix="1" applyFont="1" applyFill="1" applyBorder="1" applyAlignment="1">
      <alignment horizontal="left"/>
    </xf>
    <xf numFmtId="3" fontId="6" fillId="7" borderId="7" xfId="0" applyNumberFormat="1" applyFont="1" applyFill="1" applyBorder="1" applyAlignment="1"/>
    <xf numFmtId="3" fontId="6" fillId="7" borderId="8" xfId="0" applyNumberFormat="1" applyFont="1" applyFill="1" applyBorder="1" applyAlignment="1"/>
    <xf numFmtId="189" fontId="6" fillId="7" borderId="8" xfId="0" applyNumberFormat="1" applyFont="1" applyFill="1" applyBorder="1" applyAlignment="1"/>
    <xf numFmtId="190" fontId="6" fillId="7" borderId="8" xfId="0" applyNumberFormat="1" applyFont="1" applyFill="1" applyBorder="1" applyAlignment="1"/>
    <xf numFmtId="190" fontId="6" fillId="7" borderId="13" xfId="0" applyNumberFormat="1" applyFont="1" applyFill="1" applyBorder="1" applyAlignment="1">
      <alignment vertical="center"/>
    </xf>
    <xf numFmtId="3" fontId="109" fillId="7" borderId="8" xfId="0" applyNumberFormat="1" applyFont="1" applyFill="1" applyBorder="1" applyAlignment="1">
      <alignment horizontal="right" vertical="center"/>
    </xf>
    <xf numFmtId="190" fontId="109" fillId="3" borderId="8" xfId="0" applyNumberFormat="1" applyFont="1" applyFill="1" applyBorder="1" applyAlignment="1">
      <alignment horizontal="center" vertical="center"/>
    </xf>
    <xf numFmtId="3" fontId="108" fillId="7" borderId="7" xfId="0" applyNumberFormat="1" applyFont="1" applyFill="1" applyBorder="1"/>
    <xf numFmtId="3" fontId="108" fillId="3" borderId="7" xfId="0" applyNumberFormat="1" applyFont="1" applyFill="1" applyBorder="1"/>
    <xf numFmtId="3" fontId="108" fillId="7" borderId="8" xfId="0" applyNumberFormat="1" applyFont="1" applyFill="1" applyBorder="1"/>
    <xf numFmtId="3" fontId="108" fillId="3" borderId="8" xfId="0" applyNumberFormat="1" applyFont="1" applyFill="1" applyBorder="1"/>
    <xf numFmtId="3" fontId="109" fillId="7" borderId="8" xfId="0" applyNumberFormat="1" applyFont="1" applyFill="1" applyBorder="1" applyAlignment="1">
      <alignment vertical="center"/>
    </xf>
    <xf numFmtId="3" fontId="109" fillId="3" borderId="8" xfId="0" applyNumberFormat="1" applyFont="1" applyFill="1" applyBorder="1" applyAlignment="1">
      <alignment vertical="center"/>
    </xf>
    <xf numFmtId="190" fontId="2" fillId="6" borderId="0" xfId="0" applyNumberFormat="1" applyFont="1" applyFill="1" applyAlignment="1">
      <alignment horizontal="center"/>
    </xf>
    <xf numFmtId="0" fontId="3" fillId="6" borderId="0" xfId="0" applyFont="1" applyFill="1" applyBorder="1" applyAlignment="1">
      <alignment vertical="top"/>
    </xf>
    <xf numFmtId="0" fontId="18" fillId="3" borderId="0" xfId="0" applyFont="1" applyFill="1" applyBorder="1" applyAlignment="1">
      <alignment horizontal="center"/>
    </xf>
    <xf numFmtId="0" fontId="57" fillId="3" borderId="0" xfId="0" applyFont="1" applyFill="1" applyBorder="1" applyAlignment="1">
      <alignment horizontal="right"/>
    </xf>
    <xf numFmtId="190" fontId="18" fillId="7" borderId="0" xfId="0" applyNumberFormat="1" applyFont="1" applyFill="1" applyBorder="1" applyAlignment="1">
      <alignment horizontal="center"/>
    </xf>
    <xf numFmtId="190" fontId="18" fillId="7" borderId="4" xfId="0" applyNumberFormat="1" applyFont="1" applyFill="1" applyBorder="1" applyAlignment="1">
      <alignment horizontal="center" vertical="top"/>
    </xf>
    <xf numFmtId="0" fontId="18" fillId="7" borderId="4" xfId="0" applyFont="1" applyFill="1" applyBorder="1" applyAlignment="1">
      <alignment horizontal="center" vertical="top"/>
    </xf>
    <xf numFmtId="190" fontId="57" fillId="7" borderId="4" xfId="0" applyNumberFormat="1" applyFont="1" applyFill="1" applyBorder="1" applyAlignment="1">
      <alignment horizontal="center" vertical="top"/>
    </xf>
    <xf numFmtId="3" fontId="4" fillId="7" borderId="7" xfId="0" quotePrefix="1" applyNumberFormat="1" applyFont="1" applyFill="1" applyBorder="1" applyAlignment="1">
      <alignment horizontal="right"/>
    </xf>
    <xf numFmtId="3" fontId="4" fillId="3" borderId="7" xfId="0" quotePrefix="1" applyNumberFormat="1" applyFont="1" applyFill="1" applyBorder="1" applyAlignment="1">
      <alignment horizontal="right"/>
    </xf>
    <xf numFmtId="3" fontId="40" fillId="7" borderId="7" xfId="0" quotePrefix="1" applyNumberFormat="1" applyFont="1" applyFill="1" applyBorder="1" applyAlignment="1">
      <alignment horizontal="right"/>
    </xf>
    <xf numFmtId="3" fontId="40" fillId="3" borderId="7" xfId="0" quotePrefix="1" applyNumberFormat="1" applyFont="1" applyFill="1" applyBorder="1" applyAlignment="1">
      <alignment horizontal="right"/>
    </xf>
    <xf numFmtId="3" fontId="4" fillId="7" borderId="8" xfId="0" quotePrefix="1" applyNumberFormat="1" applyFont="1" applyFill="1" applyBorder="1" applyAlignment="1">
      <alignment horizontal="right"/>
    </xf>
    <xf numFmtId="3" fontId="4" fillId="3" borderId="8" xfId="0" quotePrefix="1" applyNumberFormat="1" applyFont="1" applyFill="1" applyBorder="1" applyAlignment="1">
      <alignment horizontal="right"/>
    </xf>
    <xf numFmtId="3" fontId="40" fillId="7" borderId="8" xfId="0" quotePrefix="1" applyNumberFormat="1" applyFont="1" applyFill="1" applyBorder="1" applyAlignment="1">
      <alignment horizontal="right"/>
    </xf>
    <xf numFmtId="3" fontId="40" fillId="3" borderId="8" xfId="0" quotePrefix="1" applyNumberFormat="1" applyFont="1" applyFill="1" applyBorder="1" applyAlignment="1">
      <alignment horizontal="right"/>
    </xf>
    <xf numFmtId="3" fontId="6" fillId="7" borderId="0" xfId="0" quotePrefix="1" applyNumberFormat="1" applyFont="1" applyFill="1" applyBorder="1" applyAlignment="1">
      <alignment horizontal="right" vertical="center"/>
    </xf>
    <xf numFmtId="3" fontId="51" fillId="7" borderId="13" xfId="0" applyNumberFormat="1" applyFont="1" applyFill="1" applyBorder="1" applyAlignment="1">
      <alignment horizontal="right" vertical="center"/>
    </xf>
    <xf numFmtId="3" fontId="51" fillId="3" borderId="13" xfId="0" applyNumberFormat="1" applyFont="1" applyFill="1" applyBorder="1" applyAlignment="1">
      <alignment horizontal="right" vertical="center"/>
    </xf>
    <xf numFmtId="190" fontId="5" fillId="6" borderId="9" xfId="0" applyNumberFormat="1" applyFont="1" applyFill="1" applyBorder="1" applyAlignment="1">
      <alignment horizontal="center"/>
    </xf>
    <xf numFmtId="190" fontId="5" fillId="6" borderId="0" xfId="0" applyNumberFormat="1" applyFont="1" applyFill="1" applyBorder="1" applyAlignment="1">
      <alignment horizontal="center"/>
    </xf>
    <xf numFmtId="0" fontId="18" fillId="0" borderId="9" xfId="0" applyFont="1" applyBorder="1"/>
    <xf numFmtId="0" fontId="2" fillId="6" borderId="0" xfId="0" applyFont="1" applyFill="1" applyAlignment="1">
      <alignment horizontal="right"/>
    </xf>
    <xf numFmtId="1" fontId="5" fillId="6" borderId="9" xfId="0" applyNumberFormat="1" applyFont="1" applyFill="1" applyBorder="1" applyAlignment="1">
      <alignment horizontal="left"/>
    </xf>
    <xf numFmtId="189" fontId="4" fillId="6" borderId="9" xfId="0" applyNumberFormat="1" applyFont="1" applyFill="1" applyBorder="1" applyAlignment="1">
      <alignment horizontal="right"/>
    </xf>
    <xf numFmtId="1" fontId="5" fillId="6" borderId="0" xfId="0" applyNumberFormat="1" applyFont="1" applyFill="1" applyBorder="1" applyAlignment="1">
      <alignment horizontal="left"/>
    </xf>
    <xf numFmtId="0" fontId="5" fillId="6" borderId="0" xfId="0" applyFont="1" applyFill="1" applyAlignment="1">
      <alignment horizontal="right"/>
    </xf>
    <xf numFmtId="0" fontId="3" fillId="0" borderId="4" xfId="0" applyFont="1" applyFill="1" applyBorder="1" applyAlignment="1">
      <alignment vertical="top"/>
    </xf>
    <xf numFmtId="0" fontId="3" fillId="0" borderId="0" xfId="0" applyFont="1" applyFill="1" applyBorder="1" applyAlignment="1">
      <alignment vertical="top"/>
    </xf>
    <xf numFmtId="0" fontId="4" fillId="13" borderId="5" xfId="0" applyFont="1" applyFill="1" applyBorder="1" applyAlignment="1">
      <alignment vertical="center"/>
    </xf>
    <xf numFmtId="0" fontId="6" fillId="12" borderId="27" xfId="0" applyFont="1" applyFill="1" applyBorder="1" applyAlignment="1">
      <alignment horizontal="left" vertical="center"/>
    </xf>
    <xf numFmtId="0" fontId="5" fillId="12" borderId="0" xfId="0" applyFont="1" applyFill="1" applyAlignment="1">
      <alignment vertical="center"/>
    </xf>
    <xf numFmtId="0" fontId="4" fillId="3" borderId="0" xfId="0" applyFont="1" applyFill="1" applyBorder="1" applyAlignment="1">
      <alignment horizontal="right" vertical="center"/>
    </xf>
    <xf numFmtId="0" fontId="4" fillId="7" borderId="28" xfId="0" applyFont="1" applyFill="1" applyBorder="1" applyAlignment="1">
      <alignment horizontal="right" vertical="center"/>
    </xf>
    <xf numFmtId="0" fontId="4" fillId="7" borderId="4" xfId="0" applyFont="1" applyFill="1" applyBorder="1" applyAlignment="1">
      <alignment horizontal="right" vertical="center"/>
    </xf>
    <xf numFmtId="0" fontId="4" fillId="3" borderId="4" xfId="0" applyFont="1" applyFill="1" applyBorder="1" applyAlignment="1">
      <alignment horizontal="right" vertical="center"/>
    </xf>
    <xf numFmtId="1" fontId="4" fillId="3" borderId="6" xfId="0" applyNumberFormat="1" applyFont="1" applyFill="1" applyBorder="1" applyAlignment="1">
      <alignment horizontal="left"/>
    </xf>
    <xf numFmtId="189" fontId="4" fillId="7" borderId="29" xfId="0" applyNumberFormat="1" applyFont="1" applyFill="1" applyBorder="1" applyAlignment="1">
      <alignment horizontal="right"/>
    </xf>
    <xf numFmtId="189" fontId="4" fillId="0" borderId="0" xfId="0" applyNumberFormat="1" applyFont="1" applyFill="1" applyBorder="1" applyAlignment="1">
      <alignment horizontal="right"/>
    </xf>
    <xf numFmtId="1" fontId="4" fillId="3" borderId="10" xfId="0" applyNumberFormat="1" applyFont="1" applyFill="1" applyBorder="1" applyAlignment="1">
      <alignment horizontal="left"/>
    </xf>
    <xf numFmtId="189" fontId="4" fillId="3" borderId="10" xfId="0" applyNumberFormat="1" applyFont="1" applyFill="1" applyBorder="1" applyAlignment="1">
      <alignment horizontal="right"/>
    </xf>
    <xf numFmtId="189" fontId="4" fillId="7" borderId="10" xfId="0" applyNumberFormat="1" applyFont="1" applyFill="1" applyBorder="1" applyAlignment="1">
      <alignment horizontal="right"/>
    </xf>
    <xf numFmtId="189" fontId="4" fillId="7" borderId="30" xfId="0" applyNumberFormat="1" applyFont="1" applyFill="1" applyBorder="1" applyAlignment="1">
      <alignment horizontal="right"/>
    </xf>
    <xf numFmtId="189" fontId="4" fillId="7" borderId="31" xfId="0" applyNumberFormat="1" applyFont="1" applyFill="1" applyBorder="1" applyAlignment="1">
      <alignment horizontal="right"/>
    </xf>
    <xf numFmtId="189" fontId="4" fillId="7" borderId="32" xfId="0" applyNumberFormat="1" applyFont="1" applyFill="1" applyBorder="1" applyAlignment="1">
      <alignment horizontal="right"/>
    </xf>
    <xf numFmtId="1" fontId="6" fillId="3" borderId="10" xfId="0" applyNumberFormat="1" applyFont="1" applyFill="1" applyBorder="1" applyAlignment="1">
      <alignment horizontal="left"/>
    </xf>
    <xf numFmtId="189" fontId="6" fillId="7" borderId="10" xfId="0" applyNumberFormat="1" applyFont="1" applyFill="1" applyBorder="1" applyAlignment="1">
      <alignment horizontal="right"/>
    </xf>
    <xf numFmtId="189" fontId="6" fillId="3" borderId="10" xfId="0" applyNumberFormat="1" applyFont="1" applyFill="1" applyBorder="1" applyAlignment="1">
      <alignment horizontal="right"/>
    </xf>
    <xf numFmtId="189" fontId="6" fillId="7" borderId="32" xfId="0" applyNumberFormat="1" applyFont="1" applyFill="1" applyBorder="1" applyAlignment="1">
      <alignment horizontal="right"/>
    </xf>
    <xf numFmtId="189" fontId="6" fillId="0" borderId="0" xfId="0" applyNumberFormat="1" applyFont="1" applyFill="1" applyBorder="1" applyAlignment="1">
      <alignment horizontal="right"/>
    </xf>
    <xf numFmtId="1" fontId="4" fillId="3" borderId="13" xfId="0" applyNumberFormat="1" applyFont="1" applyFill="1" applyBorder="1" applyAlignment="1">
      <alignment horizontal="left" vertical="center"/>
    </xf>
    <xf numFmtId="189" fontId="40" fillId="7" borderId="13" xfId="0" applyNumberFormat="1" applyFont="1" applyFill="1" applyBorder="1" applyAlignment="1">
      <alignment horizontal="right" vertical="center"/>
    </xf>
    <xf numFmtId="189" fontId="4" fillId="3" borderId="13" xfId="0" applyNumberFormat="1" applyFont="1" applyFill="1" applyBorder="1" applyAlignment="1">
      <alignment horizontal="right" vertical="center"/>
    </xf>
    <xf numFmtId="189" fontId="4" fillId="7" borderId="13" xfId="0" applyNumberFormat="1" applyFont="1" applyFill="1" applyBorder="1" applyAlignment="1">
      <alignment horizontal="right" vertical="center"/>
    </xf>
    <xf numFmtId="189" fontId="4" fillId="7" borderId="33" xfId="0" applyNumberFormat="1" applyFont="1" applyFill="1" applyBorder="1" applyAlignment="1">
      <alignment horizontal="right" vertical="center"/>
    </xf>
    <xf numFmtId="189" fontId="4" fillId="0" borderId="0" xfId="0" applyNumberFormat="1" applyFont="1" applyFill="1" applyBorder="1" applyAlignment="1">
      <alignment horizontal="right" vertical="center"/>
    </xf>
    <xf numFmtId="1" fontId="4" fillId="0" borderId="0" xfId="0" applyNumberFormat="1" applyFont="1" applyFill="1" applyBorder="1" applyAlignment="1">
      <alignment horizontal="left"/>
    </xf>
    <xf numFmtId="1" fontId="3" fillId="0" borderId="0" xfId="0" applyNumberFormat="1" applyFont="1" applyFill="1" applyBorder="1" applyAlignment="1">
      <alignment horizontal="left"/>
    </xf>
    <xf numFmtId="1" fontId="4" fillId="0" borderId="4" xfId="0" applyNumberFormat="1" applyFont="1" applyFill="1" applyBorder="1" applyAlignment="1">
      <alignment horizontal="left"/>
    </xf>
    <xf numFmtId="189" fontId="4" fillId="0" borderId="4" xfId="0" applyNumberFormat="1" applyFont="1" applyFill="1" applyBorder="1" applyAlignment="1">
      <alignment horizontal="right"/>
    </xf>
    <xf numFmtId="190" fontId="4" fillId="0" borderId="4" xfId="0" applyNumberFormat="1" applyFont="1" applyFill="1" applyBorder="1" applyAlignment="1">
      <alignment horizontal="right"/>
    </xf>
    <xf numFmtId="0" fontId="5" fillId="7" borderId="0" xfId="0" applyFont="1" applyFill="1" applyAlignment="1">
      <alignment horizontal="right"/>
    </xf>
    <xf numFmtId="0" fontId="5" fillId="7" borderId="0" xfId="0" applyFont="1" applyFill="1" applyBorder="1" applyAlignment="1">
      <alignment horizontal="right" vertical="center"/>
    </xf>
    <xf numFmtId="0" fontId="4" fillId="7" borderId="34" xfId="0" applyFont="1" applyFill="1" applyBorder="1" applyAlignment="1">
      <alignment horizontal="right" vertical="center"/>
    </xf>
    <xf numFmtId="0" fontId="5" fillId="7" borderId="4" xfId="0" applyFont="1" applyFill="1" applyBorder="1" applyAlignment="1">
      <alignment horizontal="right" vertical="top"/>
    </xf>
    <xf numFmtId="190" fontId="4" fillId="7" borderId="31" xfId="0" applyNumberFormat="1" applyFont="1" applyFill="1" applyBorder="1" applyAlignment="1">
      <alignment horizontal="right"/>
    </xf>
    <xf numFmtId="190" fontId="4" fillId="7" borderId="30" xfId="0" applyNumberFormat="1" applyFont="1" applyFill="1" applyBorder="1" applyAlignment="1">
      <alignment horizontal="right"/>
    </xf>
    <xf numFmtId="190" fontId="4" fillId="7" borderId="10" xfId="0" applyNumberFormat="1" applyFont="1" applyFill="1" applyBorder="1" applyAlignment="1">
      <alignment horizontal="right"/>
    </xf>
    <xf numFmtId="0" fontId="34" fillId="0" borderId="0" xfId="0" applyFont="1" applyBorder="1"/>
    <xf numFmtId="190" fontId="6" fillId="7" borderId="7" xfId="0" applyNumberFormat="1" applyFont="1" applyFill="1" applyBorder="1" applyAlignment="1">
      <alignment horizontal="right"/>
    </xf>
    <xf numFmtId="190" fontId="6" fillId="3" borderId="8" xfId="0" applyNumberFormat="1" applyFont="1" applyFill="1" applyBorder="1" applyAlignment="1">
      <alignment horizontal="right"/>
    </xf>
    <xf numFmtId="190" fontId="6" fillId="7" borderId="8" xfId="0" applyNumberFormat="1" applyFont="1" applyFill="1" applyBorder="1" applyAlignment="1">
      <alignment horizontal="right"/>
    </xf>
    <xf numFmtId="190" fontId="6" fillId="7" borderId="30" xfId="0" applyNumberFormat="1" applyFont="1" applyFill="1" applyBorder="1" applyAlignment="1">
      <alignment horizontal="right"/>
    </xf>
    <xf numFmtId="0" fontId="14" fillId="0" borderId="0" xfId="0" applyFont="1" applyBorder="1"/>
    <xf numFmtId="190" fontId="6" fillId="7" borderId="10" xfId="0" applyNumberFormat="1" applyFont="1" applyFill="1" applyBorder="1" applyAlignment="1">
      <alignment horizontal="right"/>
    </xf>
    <xf numFmtId="190" fontId="40" fillId="7" borderId="8" xfId="0" applyNumberFormat="1" applyFont="1" applyFill="1" applyBorder="1" applyAlignment="1">
      <alignment horizontal="right" vertical="center"/>
    </xf>
    <xf numFmtId="190" fontId="4" fillId="3" borderId="8" xfId="0" applyNumberFormat="1" applyFont="1" applyFill="1" applyBorder="1" applyAlignment="1">
      <alignment horizontal="right" vertical="center"/>
    </xf>
    <xf numFmtId="190" fontId="4" fillId="7" borderId="8" xfId="0" applyNumberFormat="1" applyFont="1" applyFill="1" applyBorder="1" applyAlignment="1">
      <alignment horizontal="right" vertical="center"/>
    </xf>
    <xf numFmtId="190" fontId="4" fillId="7" borderId="30" xfId="0" applyNumberFormat="1" applyFont="1" applyFill="1" applyBorder="1" applyAlignment="1">
      <alignment horizontal="right" vertical="center"/>
    </xf>
    <xf numFmtId="0" fontId="0" fillId="0" borderId="0" xfId="0" applyBorder="1" applyAlignment="1">
      <alignment vertical="center"/>
    </xf>
    <xf numFmtId="1" fontId="5" fillId="0" borderId="9" xfId="0" applyNumberFormat="1" applyFont="1" applyFill="1" applyBorder="1" applyAlignment="1">
      <alignment horizontal="left"/>
    </xf>
    <xf numFmtId="189" fontId="4" fillId="0" borderId="9" xfId="0" applyNumberFormat="1" applyFont="1" applyFill="1" applyBorder="1" applyAlignment="1">
      <alignment horizontal="right"/>
    </xf>
    <xf numFmtId="1" fontId="5" fillId="0" borderId="0" xfId="0" applyNumberFormat="1" applyFont="1" applyFill="1" applyBorder="1" applyAlignment="1">
      <alignment horizontal="left"/>
    </xf>
    <xf numFmtId="188" fontId="0" fillId="0" borderId="0" xfId="0" applyNumberFormat="1" applyFill="1"/>
    <xf numFmtId="0" fontId="5" fillId="0" borderId="0" xfId="0" applyFont="1" applyFill="1" applyAlignment="1">
      <alignment horizontal="right"/>
    </xf>
    <xf numFmtId="0" fontId="2" fillId="6" borderId="4" xfId="0" applyFont="1" applyFill="1" applyBorder="1" applyAlignment="1">
      <alignment horizontal="right"/>
    </xf>
    <xf numFmtId="0" fontId="4" fillId="3" borderId="0" xfId="0" applyFont="1" applyFill="1" applyBorder="1" applyAlignment="1">
      <alignment horizontal="left" vertical="top" wrapText="1"/>
    </xf>
    <xf numFmtId="0" fontId="4" fillId="7" borderId="0" xfId="0" applyFont="1" applyFill="1" applyBorder="1" applyAlignment="1">
      <alignment horizontal="right" vertical="top" wrapText="1"/>
    </xf>
    <xf numFmtId="0" fontId="4" fillId="3" borderId="0" xfId="0" applyFont="1" applyFill="1" applyBorder="1" applyAlignment="1">
      <alignment horizontal="right" vertical="top" wrapText="1"/>
    </xf>
    <xf numFmtId="0" fontId="5" fillId="0" borderId="0" xfId="0" applyFont="1" applyAlignment="1">
      <alignment vertical="top" wrapText="1"/>
    </xf>
    <xf numFmtId="1" fontId="3" fillId="6" borderId="0" xfId="0" applyNumberFormat="1" applyFont="1" applyFill="1" applyBorder="1" applyAlignment="1">
      <alignment horizontal="left" vertical="center"/>
    </xf>
    <xf numFmtId="189" fontId="4" fillId="6" borderId="4" xfId="0" applyNumberFormat="1" applyFont="1" applyFill="1" applyBorder="1" applyAlignment="1">
      <alignment horizontal="right"/>
    </xf>
    <xf numFmtId="0" fontId="4" fillId="3" borderId="5" xfId="0" applyFont="1" applyFill="1" applyBorder="1" applyAlignment="1">
      <alignment horizontal="left" vertical="top" wrapText="1"/>
    </xf>
    <xf numFmtId="0" fontId="4" fillId="7" borderId="5" xfId="0" applyFont="1" applyFill="1" applyBorder="1" applyAlignment="1">
      <alignment horizontal="right" vertical="top" wrapText="1"/>
    </xf>
    <xf numFmtId="0" fontId="4" fillId="3" borderId="5" xfId="0" applyFont="1" applyFill="1" applyBorder="1" applyAlignment="1">
      <alignment horizontal="right" vertical="top" wrapText="1"/>
    </xf>
    <xf numFmtId="1" fontId="6" fillId="3" borderId="13" xfId="0" applyNumberFormat="1" applyFont="1" applyFill="1" applyBorder="1" applyAlignment="1">
      <alignment horizontal="left" vertical="center"/>
    </xf>
    <xf numFmtId="0" fontId="0" fillId="0" borderId="4" xfId="0" applyFill="1" applyBorder="1" applyAlignment="1"/>
    <xf numFmtId="0" fontId="0" fillId="0" borderId="0" xfId="0" applyFill="1" applyBorder="1" applyAlignment="1"/>
    <xf numFmtId="0" fontId="6" fillId="13" borderId="28" xfId="0" applyFont="1" applyFill="1" applyBorder="1" applyAlignment="1">
      <alignment horizontal="left" vertical="top"/>
    </xf>
    <xf numFmtId="0" fontId="4" fillId="13" borderId="0" xfId="0" applyFont="1" applyFill="1" applyBorder="1" applyAlignment="1">
      <alignment horizontal="right" vertical="top"/>
    </xf>
    <xf numFmtId="0" fontId="4" fillId="13" borderId="0" xfId="0" applyFont="1" applyFill="1" applyBorder="1" applyAlignment="1">
      <alignment horizontal="right"/>
    </xf>
    <xf numFmtId="0" fontId="6" fillId="12" borderId="28" xfId="0" applyFont="1" applyFill="1" applyBorder="1" applyAlignment="1">
      <alignment horizontal="left" vertical="top"/>
    </xf>
    <xf numFmtId="0" fontId="4" fillId="12" borderId="0" xfId="0" applyFont="1" applyFill="1" applyBorder="1" applyAlignment="1">
      <alignment horizontal="right" vertical="top"/>
    </xf>
    <xf numFmtId="0" fontId="4" fillId="12" borderId="0" xfId="0" applyFont="1" applyFill="1" applyBorder="1" applyAlignment="1">
      <alignment horizontal="right"/>
    </xf>
    <xf numFmtId="0" fontId="6" fillId="3" borderId="28" xfId="0" applyFont="1" applyFill="1" applyBorder="1" applyAlignment="1">
      <alignment horizontal="left" vertical="top"/>
    </xf>
    <xf numFmtId="0" fontId="4" fillId="3" borderId="28" xfId="0" applyFont="1" applyFill="1" applyBorder="1" applyAlignment="1">
      <alignment horizontal="right" vertical="center"/>
    </xf>
    <xf numFmtId="0" fontId="4" fillId="7" borderId="0" xfId="0" quotePrefix="1" applyFont="1" applyFill="1" applyBorder="1" applyAlignment="1">
      <alignment horizontal="right" vertical="center"/>
    </xf>
    <xf numFmtId="0" fontId="18" fillId="7" borderId="0" xfId="0" applyFont="1" applyFill="1" applyBorder="1" applyAlignment="1">
      <alignment horizontal="right" vertical="center"/>
    </xf>
    <xf numFmtId="0" fontId="18" fillId="3" borderId="0" xfId="0" applyFont="1" applyFill="1" applyBorder="1" applyAlignment="1">
      <alignment horizontal="right" vertical="center"/>
    </xf>
    <xf numFmtId="0" fontId="18" fillId="3" borderId="28" xfId="0" applyFont="1" applyFill="1" applyBorder="1" applyAlignment="1">
      <alignment horizontal="left" vertical="center"/>
    </xf>
    <xf numFmtId="1" fontId="4" fillId="3" borderId="35" xfId="0" applyNumberFormat="1" applyFont="1" applyFill="1" applyBorder="1" applyAlignment="1">
      <alignment horizontal="left"/>
    </xf>
    <xf numFmtId="3" fontId="4" fillId="7" borderId="35" xfId="0" applyNumberFormat="1" applyFont="1" applyFill="1" applyBorder="1" applyAlignment="1">
      <alignment horizontal="right"/>
    </xf>
    <xf numFmtId="190" fontId="4" fillId="3" borderId="36" xfId="0" applyNumberFormat="1" applyFont="1" applyFill="1" applyBorder="1" applyAlignment="1">
      <alignment horizontal="right"/>
    </xf>
    <xf numFmtId="190" fontId="4" fillId="7" borderId="35" xfId="0" applyNumberFormat="1" applyFont="1" applyFill="1" applyBorder="1" applyAlignment="1">
      <alignment horizontal="right"/>
    </xf>
    <xf numFmtId="190" fontId="4" fillId="3" borderId="35" xfId="0" applyNumberFormat="1" applyFont="1" applyFill="1" applyBorder="1" applyAlignment="1">
      <alignment horizontal="right"/>
    </xf>
    <xf numFmtId="190" fontId="4" fillId="3" borderId="37" xfId="0" applyNumberFormat="1" applyFont="1" applyFill="1" applyBorder="1" applyAlignment="1">
      <alignment horizontal="right"/>
    </xf>
    <xf numFmtId="190" fontId="4" fillId="7" borderId="38" xfId="0" applyNumberFormat="1" applyFont="1" applyFill="1" applyBorder="1" applyAlignment="1">
      <alignment horizontal="right"/>
    </xf>
    <xf numFmtId="190" fontId="4" fillId="3" borderId="38" xfId="0" applyNumberFormat="1" applyFont="1" applyFill="1" applyBorder="1" applyAlignment="1">
      <alignment horizontal="right"/>
    </xf>
    <xf numFmtId="190" fontId="4" fillId="3" borderId="48" xfId="0" applyNumberFormat="1" applyFont="1" applyFill="1" applyBorder="1" applyAlignment="1">
      <alignment horizontal="right"/>
    </xf>
    <xf numFmtId="190" fontId="4" fillId="7" borderId="44" xfId="0" applyNumberFormat="1" applyFont="1" applyFill="1" applyBorder="1" applyAlignment="1">
      <alignment horizontal="right"/>
    </xf>
    <xf numFmtId="190" fontId="4" fillId="3" borderId="44" xfId="0" applyNumberFormat="1" applyFont="1" applyFill="1" applyBorder="1" applyAlignment="1">
      <alignment horizontal="right"/>
    </xf>
    <xf numFmtId="190" fontId="6" fillId="3" borderId="39" xfId="0" applyNumberFormat="1" applyFont="1" applyFill="1" applyBorder="1" applyAlignment="1">
      <alignment horizontal="right" vertical="center"/>
    </xf>
    <xf numFmtId="190" fontId="6" fillId="7" borderId="7" xfId="0" applyNumberFormat="1" applyFont="1" applyFill="1" applyBorder="1" applyAlignment="1">
      <alignment horizontal="right" vertical="center"/>
    </xf>
    <xf numFmtId="190" fontId="6" fillId="3" borderId="7" xfId="0" applyNumberFormat="1" applyFont="1" applyFill="1" applyBorder="1" applyAlignment="1">
      <alignment horizontal="right" vertical="center"/>
    </xf>
    <xf numFmtId="190" fontId="6" fillId="3" borderId="3" xfId="0" applyNumberFormat="1" applyFont="1" applyFill="1" applyBorder="1" applyAlignment="1">
      <alignment horizontal="right" vertical="center"/>
    </xf>
    <xf numFmtId="0" fontId="9" fillId="0" borderId="0" xfId="0" applyFont="1" applyBorder="1" applyAlignment="1">
      <alignment vertical="center"/>
    </xf>
    <xf numFmtId="1" fontId="9" fillId="0" borderId="0" xfId="0" applyNumberFormat="1" applyFont="1" applyFill="1" applyBorder="1" applyAlignment="1">
      <alignment horizontal="left"/>
    </xf>
    <xf numFmtId="0" fontId="5" fillId="0" borderId="0" xfId="0" quotePrefix="1" applyFont="1" applyAlignment="1"/>
    <xf numFmtId="0" fontId="4" fillId="15" borderId="5" xfId="0" applyFont="1" applyFill="1" applyBorder="1" applyAlignment="1">
      <alignment horizontal="right" vertical="center"/>
    </xf>
    <xf numFmtId="0" fontId="4" fillId="15" borderId="0" xfId="0" applyFont="1" applyFill="1" applyBorder="1" applyAlignment="1">
      <alignment horizontal="right" vertical="center"/>
    </xf>
    <xf numFmtId="4" fontId="4" fillId="3" borderId="7" xfId="0" applyNumberFormat="1" applyFont="1" applyFill="1" applyBorder="1" applyAlignment="1">
      <alignment horizontal="right"/>
    </xf>
    <xf numFmtId="4" fontId="4" fillId="7" borderId="7" xfId="0" applyNumberFormat="1" applyFont="1" applyFill="1" applyBorder="1" applyAlignment="1">
      <alignment horizontal="right"/>
    </xf>
    <xf numFmtId="4" fontId="4" fillId="7" borderId="6" xfId="0" applyNumberFormat="1" applyFont="1" applyFill="1" applyBorder="1" applyAlignment="1">
      <alignment horizontal="right"/>
    </xf>
    <xf numFmtId="2" fontId="6" fillId="3" borderId="0" xfId="0" applyNumberFormat="1" applyFont="1" applyFill="1" applyBorder="1" applyAlignment="1">
      <alignment horizontal="right" vertical="center"/>
    </xf>
    <xf numFmtId="190" fontId="6" fillId="7" borderId="0" xfId="0" applyNumberFormat="1" applyFont="1" applyFill="1" applyBorder="1" applyAlignment="1">
      <alignment horizontal="center" vertical="center"/>
    </xf>
    <xf numFmtId="2" fontId="6" fillId="7" borderId="0" xfId="0" applyNumberFormat="1" applyFont="1" applyFill="1" applyBorder="1" applyAlignment="1">
      <alignment horizontal="right" vertical="center"/>
    </xf>
    <xf numFmtId="0" fontId="3" fillId="0" borderId="0" xfId="0" applyFont="1" applyFill="1" applyAlignment="1">
      <alignment vertical="center"/>
    </xf>
    <xf numFmtId="0" fontId="2" fillId="6" borderId="0" xfId="0" applyFont="1" applyFill="1" applyAlignment="1">
      <alignment horizontal="center"/>
    </xf>
    <xf numFmtId="0" fontId="4" fillId="7" borderId="5" xfId="0" applyFont="1" applyFill="1" applyBorder="1" applyAlignment="1">
      <alignment horizontal="center" vertical="center"/>
    </xf>
    <xf numFmtId="0" fontId="4" fillId="7" borderId="0" xfId="0" applyFont="1" applyFill="1" applyBorder="1" applyAlignment="1">
      <alignment horizontal="center" vertical="center"/>
    </xf>
    <xf numFmtId="4" fontId="4" fillId="7" borderId="5" xfId="0" applyNumberFormat="1" applyFont="1" applyFill="1" applyBorder="1" applyAlignment="1">
      <alignment horizontal="right"/>
    </xf>
    <xf numFmtId="0" fontId="4" fillId="7" borderId="5" xfId="0" applyNumberFormat="1" applyFont="1" applyFill="1" applyBorder="1" applyAlignment="1">
      <alignment horizontal="center"/>
    </xf>
    <xf numFmtId="4" fontId="4" fillId="3" borderId="5" xfId="0" applyNumberFormat="1" applyFont="1" applyFill="1" applyBorder="1" applyAlignment="1">
      <alignment horizontal="right"/>
    </xf>
    <xf numFmtId="4" fontId="4" fillId="7" borderId="44" xfId="0" applyNumberFormat="1" applyFont="1" applyFill="1" applyBorder="1" applyAlignment="1">
      <alignment horizontal="right"/>
    </xf>
    <xf numFmtId="3" fontId="4" fillId="3" borderId="44" xfId="0" applyNumberFormat="1" applyFont="1" applyFill="1" applyBorder="1" applyAlignment="1">
      <alignment horizontal="right"/>
    </xf>
    <xf numFmtId="0" fontId="4" fillId="7" borderId="44" xfId="0" applyNumberFormat="1" applyFont="1" applyFill="1" applyBorder="1" applyAlignment="1">
      <alignment horizontal="center"/>
    </xf>
    <xf numFmtId="4" fontId="4" fillId="3" borderId="44" xfId="0" applyNumberFormat="1" applyFont="1" applyFill="1" applyBorder="1" applyAlignment="1">
      <alignment horizontal="right"/>
    </xf>
    <xf numFmtId="4" fontId="6" fillId="7" borderId="7" xfId="0" applyNumberFormat="1" applyFont="1" applyFill="1" applyBorder="1" applyAlignment="1">
      <alignment horizontal="right" vertical="center"/>
    </xf>
    <xf numFmtId="3" fontId="6" fillId="3" borderId="3" xfId="0" applyNumberFormat="1" applyFont="1" applyFill="1" applyBorder="1" applyAlignment="1">
      <alignment horizontal="right" vertical="center"/>
    </xf>
    <xf numFmtId="4" fontId="6" fillId="7" borderId="3" xfId="0" applyNumberFormat="1" applyFont="1" applyFill="1" applyBorder="1" applyAlignment="1">
      <alignment horizontal="center" vertical="center"/>
    </xf>
    <xf numFmtId="4" fontId="6" fillId="3" borderId="3" xfId="0" applyNumberFormat="1" applyFont="1" applyFill="1" applyBorder="1" applyAlignment="1">
      <alignment horizontal="right" vertical="center"/>
    </xf>
    <xf numFmtId="189" fontId="4" fillId="6" borderId="9" xfId="0" applyNumberFormat="1" applyFont="1" applyFill="1" applyBorder="1" applyAlignment="1">
      <alignment horizontal="center"/>
    </xf>
    <xf numFmtId="189" fontId="4" fillId="6" borderId="0" xfId="0" applyNumberFormat="1" applyFont="1" applyFill="1" applyBorder="1" applyAlignment="1">
      <alignment horizontal="center"/>
    </xf>
    <xf numFmtId="189" fontId="4" fillId="0" borderId="0" xfId="0" applyNumberFormat="1" applyFont="1" applyFill="1" applyBorder="1" applyAlignment="1">
      <alignment horizontal="center"/>
    </xf>
    <xf numFmtId="0" fontId="5" fillId="0" borderId="0" xfId="0" applyFont="1" applyFill="1" applyBorder="1" applyAlignment="1">
      <alignment horizontal="right"/>
    </xf>
    <xf numFmtId="0" fontId="20" fillId="0" borderId="0" xfId="3" applyFont="1"/>
    <xf numFmtId="0" fontId="86" fillId="0" borderId="0" xfId="3"/>
    <xf numFmtId="0" fontId="3" fillId="0" borderId="0" xfId="3" applyFont="1"/>
    <xf numFmtId="2" fontId="18" fillId="0" borderId="0" xfId="3" applyNumberFormat="1" applyFont="1"/>
    <xf numFmtId="0" fontId="18" fillId="0" borderId="0" xfId="3" applyFont="1" applyAlignment="1"/>
    <xf numFmtId="0" fontId="70" fillId="0" borderId="0" xfId="3" applyFont="1"/>
    <xf numFmtId="0" fontId="18" fillId="0" borderId="0" xfId="3" applyFont="1"/>
    <xf numFmtId="0" fontId="18" fillId="0" borderId="0" xfId="3" applyFont="1" applyFill="1" applyAlignment="1"/>
    <xf numFmtId="0" fontId="21" fillId="0" borderId="0" xfId="3" applyFont="1"/>
    <xf numFmtId="0" fontId="9" fillId="12" borderId="0" xfId="0" applyFont="1" applyFill="1" applyAlignment="1">
      <alignment horizontal="center" vertical="center"/>
    </xf>
    <xf numFmtId="0" fontId="40" fillId="3" borderId="21" xfId="0" applyFont="1" applyFill="1" applyBorder="1" applyAlignment="1">
      <alignment vertical="center"/>
    </xf>
    <xf numFmtId="3" fontId="40" fillId="7" borderId="21" xfId="0" applyNumberFormat="1" applyFont="1" applyFill="1" applyBorder="1" applyAlignment="1">
      <alignment vertical="center"/>
    </xf>
    <xf numFmtId="3" fontId="40" fillId="3" borderId="21" xfId="0" applyNumberFormat="1" applyFont="1" applyFill="1" applyBorder="1" applyAlignment="1">
      <alignment vertical="center"/>
    </xf>
    <xf numFmtId="190" fontId="40" fillId="0" borderId="0" xfId="0" applyNumberFormat="1" applyFont="1" applyFill="1" applyBorder="1" applyAlignment="1">
      <alignment vertical="center"/>
    </xf>
    <xf numFmtId="0" fontId="9" fillId="0" borderId="0" xfId="0" applyFont="1" applyFill="1" applyAlignment="1">
      <alignment horizontal="center" vertical="center"/>
    </xf>
    <xf numFmtId="0" fontId="6" fillId="3" borderId="3" xfId="0" applyFont="1" applyFill="1" applyBorder="1" applyAlignment="1">
      <alignment vertical="center"/>
    </xf>
    <xf numFmtId="3" fontId="6" fillId="7" borderId="3" xfId="0" applyNumberFormat="1" applyFont="1" applyFill="1" applyBorder="1" applyAlignment="1">
      <alignment vertical="center"/>
    </xf>
    <xf numFmtId="3" fontId="6" fillId="3" borderId="3" xfId="0" applyNumberFormat="1" applyFont="1" applyFill="1" applyBorder="1" applyAlignment="1">
      <alignment vertical="center"/>
    </xf>
    <xf numFmtId="0" fontId="0" fillId="12" borderId="0" xfId="0" applyFill="1"/>
    <xf numFmtId="0" fontId="22" fillId="12" borderId="0" xfId="0" applyFont="1" applyFill="1" applyAlignment="1">
      <alignment horizontal="right"/>
    </xf>
    <xf numFmtId="0" fontId="22" fillId="0" borderId="0" xfId="0" applyFont="1" applyFill="1" applyAlignment="1">
      <alignment horizontal="right"/>
    </xf>
    <xf numFmtId="0" fontId="0" fillId="0" borderId="0" xfId="0" applyFont="1" applyAlignment="1"/>
    <xf numFmtId="190" fontId="4" fillId="15" borderId="5" xfId="0" applyNumberFormat="1" applyFont="1" applyFill="1" applyBorder="1" applyAlignment="1">
      <alignment horizontal="right"/>
    </xf>
    <xf numFmtId="190" fontId="4" fillId="15" borderId="0" xfId="0" applyNumberFormat="1" applyFont="1" applyFill="1" applyBorder="1" applyAlignment="1">
      <alignment horizontal="right"/>
    </xf>
    <xf numFmtId="190" fontId="4" fillId="15" borderId="4" xfId="0" applyNumberFormat="1" applyFont="1" applyFill="1" applyBorder="1" applyAlignment="1">
      <alignment horizontal="right" vertical="top"/>
    </xf>
    <xf numFmtId="190" fontId="4" fillId="15" borderId="7" xfId="0" applyNumberFormat="1" applyFont="1" applyFill="1" applyBorder="1" applyAlignment="1">
      <alignment vertical="center"/>
    </xf>
    <xf numFmtId="190" fontId="6" fillId="15" borderId="13" xfId="0" applyNumberFormat="1" applyFont="1" applyFill="1" applyBorder="1" applyAlignment="1">
      <alignment vertical="center"/>
    </xf>
    <xf numFmtId="190" fontId="4" fillId="15" borderId="21" xfId="0" applyNumberFormat="1" applyFont="1" applyFill="1" applyBorder="1" applyAlignment="1">
      <alignment vertical="center"/>
    </xf>
    <xf numFmtId="190" fontId="40" fillId="15" borderId="21" xfId="0" applyNumberFormat="1" applyFont="1" applyFill="1" applyBorder="1" applyAlignment="1">
      <alignment vertical="center"/>
    </xf>
    <xf numFmtId="0" fontId="4" fillId="15" borderId="4" xfId="0" applyFont="1" applyFill="1" applyBorder="1" applyAlignment="1">
      <alignment horizontal="right" vertical="top"/>
    </xf>
    <xf numFmtId="3" fontId="4" fillId="15" borderId="8" xfId="0" applyNumberFormat="1" applyFont="1" applyFill="1" applyBorder="1" applyAlignment="1">
      <alignment horizontal="right"/>
    </xf>
    <xf numFmtId="3" fontId="6" fillId="15" borderId="0" xfId="0" applyNumberFormat="1" applyFont="1" applyFill="1" applyBorder="1" applyAlignment="1">
      <alignment horizontal="right" vertical="center"/>
    </xf>
    <xf numFmtId="0" fontId="3" fillId="0" borderId="0" xfId="10" applyFont="1"/>
    <xf numFmtId="0" fontId="49" fillId="0" borderId="0" xfId="10"/>
    <xf numFmtId="0" fontId="88" fillId="0" borderId="0" xfId="10" applyFont="1" applyFill="1"/>
    <xf numFmtId="0" fontId="89" fillId="0" borderId="0" xfId="10" applyFont="1" applyFill="1"/>
    <xf numFmtId="0" fontId="89" fillId="0" borderId="0" xfId="10" applyFont="1"/>
    <xf numFmtId="0" fontId="49" fillId="0" borderId="0" xfId="10" applyFont="1"/>
    <xf numFmtId="0" fontId="49" fillId="0" borderId="3" xfId="10" applyBorder="1"/>
    <xf numFmtId="0" fontId="49" fillId="0" borderId="0" xfId="10" applyFill="1"/>
    <xf numFmtId="0" fontId="49" fillId="11" borderId="0" xfId="10" applyFill="1" applyBorder="1"/>
    <xf numFmtId="0" fontId="49" fillId="11" borderId="0" xfId="10" applyFont="1" applyFill="1" applyBorder="1"/>
    <xf numFmtId="0" fontId="9" fillId="11" borderId="0" xfId="10" applyFont="1" applyFill="1" applyBorder="1"/>
    <xf numFmtId="0" fontId="5" fillId="7" borderId="0" xfId="10" applyFont="1" applyFill="1" applyAlignment="1">
      <alignment horizontal="right"/>
    </xf>
    <xf numFmtId="0" fontId="5" fillId="3" borderId="0" xfId="10" applyFont="1" applyFill="1" applyAlignment="1">
      <alignment horizontal="right"/>
    </xf>
    <xf numFmtId="190" fontId="21" fillId="3" borderId="0" xfId="10" applyNumberFormat="1" applyFont="1" applyFill="1" applyBorder="1" applyAlignment="1">
      <alignment horizontal="center"/>
    </xf>
    <xf numFmtId="190" fontId="21" fillId="7" borderId="0" xfId="10" applyNumberFormat="1" applyFont="1" applyFill="1" applyBorder="1" applyAlignment="1">
      <alignment horizontal="center"/>
    </xf>
    <xf numFmtId="0" fontId="49" fillId="0" borderId="0" xfId="10" applyAlignment="1">
      <alignment horizontal="right"/>
    </xf>
    <xf numFmtId="2" fontId="49" fillId="11" borderId="0" xfId="10" applyNumberFormat="1" applyFill="1" applyBorder="1"/>
    <xf numFmtId="189" fontId="49" fillId="11" borderId="0" xfId="10" applyNumberFormat="1" applyFill="1" applyBorder="1" applyAlignment="1">
      <alignment horizontal="right"/>
    </xf>
    <xf numFmtId="0" fontId="5" fillId="11" borderId="0" xfId="10" applyFont="1" applyFill="1" applyBorder="1" applyAlignment="1">
      <alignment horizontal="right"/>
    </xf>
    <xf numFmtId="2" fontId="49" fillId="11" borderId="0" xfId="10" applyNumberFormat="1" applyFill="1" applyBorder="1" applyAlignment="1">
      <alignment horizontal="right"/>
    </xf>
    <xf numFmtId="2" fontId="49" fillId="0" borderId="0" xfId="10" applyNumberFormat="1" applyAlignment="1">
      <alignment horizontal="right"/>
    </xf>
    <xf numFmtId="0" fontId="9" fillId="7" borderId="0" xfId="10" applyFont="1" applyFill="1" applyBorder="1" applyAlignment="1">
      <alignment horizontal="left"/>
    </xf>
    <xf numFmtId="0" fontId="5" fillId="7" borderId="0" xfId="10" applyFont="1" applyFill="1" applyBorder="1" applyAlignment="1">
      <alignment horizontal="right"/>
    </xf>
    <xf numFmtId="0" fontId="9" fillId="3" borderId="0" xfId="10" applyFont="1" applyFill="1" applyAlignment="1">
      <alignment horizontal="center"/>
    </xf>
    <xf numFmtId="0" fontId="9" fillId="7" borderId="0" xfId="10" applyFont="1" applyFill="1" applyAlignment="1">
      <alignment horizontal="center"/>
    </xf>
    <xf numFmtId="189" fontId="49" fillId="11" borderId="0" xfId="10" applyNumberFormat="1" applyFill="1" applyBorder="1"/>
    <xf numFmtId="0" fontId="9" fillId="11" borderId="0" xfId="10" applyFont="1" applyFill="1" applyBorder="1" applyAlignment="1">
      <alignment horizontal="center"/>
    </xf>
    <xf numFmtId="0" fontId="9" fillId="7" borderId="0" xfId="10" applyFont="1" applyFill="1" applyBorder="1"/>
    <xf numFmtId="0" fontId="5" fillId="3" borderId="0" xfId="10" applyFont="1" applyFill="1" applyBorder="1" applyAlignment="1">
      <alignment horizontal="center"/>
    </xf>
    <xf numFmtId="0" fontId="5" fillId="7" borderId="0" xfId="10" applyFont="1" applyFill="1" applyBorder="1" applyAlignment="1">
      <alignment horizontal="center"/>
    </xf>
    <xf numFmtId="190" fontId="21" fillId="3" borderId="0" xfId="10" applyNumberFormat="1" applyFont="1" applyFill="1" applyBorder="1" applyAlignment="1">
      <alignment horizontal="center" vertical="top"/>
    </xf>
    <xf numFmtId="190" fontId="21" fillId="7" borderId="0" xfId="10" applyNumberFormat="1" applyFont="1" applyFill="1" applyBorder="1" applyAlignment="1">
      <alignment horizontal="center" vertical="top"/>
    </xf>
    <xf numFmtId="0" fontId="90" fillId="11" borderId="0" xfId="10" applyFont="1" applyFill="1" applyBorder="1"/>
    <xf numFmtId="189" fontId="89" fillId="11" borderId="0" xfId="10" applyNumberFormat="1" applyFont="1" applyFill="1" applyBorder="1"/>
    <xf numFmtId="0" fontId="5" fillId="11" borderId="0" xfId="10" applyFont="1" applyFill="1" applyBorder="1" applyAlignment="1">
      <alignment horizontal="center"/>
    </xf>
    <xf numFmtId="189" fontId="89" fillId="0" borderId="0" xfId="10" applyNumberFormat="1" applyFont="1"/>
    <xf numFmtId="0" fontId="9" fillId="7" borderId="4" xfId="10" applyFont="1" applyFill="1" applyBorder="1"/>
    <xf numFmtId="0" fontId="5" fillId="7" borderId="4" xfId="10" applyFont="1" applyFill="1" applyBorder="1"/>
    <xf numFmtId="0" fontId="5" fillId="3" borderId="4" xfId="10" applyFont="1" applyFill="1" applyBorder="1"/>
    <xf numFmtId="0" fontId="5" fillId="11" borderId="0" xfId="10" applyFont="1" applyFill="1" applyBorder="1"/>
    <xf numFmtId="0" fontId="9" fillId="11" borderId="7" xfId="10" applyFont="1" applyFill="1" applyBorder="1"/>
    <xf numFmtId="0" fontId="5" fillId="11" borderId="7" xfId="10" applyFont="1" applyFill="1" applyBorder="1"/>
    <xf numFmtId="189" fontId="9" fillId="11" borderId="7" xfId="10" applyNumberFormat="1" applyFont="1" applyFill="1" applyBorder="1" applyAlignment="1">
      <alignment horizontal="left"/>
    </xf>
    <xf numFmtId="189" fontId="45" fillId="11" borderId="7" xfId="10" applyNumberFormat="1" applyFont="1" applyFill="1" applyBorder="1" applyAlignment="1">
      <alignment horizontal="left"/>
    </xf>
    <xf numFmtId="190" fontId="9" fillId="11" borderId="7" xfId="10" applyNumberFormat="1" applyFont="1" applyFill="1" applyBorder="1" applyAlignment="1">
      <alignment horizontal="left"/>
    </xf>
    <xf numFmtId="0" fontId="91" fillId="11" borderId="0" xfId="10" applyFont="1" applyFill="1" applyBorder="1"/>
    <xf numFmtId="2" fontId="91" fillId="11" borderId="0" xfId="10" applyNumberFormat="1" applyFont="1" applyFill="1" applyBorder="1"/>
    <xf numFmtId="190" fontId="9" fillId="11" borderId="0" xfId="10" applyNumberFormat="1" applyFont="1" applyFill="1" applyBorder="1" applyAlignment="1">
      <alignment horizontal="left"/>
    </xf>
    <xf numFmtId="0" fontId="45" fillId="7" borderId="8" xfId="10" applyFont="1" applyFill="1" applyBorder="1"/>
    <xf numFmtId="0" fontId="5" fillId="7" borderId="7" xfId="10" applyFont="1" applyFill="1" applyBorder="1"/>
    <xf numFmtId="0" fontId="9" fillId="7" borderId="7" xfId="10" applyFont="1" applyFill="1" applyBorder="1"/>
    <xf numFmtId="0" fontId="93" fillId="7" borderId="8" xfId="10" applyFont="1" applyFill="1" applyBorder="1"/>
    <xf numFmtId="189" fontId="9" fillId="3" borderId="8" xfId="10" applyNumberFormat="1" applyFont="1" applyFill="1" applyBorder="1"/>
    <xf numFmtId="189" fontId="9" fillId="7" borderId="8" xfId="10" applyNumberFormat="1" applyFont="1" applyFill="1" applyBorder="1"/>
    <xf numFmtId="189" fontId="45" fillId="7" borderId="8" xfId="10" applyNumberFormat="1" applyFont="1" applyFill="1" applyBorder="1"/>
    <xf numFmtId="189" fontId="9" fillId="7" borderId="8" xfId="10" applyNumberFormat="1" applyFont="1" applyFill="1" applyBorder="1" applyAlignment="1">
      <alignment horizontal="right"/>
    </xf>
    <xf numFmtId="2" fontId="91" fillId="0" borderId="0" xfId="10" applyNumberFormat="1" applyFont="1"/>
    <xf numFmtId="2" fontId="49" fillId="0" borderId="0" xfId="10" applyNumberFormat="1" applyFill="1" applyBorder="1"/>
    <xf numFmtId="190" fontId="5" fillId="11" borderId="0" xfId="10" applyNumberFormat="1" applyFont="1" applyFill="1" applyBorder="1"/>
    <xf numFmtId="0" fontId="91" fillId="0" borderId="0" xfId="10" applyFont="1"/>
    <xf numFmtId="0" fontId="9" fillId="7" borderId="8" xfId="10" applyFont="1" applyFill="1" applyBorder="1"/>
    <xf numFmtId="0" fontId="5" fillId="7" borderId="8" xfId="10" applyFont="1" applyFill="1" applyBorder="1"/>
    <xf numFmtId="189" fontId="9" fillId="3" borderId="8" xfId="10" applyNumberFormat="1" applyFont="1" applyFill="1" applyBorder="1" applyAlignment="1">
      <alignment horizontal="left"/>
    </xf>
    <xf numFmtId="189" fontId="9" fillId="7" borderId="8" xfId="10" applyNumberFormat="1" applyFont="1" applyFill="1" applyBorder="1" applyAlignment="1">
      <alignment horizontal="left"/>
    </xf>
    <xf numFmtId="0" fontId="49" fillId="0" borderId="0" xfId="10" applyFill="1" applyBorder="1"/>
    <xf numFmtId="2" fontId="91" fillId="0" borderId="0" xfId="10" applyNumberFormat="1" applyFont="1" applyFill="1" applyBorder="1"/>
    <xf numFmtId="0" fontId="9" fillId="7" borderId="6" xfId="10" applyFont="1" applyFill="1" applyBorder="1"/>
    <xf numFmtId="189" fontId="9" fillId="3" borderId="7" xfId="10" applyNumberFormat="1" applyFont="1" applyFill="1" applyBorder="1" applyAlignment="1">
      <alignment horizontal="center"/>
    </xf>
    <xf numFmtId="189" fontId="9" fillId="7" borderId="7" xfId="10" applyNumberFormat="1" applyFont="1" applyFill="1" applyBorder="1" applyAlignment="1">
      <alignment horizontal="center"/>
    </xf>
    <xf numFmtId="189" fontId="9" fillId="15" borderId="7" xfId="10" applyNumberFormat="1" applyFont="1" applyFill="1" applyBorder="1" applyAlignment="1">
      <alignment horizontal="center"/>
    </xf>
    <xf numFmtId="0" fontId="91" fillId="0" borderId="0" xfId="10" applyFont="1" applyFill="1"/>
    <xf numFmtId="0" fontId="18" fillId="7" borderId="8" xfId="10" applyFont="1" applyFill="1" applyBorder="1"/>
    <xf numFmtId="189" fontId="18" fillId="3" borderId="8" xfId="10" applyNumberFormat="1" applyFont="1" applyFill="1" applyBorder="1" applyAlignment="1">
      <alignment horizontal="right"/>
    </xf>
    <xf numFmtId="189" fontId="18" fillId="7" borderId="8" xfId="10" applyNumberFormat="1" applyFont="1" applyFill="1" applyBorder="1" applyAlignment="1">
      <alignment horizontal="right"/>
    </xf>
    <xf numFmtId="190" fontId="18" fillId="11" borderId="0" xfId="10" applyNumberFormat="1" applyFont="1" applyFill="1" applyBorder="1" applyAlignment="1">
      <alignment horizontal="center"/>
    </xf>
    <xf numFmtId="189" fontId="18" fillId="15" borderId="8" xfId="10" applyNumberFormat="1" applyFont="1" applyFill="1" applyBorder="1" applyAlignment="1">
      <alignment horizontal="right"/>
    </xf>
    <xf numFmtId="189" fontId="18" fillId="3" borderId="8" xfId="10" applyNumberFormat="1" applyFont="1" applyFill="1" applyBorder="1" applyAlignment="1">
      <alignment horizontal="center"/>
    </xf>
    <xf numFmtId="189" fontId="18" fillId="7" borderId="8" xfId="10" applyNumberFormat="1" applyFont="1" applyFill="1" applyBorder="1" applyAlignment="1">
      <alignment horizontal="center"/>
    </xf>
    <xf numFmtId="0" fontId="91" fillId="0" borderId="0" xfId="10" applyFont="1" applyFill="1" applyBorder="1"/>
    <xf numFmtId="189" fontId="49" fillId="0" borderId="0" xfId="10" applyNumberFormat="1" applyFill="1" applyBorder="1"/>
    <xf numFmtId="189" fontId="9" fillId="3" borderId="8" xfId="10" applyNumberFormat="1" applyFont="1" applyFill="1" applyBorder="1" applyAlignment="1">
      <alignment horizontal="center"/>
    </xf>
    <xf numFmtId="189" fontId="9" fillId="7" borderId="8" xfId="10" applyNumberFormat="1" applyFont="1" applyFill="1" applyBorder="1" applyAlignment="1">
      <alignment horizontal="center"/>
    </xf>
    <xf numFmtId="190" fontId="5" fillId="11" borderId="0" xfId="10" applyNumberFormat="1" applyFont="1" applyFill="1" applyBorder="1" applyAlignment="1">
      <alignment horizontal="center"/>
    </xf>
    <xf numFmtId="189" fontId="9" fillId="3" borderId="8" xfId="10" applyNumberFormat="1" applyFont="1" applyFill="1" applyBorder="1" applyAlignment="1">
      <alignment horizontal="right"/>
    </xf>
    <xf numFmtId="0" fontId="21" fillId="7" borderId="8" xfId="10" applyFont="1" applyFill="1" applyBorder="1"/>
    <xf numFmtId="189" fontId="5" fillId="3" borderId="8" xfId="10" applyNumberFormat="1" applyFont="1" applyFill="1" applyBorder="1"/>
    <xf numFmtId="189" fontId="5" fillId="7" borderId="8" xfId="10" applyNumberFormat="1" applyFont="1" applyFill="1" applyBorder="1"/>
    <xf numFmtId="189" fontId="45" fillId="3" borderId="8" xfId="10" applyNumberFormat="1" applyFont="1" applyFill="1" applyBorder="1" applyAlignment="1">
      <alignment horizontal="right"/>
    </xf>
    <xf numFmtId="189" fontId="45" fillId="7" borderId="8" xfId="10" applyNumberFormat="1" applyFont="1" applyFill="1" applyBorder="1" applyAlignment="1">
      <alignment horizontal="right"/>
    </xf>
    <xf numFmtId="189" fontId="5" fillId="3" borderId="8" xfId="10" applyNumberFormat="1" applyFont="1" applyFill="1" applyBorder="1" applyAlignment="1">
      <alignment horizontal="center"/>
    </xf>
    <xf numFmtId="189" fontId="5" fillId="7" borderId="8" xfId="10" applyNumberFormat="1" applyFont="1" applyFill="1" applyBorder="1" applyAlignment="1">
      <alignment horizontal="center"/>
    </xf>
    <xf numFmtId="189" fontId="21" fillId="3" borderId="8" xfId="10" applyNumberFormat="1" applyFont="1" applyFill="1" applyBorder="1" applyAlignment="1">
      <alignment horizontal="right"/>
    </xf>
    <xf numFmtId="189" fontId="21" fillId="7" borderId="8" xfId="10" applyNumberFormat="1" applyFont="1" applyFill="1" applyBorder="1" applyAlignment="1">
      <alignment horizontal="right"/>
    </xf>
    <xf numFmtId="190" fontId="21" fillId="11" borderId="0" xfId="10" applyNumberFormat="1" applyFont="1" applyFill="1" applyBorder="1" applyAlignment="1">
      <alignment horizontal="right"/>
    </xf>
    <xf numFmtId="190" fontId="49" fillId="11" borderId="0" xfId="10" applyNumberFormat="1" applyFill="1" applyBorder="1"/>
    <xf numFmtId="189" fontId="21" fillId="12" borderId="8" xfId="10" applyNumberFormat="1" applyFont="1" applyFill="1" applyBorder="1" applyAlignment="1">
      <alignment horizontal="right"/>
    </xf>
    <xf numFmtId="189" fontId="21" fillId="3" borderId="8" xfId="10" applyNumberFormat="1" applyFont="1" applyFill="1" applyBorder="1"/>
    <xf numFmtId="189" fontId="21" fillId="7" borderId="8" xfId="10" applyNumberFormat="1" applyFont="1" applyFill="1" applyBorder="1"/>
    <xf numFmtId="189" fontId="21" fillId="12" borderId="8" xfId="10" applyNumberFormat="1" applyFont="1" applyFill="1" applyBorder="1"/>
    <xf numFmtId="190" fontId="21" fillId="11" borderId="0" xfId="10" applyNumberFormat="1" applyFont="1" applyFill="1" applyBorder="1"/>
    <xf numFmtId="212" fontId="21" fillId="0" borderId="8" xfId="10" applyNumberFormat="1" applyFont="1" applyFill="1" applyBorder="1"/>
    <xf numFmtId="189" fontId="57" fillId="15" borderId="8" xfId="10" applyNumberFormat="1" applyFont="1" applyFill="1" applyBorder="1" applyAlignment="1">
      <alignment horizontal="center"/>
    </xf>
    <xf numFmtId="0" fontId="9" fillId="7" borderId="13" xfId="10" applyFont="1" applyFill="1" applyBorder="1"/>
    <xf numFmtId="0" fontId="21" fillId="7" borderId="13" xfId="10" applyFont="1" applyFill="1" applyBorder="1"/>
    <xf numFmtId="189" fontId="9" fillId="3" borderId="13" xfId="10" applyNumberFormat="1" applyFont="1" applyFill="1" applyBorder="1" applyAlignment="1">
      <alignment horizontal="left"/>
    </xf>
    <xf numFmtId="189" fontId="9" fillId="7" borderId="13" xfId="10" applyNumberFormat="1" applyFont="1" applyFill="1" applyBorder="1" applyAlignment="1">
      <alignment horizontal="left"/>
    </xf>
    <xf numFmtId="189" fontId="45" fillId="15" borderId="13" xfId="10" applyNumberFormat="1" applyFont="1" applyFill="1" applyBorder="1" applyAlignment="1">
      <alignment horizontal="left"/>
    </xf>
    <xf numFmtId="189" fontId="9" fillId="11" borderId="0" xfId="10" applyNumberFormat="1" applyFont="1" applyFill="1" applyBorder="1" applyAlignment="1">
      <alignment horizontal="left"/>
    </xf>
    <xf numFmtId="189" fontId="45" fillId="11" borderId="0" xfId="10" applyNumberFormat="1" applyFont="1" applyFill="1" applyBorder="1" applyAlignment="1">
      <alignment horizontal="left"/>
    </xf>
    <xf numFmtId="2" fontId="49" fillId="0" borderId="0" xfId="10" applyNumberFormat="1" applyFill="1" applyAlignment="1">
      <alignment horizontal="right"/>
    </xf>
    <xf numFmtId="0" fontId="18" fillId="7" borderId="6" xfId="10" applyFont="1" applyFill="1" applyBorder="1"/>
    <xf numFmtId="0" fontId="5" fillId="7" borderId="6" xfId="10" applyFont="1" applyFill="1" applyBorder="1"/>
    <xf numFmtId="189" fontId="5" fillId="3" borderId="6" xfId="10" applyNumberFormat="1" applyFont="1" applyFill="1" applyBorder="1" applyAlignment="1">
      <alignment horizontal="center"/>
    </xf>
    <xf numFmtId="189" fontId="5" fillId="7" borderId="6" xfId="10" applyNumberFormat="1" applyFont="1" applyFill="1" applyBorder="1" applyAlignment="1">
      <alignment horizontal="center"/>
    </xf>
    <xf numFmtId="189" fontId="18" fillId="7" borderId="6" xfId="10" applyNumberFormat="1" applyFont="1" applyFill="1" applyBorder="1" applyAlignment="1">
      <alignment horizontal="center"/>
    </xf>
    <xf numFmtId="189" fontId="18" fillId="3" borderId="6" xfId="10" applyNumberFormat="1" applyFont="1" applyFill="1" applyBorder="1" applyAlignment="1">
      <alignment horizontal="center"/>
    </xf>
    <xf numFmtId="189" fontId="57" fillId="15" borderId="6" xfId="10" applyNumberFormat="1" applyFont="1" applyFill="1" applyBorder="1" applyAlignment="1">
      <alignment horizontal="center"/>
    </xf>
    <xf numFmtId="0" fontId="18" fillId="0" borderId="0" xfId="10" applyFont="1" applyBorder="1"/>
    <xf numFmtId="0" fontId="49" fillId="0" borderId="0" xfId="10" applyBorder="1"/>
    <xf numFmtId="0" fontId="5" fillId="0" borderId="0" xfId="10" applyFont="1"/>
    <xf numFmtId="0" fontId="5" fillId="0" borderId="0" xfId="10" applyFont="1" applyBorder="1"/>
    <xf numFmtId="189" fontId="49" fillId="0" borderId="0" xfId="10" applyNumberFormat="1"/>
    <xf numFmtId="189" fontId="49" fillId="0" borderId="0" xfId="10" applyNumberFormat="1" applyFont="1"/>
    <xf numFmtId="0" fontId="5" fillId="0" borderId="0" xfId="10" applyFont="1" applyFill="1"/>
    <xf numFmtId="1" fontId="5" fillId="0" borderId="0" xfId="10" applyNumberFormat="1" applyFont="1" applyFill="1" applyBorder="1" applyAlignment="1">
      <alignment horizontal="left"/>
    </xf>
    <xf numFmtId="189" fontId="4" fillId="6" borderId="0" xfId="10" applyNumberFormat="1" applyFont="1" applyFill="1" applyBorder="1" applyAlignment="1">
      <alignment horizontal="right"/>
    </xf>
    <xf numFmtId="0" fontId="5" fillId="0" borderId="0" xfId="10" applyFont="1" applyFill="1" applyBorder="1"/>
    <xf numFmtId="1" fontId="5" fillId="6" borderId="0" xfId="10" applyNumberFormat="1" applyFont="1" applyFill="1" applyBorder="1" applyAlignment="1">
      <alignment horizontal="left"/>
    </xf>
    <xf numFmtId="0" fontId="95" fillId="0" borderId="0" xfId="10" applyFont="1" applyBorder="1"/>
    <xf numFmtId="0" fontId="96" fillId="0" borderId="0" xfId="10" applyFont="1" applyBorder="1"/>
    <xf numFmtId="0" fontId="97" fillId="0" borderId="0" xfId="10" applyFont="1" applyBorder="1"/>
    <xf numFmtId="0" fontId="49" fillId="0" borderId="0" xfId="10" applyFont="1" applyFill="1"/>
    <xf numFmtId="0" fontId="98" fillId="0" borderId="0" xfId="10" applyFont="1" applyFill="1" applyBorder="1"/>
    <xf numFmtId="0" fontId="9" fillId="0" borderId="0" xfId="10" applyFont="1" applyFill="1"/>
    <xf numFmtId="0" fontId="5" fillId="0" borderId="0" xfId="10" applyFont="1" applyFill="1" applyAlignment="1">
      <alignment horizontal="right"/>
    </xf>
    <xf numFmtId="0" fontId="6" fillId="0" borderId="0" xfId="10" applyFont="1" applyFill="1"/>
    <xf numFmtId="0" fontId="89" fillId="0" borderId="0" xfId="10" applyFont="1" applyFill="1" applyBorder="1"/>
    <xf numFmtId="0" fontId="49" fillId="0" borderId="0" xfId="10" applyFill="1" applyAlignment="1">
      <alignment horizontal="center"/>
    </xf>
    <xf numFmtId="0" fontId="49" fillId="0" borderId="0" xfId="10" applyFill="1" applyAlignment="1">
      <alignment wrapText="1"/>
    </xf>
    <xf numFmtId="0" fontId="3" fillId="0" borderId="0" xfId="10" applyFont="1" applyFill="1"/>
    <xf numFmtId="3" fontId="5" fillId="0" borderId="0" xfId="10" applyNumberFormat="1" applyFont="1" applyFill="1"/>
    <xf numFmtId="190" fontId="4" fillId="0" borderId="0" xfId="10" applyNumberFormat="1" applyFont="1" applyFill="1"/>
    <xf numFmtId="9" fontId="89" fillId="0" borderId="0" xfId="10" applyNumberFormat="1" applyFont="1" applyFill="1" applyAlignment="1">
      <alignment horizontal="center"/>
    </xf>
    <xf numFmtId="0" fontId="89" fillId="0" borderId="0" xfId="10" quotePrefix="1" applyFont="1" applyFill="1"/>
    <xf numFmtId="3" fontId="49" fillId="0" borderId="0" xfId="10" applyNumberFormat="1" applyFill="1"/>
    <xf numFmtId="3" fontId="4" fillId="0" borderId="0" xfId="10" applyNumberFormat="1" applyFont="1" applyFill="1"/>
    <xf numFmtId="3" fontId="89" fillId="0" borderId="0" xfId="10" applyNumberFormat="1" applyFont="1" applyFill="1" applyAlignment="1">
      <alignment horizontal="center"/>
    </xf>
    <xf numFmtId="3" fontId="49" fillId="0" borderId="0" xfId="10" applyNumberFormat="1" applyFill="1" applyAlignment="1">
      <alignment horizontal="right"/>
    </xf>
    <xf numFmtId="0" fontId="49" fillId="11" borderId="0" xfId="10" applyFill="1"/>
    <xf numFmtId="2" fontId="49" fillId="0" borderId="0" xfId="10" applyNumberFormat="1" applyFill="1"/>
    <xf numFmtId="189" fontId="49" fillId="0" borderId="0" xfId="10" applyNumberFormat="1" applyFill="1"/>
    <xf numFmtId="189" fontId="4" fillId="0" borderId="0" xfId="10" applyNumberFormat="1" applyFont="1" applyFill="1"/>
    <xf numFmtId="0" fontId="99" fillId="0" borderId="0" xfId="10" applyFont="1" applyFill="1"/>
    <xf numFmtId="1" fontId="49" fillId="0" borderId="0" xfId="10" applyNumberFormat="1" applyFill="1"/>
    <xf numFmtId="190" fontId="49" fillId="0" borderId="0" xfId="10" applyNumberFormat="1" applyFill="1"/>
    <xf numFmtId="0" fontId="99" fillId="0" borderId="0" xfId="10" applyFont="1"/>
    <xf numFmtId="189" fontId="40" fillId="7" borderId="8" xfId="0" applyNumberFormat="1" applyFont="1" applyFill="1" applyBorder="1" applyAlignment="1">
      <alignment horizontal="right"/>
    </xf>
    <xf numFmtId="1" fontId="6" fillId="3" borderId="8" xfId="0" applyNumberFormat="1" applyFont="1" applyFill="1" applyBorder="1" applyAlignment="1">
      <alignment horizontal="left"/>
    </xf>
    <xf numFmtId="189" fontId="6" fillId="3" borderId="8" xfId="0" applyNumberFormat="1" applyFont="1" applyFill="1" applyBorder="1" applyAlignment="1">
      <alignment horizontal="right"/>
    </xf>
    <xf numFmtId="1" fontId="4" fillId="3" borderId="0" xfId="0" applyNumberFormat="1" applyFont="1" applyFill="1" applyBorder="1" applyAlignment="1">
      <alignment horizontal="left" vertical="center"/>
    </xf>
    <xf numFmtId="189" fontId="4" fillId="7" borderId="8" xfId="0" applyNumberFormat="1" applyFont="1" applyFill="1" applyBorder="1" applyAlignment="1">
      <alignment horizontal="right" vertical="center"/>
    </xf>
    <xf numFmtId="189" fontId="4" fillId="3" borderId="8" xfId="0" applyNumberFormat="1" applyFont="1" applyFill="1" applyBorder="1" applyAlignment="1">
      <alignment horizontal="right" vertical="center"/>
    </xf>
    <xf numFmtId="0" fontId="45" fillId="0" borderId="0" xfId="0" applyFont="1" applyAlignment="1">
      <alignment vertical="center"/>
    </xf>
    <xf numFmtId="0" fontId="4" fillId="3" borderId="7" xfId="0" applyNumberFormat="1" applyFont="1" applyFill="1" applyBorder="1" applyAlignment="1">
      <alignment horizontal="left"/>
    </xf>
    <xf numFmtId="0" fontId="4" fillId="3" borderId="8" xfId="0" applyNumberFormat="1" applyFont="1" applyFill="1" applyBorder="1" applyAlignment="1">
      <alignment horizontal="left"/>
    </xf>
    <xf numFmtId="189" fontId="40" fillId="3" borderId="8" xfId="0" applyNumberFormat="1" applyFont="1" applyFill="1" applyBorder="1" applyAlignment="1">
      <alignment horizontal="right"/>
    </xf>
    <xf numFmtId="0" fontId="6" fillId="3" borderId="8" xfId="0" applyNumberFormat="1" applyFont="1" applyFill="1" applyBorder="1" applyAlignment="1">
      <alignment horizontal="left"/>
    </xf>
    <xf numFmtId="0" fontId="4" fillId="3" borderId="40" xfId="0" applyFont="1" applyFill="1" applyBorder="1" applyAlignment="1">
      <alignment horizontal="left" vertical="center"/>
    </xf>
    <xf numFmtId="0" fontId="4" fillId="7" borderId="40" xfId="0" applyFont="1" applyFill="1" applyBorder="1" applyAlignment="1">
      <alignment vertical="center"/>
    </xf>
    <xf numFmtId="0" fontId="4" fillId="3" borderId="40" xfId="0" applyFont="1" applyFill="1" applyBorder="1" applyAlignment="1">
      <alignment vertical="center"/>
    </xf>
    <xf numFmtId="190" fontId="51" fillId="3" borderId="13" xfId="0" applyNumberFormat="1" applyFont="1" applyFill="1" applyBorder="1" applyAlignment="1">
      <alignment horizontal="right" vertical="center"/>
    </xf>
    <xf numFmtId="1" fontId="4" fillId="6" borderId="41" xfId="0" applyNumberFormat="1" applyFont="1" applyFill="1" applyBorder="1" applyAlignment="1">
      <alignment horizontal="left"/>
    </xf>
    <xf numFmtId="0" fontId="5" fillId="6" borderId="41" xfId="0" applyFont="1" applyFill="1" applyBorder="1"/>
    <xf numFmtId="0" fontId="5" fillId="0" borderId="41" xfId="0" applyFont="1" applyBorder="1"/>
    <xf numFmtId="1" fontId="6" fillId="3" borderId="7" xfId="0" applyNumberFormat="1" applyFont="1" applyFill="1" applyBorder="1" applyAlignment="1">
      <alignment horizontal="left" vertical="center"/>
    </xf>
    <xf numFmtId="190" fontId="6" fillId="7" borderId="3" xfId="0" applyNumberFormat="1" applyFont="1" applyFill="1" applyBorder="1" applyAlignment="1">
      <alignment horizontal="right" vertical="center"/>
    </xf>
    <xf numFmtId="1" fontId="4" fillId="6" borderId="9" xfId="0" applyNumberFormat="1" applyFont="1" applyFill="1" applyBorder="1" applyAlignment="1">
      <alignment horizontal="left"/>
    </xf>
    <xf numFmtId="1" fontId="4" fillId="6" borderId="0" xfId="0" applyNumberFormat="1" applyFont="1" applyFill="1" applyBorder="1" applyAlignment="1">
      <alignment horizontal="left"/>
    </xf>
    <xf numFmtId="3" fontId="5" fillId="6" borderId="41" xfId="0" applyNumberFormat="1" applyFont="1" applyFill="1" applyBorder="1"/>
    <xf numFmtId="3" fontId="5" fillId="0" borderId="41" xfId="0" applyNumberFormat="1" applyFont="1" applyBorder="1"/>
    <xf numFmtId="1" fontId="6" fillId="3" borderId="21" xfId="0" applyNumberFormat="1" applyFont="1" applyFill="1" applyBorder="1" applyAlignment="1">
      <alignment horizontal="left" vertical="center"/>
    </xf>
    <xf numFmtId="3" fontId="6" fillId="7" borderId="21" xfId="0" applyNumberFormat="1" applyFont="1" applyFill="1" applyBorder="1" applyAlignment="1">
      <alignment horizontal="right" vertical="center"/>
    </xf>
    <xf numFmtId="3" fontId="6" fillId="3" borderId="21" xfId="0" applyNumberFormat="1" applyFont="1" applyFill="1" applyBorder="1" applyAlignment="1">
      <alignment horizontal="right" vertical="center"/>
    </xf>
    <xf numFmtId="0" fontId="6" fillId="7" borderId="0" xfId="0" applyFont="1" applyFill="1" applyBorder="1" applyAlignment="1">
      <alignment horizontal="left"/>
    </xf>
    <xf numFmtId="0" fontId="6" fillId="7" borderId="28" xfId="0" applyFont="1" applyFill="1" applyBorder="1" applyAlignment="1">
      <alignment horizontal="left"/>
    </xf>
    <xf numFmtId="0" fontId="6" fillId="3" borderId="4" xfId="0" applyFont="1" applyFill="1" applyBorder="1" applyAlignment="1">
      <alignment horizontal="right"/>
    </xf>
    <xf numFmtId="0" fontId="6" fillId="7" borderId="0" xfId="0" applyFont="1" applyFill="1" applyBorder="1" applyAlignment="1">
      <alignment horizontal="right" wrapText="1"/>
    </xf>
    <xf numFmtId="0" fontId="6" fillId="3" borderId="0" xfId="0" applyFont="1" applyFill="1" applyBorder="1" applyAlignment="1">
      <alignment horizontal="right" wrapText="1"/>
    </xf>
    <xf numFmtId="0" fontId="6" fillId="7" borderId="34" xfId="0" applyFont="1" applyFill="1" applyBorder="1" applyAlignment="1">
      <alignment horizontal="left"/>
    </xf>
    <xf numFmtId="0" fontId="4" fillId="7" borderId="28" xfId="0" applyFont="1" applyFill="1" applyBorder="1" applyAlignment="1">
      <alignment horizontal="right" vertical="top"/>
    </xf>
    <xf numFmtId="0" fontId="4" fillId="7" borderId="34" xfId="0" applyFont="1" applyFill="1" applyBorder="1" applyAlignment="1">
      <alignment horizontal="right" vertical="top"/>
    </xf>
    <xf numFmtId="189" fontId="4" fillId="7" borderId="7" xfId="0" quotePrefix="1" applyNumberFormat="1" applyFont="1" applyFill="1" applyBorder="1" applyAlignment="1">
      <alignment horizontal="right"/>
    </xf>
    <xf numFmtId="189" fontId="4" fillId="3" borderId="7" xfId="0" quotePrefix="1" applyNumberFormat="1" applyFont="1" applyFill="1" applyBorder="1" applyAlignment="1">
      <alignment horizontal="right"/>
    </xf>
    <xf numFmtId="189" fontId="4" fillId="7" borderId="31" xfId="0" quotePrefix="1" applyNumberFormat="1" applyFont="1" applyFill="1" applyBorder="1" applyAlignment="1">
      <alignment horizontal="right"/>
    </xf>
    <xf numFmtId="189" fontId="4" fillId="7" borderId="6" xfId="0" quotePrefix="1" applyNumberFormat="1" applyFont="1" applyFill="1" applyBorder="1" applyAlignment="1">
      <alignment horizontal="right"/>
    </xf>
    <xf numFmtId="189" fontId="40" fillId="3" borderId="6" xfId="0" quotePrefix="1" applyNumberFormat="1" applyFont="1" applyFill="1" applyBorder="1" applyAlignment="1">
      <alignment horizontal="right"/>
    </xf>
    <xf numFmtId="189" fontId="40" fillId="7" borderId="6" xfId="0" quotePrefix="1" applyNumberFormat="1" applyFont="1" applyFill="1" applyBorder="1" applyAlignment="1">
      <alignment horizontal="right"/>
    </xf>
    <xf numFmtId="189" fontId="40" fillId="3" borderId="7" xfId="0" applyNumberFormat="1" applyFont="1" applyFill="1" applyBorder="1" applyAlignment="1">
      <alignment horizontal="right"/>
    </xf>
    <xf numFmtId="189" fontId="4" fillId="7" borderId="29" xfId="0" quotePrefix="1" applyNumberFormat="1" applyFont="1" applyFill="1" applyBorder="1" applyAlignment="1">
      <alignment horizontal="right"/>
    </xf>
    <xf numFmtId="189" fontId="6" fillId="7" borderId="39" xfId="0" applyNumberFormat="1" applyFont="1" applyFill="1" applyBorder="1" applyAlignment="1">
      <alignment horizontal="right" vertical="center"/>
    </xf>
    <xf numFmtId="0" fontId="2" fillId="6" borderId="0" xfId="0" applyFont="1" applyFill="1" applyBorder="1" applyAlignment="1">
      <alignment horizontal="right"/>
    </xf>
    <xf numFmtId="0" fontId="6" fillId="13" borderId="0" xfId="0" applyFont="1" applyFill="1" applyBorder="1" applyAlignment="1">
      <alignment horizontal="left" vertical="center"/>
    </xf>
    <xf numFmtId="0" fontId="4" fillId="13" borderId="0" xfId="0" applyFont="1" applyFill="1" applyBorder="1" applyAlignment="1">
      <alignment horizontal="right" vertical="center"/>
    </xf>
    <xf numFmtId="0" fontId="4" fillId="13" borderId="0" xfId="0" applyFont="1" applyFill="1" applyBorder="1" applyAlignment="1">
      <alignment horizontal="left" vertical="center"/>
    </xf>
    <xf numFmtId="0" fontId="6" fillId="13" borderId="0" xfId="0" applyFont="1" applyFill="1" applyBorder="1" applyAlignment="1">
      <alignment horizontal="right" vertical="center"/>
    </xf>
    <xf numFmtId="0" fontId="4" fillId="12" borderId="0" xfId="0" applyFont="1" applyFill="1" applyBorder="1" applyAlignment="1">
      <alignment horizontal="left" vertical="center"/>
    </xf>
    <xf numFmtId="0" fontId="4" fillId="12" borderId="0" xfId="0" applyFont="1" applyFill="1" applyBorder="1" applyAlignment="1">
      <alignment horizontal="center" vertical="center"/>
    </xf>
    <xf numFmtId="0" fontId="6" fillId="12" borderId="0" xfId="0" applyFont="1" applyFill="1" applyBorder="1" applyAlignment="1">
      <alignment horizontal="right" vertical="center"/>
    </xf>
    <xf numFmtId="0" fontId="6" fillId="19" borderId="0" xfId="0" applyFont="1" applyFill="1" applyBorder="1" applyAlignment="1">
      <alignment horizontal="left" vertical="center"/>
    </xf>
    <xf numFmtId="0" fontId="6" fillId="19" borderId="0" xfId="0" applyFont="1" applyFill="1" applyBorder="1" applyAlignment="1">
      <alignment horizontal="right" vertical="center"/>
    </xf>
    <xf numFmtId="0" fontId="6" fillId="7" borderId="0" xfId="0" applyFont="1" applyFill="1" applyBorder="1" applyAlignment="1">
      <alignment horizontal="right" vertical="center" wrapText="1"/>
    </xf>
    <xf numFmtId="0" fontId="6" fillId="3" borderId="0" xfId="0" applyFont="1" applyFill="1" applyBorder="1" applyAlignment="1">
      <alignment horizontal="right" vertical="center"/>
    </xf>
    <xf numFmtId="0" fontId="6" fillId="19" borderId="28" xfId="0" applyFont="1" applyFill="1" applyBorder="1" applyAlignment="1">
      <alignment horizontal="left" vertical="center"/>
    </xf>
    <xf numFmtId="0" fontId="4" fillId="7" borderId="28" xfId="0" applyFont="1" applyFill="1" applyBorder="1" applyAlignment="1">
      <alignment horizontal="right"/>
    </xf>
    <xf numFmtId="189" fontId="40" fillId="3" borderId="7" xfId="0" quotePrefix="1" applyNumberFormat="1" applyFont="1" applyFill="1" applyBorder="1" applyAlignment="1">
      <alignment horizontal="right"/>
    </xf>
    <xf numFmtId="189" fontId="4" fillId="7" borderId="5" xfId="0" quotePrefix="1" applyNumberFormat="1" applyFont="1" applyFill="1" applyBorder="1" applyAlignment="1">
      <alignment horizontal="right"/>
    </xf>
    <xf numFmtId="189" fontId="4" fillId="3" borderId="0" xfId="0" quotePrefix="1" applyNumberFormat="1" applyFont="1" applyFill="1" applyBorder="1" applyAlignment="1">
      <alignment horizontal="right"/>
    </xf>
    <xf numFmtId="189" fontId="4" fillId="7" borderId="27" xfId="0" quotePrefix="1" applyNumberFormat="1" applyFont="1" applyFill="1" applyBorder="1" applyAlignment="1">
      <alignment horizontal="right"/>
    </xf>
    <xf numFmtId="189" fontId="4" fillId="7" borderId="44" xfId="0" quotePrefix="1" applyNumberFormat="1" applyFont="1" applyFill="1" applyBorder="1" applyAlignment="1">
      <alignment horizontal="right"/>
    </xf>
    <xf numFmtId="189" fontId="4" fillId="3" borderId="44" xfId="0" applyNumberFormat="1" applyFont="1" applyFill="1" applyBorder="1" applyAlignment="1">
      <alignment horizontal="right"/>
    </xf>
    <xf numFmtId="189" fontId="4" fillId="7" borderId="44" xfId="0" applyNumberFormat="1" applyFont="1" applyFill="1" applyBorder="1" applyAlignment="1">
      <alignment horizontal="right"/>
    </xf>
    <xf numFmtId="189" fontId="4" fillId="3" borderId="44" xfId="0" quotePrefix="1" applyNumberFormat="1" applyFont="1" applyFill="1" applyBorder="1" applyAlignment="1">
      <alignment horizontal="right"/>
    </xf>
    <xf numFmtId="189" fontId="4" fillId="7" borderId="48" xfId="0" quotePrefix="1" applyNumberFormat="1" applyFont="1" applyFill="1" applyBorder="1" applyAlignment="1">
      <alignment horizontal="right"/>
    </xf>
    <xf numFmtId="189" fontId="6" fillId="7" borderId="7" xfId="0" quotePrefix="1" applyNumberFormat="1" applyFont="1" applyFill="1" applyBorder="1" applyAlignment="1">
      <alignment horizontal="right" vertical="center"/>
    </xf>
    <xf numFmtId="189" fontId="6" fillId="3" borderId="7" xfId="0" applyNumberFormat="1" applyFont="1" applyFill="1" applyBorder="1" applyAlignment="1">
      <alignment horizontal="right" vertical="center"/>
    </xf>
    <xf numFmtId="189" fontId="6" fillId="7" borderId="39" xfId="0" quotePrefix="1" applyNumberFormat="1" applyFont="1" applyFill="1" applyBorder="1" applyAlignment="1">
      <alignment horizontal="right" vertical="center"/>
    </xf>
    <xf numFmtId="0" fontId="14" fillId="0" borderId="0" xfId="0" applyFont="1" applyBorder="1" applyAlignment="1">
      <alignment vertical="center"/>
    </xf>
    <xf numFmtId="1" fontId="81" fillId="0" borderId="0" xfId="0" applyNumberFormat="1" applyFont="1" applyFill="1" applyBorder="1" applyAlignment="1">
      <alignment horizontal="left"/>
    </xf>
    <xf numFmtId="0" fontId="6" fillId="0" borderId="0" xfId="3" applyFont="1"/>
    <xf numFmtId="0" fontId="5" fillId="0" borderId="0" xfId="3" applyFont="1"/>
    <xf numFmtId="0" fontId="2" fillId="0" borderId="0" xfId="3" applyFont="1"/>
    <xf numFmtId="0" fontId="100" fillId="0" borderId="42" xfId="3" applyFont="1" applyBorder="1" applyAlignment="1">
      <alignment horizontal="justify" vertical="top" wrapText="1"/>
    </xf>
    <xf numFmtId="0" fontId="45" fillId="0" borderId="18" xfId="3" applyFont="1" applyBorder="1" applyAlignment="1">
      <alignment vertical="top" wrapText="1"/>
    </xf>
    <xf numFmtId="0" fontId="45" fillId="0" borderId="19" xfId="3" applyFont="1" applyBorder="1" applyAlignment="1">
      <alignment horizontal="right" vertical="top" wrapText="1"/>
    </xf>
    <xf numFmtId="0" fontId="5" fillId="0" borderId="20" xfId="3" applyFont="1" applyBorder="1" applyAlignment="1">
      <alignment vertical="top" wrapText="1"/>
    </xf>
    <xf numFmtId="0" fontId="45" fillId="0" borderId="19" xfId="3" applyFont="1" applyBorder="1" applyAlignment="1">
      <alignment horizontal="justify" vertical="top" wrapText="1"/>
    </xf>
    <xf numFmtId="0" fontId="45" fillId="0" borderId="20" xfId="3" applyFont="1" applyBorder="1" applyAlignment="1">
      <alignment vertical="top" wrapText="1"/>
    </xf>
    <xf numFmtId="0" fontId="5" fillId="0" borderId="19" xfId="3" applyFont="1" applyBorder="1" applyAlignment="1">
      <alignment horizontal="justify" vertical="top" wrapText="1"/>
    </xf>
    <xf numFmtId="0" fontId="5" fillId="0" borderId="20" xfId="3" applyFont="1" applyBorder="1" applyAlignment="1">
      <alignment horizontal="justify" vertical="top" wrapText="1"/>
    </xf>
    <xf numFmtId="9" fontId="5" fillId="0" borderId="20" xfId="3" applyNumberFormat="1" applyFont="1" applyBorder="1" applyAlignment="1">
      <alignment horizontal="justify" vertical="top" wrapText="1"/>
    </xf>
    <xf numFmtId="0" fontId="5" fillId="0" borderId="0" xfId="3" applyFont="1" applyAlignment="1">
      <alignment horizontal="justify"/>
    </xf>
    <xf numFmtId="0" fontId="45" fillId="0" borderId="14" xfId="3" applyFont="1" applyBorder="1" applyAlignment="1">
      <alignment vertical="top" wrapText="1"/>
    </xf>
    <xf numFmtId="0" fontId="45" fillId="0" borderId="17" xfId="3" applyFont="1" applyBorder="1" applyAlignment="1">
      <alignment horizontal="right" vertical="top" wrapText="1"/>
    </xf>
    <xf numFmtId="0" fontId="5" fillId="0" borderId="18" xfId="3" applyFont="1" applyBorder="1" applyAlignment="1">
      <alignment vertical="top" wrapText="1"/>
    </xf>
    <xf numFmtId="0" fontId="9" fillId="3" borderId="19" xfId="3" applyFont="1" applyFill="1" applyBorder="1" applyAlignment="1">
      <alignment horizontal="justify" vertical="top" wrapText="1"/>
    </xf>
    <xf numFmtId="0" fontId="5" fillId="3" borderId="19" xfId="3" applyFont="1" applyFill="1" applyBorder="1" applyAlignment="1">
      <alignment horizontal="justify" vertical="top" wrapText="1"/>
    </xf>
    <xf numFmtId="9" fontId="45" fillId="3" borderId="20" xfId="3" applyNumberFormat="1" applyFont="1" applyFill="1" applyBorder="1" applyAlignment="1">
      <alignment horizontal="justify" vertical="top" wrapText="1"/>
    </xf>
    <xf numFmtId="0" fontId="5" fillId="0" borderId="2" xfId="3" applyFont="1" applyBorder="1" applyAlignment="1">
      <alignment vertical="top" wrapText="1"/>
    </xf>
    <xf numFmtId="0" fontId="5" fillId="0" borderId="23" xfId="3" applyFont="1" applyBorder="1" applyAlignment="1">
      <alignment vertical="top" wrapText="1"/>
    </xf>
    <xf numFmtId="0" fontId="45" fillId="0" borderId="12" xfId="3" applyFont="1" applyBorder="1" applyAlignment="1">
      <alignment vertical="top" wrapText="1"/>
    </xf>
    <xf numFmtId="0" fontId="23" fillId="3" borderId="20" xfId="3" applyFont="1" applyFill="1" applyBorder="1" applyAlignment="1">
      <alignment vertical="top" wrapText="1"/>
    </xf>
    <xf numFmtId="0" fontId="5" fillId="0" borderId="19" xfId="3" applyFont="1" applyFill="1" applyBorder="1" applyAlignment="1">
      <alignment horizontal="justify" vertical="top" wrapText="1"/>
    </xf>
    <xf numFmtId="0" fontId="5" fillId="0" borderId="20" xfId="3" applyFont="1" applyBorder="1" applyAlignment="1">
      <alignment horizontal="right" vertical="top" wrapText="1"/>
    </xf>
    <xf numFmtId="0" fontId="45" fillId="3" borderId="20" xfId="3" applyFont="1" applyFill="1" applyBorder="1" applyAlignment="1">
      <alignment horizontal="right" vertical="top" wrapText="1"/>
    </xf>
    <xf numFmtId="0" fontId="45" fillId="0" borderId="14" xfId="3" applyFont="1" applyBorder="1" applyAlignment="1">
      <alignment horizontal="left" vertical="top" wrapText="1"/>
    </xf>
    <xf numFmtId="0" fontId="5" fillId="3" borderId="18" xfId="3" applyFont="1" applyFill="1" applyBorder="1" applyAlignment="1">
      <alignment vertical="top" wrapText="1"/>
    </xf>
    <xf numFmtId="0" fontId="23" fillId="0" borderId="20" xfId="3" applyFont="1" applyBorder="1" applyAlignment="1">
      <alignment vertical="top" wrapText="1"/>
    </xf>
    <xf numFmtId="0" fontId="45" fillId="3" borderId="19" xfId="3" applyFont="1" applyFill="1" applyBorder="1" applyAlignment="1">
      <alignment horizontal="justify" vertical="top" wrapText="1"/>
    </xf>
    <xf numFmtId="0" fontId="18" fillId="0" borderId="0" xfId="3" applyFont="1" applyAlignment="1">
      <alignment horizontal="justify"/>
    </xf>
    <xf numFmtId="0" fontId="45" fillId="3" borderId="18" xfId="3" applyFont="1" applyFill="1" applyBorder="1" applyAlignment="1">
      <alignment vertical="top" wrapText="1"/>
    </xf>
    <xf numFmtId="9" fontId="5" fillId="0" borderId="20" xfId="3" applyNumberFormat="1" applyFont="1" applyFill="1" applyBorder="1" applyAlignment="1">
      <alignment horizontal="justify" vertical="top" wrapText="1"/>
    </xf>
    <xf numFmtId="0" fontId="5" fillId="0" borderId="20" xfId="3" applyFont="1" applyFill="1" applyBorder="1" applyAlignment="1">
      <alignment horizontal="right" vertical="top" wrapText="1"/>
    </xf>
    <xf numFmtId="0" fontId="23" fillId="0" borderId="18" xfId="3" applyFont="1" applyFill="1" applyBorder="1" applyAlignment="1">
      <alignment vertical="top" wrapText="1"/>
    </xf>
    <xf numFmtId="0" fontId="45" fillId="3" borderId="20" xfId="3" applyFont="1" applyFill="1" applyBorder="1" applyAlignment="1">
      <alignment vertical="top" wrapText="1"/>
    </xf>
    <xf numFmtId="0" fontId="9" fillId="0" borderId="20" xfId="3" applyFont="1" applyBorder="1" applyAlignment="1">
      <alignment horizontal="right" vertical="top" wrapText="1"/>
    </xf>
    <xf numFmtId="0" fontId="21" fillId="0" borderId="0" xfId="3" applyFont="1" applyAlignment="1">
      <alignment horizontal="justify"/>
    </xf>
    <xf numFmtId="0" fontId="100" fillId="3" borderId="0" xfId="3" applyFont="1" applyFill="1"/>
    <xf numFmtId="0" fontId="4" fillId="0" borderId="0" xfId="3" applyFont="1"/>
    <xf numFmtId="0" fontId="45" fillId="0" borderId="42" xfId="3" applyFont="1" applyBorder="1" applyAlignment="1">
      <alignment vertical="top" wrapText="1"/>
    </xf>
    <xf numFmtId="0" fontId="45" fillId="3" borderId="12" xfId="3" applyFont="1" applyFill="1" applyBorder="1" applyAlignment="1">
      <alignment vertical="top" wrapText="1"/>
    </xf>
    <xf numFmtId="9" fontId="9" fillId="3" borderId="20" xfId="3" applyNumberFormat="1" applyFont="1" applyFill="1" applyBorder="1" applyAlignment="1">
      <alignment horizontal="justify" vertical="top" wrapText="1"/>
    </xf>
    <xf numFmtId="0" fontId="45" fillId="0" borderId="20" xfId="3" applyFont="1" applyFill="1" applyBorder="1" applyAlignment="1">
      <alignment horizontal="right" vertical="top" wrapText="1"/>
    </xf>
    <xf numFmtId="0" fontId="6" fillId="0" borderId="0" xfId="0" applyFont="1"/>
    <xf numFmtId="0" fontId="102" fillId="0" borderId="0" xfId="0" applyFont="1" applyAlignment="1">
      <alignment wrapText="1"/>
    </xf>
    <xf numFmtId="0" fontId="9" fillId="0" borderId="0" xfId="0" applyFont="1" applyAlignment="1">
      <alignment wrapText="1"/>
    </xf>
    <xf numFmtId="0" fontId="103" fillId="0" borderId="0" xfId="0" applyFont="1" applyAlignment="1">
      <alignment wrapText="1"/>
    </xf>
    <xf numFmtId="0" fontId="86" fillId="0" borderId="0" xfId="0" applyFont="1" applyAlignment="1">
      <alignment wrapText="1"/>
    </xf>
    <xf numFmtId="0" fontId="45" fillId="0" borderId="17" xfId="0" applyFont="1" applyBorder="1" applyAlignment="1">
      <alignment horizontal="justify" vertical="top" wrapText="1"/>
    </xf>
    <xf numFmtId="0" fontId="100" fillId="7" borderId="17" xfId="0" applyFont="1" applyFill="1" applyBorder="1" applyAlignment="1">
      <alignment vertical="top" wrapText="1"/>
    </xf>
    <xf numFmtId="0" fontId="100" fillId="3" borderId="17" xfId="0" applyFont="1" applyFill="1" applyBorder="1" applyAlignment="1">
      <alignment vertical="top" wrapText="1"/>
    </xf>
    <xf numFmtId="0" fontId="100" fillId="3" borderId="19" xfId="0" applyFont="1" applyFill="1" applyBorder="1" applyAlignment="1">
      <alignment vertical="top" wrapText="1"/>
    </xf>
    <xf numFmtId="0" fontId="35" fillId="10" borderId="19" xfId="0" applyFont="1" applyFill="1" applyBorder="1" applyAlignment="1">
      <alignment horizontal="justify" vertical="top" wrapText="1"/>
    </xf>
    <xf numFmtId="190" fontId="35" fillId="10" borderId="20" xfId="0" applyNumberFormat="1" applyFont="1" applyFill="1" applyBorder="1" applyAlignment="1">
      <alignment horizontal="justify" vertical="top" wrapText="1"/>
    </xf>
    <xf numFmtId="190" fontId="18" fillId="3" borderId="20" xfId="0" applyNumberFormat="1" applyFont="1" applyFill="1" applyBorder="1" applyAlignment="1">
      <alignment horizontal="justify" vertical="top" wrapText="1"/>
    </xf>
    <xf numFmtId="3" fontId="18" fillId="7" borderId="20" xfId="0" applyNumberFormat="1" applyFont="1" applyFill="1" applyBorder="1" applyAlignment="1">
      <alignment horizontal="justify" vertical="top" wrapText="1"/>
    </xf>
    <xf numFmtId="3" fontId="18" fillId="3" borderId="20" xfId="0" applyNumberFormat="1" applyFont="1" applyFill="1" applyBorder="1" applyAlignment="1">
      <alignment horizontal="justify" vertical="top" wrapText="1"/>
    </xf>
    <xf numFmtId="0" fontId="18" fillId="0" borderId="19" xfId="0" applyFont="1" applyBorder="1" applyAlignment="1">
      <alignment horizontal="justify" vertical="top" wrapText="1"/>
    </xf>
    <xf numFmtId="190" fontId="18" fillId="7" borderId="20" xfId="0" applyNumberFormat="1" applyFont="1" applyFill="1" applyBorder="1" applyAlignment="1">
      <alignment horizontal="justify" vertical="top" wrapText="1"/>
    </xf>
    <xf numFmtId="0" fontId="104" fillId="0" borderId="0" xfId="0" applyFont="1" applyBorder="1" applyAlignment="1">
      <alignment horizontal="justify" vertical="top" wrapText="1"/>
    </xf>
    <xf numFmtId="190" fontId="104" fillId="0" borderId="0" xfId="0" applyNumberFormat="1" applyFont="1" applyBorder="1" applyAlignment="1">
      <alignment horizontal="justify" vertical="top" wrapText="1"/>
    </xf>
    <xf numFmtId="3" fontId="104" fillId="0" borderId="0" xfId="0" applyNumberFormat="1" applyFont="1" applyBorder="1" applyAlignment="1">
      <alignment horizontal="justify" vertical="top" wrapText="1"/>
    </xf>
    <xf numFmtId="0" fontId="21" fillId="0" borderId="0" xfId="0" applyFont="1" applyFill="1" applyBorder="1" applyAlignment="1">
      <alignment vertical="top"/>
    </xf>
    <xf numFmtId="0" fontId="105" fillId="0" borderId="0" xfId="0" applyFont="1" applyFill="1" applyBorder="1" applyAlignment="1">
      <alignment horizontal="justify" vertical="top"/>
    </xf>
    <xf numFmtId="0" fontId="21" fillId="0" borderId="0" xfId="0" quotePrefix="1" applyFont="1"/>
    <xf numFmtId="0" fontId="21" fillId="6" borderId="0" xfId="0" applyFont="1" applyFill="1"/>
    <xf numFmtId="0" fontId="9" fillId="2" borderId="0" xfId="0" applyFont="1" applyFill="1"/>
    <xf numFmtId="49" fontId="110" fillId="0" borderId="0" xfId="16" applyNumberFormat="1" applyFont="1" applyAlignment="1">
      <alignment horizontal="center"/>
    </xf>
    <xf numFmtId="0" fontId="110" fillId="0" borderId="0" xfId="16" applyFont="1" applyAlignment="1">
      <alignment horizontal="center"/>
    </xf>
    <xf numFmtId="49" fontId="110" fillId="0" borderId="4" xfId="16" applyNumberFormat="1" applyFont="1" applyBorder="1" applyAlignment="1">
      <alignment horizontal="center"/>
    </xf>
    <xf numFmtId="0" fontId="110" fillId="0" borderId="4" xfId="16" applyFont="1" applyBorder="1" applyAlignment="1">
      <alignment horizontal="center"/>
    </xf>
    <xf numFmtId="0" fontId="110" fillId="0" borderId="0" xfId="16" applyFont="1"/>
    <xf numFmtId="0" fontId="5" fillId="0" borderId="0" xfId="16" applyFill="1" applyBorder="1" applyAlignment="1">
      <alignment horizontal="center"/>
    </xf>
    <xf numFmtId="0" fontId="110" fillId="0" borderId="4" xfId="16" applyFont="1" applyBorder="1"/>
    <xf numFmtId="0" fontId="3" fillId="0" borderId="0" xfId="5" applyFont="1" applyAlignment="1">
      <alignment horizontal="left"/>
    </xf>
    <xf numFmtId="0" fontId="31" fillId="0" borderId="0" xfId="5" applyFont="1"/>
    <xf numFmtId="0" fontId="31" fillId="0" borderId="0" xfId="5" applyFont="1" applyAlignment="1">
      <alignment horizontal="center"/>
    </xf>
    <xf numFmtId="0" fontId="30" fillId="0" borderId="0" xfId="5" applyFont="1" applyAlignment="1">
      <alignment horizontal="center"/>
    </xf>
    <xf numFmtId="0" fontId="32" fillId="0" borderId="0" xfId="5" applyFont="1" applyFill="1" applyAlignment="1">
      <alignment horizontal="center"/>
    </xf>
    <xf numFmtId="0" fontId="32" fillId="0" borderId="0" xfId="5" applyFont="1" applyAlignment="1">
      <alignment horizontal="center"/>
    </xf>
    <xf numFmtId="0" fontId="29" fillId="5" borderId="0" xfId="5" applyFont="1" applyFill="1" applyAlignment="1">
      <alignment horizontal="center" wrapText="1" shrinkToFit="1"/>
    </xf>
    <xf numFmtId="0" fontId="29" fillId="0" borderId="0" xfId="5" applyFont="1" applyFill="1" applyAlignment="1">
      <alignment horizontal="left" wrapText="1" shrinkToFit="1"/>
    </xf>
    <xf numFmtId="0" fontId="31" fillId="0" borderId="4" xfId="5" applyFont="1" applyBorder="1"/>
    <xf numFmtId="0" fontId="30" fillId="0" borderId="4" xfId="5" applyFont="1" applyBorder="1" applyAlignment="1">
      <alignment horizontal="center" wrapText="1" shrinkToFit="1"/>
    </xf>
    <xf numFmtId="2" fontId="31" fillId="0" borderId="4" xfId="5" applyNumberFormat="1" applyFont="1" applyFill="1" applyBorder="1" applyAlignment="1">
      <alignment horizontal="center"/>
    </xf>
    <xf numFmtId="2" fontId="31" fillId="0" borderId="4" xfId="5" applyNumberFormat="1" applyFont="1" applyBorder="1" applyAlignment="1">
      <alignment horizontal="center"/>
    </xf>
    <xf numFmtId="0" fontId="31" fillId="0" borderId="4" xfId="5" quotePrefix="1" applyFont="1" applyBorder="1" applyAlignment="1">
      <alignment horizontal="center"/>
    </xf>
    <xf numFmtId="2" fontId="31" fillId="0" borderId="40" xfId="5" applyNumberFormat="1" applyFont="1" applyFill="1" applyBorder="1" applyAlignment="1">
      <alignment horizontal="center"/>
    </xf>
    <xf numFmtId="0" fontId="31" fillId="0" borderId="4" xfId="5" applyFont="1" applyBorder="1" applyAlignment="1">
      <alignment horizontal="center"/>
    </xf>
    <xf numFmtId="2" fontId="31" fillId="0" borderId="40" xfId="5" applyNumberFormat="1" applyFont="1" applyBorder="1" applyAlignment="1">
      <alignment horizontal="center"/>
    </xf>
    <xf numFmtId="0" fontId="31" fillId="0" borderId="40" xfId="5" applyFont="1" applyBorder="1" applyAlignment="1">
      <alignment horizontal="center"/>
    </xf>
    <xf numFmtId="0" fontId="31" fillId="0" borderId="40" xfId="5" quotePrefix="1" applyFont="1" applyFill="1" applyBorder="1" applyAlignment="1">
      <alignment horizontal="center"/>
    </xf>
    <xf numFmtId="0" fontId="31" fillId="0" borderId="40" xfId="5" applyFont="1" applyFill="1" applyBorder="1" applyAlignment="1">
      <alignment horizontal="center"/>
    </xf>
    <xf numFmtId="0" fontId="31" fillId="0" borderId="40" xfId="5" quotePrefix="1" applyFont="1" applyBorder="1" applyAlignment="1">
      <alignment horizontal="center"/>
    </xf>
    <xf numFmtId="2" fontId="31" fillId="0" borderId="0" xfId="5" applyNumberFormat="1" applyFont="1" applyFill="1" applyAlignment="1">
      <alignment horizontal="center"/>
    </xf>
    <xf numFmtId="2" fontId="31" fillId="0" borderId="40" xfId="5" quotePrefix="1" applyNumberFormat="1" applyFont="1" applyFill="1" applyBorder="1" applyAlignment="1">
      <alignment horizontal="center"/>
    </xf>
    <xf numFmtId="0" fontId="31" fillId="0" borderId="5" xfId="5" quotePrefix="1" applyFont="1" applyFill="1" applyBorder="1" applyAlignment="1">
      <alignment horizontal="center"/>
    </xf>
    <xf numFmtId="0" fontId="31" fillId="0" borderId="4" xfId="5" applyFont="1" applyFill="1" applyBorder="1" applyAlignment="1">
      <alignment horizontal="center"/>
    </xf>
    <xf numFmtId="0" fontId="31" fillId="0" borderId="4" xfId="5" quotePrefix="1" applyFont="1" applyFill="1" applyBorder="1" applyAlignment="1">
      <alignment horizontal="center"/>
    </xf>
    <xf numFmtId="2" fontId="31" fillId="0" borderId="40" xfId="5" quotePrefix="1" applyNumberFormat="1" applyFont="1" applyBorder="1" applyAlignment="1">
      <alignment horizontal="center"/>
    </xf>
    <xf numFmtId="0" fontId="31" fillId="0" borderId="0" xfId="5" applyFont="1" applyFill="1" applyAlignment="1">
      <alignment horizontal="center"/>
    </xf>
    <xf numFmtId="0" fontId="30" fillId="3" borderId="0" xfId="5" applyFont="1" applyFill="1" applyAlignment="1">
      <alignment horizontal="center"/>
    </xf>
    <xf numFmtId="0" fontId="37" fillId="0" borderId="0" xfId="5" applyFont="1" applyFill="1" applyAlignment="1">
      <alignment horizontal="center"/>
    </xf>
    <xf numFmtId="0" fontId="31" fillId="0" borderId="0" xfId="5" applyFont="1" applyFill="1"/>
    <xf numFmtId="0" fontId="5" fillId="0" borderId="0" xfId="5" applyAlignment="1">
      <alignment horizontal="center"/>
    </xf>
    <xf numFmtId="0" fontId="29" fillId="0" borderId="4" xfId="5" applyFont="1" applyBorder="1" applyAlignment="1">
      <alignment horizontal="center" wrapText="1" shrinkToFit="1"/>
    </xf>
    <xf numFmtId="0" fontId="5" fillId="0" borderId="4" xfId="5" applyBorder="1" applyAlignment="1">
      <alignment horizontal="center"/>
    </xf>
    <xf numFmtId="2" fontId="5" fillId="0" borderId="4" xfId="5" applyNumberFormat="1" applyFont="1" applyFill="1" applyBorder="1" applyAlignment="1">
      <alignment horizontal="center"/>
    </xf>
    <xf numFmtId="0" fontId="5" fillId="0" borderId="0" xfId="5" applyFill="1"/>
    <xf numFmtId="0" fontId="5" fillId="0" borderId="40" xfId="5" applyFont="1" applyFill="1" applyBorder="1" applyAlignment="1">
      <alignment horizontal="center"/>
    </xf>
    <xf numFmtId="2" fontId="5" fillId="11" borderId="4" xfId="5" applyNumberFormat="1" applyFont="1" applyFill="1" applyBorder="1" applyAlignment="1">
      <alignment horizontal="center"/>
    </xf>
    <xf numFmtId="0" fontId="5" fillId="0" borderId="4" xfId="5" applyFont="1" applyFill="1" applyBorder="1" applyAlignment="1">
      <alignment horizontal="center"/>
    </xf>
    <xf numFmtId="0" fontId="5" fillId="11" borderId="40" xfId="5" applyFont="1" applyFill="1" applyBorder="1" applyAlignment="1">
      <alignment horizontal="center"/>
    </xf>
    <xf numFmtId="2" fontId="5" fillId="0" borderId="40" xfId="5" applyNumberFormat="1" applyFont="1" applyFill="1" applyBorder="1" applyAlignment="1">
      <alignment horizontal="center"/>
    </xf>
    <xf numFmtId="2" fontId="5" fillId="11" borderId="40" xfId="5" applyNumberFormat="1" applyFont="1" applyFill="1" applyBorder="1" applyAlignment="1">
      <alignment horizontal="center"/>
    </xf>
    <xf numFmtId="0" fontId="5" fillId="0" borderId="0" xfId="5" applyFont="1" applyFill="1"/>
    <xf numFmtId="0" fontId="5" fillId="0" borderId="4" xfId="5" applyFill="1" applyBorder="1" applyAlignment="1">
      <alignment horizontal="center"/>
    </xf>
    <xf numFmtId="0" fontId="5" fillId="0" borderId="4" xfId="5" quotePrefix="1" applyFont="1" applyFill="1" applyBorder="1" applyAlignment="1">
      <alignment horizontal="center"/>
    </xf>
    <xf numFmtId="0" fontId="45" fillId="20" borderId="4" xfId="5" quotePrefix="1" applyFont="1" applyFill="1" applyBorder="1" applyAlignment="1">
      <alignment horizontal="center"/>
    </xf>
    <xf numFmtId="2" fontId="5" fillId="0" borderId="4" xfId="5" quotePrefix="1" applyNumberFormat="1" applyFont="1" applyFill="1" applyBorder="1" applyAlignment="1">
      <alignment horizontal="center"/>
    </xf>
    <xf numFmtId="0" fontId="5" fillId="0" borderId="40" xfId="5" quotePrefix="1" applyFont="1" applyFill="1" applyBorder="1" applyAlignment="1">
      <alignment horizontal="center"/>
    </xf>
    <xf numFmtId="0" fontId="5" fillId="20" borderId="40" xfId="5" applyFont="1" applyFill="1" applyBorder="1" applyAlignment="1">
      <alignment horizontal="center"/>
    </xf>
    <xf numFmtId="0" fontId="5" fillId="11" borderId="4" xfId="5" applyFont="1" applyFill="1" applyBorder="1" applyAlignment="1">
      <alignment horizontal="center"/>
    </xf>
    <xf numFmtId="0" fontId="45" fillId="20" borderId="40" xfId="5" quotePrefix="1" applyFont="1" applyFill="1" applyBorder="1" applyAlignment="1">
      <alignment horizontal="center"/>
    </xf>
    <xf numFmtId="0" fontId="5" fillId="11" borderId="40" xfId="5" quotePrefix="1" applyFont="1" applyFill="1" applyBorder="1" applyAlignment="1">
      <alignment horizontal="center"/>
    </xf>
    <xf numFmtId="0" fontId="45" fillId="20" borderId="40" xfId="5" applyFont="1" applyFill="1" applyBorder="1" applyAlignment="1">
      <alignment horizontal="center"/>
    </xf>
    <xf numFmtId="0" fontId="5" fillId="0" borderId="0" xfId="5" applyFont="1" applyFill="1" applyBorder="1" applyAlignment="1">
      <alignment horizontal="center"/>
    </xf>
    <xf numFmtId="0" fontId="5" fillId="11" borderId="4" xfId="5" quotePrefix="1" applyFont="1" applyFill="1" applyBorder="1" applyAlignment="1">
      <alignment horizontal="center"/>
    </xf>
    <xf numFmtId="2" fontId="5" fillId="0" borderId="40" xfId="5" applyNumberFormat="1" applyFill="1" applyBorder="1" applyAlignment="1">
      <alignment horizontal="center"/>
    </xf>
    <xf numFmtId="0" fontId="5" fillId="0" borderId="40" xfId="5" applyBorder="1" applyAlignment="1">
      <alignment horizontal="center"/>
    </xf>
    <xf numFmtId="0" fontId="21" fillId="0" borderId="0" xfId="5" applyFont="1" applyFill="1"/>
    <xf numFmtId="2" fontId="5" fillId="0" borderId="0" xfId="5" applyNumberFormat="1" applyBorder="1" applyAlignment="1">
      <alignment horizontal="center"/>
    </xf>
    <xf numFmtId="0" fontId="5" fillId="0" borderId="0" xfId="5" quotePrefix="1" applyFont="1" applyFill="1" applyBorder="1" applyAlignment="1">
      <alignment horizontal="center"/>
    </xf>
    <xf numFmtId="2" fontId="5" fillId="0" borderId="4" xfId="5" applyNumberFormat="1" applyBorder="1" applyAlignment="1">
      <alignment horizontal="center"/>
    </xf>
    <xf numFmtId="0" fontId="5" fillId="10" borderId="4" xfId="5" applyFill="1" applyBorder="1"/>
    <xf numFmtId="0" fontId="21" fillId="0" borderId="0" xfId="5" applyFont="1" applyAlignment="1">
      <alignment horizontal="left"/>
    </xf>
    <xf numFmtId="0" fontId="5" fillId="0" borderId="40" xfId="5" quotePrefix="1" applyBorder="1" applyAlignment="1">
      <alignment horizontal="center"/>
    </xf>
    <xf numFmtId="0" fontId="70" fillId="0" borderId="0" xfId="5" applyFont="1" applyAlignment="1">
      <alignment horizontal="left"/>
    </xf>
    <xf numFmtId="0" fontId="107" fillId="0" borderId="0" xfId="5" applyFont="1" applyAlignment="1">
      <alignment horizontal="left"/>
    </xf>
    <xf numFmtId="0" fontId="5" fillId="0" borderId="0" xfId="5" applyBorder="1" applyAlignment="1">
      <alignment horizontal="center"/>
    </xf>
    <xf numFmtId="0" fontId="36" fillId="0" borderId="0" xfId="0" applyFont="1" applyFill="1"/>
    <xf numFmtId="0" fontId="36" fillId="0" borderId="0" xfId="0" applyFont="1" applyFill="1" applyAlignment="1">
      <alignment horizontal="right"/>
    </xf>
    <xf numFmtId="0" fontId="43" fillId="0" borderId="0" xfId="0" applyFont="1" applyFill="1"/>
    <xf numFmtId="0" fontId="9" fillId="0" borderId="0" xfId="10" applyFont="1" applyFill="1" applyAlignment="1">
      <alignment wrapText="1"/>
    </xf>
    <xf numFmtId="0" fontId="5" fillId="0" borderId="0" xfId="10" applyFont="1" applyFill="1" applyAlignment="1">
      <alignment horizontal="center"/>
    </xf>
    <xf numFmtId="0" fontId="9" fillId="0" borderId="41" xfId="16" applyFont="1" applyBorder="1" applyAlignment="1">
      <alignment horizontal="center"/>
    </xf>
    <xf numFmtId="0" fontId="45" fillId="0" borderId="24" xfId="3" applyFont="1" applyBorder="1" applyAlignment="1">
      <alignment horizontal="justify" vertical="top" wrapText="1"/>
    </xf>
    <xf numFmtId="0" fontId="45" fillId="0" borderId="19" xfId="3" applyFont="1" applyBorder="1" applyAlignment="1">
      <alignment horizontal="justify" vertical="top" wrapText="1"/>
    </xf>
    <xf numFmtId="0" fontId="45" fillId="0" borderId="24" xfId="3" applyFont="1" applyBorder="1" applyAlignment="1">
      <alignment vertical="top" wrapText="1"/>
    </xf>
    <xf numFmtId="0" fontId="45" fillId="0" borderId="19" xfId="3" applyFont="1" applyBorder="1" applyAlignment="1">
      <alignment vertical="top" wrapText="1"/>
    </xf>
    <xf numFmtId="0" fontId="6" fillId="0" borderId="0" xfId="0" applyFont="1" applyAlignment="1">
      <alignment wrapText="1"/>
    </xf>
    <xf numFmtId="0" fontId="45" fillId="0" borderId="42" xfId="0" applyFont="1" applyFill="1" applyBorder="1" applyAlignment="1">
      <alignment horizontal="justify" vertical="top" wrapText="1"/>
    </xf>
    <xf numFmtId="0" fontId="5" fillId="0" borderId="40" xfId="0" applyFont="1" applyFill="1" applyBorder="1" applyAlignment="1">
      <alignment vertical="top" wrapText="1"/>
    </xf>
    <xf numFmtId="0" fontId="5" fillId="0" borderId="18" xfId="0" applyFont="1" applyFill="1" applyBorder="1" applyAlignment="1">
      <alignment vertical="top" wrapText="1"/>
    </xf>
    <xf numFmtId="0" fontId="45" fillId="0" borderId="42" xfId="0" applyFont="1" applyBorder="1" applyAlignment="1">
      <alignment horizontal="justify" vertical="top" wrapText="1"/>
    </xf>
    <xf numFmtId="0" fontId="5" fillId="0" borderId="40" xfId="0" applyFont="1" applyBorder="1" applyAlignment="1">
      <alignment vertical="top" wrapText="1"/>
    </xf>
    <xf numFmtId="0" fontId="100" fillId="0" borderId="42" xfId="0" applyFont="1" applyBorder="1" applyAlignment="1">
      <alignment horizontal="justify" vertical="top" wrapText="1"/>
    </xf>
    <xf numFmtId="0" fontId="18" fillId="0" borderId="18" xfId="0" applyFont="1" applyBorder="1" applyAlignment="1">
      <alignment vertical="top" wrapText="1"/>
    </xf>
    <xf numFmtId="0" fontId="18" fillId="0" borderId="40" xfId="0" applyFont="1" applyBorder="1" applyAlignment="1">
      <alignment vertical="top" wrapText="1"/>
    </xf>
    <xf numFmtId="0" fontId="100" fillId="7" borderId="42" xfId="0" applyFont="1" applyFill="1" applyBorder="1" applyAlignment="1">
      <alignment vertical="top" wrapText="1"/>
    </xf>
    <xf numFmtId="0" fontId="18" fillId="7" borderId="18" xfId="0" applyFont="1" applyFill="1" applyBorder="1" applyAlignment="1">
      <alignment vertical="top" wrapText="1"/>
    </xf>
    <xf numFmtId="0" fontId="100" fillId="3" borderId="42" xfId="0" applyFont="1" applyFill="1" applyBorder="1" applyAlignment="1">
      <alignment vertical="top" wrapText="1"/>
    </xf>
    <xf numFmtId="0" fontId="18" fillId="3" borderId="18" xfId="0" applyFont="1" applyFill="1" applyBorder="1" applyAlignment="1">
      <alignment vertical="top" wrapText="1"/>
    </xf>
    <xf numFmtId="0" fontId="3" fillId="0" borderId="4" xfId="0" applyFont="1" applyBorder="1" applyAlignment="1">
      <alignment vertical="top" wrapText="1"/>
    </xf>
    <xf numFmtId="0" fontId="2" fillId="0" borderId="4" xfId="0" applyFont="1" applyBorder="1" applyAlignment="1">
      <alignment wrapText="1"/>
    </xf>
    <xf numFmtId="0" fontId="3" fillId="0" borderId="0" xfId="0" applyFont="1" applyBorder="1" applyAlignment="1">
      <alignment vertical="top" wrapText="1"/>
    </xf>
    <xf numFmtId="0" fontId="0" fillId="0" borderId="0" xfId="0" applyAlignment="1">
      <alignment wrapText="1"/>
    </xf>
    <xf numFmtId="0" fontId="0" fillId="0" borderId="4" xfId="0" applyBorder="1" applyAlignment="1">
      <alignment wrapText="1"/>
    </xf>
    <xf numFmtId="0" fontId="3" fillId="6" borderId="4" xfId="0" applyFont="1" applyFill="1" applyBorder="1" applyAlignment="1">
      <alignment vertical="top" wrapText="1"/>
    </xf>
    <xf numFmtId="3" fontId="4" fillId="13" borderId="5" xfId="0" applyNumberFormat="1" applyFont="1" applyFill="1" applyBorder="1" applyAlignment="1">
      <alignment horizontal="center" vertical="center"/>
    </xf>
    <xf numFmtId="0" fontId="0" fillId="0" borderId="5" xfId="0" applyBorder="1" applyAlignment="1">
      <alignment horizontal="center" vertical="center"/>
    </xf>
    <xf numFmtId="3" fontId="4" fillId="12" borderId="5" xfId="0" applyNumberFormat="1" applyFont="1" applyFill="1" applyBorder="1" applyAlignment="1">
      <alignment horizontal="center" vertical="center"/>
    </xf>
    <xf numFmtId="0" fontId="0" fillId="0" borderId="4" xfId="0" applyBorder="1" applyAlignment="1"/>
    <xf numFmtId="0" fontId="4" fillId="16" borderId="5" xfId="0" applyFont="1" applyFill="1" applyBorder="1" applyAlignment="1">
      <alignment horizontal="center"/>
    </xf>
    <xf numFmtId="0" fontId="0" fillId="16" borderId="5" xfId="0" applyFill="1" applyBorder="1" applyAlignment="1">
      <alignment horizontal="center"/>
    </xf>
    <xf numFmtId="0" fontId="0" fillId="0" borderId="0" xfId="0" applyBorder="1" applyAlignment="1">
      <alignment wrapText="1"/>
    </xf>
    <xf numFmtId="0" fontId="6" fillId="16" borderId="5" xfId="0" applyFont="1" applyFill="1" applyBorder="1" applyAlignment="1">
      <alignment horizontal="left" vertical="center"/>
    </xf>
    <xf numFmtId="0" fontId="0" fillId="16" borderId="5" xfId="0" applyFill="1" applyBorder="1" applyAlignment="1">
      <alignment vertical="center"/>
    </xf>
    <xf numFmtId="0" fontId="3" fillId="0" borderId="0" xfId="0" applyFont="1" applyBorder="1" applyAlignment="1">
      <alignment horizontal="left" vertical="top" wrapText="1"/>
    </xf>
    <xf numFmtId="0" fontId="5" fillId="0" borderId="0" xfId="0" applyFont="1" applyAlignment="1">
      <alignment horizontal="left" wrapText="1"/>
    </xf>
    <xf numFmtId="0" fontId="63" fillId="0" borderId="0" xfId="0" applyFont="1" applyAlignment="1">
      <alignment horizontal="left" vertical="top" wrapText="1"/>
    </xf>
    <xf numFmtId="0" fontId="0" fillId="0" borderId="0" xfId="0" applyAlignment="1">
      <alignment vertical="top" wrapText="1"/>
    </xf>
    <xf numFmtId="0" fontId="112" fillId="0" borderId="0" xfId="0" applyFont="1" applyAlignment="1">
      <alignment horizontal="left" wrapText="1"/>
    </xf>
    <xf numFmtId="0" fontId="113" fillId="0" borderId="0" xfId="0" applyFont="1" applyAlignment="1">
      <alignment wrapText="1"/>
    </xf>
    <xf numFmtId="0" fontId="18" fillId="13" borderId="5" xfId="0" applyFont="1" applyFill="1" applyBorder="1" applyAlignment="1">
      <alignment horizontal="center" vertical="center"/>
    </xf>
    <xf numFmtId="0" fontId="18" fillId="12" borderId="5" xfId="0" applyFont="1" applyFill="1" applyBorder="1" applyAlignment="1">
      <alignment horizontal="center" vertical="center"/>
    </xf>
    <xf numFmtId="0" fontId="0" fillId="12" borderId="5" xfId="0" applyFont="1" applyFill="1" applyBorder="1" applyAlignment="1">
      <alignment horizontal="center" vertical="center"/>
    </xf>
    <xf numFmtId="0" fontId="0" fillId="13" borderId="5" xfId="0" applyFont="1" applyFill="1" applyBorder="1" applyAlignment="1">
      <alignment horizontal="center" vertical="center"/>
    </xf>
    <xf numFmtId="3" fontId="3" fillId="0" borderId="4" xfId="0" applyNumberFormat="1" applyFont="1" applyBorder="1" applyAlignment="1">
      <alignment horizontal="left" vertical="top" wrapText="1"/>
    </xf>
    <xf numFmtId="0" fontId="0" fillId="0" borderId="0" xfId="0" applyFont="1" applyAlignment="1">
      <alignment wrapText="1"/>
    </xf>
    <xf numFmtId="0" fontId="20" fillId="0" borderId="0" xfId="0" applyFont="1" applyBorder="1" applyAlignment="1">
      <alignment vertical="top" wrapText="1"/>
    </xf>
    <xf numFmtId="0" fontId="3" fillId="0" borderId="0" xfId="0" applyFont="1" applyAlignment="1">
      <alignment wrapText="1"/>
    </xf>
    <xf numFmtId="3" fontId="3" fillId="6" borderId="4" xfId="0" applyNumberFormat="1" applyFont="1" applyFill="1" applyBorder="1" applyAlignment="1">
      <alignment horizontal="left" vertical="top" wrapText="1"/>
    </xf>
    <xf numFmtId="0" fontId="4" fillId="21" borderId="5" xfId="0" applyFont="1" applyFill="1" applyBorder="1" applyAlignment="1">
      <alignment horizontal="left"/>
    </xf>
    <xf numFmtId="0" fontId="0" fillId="0" borderId="5" xfId="0" applyBorder="1" applyAlignment="1"/>
  </cellXfs>
  <cellStyles count="21">
    <cellStyle name="Hyperlink" xfId="1" xr:uid="{B3B65996-93D6-E946-BE1A-6014E80C7D02}"/>
    <cellStyle name="Normal 10" xfId="2" xr:uid="{201EE599-0B5F-724B-AC1D-075B98586714}"/>
    <cellStyle name="Normal 11" xfId="3" xr:uid="{5560CB3F-AC47-0147-B37F-F02334CA2569}"/>
    <cellStyle name="Normal 2" xfId="4" xr:uid="{A7AB9F39-592A-B649-BCFE-562FE780206E}"/>
    <cellStyle name="Normal 2 2" xfId="5" xr:uid="{CB3BF9E5-16A1-AD43-98D9-1BA41C3C625F}"/>
    <cellStyle name="Normal 3" xfId="6" xr:uid="{8C1BC942-2DA0-3040-85D1-1D37C1FC61F9}"/>
    <cellStyle name="Normal 4" xfId="7" xr:uid="{F6025AF6-AD06-6648-A0F4-8EFCBD0ECFC0}"/>
    <cellStyle name="Normal 5" xfId="8" xr:uid="{D7A76756-051A-7D4C-B11B-7FC9DD8F7399}"/>
    <cellStyle name="Normal 6" xfId="9" xr:uid="{EE3E4E25-3B26-6147-9392-8F77524C66BE}"/>
    <cellStyle name="Normal 7" xfId="10" xr:uid="{F1646359-F47C-9F41-AAB9-70B8C2092EDF}"/>
    <cellStyle name="Normal 8" xfId="11" xr:uid="{AF8697CD-A27A-4A4F-B16D-1D76F58AEA23}"/>
    <cellStyle name="Normal 9" xfId="12" xr:uid="{BC217AB2-0BAF-DE40-92C7-946EA2AFE1D1}"/>
    <cellStyle name="Normal_KV_liste T11" xfId="13" xr:uid="{AC9FB7EF-49B2-B141-A393-004FE3685252}"/>
    <cellStyle name="Normal_KV_liste T8" xfId="14" xr:uid="{CCAF2910-1587-0D42-937F-CF46432B150E}"/>
    <cellStyle name="Normal_KV_T_2006_all_220807_d_sans liaisons" xfId="15" xr:uid="{47BE5A00-06F0-C84D-9A2B-A52748921600}"/>
    <cellStyle name="Normal_KV0_5 annexe A_09fd" xfId="16" xr:uid="{49D71E06-6D0F-C24F-B478-D613D560180B}"/>
    <cellStyle name="Normal_KV5_Aufsichtsdaten_2004_formate_310505" xfId="17" xr:uid="{6FAA342E-2AA6-A44D-909A-EC5E423F5A3F}"/>
    <cellStyle name="Normal_modif EF1_112_d_241104" xfId="18" xr:uid="{0642E460-E3AC-6044-9901-E2BCAD815578}"/>
    <cellStyle name="Normal_PV1_2002_f" xfId="19" xr:uid="{9919B0AF-93ED-D146-A12B-E5E62A89D95D}"/>
    <cellStyle name="Standard" xfId="0" builtinId="0"/>
    <cellStyle name="xxx" xfId="20" xr:uid="{1C39110F-FF9A-9948-BA8F-896D2EA874F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2069</c:v>
                </c:pt>
                <c:pt idx="1">
                  <c:v>1137</c:v>
                </c:pt>
                <c:pt idx="2">
                  <c:v>291</c:v>
                </c:pt>
                <c:pt idx="3">
                  <c:v>11</c:v>
                </c:pt>
                <c:pt idx="4">
                  <c:v>86</c:v>
                </c:pt>
                <c:pt idx="5">
                  <c:v>13</c:v>
                </c:pt>
                <c:pt idx="6">
                  <c:v>24</c:v>
                </c:pt>
                <c:pt idx="7">
                  <c:v>25</c:v>
                </c:pt>
                <c:pt idx="8">
                  <c:v>130</c:v>
                </c:pt>
                <c:pt idx="9">
                  <c:v>217</c:v>
                </c:pt>
                <c:pt idx="10">
                  <c:v>192</c:v>
                </c:pt>
                <c:pt idx="11">
                  <c:v>506</c:v>
                </c:pt>
                <c:pt idx="12">
                  <c:v>352</c:v>
                </c:pt>
                <c:pt idx="13">
                  <c:v>77</c:v>
                </c:pt>
                <c:pt idx="14">
                  <c:v>38</c:v>
                </c:pt>
                <c:pt idx="15">
                  <c:v>4</c:v>
                </c:pt>
                <c:pt idx="16">
                  <c:v>431</c:v>
                </c:pt>
                <c:pt idx="17">
                  <c:v>134</c:v>
                </c:pt>
                <c:pt idx="18">
                  <c:v>553</c:v>
                </c:pt>
                <c:pt idx="19">
                  <c:v>173</c:v>
                </c:pt>
                <c:pt idx="20">
                  <c:v>367</c:v>
                </c:pt>
                <c:pt idx="21">
                  <c:v>1076</c:v>
                </c:pt>
                <c:pt idx="22">
                  <c:v>237</c:v>
                </c:pt>
                <c:pt idx="23">
                  <c:v>179</c:v>
                </c:pt>
                <c:pt idx="24">
                  <c:v>1049</c:v>
                </c:pt>
                <c:pt idx="25">
                  <c:v>51</c:v>
                </c:pt>
                <c:pt idx="26">
                  <c:v>9422</c:v>
                </c:pt>
              </c:numCache>
            </c:numRef>
          </c:val>
          <c:smooth val="0"/>
          <c:extLst>
            <c:ext xmlns:c16="http://schemas.microsoft.com/office/drawing/2014/chart" uri="{C3380CC4-5D6E-409C-BE32-E72D297353CC}">
              <c16:uniqueId val="{00000000-EC63-4C45-B3B9-5DA99412D603}"/>
            </c:ext>
          </c:extLst>
        </c:ser>
        <c:dLbls>
          <c:showLegendKey val="0"/>
          <c:showVal val="0"/>
          <c:showCatName val="0"/>
          <c:showSerName val="0"/>
          <c:showPercent val="0"/>
          <c:showBubbleSize val="0"/>
        </c:dLbls>
        <c:marker val="1"/>
        <c:smooth val="0"/>
        <c:axId val="2078206176"/>
        <c:axId val="1"/>
      </c:lineChart>
      <c:lineChart>
        <c:grouping val="standard"/>
        <c:varyColors val="0"/>
        <c:ser>
          <c:idx val="0"/>
          <c:order val="1"/>
          <c:tx>
            <c:strRef>
              <c:f>'901d'!$G$5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226</c:v>
                </c:pt>
                <c:pt idx="1">
                  <c:v>172</c:v>
                </c:pt>
                <c:pt idx="2">
                  <c:v>34</c:v>
                </c:pt>
                <c:pt idx="3">
                  <c:v>3</c:v>
                </c:pt>
                <c:pt idx="4">
                  <c:v>12</c:v>
                </c:pt>
                <c:pt idx="5">
                  <c:v>3</c:v>
                </c:pt>
                <c:pt idx="6">
                  <c:v>3</c:v>
                </c:pt>
                <c:pt idx="7">
                  <c:v>2</c:v>
                </c:pt>
                <c:pt idx="8">
                  <c:v>13</c:v>
                </c:pt>
                <c:pt idx="9">
                  <c:v>70</c:v>
                </c:pt>
                <c:pt idx="10">
                  <c:v>28</c:v>
                </c:pt>
                <c:pt idx="11">
                  <c:v>75</c:v>
                </c:pt>
                <c:pt idx="12">
                  <c:v>43</c:v>
                </c:pt>
                <c:pt idx="13">
                  <c:v>13</c:v>
                </c:pt>
                <c:pt idx="14">
                  <c:v>6</c:v>
                </c:pt>
                <c:pt idx="15">
                  <c:v>1</c:v>
                </c:pt>
                <c:pt idx="16">
                  <c:v>51</c:v>
                </c:pt>
                <c:pt idx="17">
                  <c:v>43</c:v>
                </c:pt>
                <c:pt idx="18">
                  <c:v>115</c:v>
                </c:pt>
                <c:pt idx="19">
                  <c:v>25</c:v>
                </c:pt>
                <c:pt idx="20">
                  <c:v>192</c:v>
                </c:pt>
                <c:pt idx="21">
                  <c:v>247</c:v>
                </c:pt>
                <c:pt idx="22">
                  <c:v>116</c:v>
                </c:pt>
                <c:pt idx="23">
                  <c:v>57</c:v>
                </c:pt>
                <c:pt idx="24">
                  <c:v>173</c:v>
                </c:pt>
                <c:pt idx="25">
                  <c:v>20</c:v>
                </c:pt>
                <c:pt idx="26">
                  <c:v>1743</c:v>
                </c:pt>
              </c:numCache>
            </c:numRef>
          </c:val>
          <c:smooth val="0"/>
          <c:extLst>
            <c:ext xmlns:c16="http://schemas.microsoft.com/office/drawing/2014/chart" uri="{C3380CC4-5D6E-409C-BE32-E72D297353CC}">
              <c16:uniqueId val="{00000001-EC63-4C45-B3B9-5DA99412D603}"/>
            </c:ext>
          </c:extLst>
        </c:ser>
        <c:dLbls>
          <c:showLegendKey val="0"/>
          <c:showVal val="0"/>
          <c:showCatName val="0"/>
          <c:showSerName val="0"/>
          <c:showPercent val="0"/>
          <c:showBubbleSize val="0"/>
        </c:dLbls>
        <c:marker val="1"/>
        <c:smooth val="0"/>
        <c:axId val="3"/>
        <c:axId val="4"/>
      </c:lineChart>
      <c:catAx>
        <c:axId val="20782061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1"/>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078206176"/>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899999978" l="0.78740157499999996" r="0.78740157499999996" t="0.98425196899999978"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2069</c:v>
                </c:pt>
                <c:pt idx="1">
                  <c:v>1137</c:v>
                </c:pt>
                <c:pt idx="2">
                  <c:v>291</c:v>
                </c:pt>
                <c:pt idx="3">
                  <c:v>11</c:v>
                </c:pt>
                <c:pt idx="4">
                  <c:v>86</c:v>
                </c:pt>
                <c:pt idx="5">
                  <c:v>13</c:v>
                </c:pt>
                <c:pt idx="6">
                  <c:v>24</c:v>
                </c:pt>
                <c:pt idx="7">
                  <c:v>25</c:v>
                </c:pt>
                <c:pt idx="8">
                  <c:v>130</c:v>
                </c:pt>
                <c:pt idx="9">
                  <c:v>217</c:v>
                </c:pt>
                <c:pt idx="10">
                  <c:v>192</c:v>
                </c:pt>
                <c:pt idx="11">
                  <c:v>506</c:v>
                </c:pt>
                <c:pt idx="12">
                  <c:v>352</c:v>
                </c:pt>
                <c:pt idx="13">
                  <c:v>77</c:v>
                </c:pt>
                <c:pt idx="14">
                  <c:v>38</c:v>
                </c:pt>
                <c:pt idx="15">
                  <c:v>4</c:v>
                </c:pt>
                <c:pt idx="16">
                  <c:v>431</c:v>
                </c:pt>
                <c:pt idx="17">
                  <c:v>134</c:v>
                </c:pt>
                <c:pt idx="18">
                  <c:v>553</c:v>
                </c:pt>
                <c:pt idx="19">
                  <c:v>173</c:v>
                </c:pt>
                <c:pt idx="20">
                  <c:v>367</c:v>
                </c:pt>
                <c:pt idx="21">
                  <c:v>1076</c:v>
                </c:pt>
                <c:pt idx="22">
                  <c:v>237</c:v>
                </c:pt>
                <c:pt idx="23">
                  <c:v>179</c:v>
                </c:pt>
                <c:pt idx="24">
                  <c:v>1049</c:v>
                </c:pt>
                <c:pt idx="25">
                  <c:v>51</c:v>
                </c:pt>
                <c:pt idx="26">
                  <c:v>9422</c:v>
                </c:pt>
              </c:numCache>
            </c:numRef>
          </c:val>
          <c:smooth val="0"/>
          <c:extLst>
            <c:ext xmlns:c16="http://schemas.microsoft.com/office/drawing/2014/chart" uri="{C3380CC4-5D6E-409C-BE32-E72D297353CC}">
              <c16:uniqueId val="{00000000-1C67-8E44-9782-F594708F4C41}"/>
            </c:ext>
          </c:extLst>
        </c:ser>
        <c:dLbls>
          <c:showLegendKey val="0"/>
          <c:showVal val="0"/>
          <c:showCatName val="0"/>
          <c:showSerName val="0"/>
          <c:showPercent val="0"/>
          <c:showBubbleSize val="0"/>
        </c:dLbls>
        <c:marker val="1"/>
        <c:smooth val="0"/>
        <c:axId val="2077913232"/>
        <c:axId val="1"/>
      </c:lineChart>
      <c:lineChart>
        <c:grouping val="standard"/>
        <c:varyColors val="0"/>
        <c:ser>
          <c:idx val="0"/>
          <c:order val="1"/>
          <c:tx>
            <c:strRef>
              <c:f>'901d'!$G$5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226</c:v>
                </c:pt>
                <c:pt idx="1">
                  <c:v>172</c:v>
                </c:pt>
                <c:pt idx="2">
                  <c:v>34</c:v>
                </c:pt>
                <c:pt idx="3">
                  <c:v>3</c:v>
                </c:pt>
                <c:pt idx="4">
                  <c:v>12</c:v>
                </c:pt>
                <c:pt idx="5">
                  <c:v>3</c:v>
                </c:pt>
                <c:pt idx="6">
                  <c:v>3</c:v>
                </c:pt>
                <c:pt idx="7">
                  <c:v>2</c:v>
                </c:pt>
                <c:pt idx="8">
                  <c:v>13</c:v>
                </c:pt>
                <c:pt idx="9">
                  <c:v>70</c:v>
                </c:pt>
                <c:pt idx="10">
                  <c:v>28</c:v>
                </c:pt>
                <c:pt idx="11">
                  <c:v>75</c:v>
                </c:pt>
                <c:pt idx="12">
                  <c:v>43</c:v>
                </c:pt>
                <c:pt idx="13">
                  <c:v>13</c:v>
                </c:pt>
                <c:pt idx="14">
                  <c:v>6</c:v>
                </c:pt>
                <c:pt idx="15">
                  <c:v>1</c:v>
                </c:pt>
                <c:pt idx="16">
                  <c:v>51</c:v>
                </c:pt>
                <c:pt idx="17">
                  <c:v>43</c:v>
                </c:pt>
                <c:pt idx="18">
                  <c:v>115</c:v>
                </c:pt>
                <c:pt idx="19">
                  <c:v>25</c:v>
                </c:pt>
                <c:pt idx="20">
                  <c:v>192</c:v>
                </c:pt>
                <c:pt idx="21">
                  <c:v>247</c:v>
                </c:pt>
                <c:pt idx="22">
                  <c:v>116</c:v>
                </c:pt>
                <c:pt idx="23">
                  <c:v>57</c:v>
                </c:pt>
                <c:pt idx="24">
                  <c:v>173</c:v>
                </c:pt>
                <c:pt idx="25">
                  <c:v>20</c:v>
                </c:pt>
                <c:pt idx="26">
                  <c:v>1743</c:v>
                </c:pt>
              </c:numCache>
            </c:numRef>
          </c:val>
          <c:smooth val="0"/>
          <c:extLst>
            <c:ext xmlns:c16="http://schemas.microsoft.com/office/drawing/2014/chart" uri="{C3380CC4-5D6E-409C-BE32-E72D297353CC}">
              <c16:uniqueId val="{00000001-1C67-8E44-9782-F594708F4C41}"/>
            </c:ext>
          </c:extLst>
        </c:ser>
        <c:dLbls>
          <c:showLegendKey val="0"/>
          <c:showVal val="0"/>
          <c:showCatName val="0"/>
          <c:showSerName val="0"/>
          <c:showPercent val="0"/>
          <c:showBubbleSize val="0"/>
        </c:dLbls>
        <c:marker val="1"/>
        <c:smooth val="0"/>
        <c:axId val="3"/>
        <c:axId val="4"/>
      </c:lineChart>
      <c:catAx>
        <c:axId val="207791323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0779132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899999978" l="0.78740157499999996" r="0.78740157499999996" t="0.98425196899999978" header="0.49212598450000011" footer="0.49212598450000011"/>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631825</xdr:colOff>
      <xdr:row>2</xdr:row>
      <xdr:rowOff>304800</xdr:rowOff>
    </xdr:from>
    <xdr:to>
      <xdr:col>7</xdr:col>
      <xdr:colOff>130295</xdr:colOff>
      <xdr:row>7</xdr:row>
      <xdr:rowOff>274320</xdr:rowOff>
    </xdr:to>
    <xdr:sp macro="" textlink="">
      <xdr:nvSpPr>
        <xdr:cNvPr id="6145" name="AutoShape 1">
          <a:extLst>
            <a:ext uri="{FF2B5EF4-FFF2-40B4-BE49-F238E27FC236}">
              <a16:creationId xmlns:a16="http://schemas.microsoft.com/office/drawing/2014/main" id="{734F7DDC-1A20-15B6-EEC3-6CE3E9E49EF4}"/>
            </a:ext>
          </a:extLst>
        </xdr:cNvPr>
        <xdr:cNvSpPr>
          <a:spLocks noChangeArrowheads="1"/>
        </xdr:cNvSpPr>
      </xdr:nvSpPr>
      <xdr:spPr bwMode="auto">
        <a:xfrm>
          <a:off x="3634740" y="845820"/>
          <a:ext cx="2834640" cy="1036320"/>
        </a:xfrm>
        <a:prstGeom prst="wedgeRectCallout">
          <a:avLst>
            <a:gd name="adj1" fmla="val -96905"/>
            <a:gd name="adj2" fmla="val 157906"/>
          </a:avLst>
        </a:prstGeom>
        <a:solidFill>
          <a:srgbClr val="E3E3E3"/>
        </a:solidFill>
        <a:ln w="9525">
          <a:solidFill>
            <a:srgbClr val="000000"/>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55 Helvetica Roman"/>
            </a:rPr>
            <a:t>La partie tableaux sous forme Excel n'est disponible qu'en allemand.</a:t>
          </a:r>
        </a:p>
        <a:p>
          <a:pPr algn="l" rtl="0">
            <a:defRPr sz="1000"/>
          </a:pPr>
          <a:r>
            <a:rPr lang="en-US" sz="900" b="0" i="0" u="none" strike="noStrike" baseline="0">
              <a:solidFill>
                <a:srgbClr val="000000"/>
              </a:solidFill>
              <a:latin typeface="55 Helvetica Roman"/>
            </a:rPr>
            <a:t>La version française est disponible dans la version complète 2011 sous forme PDF publiée ultérieurement (~ juin 2013). Il est aussi possible de se référer à la publication PDF 2010 contenant tous les tableaux en français .</a:t>
          </a:r>
        </a:p>
      </xdr:txBody>
    </xdr:sp>
    <xdr:clientData/>
  </xdr:twoCellAnchor>
  <xdr:twoCellAnchor>
    <xdr:from>
      <xdr:col>0</xdr:col>
      <xdr:colOff>292100</xdr:colOff>
      <xdr:row>71</xdr:row>
      <xdr:rowOff>114300</xdr:rowOff>
    </xdr:from>
    <xdr:to>
      <xdr:col>2</xdr:col>
      <xdr:colOff>635000</xdr:colOff>
      <xdr:row>74</xdr:row>
      <xdr:rowOff>139700</xdr:rowOff>
    </xdr:to>
    <xdr:pic>
      <xdr:nvPicPr>
        <xdr:cNvPr id="7165" name="Picture 3" descr="Logo_CMYK_pos">
          <a:extLst>
            <a:ext uri="{FF2B5EF4-FFF2-40B4-BE49-F238E27FC236}">
              <a16:creationId xmlns:a16="http://schemas.microsoft.com/office/drawing/2014/main" id="{A39FB26A-4276-5E3E-D8BF-4DDD4712D1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100" y="13639800"/>
          <a:ext cx="214630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300355</xdr:colOff>
      <xdr:row>2</xdr:row>
      <xdr:rowOff>220980</xdr:rowOff>
    </xdr:from>
    <xdr:to>
      <xdr:col>10</xdr:col>
      <xdr:colOff>753101</xdr:colOff>
      <xdr:row>9</xdr:row>
      <xdr:rowOff>30480</xdr:rowOff>
    </xdr:to>
    <xdr:sp macro="" textlink="">
      <xdr:nvSpPr>
        <xdr:cNvPr id="4" name="AutoShape 1">
          <a:extLst>
            <a:ext uri="{FF2B5EF4-FFF2-40B4-BE49-F238E27FC236}">
              <a16:creationId xmlns:a16="http://schemas.microsoft.com/office/drawing/2014/main" id="{6B0BA484-D0D7-6739-E510-562B83176053}"/>
            </a:ext>
          </a:extLst>
        </xdr:cNvPr>
        <xdr:cNvSpPr>
          <a:spLocks noChangeArrowheads="1"/>
        </xdr:cNvSpPr>
      </xdr:nvSpPr>
      <xdr:spPr bwMode="auto">
        <a:xfrm>
          <a:off x="7452360" y="762000"/>
          <a:ext cx="1981200" cy="14097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fr-CH" sz="800">
              <a:latin typeface="+mn-lt"/>
              <a:ea typeface="+mn-ea"/>
              <a:cs typeface="+mn-cs"/>
            </a:rPr>
            <a:t>Document réalisé avec Microsoft Excel 2007, enregistré dans le format XLS compatible aussi selon l’éditeur du logiciel avec Excel 97-2003. Dans la pratique on constate cependant qu’une pleine compatibilité d’affichage à l’écran ou lors de l’impression n’est pas toujours garantie en cas d’utilisation d’une version de tableur autre que celle utilisée pour la création du document. L</a:t>
          </a:r>
          <a:r>
            <a:rPr lang="en-US" sz="800" b="0" i="0" u="none" strike="noStrike">
              <a:latin typeface="+mn-lt"/>
              <a:ea typeface="+mn-ea"/>
              <a:cs typeface="+mn-cs"/>
            </a:rPr>
            <a:t>’éditeur du logiciel n’apporte pas de solution.</a:t>
          </a:r>
          <a:endParaRPr lang="en-US" sz="800">
            <a:latin typeface="+mn-lt"/>
            <a:ea typeface="+mn-ea"/>
            <a:cs typeface="+mn-cs"/>
          </a:endParaRPr>
        </a:p>
      </xdr:txBody>
    </xdr:sp>
    <xdr:clientData/>
  </xdr:twoCellAnchor>
  <xdr:twoCellAnchor>
    <xdr:from>
      <xdr:col>8</xdr:col>
      <xdr:colOff>277495</xdr:colOff>
      <xdr:row>10</xdr:row>
      <xdr:rowOff>7620</xdr:rowOff>
    </xdr:from>
    <xdr:to>
      <xdr:col>11</xdr:col>
      <xdr:colOff>5169</xdr:colOff>
      <xdr:row>17</xdr:row>
      <xdr:rowOff>60960</xdr:rowOff>
    </xdr:to>
    <xdr:sp macro="" textlink="">
      <xdr:nvSpPr>
        <xdr:cNvPr id="5" name="AutoShape 1">
          <a:extLst>
            <a:ext uri="{FF2B5EF4-FFF2-40B4-BE49-F238E27FC236}">
              <a16:creationId xmlns:a16="http://schemas.microsoft.com/office/drawing/2014/main" id="{1D6267C1-884E-7F22-3C96-690D2ECA3E24}"/>
            </a:ext>
          </a:extLst>
        </xdr:cNvPr>
        <xdr:cNvSpPr>
          <a:spLocks noChangeArrowheads="1"/>
        </xdr:cNvSpPr>
      </xdr:nvSpPr>
      <xdr:spPr bwMode="auto">
        <a:xfrm>
          <a:off x="7437120" y="2400300"/>
          <a:ext cx="2019300" cy="14859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de-CH" sz="800">
              <a:latin typeface="+mn-lt"/>
              <a:ea typeface="+mn-ea"/>
              <a:cs typeface="+mn-cs"/>
            </a:rPr>
            <a:t>Das Dokument wurde erstellt mit Microsoft Excel 2007 und im Format XLS gespeichert, das gemäss Angaben des Softwareherstellers kompatibel mit Excel 97-2003 ist. Die Praxis zeigt allerdings, dass eine volle Kompatibilität bei der Bildschirmdarstellung oder dem Druck nicht immer gewährleistet ist, falls die Version des Tabellenprogramms von derjenigen des zum Aufbau verwendeten abweicht. Der Softwarehersteller bietet hierzu keine Lösung an.</a:t>
          </a:r>
          <a:endParaRPr lang="en-US" sz="800" b="0" i="0" u="none" strike="noStrike" baseline="0">
            <a:solidFill>
              <a:srgbClr val="000000"/>
            </a:solidFill>
            <a:latin typeface="55 Helvetica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53</xdr:row>
      <xdr:rowOff>0</xdr:rowOff>
    </xdr:from>
    <xdr:to>
      <xdr:col>11</xdr:col>
      <xdr:colOff>0</xdr:colOff>
      <xdr:row>53</xdr:row>
      <xdr:rowOff>0</xdr:rowOff>
    </xdr:to>
    <xdr:graphicFrame macro="">
      <xdr:nvGraphicFramePr>
        <xdr:cNvPr id="217131" name="Chart 1">
          <a:extLst>
            <a:ext uri="{FF2B5EF4-FFF2-40B4-BE49-F238E27FC236}">
              <a16:creationId xmlns:a16="http://schemas.microsoft.com/office/drawing/2014/main" id="{A2FDE495-6DBE-D276-CE30-1EA80E461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53</xdr:row>
      <xdr:rowOff>0</xdr:rowOff>
    </xdr:from>
    <xdr:to>
      <xdr:col>12</xdr:col>
      <xdr:colOff>0</xdr:colOff>
      <xdr:row>53</xdr:row>
      <xdr:rowOff>0</xdr:rowOff>
    </xdr:to>
    <xdr:graphicFrame macro="">
      <xdr:nvGraphicFramePr>
        <xdr:cNvPr id="217132" name="Chart 2">
          <a:extLst>
            <a:ext uri="{FF2B5EF4-FFF2-40B4-BE49-F238E27FC236}">
              <a16:creationId xmlns:a16="http://schemas.microsoft.com/office/drawing/2014/main" id="{7CA11046-FA4E-E8CB-251A-05C23E036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9B46-21B2-C845-981F-C923384D5CBD}">
  <sheetPr>
    <pageSetUpPr fitToPage="1"/>
  </sheetPr>
  <dimension ref="A1:M75"/>
  <sheetViews>
    <sheetView tabSelected="1" zoomScaleNormal="100" workbookViewId="0">
      <selection activeCell="A3" sqref="A3"/>
    </sheetView>
  </sheetViews>
  <sheetFormatPr baseColWidth="10" defaultColWidth="11.3984375" defaultRowHeight="13"/>
  <cols>
    <col min="1" max="1" width="16.59765625" style="3" customWidth="1"/>
    <col min="2" max="2" width="11.796875" style="3" customWidth="1"/>
    <col min="3" max="3" width="14.3984375" style="3" customWidth="1"/>
    <col min="4" max="6" width="11.796875" style="3" customWidth="1"/>
    <col min="7" max="7" width="14.19921875" style="3" customWidth="1"/>
    <col min="8" max="9" width="11.796875" style="3" customWidth="1"/>
    <col min="10" max="10" width="9.796875" style="3" customWidth="1"/>
    <col min="11" max="11" width="12.19921875" style="3" customWidth="1"/>
    <col min="12" max="16384" width="11.3984375" style="3"/>
  </cols>
  <sheetData>
    <row r="1" spans="1:13" s="2" customFormat="1" ht="12" customHeight="1">
      <c r="A1"/>
      <c r="B1"/>
      <c r="C1"/>
      <c r="D1"/>
      <c r="E1"/>
      <c r="F1"/>
      <c r="G1"/>
      <c r="H1"/>
      <c r="I1"/>
    </row>
    <row r="2" spans="1:13" ht="30.75" customHeight="1">
      <c r="A2" s="5" t="s">
        <v>262</v>
      </c>
      <c r="B2"/>
      <c r="C2"/>
      <c r="D2"/>
      <c r="E2"/>
      <c r="F2"/>
      <c r="G2"/>
      <c r="H2"/>
      <c r="I2"/>
    </row>
    <row r="3" spans="1:13" ht="27" customHeight="1">
      <c r="A3" s="6"/>
      <c r="B3"/>
      <c r="C3"/>
      <c r="D3"/>
      <c r="E3"/>
      <c r="F3"/>
      <c r="G3"/>
      <c r="H3"/>
      <c r="I3"/>
    </row>
    <row r="4" spans="1:13" ht="15" customHeight="1">
      <c r="A4" s="7" t="s">
        <v>76</v>
      </c>
      <c r="B4"/>
      <c r="C4"/>
      <c r="D4"/>
      <c r="E4"/>
      <c r="F4"/>
      <c r="G4"/>
      <c r="H4"/>
      <c r="I4"/>
    </row>
    <row r="5" spans="1:13" ht="17.25" customHeight="1">
      <c r="A5"/>
      <c r="B5"/>
      <c r="C5"/>
      <c r="D5"/>
      <c r="E5"/>
      <c r="F5"/>
      <c r="G5"/>
      <c r="H5"/>
      <c r="I5"/>
    </row>
    <row r="6" spans="1:13" ht="15.75" customHeight="1">
      <c r="B6"/>
      <c r="C6"/>
      <c r="D6"/>
      <c r="E6"/>
      <c r="F6"/>
      <c r="G6"/>
      <c r="H6"/>
      <c r="I6"/>
      <c r="J6" s="8"/>
    </row>
    <row r="7" spans="1:13" ht="9.75" customHeight="1">
      <c r="A7"/>
      <c r="B7"/>
      <c r="C7"/>
      <c r="D7"/>
      <c r="E7"/>
      <c r="F7"/>
      <c r="G7"/>
      <c r="H7"/>
      <c r="I7"/>
      <c r="J7" s="8"/>
    </row>
    <row r="8" spans="1:13" ht="31.5" customHeight="1">
      <c r="A8" s="1093" t="s">
        <v>1831</v>
      </c>
      <c r="B8"/>
      <c r="C8"/>
      <c r="D8"/>
      <c r="E8"/>
      <c r="F8"/>
      <c r="G8"/>
      <c r="H8"/>
      <c r="I8"/>
    </row>
    <row r="9" spans="1:13" ht="11.25" customHeight="1">
      <c r="B9"/>
      <c r="C9"/>
      <c r="D9"/>
      <c r="E9"/>
      <c r="F9"/>
      <c r="G9"/>
      <c r="H9"/>
      <c r="I9"/>
      <c r="K9" s="9"/>
      <c r="L9" s="9"/>
      <c r="M9" s="9"/>
    </row>
    <row r="10" spans="1:13" ht="20" customHeight="1">
      <c r="A10" s="7" t="s">
        <v>182</v>
      </c>
      <c r="B10"/>
      <c r="C10"/>
      <c r="D10"/>
      <c r="E10"/>
      <c r="F10"/>
      <c r="G10"/>
      <c r="H10"/>
      <c r="I10"/>
    </row>
    <row r="11" spans="1:13" ht="20" customHeight="1">
      <c r="A11" s="7"/>
      <c r="B11"/>
      <c r="C11"/>
      <c r="D11"/>
      <c r="E11"/>
      <c r="F11"/>
      <c r="G11" s="19" t="s">
        <v>3</v>
      </c>
      <c r="H11" s="18"/>
      <c r="I11"/>
    </row>
    <row r="12" spans="1:13" ht="20" customHeight="1">
      <c r="A12"/>
      <c r="B12"/>
      <c r="C12"/>
      <c r="D12"/>
      <c r="E12"/>
      <c r="F12"/>
      <c r="G12"/>
      <c r="H12"/>
      <c r="I12"/>
    </row>
    <row r="13" spans="1:13" ht="20.25" customHeight="1">
      <c r="A13"/>
      <c r="B13"/>
      <c r="C13"/>
      <c r="D13"/>
      <c r="E13"/>
      <c r="I13"/>
    </row>
    <row r="14" spans="1:13" ht="26.25" customHeight="1">
      <c r="A14" s="10" t="s">
        <v>28</v>
      </c>
      <c r="B14" s="11"/>
      <c r="C14" s="11"/>
      <c r="D14" s="12"/>
      <c r="E14" s="12"/>
      <c r="G14" s="39" t="s">
        <v>2404</v>
      </c>
      <c r="H14" s="11"/>
      <c r="I14"/>
    </row>
    <row r="15" spans="1:13" s="4" customFormat="1" ht="8.25" customHeight="1">
      <c r="A15" s="26"/>
      <c r="B15" s="23"/>
      <c r="C15" s="23"/>
      <c r="G15" s="27"/>
      <c r="H15" s="23"/>
      <c r="I15" s="23"/>
    </row>
    <row r="16" spans="1:13" ht="15" customHeight="1">
      <c r="A16" s="28" t="s">
        <v>75</v>
      </c>
      <c r="B16"/>
      <c r="C16"/>
      <c r="D16"/>
      <c r="E16"/>
      <c r="F16"/>
      <c r="G16"/>
      <c r="H16"/>
      <c r="I16"/>
    </row>
    <row r="17" spans="1:13" s="4" customFormat="1" ht="5.25" customHeight="1">
      <c r="A17" s="23"/>
      <c r="B17" s="23"/>
      <c r="C17" s="23"/>
      <c r="D17" s="23"/>
      <c r="E17" s="23"/>
      <c r="F17" s="23"/>
      <c r="G17" s="23"/>
      <c r="H17" s="23"/>
      <c r="I17" s="23"/>
    </row>
    <row r="18" spans="1:13" ht="17.25" customHeight="1">
      <c r="A18" s="52" t="s">
        <v>272</v>
      </c>
      <c r="B18" s="29"/>
      <c r="C18" s="41"/>
      <c r="D18" s="42"/>
      <c r="E18" s="52" t="s">
        <v>1830</v>
      </c>
      <c r="F18" s="29"/>
      <c r="G18" s="29"/>
      <c r="H18" s="4"/>
      <c r="I18" s="45"/>
      <c r="J18" s="4"/>
      <c r="K18" s="4"/>
    </row>
    <row r="19" spans="1:13" ht="15" customHeight="1">
      <c r="A19" s="52" t="s">
        <v>271</v>
      </c>
      <c r="B19" s="29"/>
      <c r="C19" s="29"/>
      <c r="D19" s="35"/>
      <c r="E19" s="52" t="s">
        <v>1832</v>
      </c>
      <c r="F19" s="29"/>
      <c r="G19" s="29"/>
      <c r="H19" s="4"/>
      <c r="I19" s="46"/>
      <c r="J19" s="4"/>
      <c r="K19" s="4"/>
    </row>
    <row r="20" spans="1:13" ht="15" customHeight="1">
      <c r="A20" s="52" t="s">
        <v>273</v>
      </c>
      <c r="B20" s="30"/>
      <c r="C20" s="30"/>
      <c r="D20" s="36"/>
      <c r="E20" s="52" t="s">
        <v>2403</v>
      </c>
      <c r="F20" s="29"/>
      <c r="G20" s="29"/>
      <c r="H20" s="4"/>
      <c r="I20" s="46"/>
      <c r="J20" s="4"/>
      <c r="K20" s="4"/>
    </row>
    <row r="21" spans="1:13">
      <c r="A21" s="52" t="s">
        <v>1143</v>
      </c>
      <c r="B21" s="29"/>
      <c r="C21" s="30"/>
      <c r="D21" s="36"/>
      <c r="E21" s="52" t="s">
        <v>2521</v>
      </c>
      <c r="F21" s="30"/>
      <c r="G21" s="30"/>
      <c r="H21" s="4"/>
      <c r="I21" s="53" t="s">
        <v>7</v>
      </c>
      <c r="J21" s="54"/>
      <c r="K21" s="54"/>
    </row>
    <row r="22" spans="1:13">
      <c r="A22" s="52" t="s">
        <v>1148</v>
      </c>
      <c r="B22" s="29"/>
      <c r="C22" s="30"/>
      <c r="D22" s="36"/>
      <c r="E22" s="52"/>
      <c r="F22" s="30"/>
      <c r="G22" s="30"/>
      <c r="H22" s="4"/>
      <c r="I22" s="54" t="s">
        <v>8</v>
      </c>
      <c r="J22" s="54"/>
      <c r="K22" s="54"/>
    </row>
    <row r="23" spans="1:13">
      <c r="A23" s="52" t="s">
        <v>1478</v>
      </c>
      <c r="B23" s="29"/>
      <c r="C23" s="30"/>
      <c r="D23" s="36"/>
      <c r="E23" s="52"/>
      <c r="F23" s="30"/>
      <c r="G23" s="30"/>
      <c r="H23" s="4"/>
      <c r="I23" s="932" t="s">
        <v>1556</v>
      </c>
      <c r="J23" s="62"/>
      <c r="K23" s="62"/>
    </row>
    <row r="24" spans="1:13">
      <c r="A24" s="52" t="s">
        <v>1555</v>
      </c>
      <c r="B24" s="29"/>
      <c r="C24" s="30"/>
      <c r="D24" s="36"/>
      <c r="E24" s="52"/>
      <c r="F24" s="40"/>
      <c r="G24" s="30"/>
      <c r="H24" s="4"/>
    </row>
    <row r="25" spans="1:13">
      <c r="A25" s="52" t="s">
        <v>1607</v>
      </c>
      <c r="B25" s="29"/>
      <c r="C25" s="30"/>
      <c r="D25" s="36"/>
      <c r="E25" s="52"/>
      <c r="F25" s="30"/>
      <c r="G25" s="30"/>
      <c r="H25" s="4"/>
    </row>
    <row r="26" spans="1:13">
      <c r="A26" s="52" t="s">
        <v>1690</v>
      </c>
      <c r="B26" s="29"/>
      <c r="C26" s="30"/>
      <c r="D26" s="36"/>
      <c r="E26" s="52"/>
      <c r="F26" s="30"/>
      <c r="G26" s="30"/>
      <c r="H26" s="4"/>
    </row>
    <row r="27" spans="1:13">
      <c r="A27" s="52" t="s">
        <v>1691</v>
      </c>
      <c r="B27" s="29"/>
      <c r="C27" s="40"/>
      <c r="D27" s="36"/>
      <c r="E27" s="40"/>
      <c r="F27" s="30"/>
      <c r="G27" s="30"/>
      <c r="H27" s="4"/>
    </row>
    <row r="28" spans="1:13" ht="16">
      <c r="A28" s="14"/>
      <c r="B28" s="21"/>
      <c r="C28" s="13"/>
      <c r="I28" s="50" t="s">
        <v>2520</v>
      </c>
      <c r="J28" s="55"/>
      <c r="K28" s="55"/>
    </row>
    <row r="29" spans="1:13" ht="16">
      <c r="A29" s="14"/>
      <c r="I29" s="1820"/>
      <c r="J29" s="1821"/>
      <c r="K29" s="1822"/>
      <c r="L29" s="4"/>
      <c r="M29" s="4"/>
    </row>
    <row r="30" spans="1:13" ht="16">
      <c r="A30" s="14"/>
      <c r="B30" s="13"/>
      <c r="C30" s="13"/>
      <c r="F30" s="4"/>
    </row>
    <row r="31" spans="1:13" ht="16">
      <c r="A31" s="14"/>
      <c r="I31" s="85"/>
      <c r="J31" s="61"/>
      <c r="K31" s="61"/>
    </row>
    <row r="32" spans="1:13" ht="15">
      <c r="A32" s="43" t="s">
        <v>119</v>
      </c>
      <c r="B32" s="20"/>
      <c r="C32" s="4"/>
      <c r="D32" s="4"/>
      <c r="E32" s="4"/>
      <c r="F32" s="4"/>
      <c r="G32" s="49"/>
    </row>
    <row r="33" spans="1:11">
      <c r="A33" s="57" t="s">
        <v>1144</v>
      </c>
      <c r="B33" s="58"/>
      <c r="C33" s="56"/>
      <c r="D33" s="57" t="s">
        <v>2013</v>
      </c>
      <c r="E33" s="59"/>
      <c r="F33" s="56"/>
      <c r="G33" s="57"/>
      <c r="H33" s="25"/>
      <c r="I33" s="4"/>
      <c r="J33" s="57"/>
      <c r="K33" s="22"/>
    </row>
    <row r="34" spans="1:11">
      <c r="A34" s="57" t="s">
        <v>1835</v>
      </c>
      <c r="B34" s="58"/>
      <c r="C34" s="56"/>
      <c r="D34" s="57" t="s">
        <v>2522</v>
      </c>
      <c r="E34" s="58"/>
      <c r="F34" s="56"/>
      <c r="G34" s="57"/>
      <c r="H34" s="22"/>
      <c r="I34" s="4"/>
      <c r="J34" s="57"/>
      <c r="K34" s="22"/>
    </row>
    <row r="35" spans="1:11">
      <c r="A35" s="57" t="s">
        <v>2014</v>
      </c>
      <c r="B35" s="58"/>
      <c r="C35" s="56"/>
      <c r="D35" s="57"/>
      <c r="E35" s="58"/>
      <c r="F35" s="56"/>
      <c r="G35" s="59"/>
      <c r="H35" s="22"/>
      <c r="I35" s="4"/>
      <c r="J35" s="57"/>
      <c r="K35" s="22"/>
    </row>
    <row r="36" spans="1:11">
      <c r="A36" s="32"/>
      <c r="B36" s="31"/>
      <c r="C36" s="4"/>
      <c r="D36" s="32"/>
      <c r="E36" s="31"/>
      <c r="G36" s="60"/>
      <c r="H36" s="32"/>
      <c r="I36" s="4"/>
      <c r="J36" s="60"/>
      <c r="K36" s="4"/>
    </row>
    <row r="37" spans="1:11" ht="16">
      <c r="A37" s="14"/>
    </row>
    <row r="38" spans="1:11" ht="16">
      <c r="A38" s="14"/>
      <c r="B38" s="34" t="s">
        <v>77</v>
      </c>
      <c r="C38" s="37" t="s">
        <v>4</v>
      </c>
      <c r="J38" s="24"/>
    </row>
    <row r="39" spans="1:11" ht="16">
      <c r="A39" s="15"/>
      <c r="B39" s="13"/>
      <c r="C39" s="13"/>
    </row>
    <row r="40" spans="1:11" ht="15">
      <c r="A40" s="765" t="s">
        <v>78</v>
      </c>
      <c r="B40" s="768" t="s">
        <v>250</v>
      </c>
      <c r="C40" s="1092" t="s">
        <v>96</v>
      </c>
      <c r="D40" s="767"/>
      <c r="E40" s="767"/>
      <c r="F40" s="767"/>
      <c r="G40" s="767"/>
      <c r="H40" s="767"/>
      <c r="I40" s="767"/>
      <c r="J40" s="767"/>
      <c r="K40" s="33"/>
    </row>
    <row r="41" spans="1:11" ht="15">
      <c r="A41" s="765" t="s">
        <v>79</v>
      </c>
      <c r="B41" s="768" t="s">
        <v>260</v>
      </c>
      <c r="C41" s="1092" t="s">
        <v>80</v>
      </c>
      <c r="D41" s="767"/>
      <c r="E41" s="767"/>
      <c r="F41" s="767"/>
      <c r="G41" s="767"/>
      <c r="H41" s="767"/>
      <c r="I41" s="767"/>
      <c r="J41" s="767"/>
      <c r="K41" s="33"/>
    </row>
    <row r="42" spans="1:11" ht="15">
      <c r="A42" s="765" t="s">
        <v>81</v>
      </c>
      <c r="B42" s="768" t="s">
        <v>263</v>
      </c>
      <c r="C42" s="1092" t="s">
        <v>266</v>
      </c>
      <c r="D42" s="767"/>
      <c r="E42" s="767"/>
      <c r="F42" s="767"/>
      <c r="G42" s="767"/>
      <c r="H42" s="767"/>
      <c r="I42" s="767"/>
      <c r="J42" s="767"/>
      <c r="K42" s="33"/>
    </row>
    <row r="43" spans="1:11" ht="15">
      <c r="A43" s="765" t="s">
        <v>82</v>
      </c>
      <c r="B43" s="768" t="s">
        <v>1833</v>
      </c>
      <c r="C43" s="1092" t="s">
        <v>83</v>
      </c>
      <c r="D43" s="767"/>
      <c r="E43" s="767"/>
      <c r="F43" s="767"/>
      <c r="G43" s="767"/>
      <c r="H43" s="767"/>
      <c r="I43" s="767"/>
      <c r="J43" s="767"/>
      <c r="K43" s="33"/>
    </row>
    <row r="44" spans="1:11" ht="15">
      <c r="A44" s="765" t="s">
        <v>84</v>
      </c>
      <c r="B44" s="766" t="s">
        <v>251</v>
      </c>
      <c r="C44" s="1092" t="s">
        <v>85</v>
      </c>
      <c r="D44" s="767"/>
      <c r="E44" s="767"/>
      <c r="F44" s="767"/>
      <c r="G44" s="767"/>
      <c r="H44" s="767"/>
      <c r="I44" s="767"/>
      <c r="J44" s="767"/>
      <c r="K44" s="33"/>
    </row>
    <row r="45" spans="1:11" ht="15">
      <c r="A45" s="765" t="s">
        <v>86</v>
      </c>
      <c r="B45" s="768" t="s">
        <v>87</v>
      </c>
      <c r="C45" s="1092" t="s">
        <v>88</v>
      </c>
      <c r="D45" s="767"/>
      <c r="E45" s="767"/>
      <c r="F45" s="767"/>
      <c r="G45" s="767"/>
      <c r="H45" s="767"/>
      <c r="I45" s="767"/>
      <c r="J45" s="767"/>
      <c r="K45" s="33"/>
    </row>
    <row r="46" spans="1:11" ht="15">
      <c r="A46" s="765" t="s">
        <v>89</v>
      </c>
      <c r="B46" s="768" t="s">
        <v>32</v>
      </c>
      <c r="C46" s="1092" t="s">
        <v>93</v>
      </c>
      <c r="D46" s="767"/>
      <c r="E46" s="767"/>
      <c r="F46" s="767"/>
      <c r="G46" s="767"/>
      <c r="H46" s="767"/>
      <c r="I46" s="767"/>
      <c r="J46" s="767"/>
      <c r="K46" s="33"/>
    </row>
    <row r="47" spans="1:11" ht="15">
      <c r="A47" s="765" t="s">
        <v>90</v>
      </c>
      <c r="B47" s="768" t="s">
        <v>252</v>
      </c>
      <c r="C47" s="1092" t="s">
        <v>5</v>
      </c>
      <c r="D47" s="767"/>
      <c r="E47" s="767"/>
      <c r="F47" s="767"/>
      <c r="G47" s="767"/>
      <c r="H47" s="767"/>
      <c r="I47" s="767"/>
      <c r="J47" s="767"/>
      <c r="K47" s="33"/>
    </row>
    <row r="48" spans="1:11" ht="15">
      <c r="A48" s="765" t="s">
        <v>91</v>
      </c>
      <c r="B48" s="768" t="s">
        <v>1834</v>
      </c>
      <c r="C48" s="1092" t="s">
        <v>92</v>
      </c>
      <c r="D48" s="767"/>
      <c r="E48" s="767"/>
      <c r="F48" s="767"/>
      <c r="G48" s="767"/>
      <c r="H48" s="767"/>
      <c r="I48" s="767"/>
      <c r="J48" s="767"/>
      <c r="K48" s="33"/>
    </row>
    <row r="49" spans="1:11" ht="15">
      <c r="A49" s="765" t="s">
        <v>6</v>
      </c>
      <c r="B49" s="768" t="s">
        <v>253</v>
      </c>
      <c r="C49" s="1092" t="s">
        <v>13</v>
      </c>
      <c r="D49" s="767"/>
      <c r="E49" s="767"/>
      <c r="F49" s="767"/>
      <c r="G49" s="767"/>
      <c r="H49" s="767"/>
      <c r="I49" s="767"/>
      <c r="J49" s="767"/>
      <c r="K49" s="33"/>
    </row>
    <row r="50" spans="1:11" ht="15">
      <c r="A50" s="765" t="s">
        <v>37</v>
      </c>
      <c r="B50" s="768" t="s">
        <v>722</v>
      </c>
      <c r="C50" s="1092" t="s">
        <v>38</v>
      </c>
      <c r="D50" s="767"/>
      <c r="E50" s="767"/>
      <c r="F50" s="767"/>
      <c r="G50" s="767"/>
      <c r="H50" s="767"/>
      <c r="I50" s="767"/>
      <c r="J50" s="767"/>
      <c r="K50" s="33"/>
    </row>
    <row r="51" spans="1:11" ht="15">
      <c r="A51" s="765" t="s">
        <v>264</v>
      </c>
      <c r="B51" s="768" t="s">
        <v>265</v>
      </c>
      <c r="C51" s="1092" t="s">
        <v>1557</v>
      </c>
      <c r="D51" s="767"/>
      <c r="E51" s="767"/>
      <c r="F51" s="767"/>
      <c r="G51" s="767"/>
      <c r="H51" s="767"/>
      <c r="I51" s="767"/>
      <c r="J51" s="767"/>
      <c r="K51" s="33"/>
    </row>
    <row r="52" spans="1:11" ht="16.25" customHeight="1">
      <c r="A52" s="1087" t="s">
        <v>254</v>
      </c>
      <c r="B52" s="1088" t="s">
        <v>255</v>
      </c>
      <c r="C52" s="1088"/>
      <c r="D52" s="1088"/>
      <c r="E52" s="767"/>
      <c r="F52" s="767"/>
      <c r="G52" s="767"/>
      <c r="H52" s="767"/>
      <c r="I52" s="767"/>
      <c r="J52" s="767"/>
      <c r="K52" s="33"/>
    </row>
    <row r="53" spans="1:11" ht="15.5" customHeight="1">
      <c r="A53" s="1087" t="s">
        <v>94</v>
      </c>
      <c r="B53" s="1088" t="s">
        <v>268</v>
      </c>
      <c r="C53" s="1088"/>
      <c r="D53" s="1088"/>
      <c r="E53" s="767"/>
      <c r="F53" s="767"/>
      <c r="G53" s="767"/>
      <c r="H53" s="767"/>
      <c r="I53" s="767"/>
      <c r="J53" s="767"/>
      <c r="K53" s="33"/>
    </row>
    <row r="54" spans="1:11" s="44" customFormat="1" ht="14.5" customHeight="1">
      <c r="A54" s="1087" t="s">
        <v>36</v>
      </c>
      <c r="B54" s="1088" t="s">
        <v>269</v>
      </c>
      <c r="C54" s="1090"/>
      <c r="D54" s="1090"/>
      <c r="E54" s="1091"/>
      <c r="F54" s="1091"/>
      <c r="G54" s="1091"/>
      <c r="H54" s="1091"/>
      <c r="I54" s="1091"/>
      <c r="J54" s="1091"/>
      <c r="K54" s="51"/>
    </row>
    <row r="55" spans="1:11" s="44" customFormat="1" ht="14" hidden="1" customHeight="1">
      <c r="A55" s="1089" t="s">
        <v>1</v>
      </c>
      <c r="B55" s="1090" t="s">
        <v>257</v>
      </c>
      <c r="C55" s="1090"/>
      <c r="D55" s="1090"/>
      <c r="E55" s="1091"/>
      <c r="F55" s="1091"/>
      <c r="G55" s="1091"/>
      <c r="H55" s="1091"/>
      <c r="I55" s="1091"/>
      <c r="J55" s="1091"/>
      <c r="K55" s="51"/>
    </row>
    <row r="56" spans="1:11" s="44" customFormat="1" ht="14">
      <c r="A56" s="1087" t="s">
        <v>188</v>
      </c>
      <c r="B56" s="1088" t="s">
        <v>189</v>
      </c>
      <c r="C56" s="1090"/>
      <c r="D56" s="1090"/>
      <c r="E56" s="1091"/>
      <c r="F56" s="1091"/>
      <c r="G56" s="1091"/>
      <c r="H56" s="1091"/>
      <c r="I56" s="1091"/>
      <c r="J56" s="1091"/>
      <c r="K56" s="51"/>
    </row>
    <row r="57" spans="1:11" ht="14">
      <c r="A57" s="1087" t="s">
        <v>256</v>
      </c>
      <c r="B57" s="1088" t="s">
        <v>270</v>
      </c>
      <c r="C57" s="1088"/>
      <c r="D57" s="1088"/>
      <c r="E57" s="767"/>
      <c r="F57" s="767"/>
      <c r="G57" s="767"/>
      <c r="H57" s="767"/>
      <c r="I57" s="767"/>
      <c r="J57" s="767"/>
      <c r="K57" s="33"/>
    </row>
    <row r="59" spans="1:11">
      <c r="A59" s="16"/>
      <c r="B59" s="16"/>
      <c r="C59" s="16"/>
      <c r="D59" s="16"/>
      <c r="E59" s="16"/>
      <c r="F59" s="16"/>
      <c r="G59" s="16"/>
      <c r="H59" s="16"/>
      <c r="I59" s="16"/>
      <c r="J59" s="16"/>
    </row>
    <row r="61" spans="1:11" ht="14.25" customHeight="1">
      <c r="A61" s="48" t="s">
        <v>267</v>
      </c>
      <c r="B61"/>
      <c r="C61"/>
      <c r="D61"/>
      <c r="E61"/>
      <c r="F61"/>
      <c r="G61"/>
      <c r="H61"/>
      <c r="I61"/>
    </row>
    <row r="62" spans="1:11" ht="14.25" customHeight="1">
      <c r="A62" s="13"/>
      <c r="B62"/>
      <c r="C62"/>
      <c r="D62"/>
      <c r="E62"/>
      <c r="F62"/>
      <c r="G62"/>
      <c r="H62"/>
      <c r="I62"/>
    </row>
    <row r="63" spans="1:11" ht="18" customHeight="1">
      <c r="A63" s="2" t="s">
        <v>184</v>
      </c>
      <c r="B63"/>
      <c r="C63"/>
      <c r="D63"/>
      <c r="E63"/>
      <c r="F63"/>
      <c r="G63"/>
      <c r="H63"/>
      <c r="I63"/>
    </row>
    <row r="64" spans="1:11" ht="12.75" customHeight="1">
      <c r="A64" s="2"/>
      <c r="B64"/>
      <c r="C64"/>
      <c r="D64"/>
      <c r="E64"/>
      <c r="F64"/>
      <c r="G64"/>
      <c r="H64"/>
      <c r="I64"/>
    </row>
    <row r="65" spans="1:10">
      <c r="A65" s="16"/>
      <c r="B65" s="16"/>
      <c r="C65" s="16"/>
      <c r="D65" s="16"/>
      <c r="E65" s="16"/>
      <c r="F65" s="16"/>
      <c r="G65" s="16"/>
      <c r="H65" s="16"/>
      <c r="I65" s="16"/>
      <c r="J65" s="16"/>
    </row>
    <row r="67" spans="1:10" ht="16">
      <c r="A67" s="17" t="s">
        <v>183</v>
      </c>
    </row>
    <row r="68" spans="1:10" ht="10.5" customHeight="1">
      <c r="A68" s="17"/>
    </row>
    <row r="69" spans="1:10" ht="16">
      <c r="A69" s="38" t="s">
        <v>190</v>
      </c>
    </row>
    <row r="70" spans="1:10" ht="16">
      <c r="A70" s="38"/>
    </row>
    <row r="75" spans="1:10">
      <c r="J75" s="47" t="s">
        <v>27</v>
      </c>
    </row>
  </sheetData>
  <phoneticPr fontId="0" type="noConversion"/>
  <pageMargins left="0.47244094488188981" right="0.35433070866141736" top="0.31496062992125984" bottom="0.27559055118110237" header="0.27559055118110237" footer="0.19685039370078741"/>
  <pageSetup paperSize="9" scale="70"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2EB2-7F65-0C43-8249-EB2BAC987728}">
  <sheetPr>
    <pageSetUpPr fitToPage="1"/>
  </sheetPr>
  <dimension ref="A5:L45"/>
  <sheetViews>
    <sheetView zoomScaleNormal="100" workbookViewId="0">
      <selection activeCell="N12" sqref="N12"/>
    </sheetView>
  </sheetViews>
  <sheetFormatPr baseColWidth="10" defaultColWidth="11.3984375" defaultRowHeight="13"/>
  <cols>
    <col min="1" max="1" width="19.3984375" style="64" customWidth="1"/>
    <col min="2" max="2" width="13.59765625" style="64" customWidth="1"/>
    <col min="3" max="7" width="11.3984375" style="64"/>
    <col min="8" max="8" width="6.59765625" style="64" customWidth="1"/>
    <col min="9" max="12" width="11.3984375" style="64"/>
    <col min="13" max="13" width="4.59765625" style="64" customWidth="1"/>
    <col min="14" max="16384" width="11.3984375" style="64"/>
  </cols>
  <sheetData>
    <row r="5" spans="1:12" ht="18">
      <c r="A5" s="63" t="s">
        <v>192</v>
      </c>
    </row>
    <row r="6" spans="1:12" ht="49.5" customHeight="1">
      <c r="A6" s="65"/>
      <c r="B6" s="65"/>
      <c r="C6" s="65"/>
      <c r="D6" s="65"/>
      <c r="E6" s="65"/>
      <c r="F6" s="65"/>
      <c r="G6" s="65"/>
      <c r="H6" s="65"/>
      <c r="I6" s="65"/>
      <c r="J6" s="65"/>
      <c r="K6" s="65"/>
      <c r="L6" s="65"/>
    </row>
    <row r="7" spans="1:12">
      <c r="A7" s="66" t="s">
        <v>193</v>
      </c>
      <c r="B7" s="65"/>
      <c r="C7" s="65"/>
      <c r="D7" s="65"/>
      <c r="E7" s="65"/>
      <c r="F7" s="65"/>
      <c r="G7" s="65"/>
      <c r="H7" s="65"/>
      <c r="I7" s="65"/>
      <c r="J7" s="65"/>
      <c r="K7" s="65"/>
      <c r="L7" s="65"/>
    </row>
    <row r="8" spans="1:12" ht="14" thickBot="1">
      <c r="A8" s="67"/>
      <c r="B8" s="68"/>
      <c r="C8" s="68"/>
      <c r="D8" s="68"/>
      <c r="E8" s="68"/>
      <c r="F8" s="68"/>
      <c r="G8" s="68"/>
      <c r="H8" s="68"/>
      <c r="I8" s="68"/>
      <c r="J8" s="68"/>
      <c r="K8" s="68"/>
      <c r="L8" s="65"/>
    </row>
    <row r="9" spans="1:12">
      <c r="C9" s="1" t="s">
        <v>194</v>
      </c>
      <c r="D9" s="1"/>
      <c r="E9" s="1"/>
      <c r="F9" s="1"/>
      <c r="G9" s="1"/>
      <c r="I9" s="1825" t="s">
        <v>2510</v>
      </c>
      <c r="J9" s="1825"/>
      <c r="K9" s="1825"/>
      <c r="L9" s="69"/>
    </row>
    <row r="10" spans="1:12">
      <c r="B10" s="64" t="s">
        <v>195</v>
      </c>
      <c r="C10" s="70" t="s">
        <v>196</v>
      </c>
      <c r="D10" s="70" t="s">
        <v>191</v>
      </c>
      <c r="E10" s="70" t="s">
        <v>197</v>
      </c>
      <c r="F10" s="70" t="s">
        <v>197</v>
      </c>
      <c r="G10" s="70" t="s">
        <v>198</v>
      </c>
      <c r="H10" s="70"/>
      <c r="I10" s="70" t="s">
        <v>197</v>
      </c>
      <c r="J10" s="70" t="s">
        <v>191</v>
      </c>
      <c r="K10" s="70" t="s">
        <v>198</v>
      </c>
    </row>
    <row r="11" spans="1:12">
      <c r="A11" s="71"/>
      <c r="B11" s="71"/>
      <c r="C11" s="72"/>
      <c r="D11" s="72"/>
      <c r="E11" s="72"/>
      <c r="F11" s="72" t="s">
        <v>191</v>
      </c>
      <c r="G11" s="72"/>
      <c r="H11" s="72"/>
      <c r="I11" s="72"/>
      <c r="J11" s="72"/>
      <c r="K11" s="72"/>
    </row>
    <row r="12" spans="1:12">
      <c r="A12" s="65" t="s">
        <v>199</v>
      </c>
      <c r="B12" s="65" t="s">
        <v>200</v>
      </c>
      <c r="C12" s="73">
        <v>2.06</v>
      </c>
      <c r="D12" s="73">
        <v>2.04</v>
      </c>
      <c r="E12" s="73" t="s">
        <v>201</v>
      </c>
      <c r="F12" s="73"/>
      <c r="G12" s="73" t="s">
        <v>202</v>
      </c>
      <c r="H12" s="73"/>
      <c r="I12" s="73" t="s">
        <v>203</v>
      </c>
      <c r="J12" s="74"/>
      <c r="K12" s="74">
        <v>2.16</v>
      </c>
    </row>
    <row r="13" spans="1:12">
      <c r="A13" s="65"/>
      <c r="B13" s="65" t="s">
        <v>204</v>
      </c>
      <c r="C13" s="65"/>
      <c r="D13" s="73">
        <v>2.0499999999999998</v>
      </c>
      <c r="E13" s="73" t="s">
        <v>205</v>
      </c>
      <c r="F13" s="73"/>
      <c r="G13" s="73" t="s">
        <v>206</v>
      </c>
      <c r="H13" s="73"/>
      <c r="I13" s="73" t="s">
        <v>207</v>
      </c>
      <c r="J13" s="1752">
        <v>2.25</v>
      </c>
      <c r="K13" s="74">
        <v>2.1800000000000002</v>
      </c>
    </row>
    <row r="14" spans="1:12">
      <c r="A14" s="64" t="s">
        <v>208</v>
      </c>
      <c r="B14" s="64" t="s">
        <v>200</v>
      </c>
      <c r="C14" s="75">
        <v>2.11</v>
      </c>
      <c r="D14" s="75" t="s">
        <v>49</v>
      </c>
      <c r="E14" s="75"/>
      <c r="F14" s="75"/>
      <c r="G14" s="75"/>
      <c r="H14" s="75"/>
      <c r="I14" s="75" t="s">
        <v>209</v>
      </c>
      <c r="J14" s="70"/>
      <c r="K14" s="70"/>
    </row>
    <row r="15" spans="1:12">
      <c r="A15" s="65"/>
      <c r="B15" s="65" t="s">
        <v>204</v>
      </c>
      <c r="C15" s="65"/>
      <c r="D15" s="73" t="s">
        <v>210</v>
      </c>
      <c r="E15" s="73" t="s">
        <v>211</v>
      </c>
      <c r="F15" s="73"/>
      <c r="G15" s="73"/>
      <c r="H15" s="73"/>
      <c r="I15" s="73" t="s">
        <v>212</v>
      </c>
      <c r="J15" s="1752">
        <v>2.2599999999999998</v>
      </c>
      <c r="K15" s="74"/>
    </row>
    <row r="16" spans="1:12">
      <c r="A16" s="65" t="s">
        <v>213</v>
      </c>
      <c r="B16" s="65" t="s">
        <v>200</v>
      </c>
      <c r="C16" s="73">
        <v>2.09</v>
      </c>
      <c r="D16" s="73" t="s">
        <v>214</v>
      </c>
      <c r="E16" s="73"/>
      <c r="F16" s="73"/>
      <c r="G16" s="65"/>
      <c r="H16" s="65"/>
      <c r="I16" s="73" t="s">
        <v>41</v>
      </c>
      <c r="J16" s="74"/>
      <c r="K16" s="65"/>
    </row>
    <row r="17" spans="1:11">
      <c r="A17" s="71"/>
      <c r="B17" s="71" t="s">
        <v>204</v>
      </c>
      <c r="C17" s="71"/>
      <c r="D17" s="76" t="s">
        <v>215</v>
      </c>
      <c r="E17" s="76" t="s">
        <v>216</v>
      </c>
      <c r="F17" s="76"/>
      <c r="G17" s="71"/>
      <c r="H17" s="71"/>
      <c r="I17" s="76" t="s">
        <v>217</v>
      </c>
      <c r="J17" s="72">
        <v>2.0299999999999998</v>
      </c>
      <c r="K17" s="71"/>
    </row>
    <row r="18" spans="1:11">
      <c r="A18" s="64" t="s">
        <v>218</v>
      </c>
      <c r="B18" s="64" t="s">
        <v>200</v>
      </c>
      <c r="C18" s="1747" t="s">
        <v>2496</v>
      </c>
      <c r="D18" s="1747" t="s">
        <v>2497</v>
      </c>
      <c r="E18" s="1747" t="s">
        <v>220</v>
      </c>
      <c r="F18" s="1747"/>
      <c r="G18" s="1747"/>
      <c r="H18" s="1747"/>
      <c r="I18" s="1747" t="s">
        <v>2498</v>
      </c>
      <c r="J18" s="1748"/>
      <c r="K18" s="70"/>
    </row>
    <row r="19" spans="1:11">
      <c r="B19" s="64" t="s">
        <v>204</v>
      </c>
      <c r="C19" s="1747"/>
      <c r="D19" s="1747" t="s">
        <v>2499</v>
      </c>
      <c r="E19" s="1747" t="s">
        <v>2500</v>
      </c>
      <c r="F19" s="1747"/>
      <c r="G19" s="1747"/>
      <c r="H19" s="1747"/>
      <c r="I19" s="1747" t="s">
        <v>2501</v>
      </c>
      <c r="J19" s="1748">
        <v>3.08</v>
      </c>
      <c r="K19" s="70"/>
    </row>
    <row r="20" spans="1:11">
      <c r="A20" s="1753" t="s">
        <v>2504</v>
      </c>
      <c r="B20" s="71" t="s">
        <v>219</v>
      </c>
      <c r="C20" s="1749"/>
      <c r="D20" s="1749" t="s">
        <v>2502</v>
      </c>
      <c r="E20" s="1749"/>
      <c r="F20" s="1749"/>
      <c r="G20" s="1749"/>
      <c r="H20" s="1749"/>
      <c r="I20" s="1749" t="s">
        <v>2503</v>
      </c>
      <c r="J20" s="1750"/>
      <c r="K20" s="72"/>
    </row>
    <row r="21" spans="1:11">
      <c r="A21" s="64" t="s">
        <v>221</v>
      </c>
      <c r="B21" s="64" t="s">
        <v>222</v>
      </c>
      <c r="C21" s="75" t="s">
        <v>223</v>
      </c>
      <c r="D21" s="75" t="s">
        <v>224</v>
      </c>
      <c r="E21" s="75" t="s">
        <v>225</v>
      </c>
      <c r="F21" s="75" t="s">
        <v>226</v>
      </c>
      <c r="G21" s="75"/>
      <c r="H21" s="75"/>
      <c r="I21" s="75"/>
      <c r="J21" s="70"/>
      <c r="K21" s="70"/>
    </row>
    <row r="22" spans="1:11" ht="14" thickBot="1">
      <c r="A22" s="68"/>
      <c r="B22" s="68" t="s">
        <v>227</v>
      </c>
      <c r="C22" s="77"/>
      <c r="D22" s="78" t="s">
        <v>228</v>
      </c>
      <c r="E22" s="78" t="s">
        <v>229</v>
      </c>
      <c r="F22" s="78"/>
      <c r="G22" s="78"/>
      <c r="H22" s="78"/>
      <c r="I22" s="78" t="s">
        <v>230</v>
      </c>
      <c r="J22" s="79"/>
      <c r="K22" s="79"/>
    </row>
    <row r="23" spans="1:11" ht="34.5" customHeight="1"/>
    <row r="24" spans="1:11">
      <c r="A24" s="80" t="s">
        <v>231</v>
      </c>
    </row>
    <row r="25" spans="1:11">
      <c r="A25" s="64" t="s">
        <v>199</v>
      </c>
      <c r="B25" s="64" t="s">
        <v>232</v>
      </c>
    </row>
    <row r="26" spans="1:11">
      <c r="A26" s="64" t="s">
        <v>208</v>
      </c>
      <c r="B26" s="64" t="s">
        <v>233</v>
      </c>
    </row>
    <row r="27" spans="1:11">
      <c r="B27" s="64" t="s">
        <v>234</v>
      </c>
    </row>
    <row r="28" spans="1:11">
      <c r="A28" s="64" t="s">
        <v>218</v>
      </c>
      <c r="B28" s="64" t="s">
        <v>2506</v>
      </c>
    </row>
    <row r="29" spans="1:11">
      <c r="A29" s="1751" t="s">
        <v>2504</v>
      </c>
      <c r="B29" s="64" t="s">
        <v>2505</v>
      </c>
    </row>
    <row r="30" spans="1:11" ht="27.75" customHeight="1"/>
    <row r="31" spans="1:11">
      <c r="A31" s="80" t="s">
        <v>235</v>
      </c>
    </row>
    <row r="32" spans="1:11">
      <c r="A32" s="64" t="s">
        <v>258</v>
      </c>
      <c r="B32" s="64" t="s">
        <v>259</v>
      </c>
    </row>
    <row r="33" spans="1:2">
      <c r="A33" s="64" t="s">
        <v>236</v>
      </c>
      <c r="B33" s="64" t="s">
        <v>2507</v>
      </c>
    </row>
    <row r="34" spans="1:2">
      <c r="A34" s="64" t="s">
        <v>198</v>
      </c>
      <c r="B34" s="64" t="s">
        <v>2508</v>
      </c>
    </row>
    <row r="35" spans="1:2" ht="29.25" customHeight="1"/>
    <row r="36" spans="1:2">
      <c r="A36" s="80" t="s">
        <v>237</v>
      </c>
    </row>
    <row r="37" spans="1:2">
      <c r="A37" s="81">
        <v>1.01</v>
      </c>
      <c r="B37" s="82" t="s">
        <v>238</v>
      </c>
    </row>
    <row r="38" spans="1:2">
      <c r="A38" s="81">
        <v>1.02</v>
      </c>
      <c r="B38" s="82" t="s">
        <v>239</v>
      </c>
    </row>
    <row r="39" spans="1:2">
      <c r="A39" s="83" t="s">
        <v>240</v>
      </c>
      <c r="B39" s="82" t="s">
        <v>241</v>
      </c>
    </row>
    <row r="40" spans="1:2">
      <c r="A40" s="84" t="s">
        <v>242</v>
      </c>
      <c r="B40" s="82" t="s">
        <v>243</v>
      </c>
    </row>
    <row r="41" spans="1:2">
      <c r="A41" s="81" t="s">
        <v>244</v>
      </c>
      <c r="B41" s="82" t="s">
        <v>245</v>
      </c>
    </row>
    <row r="42" spans="1:2">
      <c r="A42" s="81">
        <v>8.0299999999999994</v>
      </c>
      <c r="B42" s="82" t="s">
        <v>246</v>
      </c>
    </row>
    <row r="43" spans="1:2">
      <c r="A43" s="81" t="s">
        <v>247</v>
      </c>
      <c r="B43" s="82" t="s">
        <v>248</v>
      </c>
    </row>
    <row r="44" spans="1:2">
      <c r="A44" s="83" t="s">
        <v>44</v>
      </c>
      <c r="B44" s="82" t="s">
        <v>2509</v>
      </c>
    </row>
    <row r="45" spans="1:2">
      <c r="A45" s="81"/>
    </row>
  </sheetData>
  <mergeCells count="2">
    <mergeCell ref="C9:G9"/>
    <mergeCell ref="I9:K9"/>
  </mergeCells>
  <pageMargins left="0.51" right="0.49" top="0.69" bottom="0.78" header="0.42" footer="0.51181102362204722"/>
  <pageSetup paperSize="9" scale="65" orientation="portrait"/>
  <headerFooter alignWithMargins="0"/>
  <colBreaks count="1" manualBreakCount="1">
    <brk id="12" min="4" max="4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F8BF-E2D1-D849-862F-4C2726F2064D}">
  <sheetPr>
    <pageSetUpPr fitToPage="1"/>
  </sheetPr>
  <dimension ref="A1:M82"/>
  <sheetViews>
    <sheetView workbookViewId="0">
      <selection activeCell="N24" sqref="N24"/>
    </sheetView>
  </sheetViews>
  <sheetFormatPr baseColWidth="10" defaultColWidth="11.59765625" defaultRowHeight="13"/>
  <cols>
    <col min="1" max="1" width="11.59765625" style="774"/>
    <col min="2" max="2" width="10.3984375" style="1784" customWidth="1"/>
    <col min="3" max="3" width="4.3984375" style="774" customWidth="1"/>
    <col min="4" max="4" width="11.59765625" style="774"/>
    <col min="5" max="5" width="11.3984375" style="1784" customWidth="1"/>
    <col min="6" max="7" width="11.59765625" style="774"/>
    <col min="8" max="8" width="3.59765625" style="774" customWidth="1"/>
    <col min="9" max="9" width="11.59765625" style="774"/>
    <col min="10" max="10" width="3.796875" style="774" customWidth="1"/>
    <col min="11" max="11" width="11.59765625" style="774"/>
    <col min="12" max="12" width="3.796875" style="774" customWidth="1"/>
    <col min="13" max="16384" width="11.59765625" style="774"/>
  </cols>
  <sheetData>
    <row r="1" spans="1:13" ht="16">
      <c r="A1" s="1754" t="s">
        <v>2513</v>
      </c>
    </row>
    <row r="2" spans="1:13" ht="18" customHeight="1"/>
    <row r="3" spans="1:13" ht="30" customHeight="1">
      <c r="A3" s="1760" t="s">
        <v>261</v>
      </c>
      <c r="B3" s="1760" t="s">
        <v>2512</v>
      </c>
      <c r="C3" s="1784"/>
      <c r="D3" s="1760" t="str">
        <f>A3</f>
        <v>Publikation 2010</v>
      </c>
      <c r="E3" s="1760" t="str">
        <f>B3</f>
        <v>Publikation 2011</v>
      </c>
      <c r="G3" s="1760" t="str">
        <f>E3</f>
        <v>Publikation 2011</v>
      </c>
      <c r="H3" s="1760"/>
      <c r="I3" s="1760" t="str">
        <f>D3</f>
        <v>Publikation 2010</v>
      </c>
      <c r="K3" s="1760" t="str">
        <f>G3</f>
        <v>Publikation 2011</v>
      </c>
      <c r="L3" s="1760"/>
      <c r="M3" s="1760" t="str">
        <f>I3</f>
        <v>Publikation 2010</v>
      </c>
    </row>
    <row r="4" spans="1:13" ht="13.5" customHeight="1">
      <c r="A4" s="1785"/>
      <c r="B4" s="1785"/>
      <c r="D4" s="1786"/>
      <c r="E4" s="1786"/>
      <c r="G4" s="1057"/>
      <c r="H4" s="1057"/>
      <c r="I4" s="1057"/>
      <c r="K4" s="1057"/>
      <c r="L4" s="1057"/>
      <c r="M4" s="1057"/>
    </row>
    <row r="5" spans="1:13">
      <c r="A5" s="1787">
        <v>1.01</v>
      </c>
      <c r="B5" s="1787">
        <v>1.01</v>
      </c>
      <c r="C5" s="1788"/>
      <c r="D5" s="1789">
        <v>6.03</v>
      </c>
      <c r="E5" s="1789">
        <v>6.03</v>
      </c>
      <c r="G5" s="1787">
        <v>1.01</v>
      </c>
      <c r="H5" s="1787"/>
      <c r="I5" s="1790">
        <v>1.01</v>
      </c>
      <c r="K5" s="1789">
        <v>7.02</v>
      </c>
      <c r="L5" s="1791"/>
      <c r="M5" s="1792">
        <v>7.02</v>
      </c>
    </row>
    <row r="6" spans="1:13">
      <c r="A6" s="1793">
        <v>1.02</v>
      </c>
      <c r="B6" s="1793">
        <v>1.02</v>
      </c>
      <c r="C6" s="1788"/>
      <c r="D6" s="1789">
        <v>6.04</v>
      </c>
      <c r="E6" s="1789">
        <v>6.04</v>
      </c>
      <c r="G6" s="1793">
        <v>1.02</v>
      </c>
      <c r="H6" s="1787"/>
      <c r="I6" s="1794">
        <v>1.02</v>
      </c>
      <c r="K6" s="1789">
        <v>7.03</v>
      </c>
      <c r="L6" s="1791"/>
      <c r="M6" s="1792">
        <v>7.03</v>
      </c>
    </row>
    <row r="7" spans="1:13">
      <c r="A7" s="1793">
        <v>1.03</v>
      </c>
      <c r="B7" s="1793">
        <v>1.03</v>
      </c>
      <c r="C7" s="1788"/>
      <c r="D7" s="1789">
        <v>6.05</v>
      </c>
      <c r="E7" s="1789">
        <v>6.05</v>
      </c>
      <c r="G7" s="1793">
        <v>1.03</v>
      </c>
      <c r="H7" s="1787"/>
      <c r="I7" s="1794">
        <v>1.03</v>
      </c>
      <c r="K7" s="1789">
        <v>7.04</v>
      </c>
      <c r="L7" s="1791"/>
      <c r="M7" s="1789">
        <v>7.04</v>
      </c>
    </row>
    <row r="8" spans="1:13">
      <c r="A8" s="1793">
        <v>1.04</v>
      </c>
      <c r="B8" s="1793">
        <v>1.04</v>
      </c>
      <c r="C8" s="1788"/>
      <c r="D8" s="1789">
        <v>6.06</v>
      </c>
      <c r="E8" s="1789">
        <v>6.06</v>
      </c>
      <c r="G8" s="1793">
        <v>1.04</v>
      </c>
      <c r="H8" s="1787"/>
      <c r="I8" s="1794">
        <v>1.04</v>
      </c>
      <c r="K8" s="1789">
        <v>7.05</v>
      </c>
      <c r="L8" s="1791"/>
      <c r="M8" s="1789">
        <v>7.05</v>
      </c>
    </row>
    <row r="9" spans="1:13">
      <c r="A9" s="1793">
        <v>1.05</v>
      </c>
      <c r="B9" s="1793">
        <v>1.05</v>
      </c>
      <c r="C9" s="1788"/>
      <c r="D9" s="1789">
        <v>7.01</v>
      </c>
      <c r="E9" s="1789">
        <v>7.01</v>
      </c>
      <c r="G9" s="1793">
        <v>1.05</v>
      </c>
      <c r="H9" s="1787"/>
      <c r="I9" s="1794">
        <v>1.05</v>
      </c>
      <c r="K9" s="1789">
        <v>8.01</v>
      </c>
      <c r="L9" s="1791"/>
      <c r="M9" s="1789">
        <v>8.01</v>
      </c>
    </row>
    <row r="10" spans="1:13">
      <c r="A10" s="1793">
        <v>1.06</v>
      </c>
      <c r="B10" s="1793">
        <v>1.06</v>
      </c>
      <c r="C10" s="1788"/>
      <c r="D10" s="1789">
        <v>7.02</v>
      </c>
      <c r="E10" s="1789">
        <v>7.02</v>
      </c>
      <c r="G10" s="1793">
        <v>1.06</v>
      </c>
      <c r="H10" s="1787"/>
      <c r="I10" s="1794">
        <v>1.06</v>
      </c>
      <c r="K10" s="1789">
        <v>8.02</v>
      </c>
      <c r="L10" s="1789"/>
      <c r="M10" s="1789">
        <v>8.02</v>
      </c>
    </row>
    <row r="11" spans="1:13">
      <c r="A11" s="1793">
        <v>1.07</v>
      </c>
      <c r="B11" s="1793">
        <v>1.07</v>
      </c>
      <c r="C11" s="1788"/>
      <c r="D11" s="1789">
        <v>7.03</v>
      </c>
      <c r="E11" s="1789">
        <v>7.03</v>
      </c>
      <c r="G11" s="1793">
        <v>1.07</v>
      </c>
      <c r="H11" s="1787"/>
      <c r="I11" s="1794">
        <v>1.07</v>
      </c>
      <c r="J11" s="1795"/>
      <c r="K11" s="1789">
        <v>8.0299999999999994</v>
      </c>
      <c r="L11" s="1796"/>
      <c r="M11" s="1789">
        <v>8.0299999999999994</v>
      </c>
    </row>
    <row r="12" spans="1:13">
      <c r="A12" s="1793">
        <v>1.08</v>
      </c>
      <c r="B12" s="1793">
        <v>1.08</v>
      </c>
      <c r="C12" s="1788"/>
      <c r="D12" s="1797">
        <v>7.04</v>
      </c>
      <c r="E12" s="1797">
        <v>7.04</v>
      </c>
      <c r="G12" s="1793">
        <v>1.08</v>
      </c>
      <c r="H12" s="1787"/>
      <c r="I12" s="1794">
        <v>1.08</v>
      </c>
      <c r="J12" s="1795"/>
      <c r="K12" s="1789">
        <v>8.0399999999999991</v>
      </c>
      <c r="L12" s="1796"/>
      <c r="M12" s="1789">
        <v>8.0399999999999991</v>
      </c>
    </row>
    <row r="13" spans="1:13">
      <c r="A13" s="1793">
        <v>1.0900000000000001</v>
      </c>
      <c r="B13" s="1793">
        <v>1.0900000000000001</v>
      </c>
      <c r="C13" s="1788"/>
      <c r="D13" s="1797">
        <v>7.05</v>
      </c>
      <c r="E13" s="1797">
        <v>7.05</v>
      </c>
      <c r="G13" s="1793">
        <v>1.0900000000000001</v>
      </c>
      <c r="H13" s="1787"/>
      <c r="I13" s="1793">
        <v>1.0900000000000001</v>
      </c>
      <c r="J13" s="1795"/>
      <c r="K13" s="1789">
        <v>8.0500000000000007</v>
      </c>
      <c r="L13" s="1796"/>
      <c r="M13" s="1789">
        <v>8.0500000000000007</v>
      </c>
    </row>
    <row r="14" spans="1:13">
      <c r="A14" s="1793">
        <v>1.1000000000000001</v>
      </c>
      <c r="B14" s="1793">
        <v>1.1000000000000001</v>
      </c>
      <c r="C14" s="1788"/>
      <c r="D14" s="1797">
        <v>8.01</v>
      </c>
      <c r="E14" s="1797">
        <v>8.01</v>
      </c>
      <c r="G14" s="1793">
        <v>1.1000000000000001</v>
      </c>
      <c r="H14" s="1787"/>
      <c r="I14" s="1793">
        <v>1.1000000000000001</v>
      </c>
      <c r="J14" s="1795"/>
      <c r="K14" s="1789">
        <v>8.06</v>
      </c>
      <c r="L14" s="1791"/>
      <c r="M14" s="1789">
        <v>8.06</v>
      </c>
    </row>
    <row r="15" spans="1:13">
      <c r="A15" s="1793">
        <v>1.1100000000000001</v>
      </c>
      <c r="B15" s="1793">
        <v>1.1100000000000001</v>
      </c>
      <c r="C15" s="1788"/>
      <c r="D15" s="1797">
        <v>8.02</v>
      </c>
      <c r="E15" s="1797">
        <v>8.02</v>
      </c>
      <c r="G15" s="1793">
        <v>1.1100000000000001</v>
      </c>
      <c r="H15" s="1787"/>
      <c r="I15" s="1793">
        <v>1.1100000000000001</v>
      </c>
      <c r="J15" s="1795"/>
      <c r="K15" s="1789">
        <v>8.07</v>
      </c>
      <c r="L15" s="1791"/>
      <c r="M15" s="1789">
        <v>8.07</v>
      </c>
    </row>
    <row r="16" spans="1:13">
      <c r="A16" s="1793">
        <v>1.1200000000000001</v>
      </c>
      <c r="B16" s="1793">
        <v>1.1200000000000001</v>
      </c>
      <c r="C16" s="1788"/>
      <c r="D16" s="1797">
        <v>8.0299999999999994</v>
      </c>
      <c r="E16" s="1797">
        <v>8.0299999999999994</v>
      </c>
      <c r="G16" s="1793">
        <v>1.1200000000000001</v>
      </c>
      <c r="H16" s="1787"/>
      <c r="I16" s="1793">
        <v>1.1200000000000001</v>
      </c>
      <c r="J16" s="1795"/>
      <c r="K16" s="1797">
        <v>8.08</v>
      </c>
      <c r="L16" s="1787"/>
      <c r="M16" s="1797">
        <v>8.08</v>
      </c>
    </row>
    <row r="17" spans="1:13">
      <c r="A17" s="1793">
        <v>1.1299999999999999</v>
      </c>
      <c r="B17" s="1793">
        <v>1.1299999999999999</v>
      </c>
      <c r="C17" s="1788"/>
      <c r="D17" s="1797">
        <v>8.0399999999999991</v>
      </c>
      <c r="E17" s="1797">
        <v>8.0399999999999991</v>
      </c>
      <c r="G17" s="1793">
        <v>1.1299999999999999</v>
      </c>
      <c r="H17" s="1787"/>
      <c r="I17" s="1793">
        <v>1.1299999999999999</v>
      </c>
      <c r="J17" s="1795"/>
      <c r="K17" s="1797">
        <v>8.09</v>
      </c>
      <c r="L17" s="1787"/>
      <c r="M17" s="1797">
        <v>8.09</v>
      </c>
    </row>
    <row r="18" spans="1:13">
      <c r="A18" s="1789">
        <v>2.0099999999999998</v>
      </c>
      <c r="B18" s="1789">
        <v>2.0099999999999998</v>
      </c>
      <c r="C18" s="1788"/>
      <c r="D18" s="1797">
        <v>8.0500000000000007</v>
      </c>
      <c r="E18" s="1797">
        <v>8.0500000000000007</v>
      </c>
      <c r="G18" s="1789">
        <v>2.0099999999999998</v>
      </c>
      <c r="H18" s="1787"/>
      <c r="I18" s="1789">
        <v>2.0099999999999998</v>
      </c>
      <c r="J18" s="1795"/>
      <c r="K18" s="1797" t="s">
        <v>42</v>
      </c>
      <c r="L18" s="1787"/>
      <c r="M18" s="1797" t="s">
        <v>42</v>
      </c>
    </row>
    <row r="19" spans="1:13">
      <c r="A19" s="1789">
        <v>2.02</v>
      </c>
      <c r="B19" s="1789">
        <v>2.02</v>
      </c>
      <c r="C19" s="1788"/>
      <c r="D19" s="1797">
        <v>8.06</v>
      </c>
      <c r="E19" s="1797">
        <v>8.06</v>
      </c>
      <c r="G19" s="1789">
        <v>2.02</v>
      </c>
      <c r="H19" s="1787"/>
      <c r="I19" s="1789">
        <v>2.02</v>
      </c>
      <c r="J19" s="1795"/>
      <c r="K19" s="1797" t="s">
        <v>43</v>
      </c>
      <c r="L19" s="1787"/>
      <c r="M19" s="1797" t="s">
        <v>43</v>
      </c>
    </row>
    <row r="20" spans="1:13">
      <c r="A20" s="1789">
        <v>2.0299999999999998</v>
      </c>
      <c r="B20" s="1789">
        <v>2.0299999999999998</v>
      </c>
      <c r="C20" s="1788"/>
      <c r="D20" s="1797">
        <v>8.07</v>
      </c>
      <c r="E20" s="1797">
        <v>8.07</v>
      </c>
      <c r="G20" s="1789">
        <v>2.0299999999999998</v>
      </c>
      <c r="H20" s="1787"/>
      <c r="I20" s="1789">
        <v>2.0299999999999998</v>
      </c>
      <c r="J20" s="1795"/>
      <c r="K20" s="1797">
        <v>8.1199999999999992</v>
      </c>
      <c r="L20" s="1787"/>
      <c r="M20" s="1797">
        <v>8.1199999999999992</v>
      </c>
    </row>
    <row r="21" spans="1:13">
      <c r="A21" s="1789">
        <v>2.04</v>
      </c>
      <c r="B21" s="1789">
        <v>2.04</v>
      </c>
      <c r="C21" s="1788"/>
      <c r="D21" s="1797">
        <v>8.08</v>
      </c>
      <c r="E21" s="1797">
        <v>8.08</v>
      </c>
      <c r="G21" s="1789">
        <v>2.04</v>
      </c>
      <c r="H21" s="1787" t="s">
        <v>1136</v>
      </c>
      <c r="I21" s="1789">
        <v>2.04</v>
      </c>
      <c r="J21" s="1795"/>
      <c r="K21" s="1797">
        <v>9.01</v>
      </c>
      <c r="L21" s="1787" t="s">
        <v>1136</v>
      </c>
      <c r="M21" s="1797">
        <v>9.09</v>
      </c>
    </row>
    <row r="22" spans="1:13">
      <c r="A22" s="1789">
        <v>2.0499999999999998</v>
      </c>
      <c r="B22" s="1789">
        <v>2.0499999999999998</v>
      </c>
      <c r="C22" s="1788"/>
      <c r="D22" s="1797">
        <v>8.09</v>
      </c>
      <c r="E22" s="1797">
        <v>8.09</v>
      </c>
      <c r="G22" s="1789">
        <v>2.0499999999999998</v>
      </c>
      <c r="H22" s="1787" t="s">
        <v>1136</v>
      </c>
      <c r="I22" s="1789">
        <v>2.0499999999999998</v>
      </c>
      <c r="J22" s="1795"/>
      <c r="K22" s="1797">
        <v>9.02</v>
      </c>
      <c r="L22" s="1787"/>
      <c r="M22" s="1797" t="s">
        <v>22</v>
      </c>
    </row>
    <row r="23" spans="1:13">
      <c r="A23" s="1789">
        <v>2.06</v>
      </c>
      <c r="B23" s="1789">
        <v>2.06</v>
      </c>
      <c r="C23" s="1788"/>
      <c r="D23" s="1789" t="s">
        <v>42</v>
      </c>
      <c r="E23" s="1789" t="s">
        <v>42</v>
      </c>
      <c r="G23" s="1789">
        <v>2.06</v>
      </c>
      <c r="H23" s="1787"/>
      <c r="I23" s="1789">
        <v>2.06</v>
      </c>
      <c r="J23" s="1795"/>
      <c r="K23" s="1797">
        <v>9.0299999999999994</v>
      </c>
      <c r="L23" s="1787"/>
      <c r="M23" s="1797">
        <v>9.11</v>
      </c>
    </row>
    <row r="24" spans="1:13">
      <c r="A24" s="1789">
        <v>2.0699999999999998</v>
      </c>
      <c r="B24" s="1789">
        <v>2.0699999999999998</v>
      </c>
      <c r="C24" s="1788"/>
      <c r="D24" s="1789" t="s">
        <v>43</v>
      </c>
      <c r="E24" s="1789" t="s">
        <v>43</v>
      </c>
      <c r="G24" s="1789">
        <v>2.0699999999999998</v>
      </c>
      <c r="H24" s="1787" t="s">
        <v>1136</v>
      </c>
      <c r="I24" s="1789">
        <v>2.0699999999999998</v>
      </c>
      <c r="J24" s="1795"/>
      <c r="K24" s="1797">
        <v>9.0399999999999991</v>
      </c>
      <c r="L24" s="1787"/>
      <c r="M24" s="1797">
        <v>9.1199999999999992</v>
      </c>
    </row>
    <row r="25" spans="1:13">
      <c r="A25" s="1789">
        <v>2.08</v>
      </c>
      <c r="B25" s="1789">
        <v>2.08</v>
      </c>
      <c r="C25" s="1788"/>
      <c r="D25" s="1797">
        <v>8.1199999999999992</v>
      </c>
      <c r="E25" s="1797">
        <v>8.1199999999999992</v>
      </c>
      <c r="G25" s="1789">
        <v>2.08</v>
      </c>
      <c r="H25" s="1787"/>
      <c r="I25" s="1789">
        <v>2.08</v>
      </c>
      <c r="J25" s="1795"/>
      <c r="K25" s="1797">
        <v>9.0500000000000007</v>
      </c>
      <c r="L25" s="1787"/>
      <c r="M25" s="1797">
        <v>9.1300000000000008</v>
      </c>
    </row>
    <row r="26" spans="1:13">
      <c r="A26" s="1789">
        <v>2.09</v>
      </c>
      <c r="B26" s="1789">
        <v>2.09</v>
      </c>
      <c r="C26" s="1788"/>
      <c r="D26" s="1797">
        <v>9.01</v>
      </c>
      <c r="E26" s="1797" t="s">
        <v>30</v>
      </c>
      <c r="G26" s="1789">
        <v>2.09</v>
      </c>
      <c r="H26" s="1787"/>
      <c r="I26" s="1789">
        <v>2.09</v>
      </c>
      <c r="J26" s="1795"/>
      <c r="K26" s="1789">
        <v>9.06</v>
      </c>
      <c r="L26" s="1791"/>
      <c r="M26" s="1789">
        <v>9.14</v>
      </c>
    </row>
    <row r="27" spans="1:13">
      <c r="A27" s="1789" t="s">
        <v>49</v>
      </c>
      <c r="B27" s="1789" t="s">
        <v>49</v>
      </c>
      <c r="C27" s="1788"/>
      <c r="D27" s="1797">
        <v>9.02</v>
      </c>
      <c r="E27" s="1797" t="s">
        <v>30</v>
      </c>
      <c r="G27" s="1789" t="s">
        <v>49</v>
      </c>
      <c r="H27" s="1787" t="s">
        <v>1136</v>
      </c>
      <c r="I27" s="1789" t="s">
        <v>49</v>
      </c>
      <c r="J27" s="1795"/>
      <c r="K27" s="1789">
        <v>9.07</v>
      </c>
      <c r="L27" s="1787"/>
      <c r="M27" s="1789">
        <v>9.15</v>
      </c>
    </row>
    <row r="28" spans="1:13">
      <c r="A28" s="1789">
        <v>2.11</v>
      </c>
      <c r="B28" s="1789">
        <v>2.11</v>
      </c>
      <c r="C28" s="1788"/>
      <c r="D28" s="1797">
        <v>9.0299999999999994</v>
      </c>
      <c r="E28" s="1797">
        <v>9.1300000000000008</v>
      </c>
      <c r="G28" s="1789">
        <v>2.11</v>
      </c>
      <c r="H28" s="1787"/>
      <c r="I28" s="1789">
        <v>2.11</v>
      </c>
      <c r="J28" s="1795"/>
      <c r="K28" s="1797">
        <v>9.08</v>
      </c>
      <c r="L28" s="1787"/>
      <c r="M28" s="1797">
        <v>9.16</v>
      </c>
    </row>
    <row r="29" spans="1:13">
      <c r="A29" s="1789">
        <v>2.12</v>
      </c>
      <c r="B29" s="1789">
        <v>2.12</v>
      </c>
      <c r="C29" s="1788"/>
      <c r="D29" s="1797">
        <v>9.0399999999999991</v>
      </c>
      <c r="E29" s="1797">
        <v>9.14</v>
      </c>
      <c r="G29" s="1789">
        <v>2.12</v>
      </c>
      <c r="H29" s="1787" t="s">
        <v>1136</v>
      </c>
      <c r="I29" s="1789">
        <v>2.12</v>
      </c>
      <c r="J29" s="1795"/>
      <c r="K29" s="1797">
        <v>9.09</v>
      </c>
      <c r="L29" s="1787"/>
      <c r="M29" s="1797" t="s">
        <v>120</v>
      </c>
    </row>
    <row r="30" spans="1:13">
      <c r="A30" s="1789">
        <v>2.13</v>
      </c>
      <c r="B30" s="1789">
        <v>2.13</v>
      </c>
      <c r="C30" s="1788"/>
      <c r="D30" s="1797">
        <v>9.0500000000000007</v>
      </c>
      <c r="E30" s="1797" t="s">
        <v>30</v>
      </c>
      <c r="G30" s="1789">
        <v>2.13</v>
      </c>
      <c r="H30" s="1787" t="s">
        <v>1136</v>
      </c>
      <c r="I30" s="1789">
        <v>2.13</v>
      </c>
      <c r="J30" s="1795"/>
      <c r="K30" s="1797" t="s">
        <v>22</v>
      </c>
      <c r="L30" s="1787"/>
      <c r="M30" s="1797">
        <v>9.17</v>
      </c>
    </row>
    <row r="31" spans="1:13">
      <c r="A31" s="1789">
        <v>2.14</v>
      </c>
      <c r="B31" s="1789">
        <v>2.14</v>
      </c>
      <c r="C31" s="1788"/>
      <c r="D31" s="1797">
        <v>9.06</v>
      </c>
      <c r="E31" s="1797" t="s">
        <v>30</v>
      </c>
      <c r="G31" s="1789">
        <v>2.14</v>
      </c>
      <c r="H31" s="1787"/>
      <c r="I31" s="1789">
        <v>2.14</v>
      </c>
      <c r="J31" s="1795"/>
      <c r="K31" s="1797">
        <v>9.11</v>
      </c>
      <c r="L31" s="1787"/>
      <c r="M31" s="1797">
        <v>9.18</v>
      </c>
    </row>
    <row r="32" spans="1:13">
      <c r="A32" s="1789">
        <v>2.15</v>
      </c>
      <c r="B32" s="1789">
        <v>2.15</v>
      </c>
      <c r="C32" s="1788"/>
      <c r="D32" s="1797">
        <v>9.07</v>
      </c>
      <c r="E32" s="1797" t="s">
        <v>30</v>
      </c>
      <c r="G32" s="1789">
        <v>2.15</v>
      </c>
      <c r="H32" s="1787"/>
      <c r="I32" s="1789">
        <v>2.15</v>
      </c>
      <c r="J32" s="1795"/>
      <c r="K32" s="1797">
        <v>9.1199999999999992</v>
      </c>
      <c r="L32" s="1787"/>
      <c r="M32" s="1797">
        <v>9.19</v>
      </c>
    </row>
    <row r="33" spans="1:13">
      <c r="A33" s="1789">
        <v>2.16</v>
      </c>
      <c r="B33" s="1789">
        <v>2.16</v>
      </c>
      <c r="C33" s="1788"/>
      <c r="D33" s="1797">
        <v>9.08</v>
      </c>
      <c r="E33" s="1797" t="s">
        <v>30</v>
      </c>
      <c r="G33" s="1789">
        <v>2.16</v>
      </c>
      <c r="H33" s="1787"/>
      <c r="I33" s="1789">
        <v>2.16</v>
      </c>
      <c r="J33" s="1795"/>
      <c r="K33" s="1797">
        <v>9.1300000000000008</v>
      </c>
      <c r="L33" s="1787"/>
      <c r="M33" s="1797">
        <v>9.0299999999999994</v>
      </c>
    </row>
    <row r="34" spans="1:13">
      <c r="A34" s="1789">
        <v>2.17</v>
      </c>
      <c r="B34" s="1789">
        <v>2.17</v>
      </c>
      <c r="C34" s="1788"/>
      <c r="D34" s="1797">
        <v>9.09</v>
      </c>
      <c r="E34" s="1797">
        <v>9.01</v>
      </c>
      <c r="G34" s="1789">
        <v>2.17</v>
      </c>
      <c r="H34" s="1787"/>
      <c r="I34" s="1789">
        <v>2.17</v>
      </c>
      <c r="J34" s="1795"/>
      <c r="K34" s="1797">
        <v>9.14</v>
      </c>
      <c r="L34" s="1787"/>
      <c r="M34" s="1797">
        <v>9.0399999999999991</v>
      </c>
    </row>
    <row r="35" spans="1:13">
      <c r="A35" s="1789">
        <v>2.1800000000000002</v>
      </c>
      <c r="B35" s="1789">
        <v>2.1800000000000002</v>
      </c>
      <c r="C35" s="1788"/>
      <c r="D35" s="1797" t="s">
        <v>22</v>
      </c>
      <c r="E35" s="1797">
        <v>9.02</v>
      </c>
      <c r="G35" s="1789">
        <v>2.1800000000000002</v>
      </c>
      <c r="H35" s="1787"/>
      <c r="I35" s="1789">
        <v>2.1800000000000002</v>
      </c>
      <c r="J35" s="1795"/>
      <c r="K35" s="1798">
        <v>9.15</v>
      </c>
      <c r="L35" s="1787"/>
      <c r="M35" s="1797" t="s">
        <v>30</v>
      </c>
    </row>
    <row r="36" spans="1:13">
      <c r="A36" s="1789">
        <v>2.19</v>
      </c>
      <c r="B36" s="1789">
        <v>2.19</v>
      </c>
      <c r="C36" s="1788"/>
      <c r="D36" s="1797">
        <v>9.11</v>
      </c>
      <c r="E36" s="1797">
        <v>9.0299999999999994</v>
      </c>
      <c r="G36" s="1789">
        <v>2.19</v>
      </c>
      <c r="H36" s="1787"/>
      <c r="I36" s="1789">
        <v>2.19</v>
      </c>
      <c r="J36" s="1795"/>
      <c r="K36" s="1797" t="s">
        <v>33</v>
      </c>
      <c r="L36" s="1799"/>
      <c r="M36" s="1797" t="s">
        <v>33</v>
      </c>
    </row>
    <row r="37" spans="1:13">
      <c r="A37" s="1800" t="s">
        <v>41</v>
      </c>
      <c r="B37" s="1800" t="s">
        <v>41</v>
      </c>
      <c r="C37" s="1788"/>
      <c r="D37" s="1797">
        <v>9.1199999999999992</v>
      </c>
      <c r="E37" s="1797">
        <v>9.0399999999999991</v>
      </c>
      <c r="G37" s="1800" t="s">
        <v>41</v>
      </c>
      <c r="H37" s="1787"/>
      <c r="I37" s="1800" t="s">
        <v>41</v>
      </c>
      <c r="J37" s="1795"/>
      <c r="K37" s="1797" t="s">
        <v>34</v>
      </c>
      <c r="L37" s="1787"/>
      <c r="M37" s="1797" t="s">
        <v>34</v>
      </c>
    </row>
    <row r="38" spans="1:13">
      <c r="A38" s="1789">
        <v>2.21</v>
      </c>
      <c r="B38" s="1789">
        <v>2.21</v>
      </c>
      <c r="C38" s="1788"/>
      <c r="D38" s="1797">
        <v>9.1300000000000008</v>
      </c>
      <c r="E38" s="1797">
        <v>9.0500000000000007</v>
      </c>
      <c r="G38" s="1789">
        <v>2.21</v>
      </c>
      <c r="H38" s="1787"/>
      <c r="I38" s="1789">
        <v>2.21</v>
      </c>
      <c r="J38" s="1795"/>
      <c r="K38" s="1797" t="s">
        <v>35</v>
      </c>
      <c r="L38" s="1799"/>
      <c r="M38" s="1797" t="s">
        <v>35</v>
      </c>
    </row>
    <row r="39" spans="1:13">
      <c r="A39" s="1789">
        <v>2.2200000000000002</v>
      </c>
      <c r="B39" s="1789">
        <v>2.2200000000000002</v>
      </c>
      <c r="C39" s="1788"/>
      <c r="D39" s="1797">
        <v>9.14</v>
      </c>
      <c r="E39" s="1797">
        <v>9.06</v>
      </c>
      <c r="G39" s="1789">
        <v>2.2200000000000002</v>
      </c>
      <c r="H39" s="1787"/>
      <c r="I39" s="1789">
        <v>2.2200000000000002</v>
      </c>
      <c r="J39" s="1795"/>
      <c r="K39" s="1797" t="s">
        <v>1759</v>
      </c>
      <c r="L39" s="1799" t="s">
        <v>1136</v>
      </c>
      <c r="M39" s="1797" t="s">
        <v>1759</v>
      </c>
    </row>
    <row r="40" spans="1:13">
      <c r="A40" s="1789">
        <v>2.23</v>
      </c>
      <c r="B40" s="1789">
        <v>2.23</v>
      </c>
      <c r="C40" s="1788"/>
      <c r="D40" s="1797">
        <v>9.15</v>
      </c>
      <c r="E40" s="1797">
        <v>9.07</v>
      </c>
      <c r="G40" s="1789">
        <v>2.23</v>
      </c>
      <c r="H40" s="1787"/>
      <c r="I40" s="1789">
        <v>2.23</v>
      </c>
      <c r="J40" s="1795"/>
      <c r="K40" s="1797" t="s">
        <v>1761</v>
      </c>
      <c r="L40" s="1799" t="s">
        <v>1136</v>
      </c>
      <c r="M40" s="1797" t="s">
        <v>1761</v>
      </c>
    </row>
    <row r="41" spans="1:13">
      <c r="A41" s="1789">
        <v>2.2400000000000002</v>
      </c>
      <c r="B41" s="1789">
        <v>2.2400000000000002</v>
      </c>
      <c r="C41" s="1788"/>
      <c r="D41" s="1797">
        <v>9.16</v>
      </c>
      <c r="E41" s="1797">
        <v>9.08</v>
      </c>
      <c r="G41" s="1789">
        <v>2.2400000000000002</v>
      </c>
      <c r="H41" s="1787"/>
      <c r="I41" s="1789">
        <v>2.2400000000000002</v>
      </c>
      <c r="J41" s="1795"/>
      <c r="K41" s="1797">
        <v>11.01</v>
      </c>
      <c r="L41" s="1799"/>
      <c r="M41" s="1797">
        <v>11.01</v>
      </c>
    </row>
    <row r="42" spans="1:13">
      <c r="A42" s="1789">
        <v>2.25</v>
      </c>
      <c r="B42" s="1789">
        <v>2.25</v>
      </c>
      <c r="C42" s="1788"/>
      <c r="D42" s="1797">
        <v>9.17</v>
      </c>
      <c r="E42" s="1797" t="s">
        <v>22</v>
      </c>
      <c r="G42" s="1789">
        <v>2.25</v>
      </c>
      <c r="H42" s="1787" t="s">
        <v>1136</v>
      </c>
      <c r="I42" s="1789">
        <v>2.25</v>
      </c>
      <c r="J42" s="1795"/>
      <c r="K42" s="1797">
        <v>11.02</v>
      </c>
      <c r="L42" s="1799"/>
      <c r="M42" s="1797">
        <v>11.02</v>
      </c>
    </row>
    <row r="43" spans="1:13">
      <c r="A43" s="1789">
        <v>2.2599999999999998</v>
      </c>
      <c r="B43" s="1789">
        <v>2.2599999999999998</v>
      </c>
      <c r="C43" s="1788"/>
      <c r="D43" s="1797">
        <v>9.18</v>
      </c>
      <c r="E43" s="1797">
        <v>9.11</v>
      </c>
      <c r="G43" s="1789">
        <v>2.2599999999999998</v>
      </c>
      <c r="H43" s="1791" t="s">
        <v>1136</v>
      </c>
      <c r="I43" s="1789">
        <v>2.2599999999999998</v>
      </c>
      <c r="J43" s="1795"/>
      <c r="K43" s="1797">
        <v>11.03</v>
      </c>
      <c r="L43" s="1799" t="s">
        <v>1136</v>
      </c>
      <c r="M43" s="1797">
        <v>11.03</v>
      </c>
    </row>
    <row r="44" spans="1:13">
      <c r="A44" s="1789">
        <v>3.01</v>
      </c>
      <c r="B44" s="1789">
        <v>12.01</v>
      </c>
      <c r="C44" s="1788"/>
      <c r="D44" s="1797">
        <v>9.19</v>
      </c>
      <c r="E44" s="1797">
        <v>9.1199999999999992</v>
      </c>
      <c r="G44" s="1789">
        <v>3.01</v>
      </c>
      <c r="H44" s="1791"/>
      <c r="I44" s="1800" t="s">
        <v>95</v>
      </c>
      <c r="J44" s="1795"/>
      <c r="K44" s="1797">
        <v>11.04</v>
      </c>
      <c r="L44" s="1799"/>
      <c r="M44" s="1797">
        <v>11.04</v>
      </c>
    </row>
    <row r="45" spans="1:13">
      <c r="A45" s="1789">
        <v>3.02</v>
      </c>
      <c r="B45" s="1789">
        <v>12.02</v>
      </c>
      <c r="C45" s="1788"/>
      <c r="D45" s="1797" t="s">
        <v>120</v>
      </c>
      <c r="E45" s="1797">
        <v>9.09</v>
      </c>
      <c r="G45" s="1789">
        <v>3.02</v>
      </c>
      <c r="H45" s="1791"/>
      <c r="I45" s="1792">
        <v>3.09</v>
      </c>
      <c r="J45" s="1795"/>
      <c r="K45" s="1797">
        <v>11.05</v>
      </c>
      <c r="L45" s="1787"/>
      <c r="M45" s="1797">
        <v>11.05</v>
      </c>
    </row>
    <row r="46" spans="1:13">
      <c r="A46" s="1789">
        <v>3.03</v>
      </c>
      <c r="B46" s="1789">
        <v>12.03</v>
      </c>
      <c r="C46" s="1788"/>
      <c r="D46" s="1797" t="s">
        <v>33</v>
      </c>
      <c r="E46" s="1797" t="s">
        <v>33</v>
      </c>
      <c r="G46" s="1789">
        <v>3.03</v>
      </c>
      <c r="H46" s="1791"/>
      <c r="I46" s="1792">
        <v>3.11</v>
      </c>
      <c r="J46" s="1795"/>
      <c r="K46" s="1797">
        <v>11.06</v>
      </c>
      <c r="L46" s="1787"/>
      <c r="M46" s="1797">
        <v>11.06</v>
      </c>
    </row>
    <row r="47" spans="1:13">
      <c r="A47" s="1789">
        <v>3.04</v>
      </c>
      <c r="B47" s="1789">
        <v>12.04</v>
      </c>
      <c r="C47" s="1788"/>
      <c r="D47" s="1797" t="s">
        <v>34</v>
      </c>
      <c r="E47" s="1797" t="s">
        <v>34</v>
      </c>
      <c r="G47" s="1789">
        <v>3.04</v>
      </c>
      <c r="H47" s="1791" t="s">
        <v>1136</v>
      </c>
      <c r="I47" s="1792">
        <v>3.13</v>
      </c>
      <c r="J47" s="1795"/>
      <c r="K47" s="1797">
        <v>11.07</v>
      </c>
      <c r="L47" s="1787"/>
      <c r="M47" s="1797">
        <v>11.07</v>
      </c>
    </row>
    <row r="48" spans="1:13">
      <c r="A48" s="1789">
        <v>3.05</v>
      </c>
      <c r="B48" s="1789">
        <v>12.05</v>
      </c>
      <c r="C48" s="1788"/>
      <c r="D48" s="1797" t="s">
        <v>35</v>
      </c>
      <c r="E48" s="1797" t="s">
        <v>35</v>
      </c>
      <c r="G48" s="1789">
        <v>3.05</v>
      </c>
      <c r="H48" s="1791"/>
      <c r="I48" s="1792">
        <v>3.12</v>
      </c>
      <c r="J48" s="1795"/>
      <c r="K48" s="1797">
        <v>11.08</v>
      </c>
      <c r="L48" s="1787" t="s">
        <v>1136</v>
      </c>
      <c r="M48" s="1797">
        <v>11.08</v>
      </c>
    </row>
    <row r="49" spans="1:13">
      <c r="A49" s="1789">
        <v>3.06</v>
      </c>
      <c r="B49" s="1789">
        <v>12.06</v>
      </c>
      <c r="C49" s="1788"/>
      <c r="D49" s="1797" t="s">
        <v>1759</v>
      </c>
      <c r="E49" s="1797" t="s">
        <v>1759</v>
      </c>
      <c r="G49" s="1789">
        <v>3.06</v>
      </c>
      <c r="H49" s="1791" t="s">
        <v>1136</v>
      </c>
      <c r="I49" s="1792">
        <v>3.14</v>
      </c>
      <c r="J49" s="1795"/>
      <c r="K49" s="1797">
        <v>11.09</v>
      </c>
      <c r="L49" s="1787" t="s">
        <v>1136</v>
      </c>
      <c r="M49" s="1797">
        <v>11.09</v>
      </c>
    </row>
    <row r="50" spans="1:13">
      <c r="A50" s="1789">
        <v>3.07</v>
      </c>
      <c r="B50" s="1789">
        <v>12.07</v>
      </c>
      <c r="C50" s="1788"/>
      <c r="D50" s="1797" t="s">
        <v>1761</v>
      </c>
      <c r="E50" s="1797" t="s">
        <v>1761</v>
      </c>
      <c r="G50" s="1801">
        <v>3.07</v>
      </c>
      <c r="H50" s="1791"/>
      <c r="I50" s="1792">
        <v>3.15</v>
      </c>
      <c r="J50" s="1795"/>
      <c r="K50" s="1797" t="s">
        <v>44</v>
      </c>
      <c r="L50" s="1787"/>
      <c r="M50" s="1797" t="s">
        <v>44</v>
      </c>
    </row>
    <row r="51" spans="1:13">
      <c r="A51" s="1797">
        <v>3.08</v>
      </c>
      <c r="B51" s="1797">
        <v>3.08</v>
      </c>
      <c r="C51" s="1788"/>
      <c r="D51" s="1797">
        <v>11.01</v>
      </c>
      <c r="E51" s="1797">
        <v>11.01</v>
      </c>
      <c r="G51" s="1789">
        <v>3.08</v>
      </c>
      <c r="H51" s="1791" t="s">
        <v>1136</v>
      </c>
      <c r="I51" s="1789">
        <v>3.08</v>
      </c>
      <c r="J51" s="1795"/>
      <c r="K51" s="1797">
        <v>11.11</v>
      </c>
      <c r="L51" s="1787"/>
      <c r="M51" s="1797">
        <v>11.11</v>
      </c>
    </row>
    <row r="52" spans="1:13">
      <c r="A52" s="1791">
        <v>3.09</v>
      </c>
      <c r="B52" s="1791">
        <v>3.02</v>
      </c>
      <c r="C52" s="1788"/>
      <c r="D52" s="1797">
        <v>11.02</v>
      </c>
      <c r="E52" s="1797">
        <v>11.02</v>
      </c>
      <c r="G52" s="1789">
        <v>4.01</v>
      </c>
      <c r="H52" s="1791"/>
      <c r="I52" s="1789">
        <v>4.01</v>
      </c>
      <c r="J52" s="1795"/>
      <c r="K52" s="1797">
        <v>11.12</v>
      </c>
      <c r="L52" s="1787"/>
      <c r="M52" s="1797">
        <v>11.12</v>
      </c>
    </row>
    <row r="53" spans="1:13">
      <c r="A53" s="1791" t="s">
        <v>95</v>
      </c>
      <c r="B53" s="1791">
        <v>3.01</v>
      </c>
      <c r="C53" s="1788"/>
      <c r="D53" s="1797">
        <v>11.03</v>
      </c>
      <c r="E53" s="1797">
        <v>11.03</v>
      </c>
      <c r="G53" s="1797">
        <v>4.0199999999999996</v>
      </c>
      <c r="H53" s="1791" t="s">
        <v>1136</v>
      </c>
      <c r="I53" s="1797">
        <v>4.0199999999999996</v>
      </c>
      <c r="J53" s="1795"/>
      <c r="K53" s="1797">
        <v>11.13</v>
      </c>
      <c r="L53" s="1787"/>
      <c r="M53" s="1797">
        <v>11.13</v>
      </c>
    </row>
    <row r="54" spans="1:13">
      <c r="A54" s="1791">
        <v>3.11</v>
      </c>
      <c r="B54" s="1791">
        <v>3.03</v>
      </c>
      <c r="C54" s="1788"/>
      <c r="D54" s="1797">
        <v>11.04</v>
      </c>
      <c r="E54" s="1797">
        <v>11.04</v>
      </c>
      <c r="G54" s="1791">
        <v>4.03</v>
      </c>
      <c r="H54" s="1791"/>
      <c r="I54" s="1791">
        <v>4.03</v>
      </c>
      <c r="J54" s="1795"/>
      <c r="K54" s="1797">
        <v>11.14</v>
      </c>
      <c r="L54" s="1787" t="s">
        <v>1136</v>
      </c>
      <c r="M54" s="1797">
        <v>11.14</v>
      </c>
    </row>
    <row r="55" spans="1:13">
      <c r="A55" s="1791">
        <v>3.12</v>
      </c>
      <c r="B55" s="1791">
        <v>3.05</v>
      </c>
      <c r="C55" s="1788"/>
      <c r="D55" s="1797">
        <v>11.05</v>
      </c>
      <c r="E55" s="1797">
        <v>11.05</v>
      </c>
      <c r="G55" s="1791">
        <v>4.04</v>
      </c>
      <c r="H55" s="1791" t="s">
        <v>1136</v>
      </c>
      <c r="I55" s="1791">
        <v>4.04</v>
      </c>
      <c r="J55" s="1795"/>
      <c r="K55" s="1797">
        <v>11.15</v>
      </c>
      <c r="L55" s="1787"/>
      <c r="M55" s="1797">
        <v>11.15</v>
      </c>
    </row>
    <row r="56" spans="1:13">
      <c r="A56" s="1791">
        <v>3.13</v>
      </c>
      <c r="B56" s="1791">
        <v>3.04</v>
      </c>
      <c r="C56" s="1788"/>
      <c r="D56" s="1797">
        <v>11.06</v>
      </c>
      <c r="E56" s="1797">
        <v>11.06</v>
      </c>
      <c r="G56" s="1791">
        <v>4.05</v>
      </c>
      <c r="H56" s="1791" t="s">
        <v>1136</v>
      </c>
      <c r="I56" s="1791">
        <v>4.05</v>
      </c>
      <c r="J56" s="1795"/>
      <c r="K56" s="1797">
        <v>11.16</v>
      </c>
      <c r="L56" s="1787"/>
      <c r="M56" s="1797">
        <v>11.16</v>
      </c>
    </row>
    <row r="57" spans="1:13">
      <c r="A57" s="1789">
        <v>3.14</v>
      </c>
      <c r="B57" s="1789">
        <v>3.06</v>
      </c>
      <c r="C57" s="1788"/>
      <c r="D57" s="1797">
        <v>11.07</v>
      </c>
      <c r="E57" s="1797">
        <v>11.07</v>
      </c>
      <c r="G57" s="1791">
        <v>4.0599999999999996</v>
      </c>
      <c r="H57" s="1791" t="s">
        <v>1136</v>
      </c>
      <c r="I57" s="1802">
        <v>4.0599999999999996</v>
      </c>
      <c r="J57" s="1795"/>
      <c r="K57" s="1797">
        <v>11.17</v>
      </c>
      <c r="L57" s="1787" t="s">
        <v>1136</v>
      </c>
      <c r="M57" s="1797">
        <v>11.17</v>
      </c>
    </row>
    <row r="58" spans="1:13">
      <c r="A58" s="1789">
        <v>3.15</v>
      </c>
      <c r="B58" s="1789">
        <v>3.07</v>
      </c>
      <c r="C58" s="1788"/>
      <c r="D58" s="1797">
        <v>11.08</v>
      </c>
      <c r="E58" s="1797">
        <v>11.08</v>
      </c>
      <c r="G58" s="1791">
        <v>4.07</v>
      </c>
      <c r="H58" s="1791" t="s">
        <v>1136</v>
      </c>
      <c r="I58" s="1802">
        <v>4.07</v>
      </c>
      <c r="J58" s="1795"/>
      <c r="K58" s="1798">
        <v>11.18</v>
      </c>
      <c r="L58" s="1787"/>
      <c r="M58" s="1797" t="s">
        <v>30</v>
      </c>
    </row>
    <row r="59" spans="1:13">
      <c r="A59" s="1789">
        <v>4.01</v>
      </c>
      <c r="B59" s="1789">
        <v>4.01</v>
      </c>
      <c r="C59" s="1788"/>
      <c r="D59" s="1797">
        <v>11.09</v>
      </c>
      <c r="E59" s="1797">
        <v>11.09</v>
      </c>
      <c r="G59" s="1789">
        <v>4.08</v>
      </c>
      <c r="H59" s="1791" t="s">
        <v>1136</v>
      </c>
      <c r="I59" s="1792">
        <v>4.08</v>
      </c>
      <c r="J59" s="1795"/>
      <c r="K59" s="1797">
        <v>12.01</v>
      </c>
      <c r="L59" s="1787"/>
      <c r="M59" s="1797">
        <v>3.01</v>
      </c>
    </row>
    <row r="60" spans="1:13">
      <c r="A60" s="1789">
        <v>4.0199999999999996</v>
      </c>
      <c r="B60" s="1789">
        <v>4.0199999999999996</v>
      </c>
      <c r="C60" s="1788"/>
      <c r="D60" s="1797" t="s">
        <v>44</v>
      </c>
      <c r="E60" s="1797" t="s">
        <v>44</v>
      </c>
      <c r="G60" s="1789">
        <v>4.09</v>
      </c>
      <c r="H60" s="1791" t="s">
        <v>1136</v>
      </c>
      <c r="I60" s="1792">
        <v>4.09</v>
      </c>
      <c r="J60" s="1795"/>
      <c r="K60" s="1797">
        <v>12.02</v>
      </c>
      <c r="L60" s="1787" t="s">
        <v>1136</v>
      </c>
      <c r="M60" s="1797">
        <v>3.02</v>
      </c>
    </row>
    <row r="61" spans="1:13">
      <c r="A61" s="1789">
        <v>4.03</v>
      </c>
      <c r="B61" s="1789">
        <v>4.03</v>
      </c>
      <c r="C61" s="1788"/>
      <c r="D61" s="1797">
        <v>11.11</v>
      </c>
      <c r="E61" s="1797">
        <v>11.11</v>
      </c>
      <c r="G61" s="1803" t="s">
        <v>40</v>
      </c>
      <c r="H61" s="1791" t="s">
        <v>1136</v>
      </c>
      <c r="I61" s="1804" t="s">
        <v>30</v>
      </c>
      <c r="J61" s="1795"/>
      <c r="K61" s="1797">
        <v>12.03</v>
      </c>
      <c r="L61" s="1787" t="s">
        <v>1136</v>
      </c>
      <c r="M61" s="1797">
        <v>3.03</v>
      </c>
    </row>
    <row r="62" spans="1:13">
      <c r="A62" s="1789">
        <v>4.04</v>
      </c>
      <c r="B62" s="1789">
        <v>4.04</v>
      </c>
      <c r="C62" s="1788"/>
      <c r="D62" s="1797">
        <v>11.12</v>
      </c>
      <c r="E62" s="1797">
        <v>11.12</v>
      </c>
      <c r="G62" s="1805">
        <v>4.1100000000000003</v>
      </c>
      <c r="H62" s="1791"/>
      <c r="I62" s="1804" t="s">
        <v>30</v>
      </c>
      <c r="J62" s="1795"/>
      <c r="K62" s="1797">
        <v>12.04</v>
      </c>
      <c r="L62" s="1787" t="s">
        <v>1136</v>
      </c>
      <c r="M62" s="1797">
        <v>3.04</v>
      </c>
    </row>
    <row r="63" spans="1:13">
      <c r="A63" s="1789">
        <v>4.05</v>
      </c>
      <c r="B63" s="1789">
        <v>4.05</v>
      </c>
      <c r="C63" s="1788"/>
      <c r="D63" s="1797">
        <v>11.13</v>
      </c>
      <c r="E63" s="1797">
        <v>11.13</v>
      </c>
      <c r="G63" s="1789">
        <v>5.01</v>
      </c>
      <c r="H63" s="1791"/>
      <c r="I63" s="1792">
        <v>5.01</v>
      </c>
      <c r="J63" s="1795"/>
      <c r="K63" s="1797">
        <v>12.05</v>
      </c>
      <c r="L63" s="1787" t="s">
        <v>1136</v>
      </c>
      <c r="M63" s="1797">
        <v>3.05</v>
      </c>
    </row>
    <row r="64" spans="1:13">
      <c r="A64" s="1789">
        <v>4.0599999999999996</v>
      </c>
      <c r="B64" s="1789">
        <v>4.0599999999999996</v>
      </c>
      <c r="C64" s="1788"/>
      <c r="D64" s="1797">
        <v>11.14</v>
      </c>
      <c r="E64" s="1797">
        <v>11.14</v>
      </c>
      <c r="G64" s="1789">
        <v>5.0199999999999996</v>
      </c>
      <c r="H64" s="1791"/>
      <c r="I64" s="1792">
        <v>5.0199999999999996</v>
      </c>
      <c r="J64" s="1795"/>
      <c r="K64" s="1797">
        <v>12.06</v>
      </c>
      <c r="L64" s="1787" t="s">
        <v>1136</v>
      </c>
      <c r="M64" s="1797">
        <v>3.06</v>
      </c>
    </row>
    <row r="65" spans="1:13">
      <c r="A65" s="1789">
        <v>4.07</v>
      </c>
      <c r="B65" s="1789">
        <v>4.07</v>
      </c>
      <c r="C65" s="1788"/>
      <c r="D65" s="1800">
        <v>11.15</v>
      </c>
      <c r="E65" s="1800">
        <v>11.15</v>
      </c>
      <c r="G65" s="1789">
        <v>5.03</v>
      </c>
      <c r="H65" s="1791"/>
      <c r="I65" s="1792">
        <v>5.03</v>
      </c>
      <c r="J65" s="1795"/>
      <c r="K65" s="1800">
        <v>12.07</v>
      </c>
      <c r="L65" s="1787" t="s">
        <v>1136</v>
      </c>
      <c r="M65" s="1800">
        <v>3.07</v>
      </c>
    </row>
    <row r="66" spans="1:13">
      <c r="A66" s="1797">
        <v>4.08</v>
      </c>
      <c r="B66" s="1797">
        <v>4.08</v>
      </c>
      <c r="C66" s="1788"/>
      <c r="D66" s="1791">
        <v>11.16</v>
      </c>
      <c r="E66" s="1791">
        <v>11.16</v>
      </c>
      <c r="G66" s="1789">
        <v>5.04</v>
      </c>
      <c r="H66" s="1791"/>
      <c r="I66" s="1792">
        <v>5.04</v>
      </c>
      <c r="J66" s="1795"/>
      <c r="K66" s="1800"/>
      <c r="L66" s="1787"/>
      <c r="M66" s="1800"/>
    </row>
    <row r="67" spans="1:13">
      <c r="A67" s="1797">
        <v>4.09</v>
      </c>
      <c r="B67" s="1797">
        <v>4.09</v>
      </c>
      <c r="C67" s="1788"/>
      <c r="D67" s="1791">
        <v>11.17</v>
      </c>
      <c r="E67" s="1791">
        <v>11.17</v>
      </c>
      <c r="G67" s="1789">
        <v>5.05</v>
      </c>
      <c r="H67" s="1791" t="s">
        <v>1136</v>
      </c>
      <c r="I67" s="1792">
        <v>5.05</v>
      </c>
      <c r="J67" s="1795"/>
      <c r="K67" s="1797"/>
      <c r="L67" s="1787"/>
      <c r="M67" s="1797"/>
    </row>
    <row r="68" spans="1:13">
      <c r="A68" s="1797">
        <v>5.01</v>
      </c>
      <c r="B68" s="1797">
        <v>5.01</v>
      </c>
      <c r="C68" s="1788"/>
      <c r="D68" s="1797" t="s">
        <v>30</v>
      </c>
      <c r="E68" s="1800" t="s">
        <v>40</v>
      </c>
      <c r="G68" s="1789">
        <v>6.01</v>
      </c>
      <c r="H68" s="1791"/>
      <c r="I68" s="1792">
        <v>6.01</v>
      </c>
      <c r="J68" s="1795"/>
      <c r="K68" s="1797"/>
      <c r="L68" s="1787"/>
      <c r="M68" s="1797"/>
    </row>
    <row r="69" spans="1:13">
      <c r="A69" s="1797">
        <v>5.0199999999999996</v>
      </c>
      <c r="B69" s="1797">
        <v>5.0199999999999996</v>
      </c>
      <c r="C69" s="1788"/>
      <c r="D69" s="1797" t="s">
        <v>30</v>
      </c>
      <c r="E69" s="1800">
        <v>4.1100000000000003</v>
      </c>
      <c r="F69" s="1806"/>
      <c r="G69" s="1789">
        <v>6.02</v>
      </c>
      <c r="H69" s="1791"/>
      <c r="I69" s="1792">
        <v>6.02</v>
      </c>
      <c r="J69" s="1795"/>
      <c r="K69" s="1797"/>
      <c r="L69" s="1787"/>
      <c r="M69" s="1797"/>
    </row>
    <row r="70" spans="1:13">
      <c r="A70" s="1797">
        <v>5.03</v>
      </c>
      <c r="B70" s="1797">
        <v>5.03</v>
      </c>
      <c r="C70" s="1788"/>
      <c r="D70" s="1797" t="s">
        <v>30</v>
      </c>
      <c r="E70" s="1800">
        <v>9.15</v>
      </c>
      <c r="F70" s="1806"/>
      <c r="G70" s="1797">
        <v>6.03</v>
      </c>
      <c r="H70" s="1791"/>
      <c r="I70" s="1807">
        <v>6.03</v>
      </c>
      <c r="J70" s="1795"/>
      <c r="K70" s="1797"/>
      <c r="L70" s="1787"/>
      <c r="M70" s="1797"/>
    </row>
    <row r="71" spans="1:13">
      <c r="A71" s="1789">
        <v>5.04</v>
      </c>
      <c r="B71" s="1789">
        <v>5.04</v>
      </c>
      <c r="C71" s="1788"/>
      <c r="D71" s="1797" t="s">
        <v>30</v>
      </c>
      <c r="E71" s="1800">
        <v>11.18</v>
      </c>
      <c r="F71" s="1806"/>
      <c r="G71" s="1797">
        <v>6.04</v>
      </c>
      <c r="H71" s="1791"/>
      <c r="I71" s="1807">
        <v>6.04</v>
      </c>
      <c r="J71" s="1795"/>
      <c r="K71" s="1800"/>
      <c r="L71" s="1787"/>
      <c r="M71" s="1800"/>
    </row>
    <row r="72" spans="1:13">
      <c r="A72" s="1789">
        <v>5.05</v>
      </c>
      <c r="B72" s="1789">
        <v>5.05</v>
      </c>
      <c r="C72" s="1788"/>
      <c r="D72" s="1797"/>
      <c r="E72" s="1800"/>
      <c r="G72" s="1789">
        <v>6.05</v>
      </c>
      <c r="H72" s="1791"/>
      <c r="I72" s="1792">
        <v>6.05</v>
      </c>
      <c r="J72" s="1795"/>
      <c r="K72" s="1795"/>
      <c r="L72" s="1795"/>
      <c r="M72" s="1795"/>
    </row>
    <row r="73" spans="1:13">
      <c r="A73" s="1789">
        <v>6.01</v>
      </c>
      <c r="B73" s="1789">
        <v>6.01</v>
      </c>
      <c r="C73" s="1788"/>
      <c r="D73" s="1791"/>
      <c r="E73" s="1800"/>
      <c r="G73" s="1789">
        <v>6.06</v>
      </c>
      <c r="H73" s="1791"/>
      <c r="I73" s="1792">
        <v>6.06</v>
      </c>
    </row>
    <row r="74" spans="1:13">
      <c r="A74" s="1808">
        <v>6.02</v>
      </c>
      <c r="B74" s="1808">
        <v>6.02</v>
      </c>
      <c r="D74" s="1791"/>
      <c r="E74" s="1809"/>
      <c r="G74" s="1789">
        <v>7.01</v>
      </c>
      <c r="H74" s="1791"/>
      <c r="I74" s="1792">
        <v>7.01</v>
      </c>
      <c r="K74" s="1810" t="s">
        <v>2514</v>
      </c>
    </row>
    <row r="75" spans="1:13">
      <c r="A75" s="1811"/>
      <c r="B75" s="1806"/>
      <c r="D75" s="1812"/>
      <c r="E75" s="1812"/>
      <c r="G75" s="1053"/>
      <c r="H75" s="1053"/>
      <c r="I75" s="1053"/>
    </row>
    <row r="76" spans="1:13">
      <c r="A76" s="1811"/>
      <c r="B76" s="1806"/>
      <c r="D76" s="1812"/>
      <c r="E76" s="1812"/>
      <c r="G76" s="1053"/>
      <c r="H76" s="1053"/>
      <c r="I76" s="1053"/>
    </row>
    <row r="77" spans="1:13">
      <c r="A77" s="1811"/>
      <c r="B77" s="1806"/>
      <c r="L77" s="1806"/>
      <c r="M77" s="1812"/>
    </row>
    <row r="78" spans="1:13">
      <c r="A78" s="1813"/>
      <c r="B78" s="1806"/>
      <c r="K78" s="1028"/>
    </row>
    <row r="79" spans="1:13">
      <c r="A79" s="1814"/>
      <c r="B79" s="1815" t="s">
        <v>2515</v>
      </c>
      <c r="F79" s="1816" t="s">
        <v>30</v>
      </c>
      <c r="G79" s="1817" t="s">
        <v>2516</v>
      </c>
      <c r="J79" s="1809" t="s">
        <v>1136</v>
      </c>
      <c r="K79" s="1817" t="s">
        <v>2517</v>
      </c>
    </row>
    <row r="80" spans="1:13">
      <c r="A80" s="1814"/>
      <c r="B80" s="1818" t="s">
        <v>2518</v>
      </c>
    </row>
    <row r="81" spans="1:8" ht="7.5" customHeight="1"/>
    <row r="82" spans="1:8">
      <c r="A82" s="1815" t="s">
        <v>2519</v>
      </c>
      <c r="G82" s="1819"/>
      <c r="H82" s="1819"/>
    </row>
  </sheetData>
  <pageMargins left="0.55118110236220474" right="0.47244094488188981" top="0.31496062992125984" bottom="0.31496062992125984" header="0.23622047244094491" footer="0.19685039370078741"/>
  <pageSetup paperSize="9" scale="76"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F235-0082-554C-9CD6-E54E184EAB8D}">
  <sheetPr>
    <pageSetUpPr fitToPage="1"/>
  </sheetPr>
  <dimension ref="A1:T213"/>
  <sheetViews>
    <sheetView workbookViewId="0">
      <selection activeCell="A208" sqref="A208"/>
    </sheetView>
  </sheetViews>
  <sheetFormatPr baseColWidth="10" defaultColWidth="11.3984375" defaultRowHeight="11"/>
  <cols>
    <col min="1" max="6" width="11.3984375" style="1755"/>
    <col min="7" max="7" width="11.3984375" style="1756" customWidth="1"/>
    <col min="8" max="8" width="10.3984375" style="1756" customWidth="1"/>
    <col min="9" max="11" width="11.3984375" style="1756"/>
    <col min="12" max="12" width="10.59765625" style="1756" customWidth="1"/>
    <col min="13" max="13" width="9.59765625" style="1755" customWidth="1"/>
    <col min="14" max="14" width="9.796875" style="1755" customWidth="1"/>
    <col min="15" max="16" width="11.3984375" style="1755"/>
    <col min="17" max="18" width="11.3984375" style="1756"/>
    <col min="19" max="16384" width="11.3984375" style="1755"/>
  </cols>
  <sheetData>
    <row r="1" spans="1:18" ht="16">
      <c r="A1" s="1754" t="s">
        <v>2</v>
      </c>
      <c r="B1" s="1754"/>
      <c r="C1" s="1754"/>
      <c r="D1" s="1754"/>
    </row>
    <row r="2" spans="1:18" ht="12.75" customHeight="1">
      <c r="J2" s="1757"/>
      <c r="K2" s="1757"/>
    </row>
    <row r="3" spans="1:18" ht="16">
      <c r="A3" s="1754" t="s">
        <v>2511</v>
      </c>
      <c r="B3" s="1754"/>
      <c r="C3" s="1754"/>
      <c r="D3" s="1754"/>
      <c r="J3" s="1757"/>
      <c r="K3" s="1757"/>
    </row>
    <row r="4" spans="1:18" ht="15" customHeight="1">
      <c r="G4" s="1757"/>
      <c r="H4" s="1757"/>
      <c r="I4" s="1758"/>
      <c r="J4" s="1758"/>
      <c r="K4" s="1758"/>
      <c r="L4" s="1758"/>
      <c r="O4" s="1759"/>
      <c r="P4" s="1759"/>
      <c r="Q4" s="1757"/>
      <c r="R4" s="1757"/>
    </row>
    <row r="5" spans="1:18" s="1017" customFormat="1" ht="28.5" customHeight="1">
      <c r="A5" s="1760" t="s">
        <v>2512</v>
      </c>
      <c r="B5" s="1760" t="s">
        <v>261</v>
      </c>
      <c r="C5" s="1760" t="s">
        <v>249</v>
      </c>
      <c r="D5" s="1760" t="s">
        <v>9</v>
      </c>
      <c r="E5" s="1760" t="s">
        <v>0</v>
      </c>
      <c r="F5" s="1760" t="s">
        <v>181</v>
      </c>
      <c r="G5" s="1760" t="s">
        <v>39</v>
      </c>
      <c r="H5" s="1760" t="s">
        <v>128</v>
      </c>
      <c r="I5" s="1760" t="s">
        <v>127</v>
      </c>
      <c r="J5" s="1760" t="s">
        <v>126</v>
      </c>
      <c r="K5" s="1760" t="s">
        <v>125</v>
      </c>
      <c r="L5" s="1760" t="s">
        <v>51</v>
      </c>
      <c r="M5" s="1760" t="s">
        <v>124</v>
      </c>
      <c r="N5" s="1760" t="s">
        <v>123</v>
      </c>
      <c r="O5" s="1760" t="s">
        <v>122</v>
      </c>
      <c r="P5" s="1760" t="s">
        <v>121</v>
      </c>
      <c r="Q5" s="1761"/>
      <c r="R5" s="1761"/>
    </row>
    <row r="6" spans="1:18" ht="14.25" customHeight="1">
      <c r="A6" s="1762"/>
      <c r="B6" s="1762"/>
      <c r="C6" s="1762"/>
      <c r="D6" s="1762"/>
      <c r="E6" s="1762"/>
      <c r="F6" s="1762"/>
      <c r="G6" s="1762"/>
      <c r="H6" s="1762"/>
      <c r="I6" s="1762"/>
      <c r="J6" s="1762"/>
      <c r="K6" s="1763"/>
      <c r="L6" s="1763"/>
      <c r="M6" s="1763"/>
      <c r="N6" s="1763"/>
      <c r="O6" s="1763"/>
      <c r="P6" s="1763"/>
      <c r="Q6" s="1755"/>
      <c r="R6" s="1755"/>
    </row>
    <row r="7" spans="1:18">
      <c r="A7" s="1764">
        <v>1.01</v>
      </c>
      <c r="B7" s="1764">
        <v>1.01</v>
      </c>
      <c r="C7" s="1764">
        <v>1.01</v>
      </c>
      <c r="D7" s="1764">
        <v>1.01</v>
      </c>
      <c r="E7" s="1764">
        <v>1.01</v>
      </c>
      <c r="F7" s="1764">
        <v>1.01</v>
      </c>
      <c r="G7" s="1764">
        <v>1.01</v>
      </c>
      <c r="H7" s="1764">
        <v>1.43</v>
      </c>
      <c r="I7" s="1764">
        <v>1.43</v>
      </c>
      <c r="J7" s="1764">
        <v>1.43</v>
      </c>
      <c r="K7" s="1764">
        <v>1.43</v>
      </c>
      <c r="L7" s="1765" t="s">
        <v>30</v>
      </c>
      <c r="M7" s="1766" t="s">
        <v>30</v>
      </c>
      <c r="N7" s="1766" t="s">
        <v>30</v>
      </c>
      <c r="O7" s="1766" t="s">
        <v>30</v>
      </c>
      <c r="P7" s="1766" t="s">
        <v>30</v>
      </c>
      <c r="Q7" s="1755"/>
      <c r="R7" s="1755"/>
    </row>
    <row r="8" spans="1:18">
      <c r="A8" s="1767">
        <v>1.02</v>
      </c>
      <c r="B8" s="1767">
        <v>1.02</v>
      </c>
      <c r="C8" s="1767">
        <v>1.02</v>
      </c>
      <c r="D8" s="1767">
        <v>1.02</v>
      </c>
      <c r="E8" s="1764">
        <v>1.02</v>
      </c>
      <c r="F8" s="1764">
        <v>1.02</v>
      </c>
      <c r="G8" s="1764">
        <v>1.02</v>
      </c>
      <c r="H8" s="1764">
        <v>1.27</v>
      </c>
      <c r="I8" s="1764">
        <v>1.27</v>
      </c>
      <c r="J8" s="1764">
        <v>1.27</v>
      </c>
      <c r="K8" s="1764">
        <v>1.27</v>
      </c>
      <c r="L8" s="1765">
        <v>1.27</v>
      </c>
      <c r="M8" s="1768" t="s">
        <v>174</v>
      </c>
      <c r="N8" s="1768" t="s">
        <v>174</v>
      </c>
      <c r="O8" s="1768" t="s">
        <v>174</v>
      </c>
      <c r="P8" s="1768" t="s">
        <v>174</v>
      </c>
      <c r="Q8" s="1755"/>
      <c r="R8" s="1755"/>
    </row>
    <row r="9" spans="1:18">
      <c r="A9" s="1767">
        <v>1.03</v>
      </c>
      <c r="B9" s="1767">
        <v>1.03</v>
      </c>
      <c r="C9" s="1767">
        <v>1.03</v>
      </c>
      <c r="D9" s="1767">
        <v>1.03</v>
      </c>
      <c r="E9" s="1764">
        <v>1.03</v>
      </c>
      <c r="F9" s="1764">
        <v>1.03</v>
      </c>
      <c r="G9" s="1764">
        <v>1.03</v>
      </c>
      <c r="H9" s="1764">
        <v>1.28</v>
      </c>
      <c r="I9" s="1764">
        <v>1.28</v>
      </c>
      <c r="J9" s="1764">
        <v>1.28</v>
      </c>
      <c r="K9" s="1764">
        <v>1.28</v>
      </c>
      <c r="L9" s="1765">
        <v>1.28</v>
      </c>
      <c r="M9" s="1768" t="s">
        <v>175</v>
      </c>
      <c r="N9" s="1768" t="s">
        <v>175</v>
      </c>
      <c r="O9" s="1768" t="s">
        <v>175</v>
      </c>
      <c r="P9" s="1768" t="s">
        <v>175</v>
      </c>
      <c r="Q9" s="1755"/>
      <c r="R9" s="1755"/>
    </row>
    <row r="10" spans="1:18">
      <c r="A10" s="1767">
        <v>1.04</v>
      </c>
      <c r="B10" s="1767">
        <v>1.04</v>
      </c>
      <c r="C10" s="1767">
        <v>1.04</v>
      </c>
      <c r="D10" s="1767">
        <v>1.04</v>
      </c>
      <c r="E10" s="1767">
        <v>1.04</v>
      </c>
      <c r="F10" s="1767">
        <v>1.04</v>
      </c>
      <c r="G10" s="1767">
        <v>1.04</v>
      </c>
      <c r="H10" s="1767">
        <v>1.29</v>
      </c>
      <c r="I10" s="1767">
        <v>1.29</v>
      </c>
      <c r="J10" s="1767">
        <v>1.29</v>
      </c>
      <c r="K10" s="1767">
        <v>1.29</v>
      </c>
      <c r="L10" s="1769">
        <v>1.29</v>
      </c>
      <c r="M10" s="1770" t="s">
        <v>176</v>
      </c>
      <c r="N10" s="1770" t="s">
        <v>176</v>
      </c>
      <c r="O10" s="1770" t="s">
        <v>176</v>
      </c>
      <c r="P10" s="1770" t="s">
        <v>176</v>
      </c>
      <c r="Q10" s="1755"/>
      <c r="R10" s="1755"/>
    </row>
    <row r="11" spans="1:18">
      <c r="A11" s="1767">
        <v>1.05</v>
      </c>
      <c r="B11" s="1767">
        <v>1.05</v>
      </c>
      <c r="C11" s="1767">
        <v>1.05</v>
      </c>
      <c r="D11" s="1767">
        <v>1.05</v>
      </c>
      <c r="E11" s="1767">
        <v>1.05</v>
      </c>
      <c r="F11" s="1767">
        <v>1.05</v>
      </c>
      <c r="G11" s="1767">
        <v>1.05</v>
      </c>
      <c r="H11" s="1767">
        <v>1.3</v>
      </c>
      <c r="I11" s="1767">
        <v>1.3</v>
      </c>
      <c r="J11" s="1767">
        <v>1.3</v>
      </c>
      <c r="K11" s="1767">
        <v>1.3</v>
      </c>
      <c r="L11" s="1769">
        <v>1.3</v>
      </c>
      <c r="M11" s="1770" t="s">
        <v>177</v>
      </c>
      <c r="N11" s="1770" t="s">
        <v>177</v>
      </c>
      <c r="O11" s="1770" t="s">
        <v>177</v>
      </c>
      <c r="P11" s="1770" t="s">
        <v>177</v>
      </c>
      <c r="Q11" s="1755"/>
      <c r="R11" s="1755"/>
    </row>
    <row r="12" spans="1:18">
      <c r="A12" s="1767">
        <v>1.06</v>
      </c>
      <c r="B12" s="1767">
        <v>1.06</v>
      </c>
      <c r="C12" s="1767">
        <v>1.06</v>
      </c>
      <c r="D12" s="1767">
        <v>1.06</v>
      </c>
      <c r="E12" s="1767">
        <v>1.06</v>
      </c>
      <c r="F12" s="1767">
        <v>1.06</v>
      </c>
      <c r="G12" s="1767">
        <v>1.06</v>
      </c>
      <c r="H12" s="1767">
        <v>1.31</v>
      </c>
      <c r="I12" s="1767">
        <v>1.31</v>
      </c>
      <c r="J12" s="1767">
        <v>1.31</v>
      </c>
      <c r="K12" s="1767">
        <v>1.31</v>
      </c>
      <c r="L12" s="1769">
        <v>1.31</v>
      </c>
      <c r="M12" s="1770" t="s">
        <v>178</v>
      </c>
      <c r="N12" s="1770" t="s">
        <v>178</v>
      </c>
      <c r="O12" s="1770" t="s">
        <v>178</v>
      </c>
      <c r="P12" s="1770" t="s">
        <v>178</v>
      </c>
      <c r="Q12" s="1755"/>
      <c r="R12" s="1755"/>
    </row>
    <row r="13" spans="1:18">
      <c r="A13" s="1767">
        <v>1.07</v>
      </c>
      <c r="B13" s="1767">
        <v>1.07</v>
      </c>
      <c r="C13" s="1767">
        <v>1.07</v>
      </c>
      <c r="D13" s="1767">
        <v>1.07</v>
      </c>
      <c r="E13" s="1767">
        <v>1.07</v>
      </c>
      <c r="F13" s="1767">
        <v>1.07</v>
      </c>
      <c r="G13" s="1767">
        <v>1.07</v>
      </c>
      <c r="H13" s="1771" t="s">
        <v>31</v>
      </c>
      <c r="I13" s="1772">
        <v>7.06</v>
      </c>
      <c r="J13" s="1772">
        <v>7.06</v>
      </c>
      <c r="K13" s="1772" t="s">
        <v>30</v>
      </c>
      <c r="L13" s="1772" t="s">
        <v>30</v>
      </c>
      <c r="M13" s="1772" t="s">
        <v>30</v>
      </c>
      <c r="N13" s="1772" t="s">
        <v>30</v>
      </c>
      <c r="O13" s="1772" t="s">
        <v>30</v>
      </c>
      <c r="P13" s="1772" t="s">
        <v>30</v>
      </c>
      <c r="Q13" s="1755"/>
      <c r="R13" s="1755"/>
    </row>
    <row r="14" spans="1:18">
      <c r="A14" s="1767">
        <v>1.08</v>
      </c>
      <c r="B14" s="1767">
        <v>1.08</v>
      </c>
      <c r="C14" s="1767">
        <v>1.08</v>
      </c>
      <c r="D14" s="1767">
        <v>1.08</v>
      </c>
      <c r="E14" s="1767">
        <v>1.08</v>
      </c>
      <c r="F14" s="1767">
        <v>1.08</v>
      </c>
      <c r="G14" s="1767">
        <v>1.08</v>
      </c>
      <c r="H14" s="1767">
        <v>1.25</v>
      </c>
      <c r="I14" s="1767">
        <v>1.25</v>
      </c>
      <c r="J14" s="1767">
        <v>1.25</v>
      </c>
      <c r="K14" s="1767">
        <v>1.25</v>
      </c>
      <c r="L14" s="1769">
        <v>1.25</v>
      </c>
      <c r="M14" s="1773" t="s">
        <v>30</v>
      </c>
      <c r="N14" s="1773" t="s">
        <v>30</v>
      </c>
      <c r="O14" s="1773" t="s">
        <v>30</v>
      </c>
      <c r="P14" s="1773" t="s">
        <v>30</v>
      </c>
      <c r="Q14" s="1755"/>
      <c r="R14" s="1755"/>
    </row>
    <row r="15" spans="1:18">
      <c r="A15" s="1767">
        <v>1.0900000000000001</v>
      </c>
      <c r="B15" s="1767">
        <v>1.0900000000000001</v>
      </c>
      <c r="C15" s="1767">
        <v>1.0900000000000001</v>
      </c>
      <c r="D15" s="1767">
        <v>1.0900000000000001</v>
      </c>
      <c r="E15" s="1767">
        <v>1.0900000000000001</v>
      </c>
      <c r="F15" s="1767">
        <v>1.0900000000000001</v>
      </c>
      <c r="G15" s="1767">
        <v>1.0900000000000001</v>
      </c>
      <c r="H15" s="1767">
        <v>1.26</v>
      </c>
      <c r="I15" s="1767">
        <v>1.26</v>
      </c>
      <c r="J15" s="1767">
        <v>1.26</v>
      </c>
      <c r="K15" s="1767">
        <v>1.26</v>
      </c>
      <c r="L15" s="1769">
        <v>1.26</v>
      </c>
      <c r="M15" s="1773" t="s">
        <v>30</v>
      </c>
      <c r="N15" s="1773" t="s">
        <v>30</v>
      </c>
      <c r="O15" s="1773" t="s">
        <v>30</v>
      </c>
      <c r="P15" s="1773" t="s">
        <v>30</v>
      </c>
      <c r="Q15" s="1755"/>
      <c r="R15" s="1755"/>
    </row>
    <row r="16" spans="1:18">
      <c r="A16" s="1767" t="s">
        <v>10</v>
      </c>
      <c r="B16" s="1767" t="s">
        <v>10</v>
      </c>
      <c r="C16" s="1767" t="s">
        <v>10</v>
      </c>
      <c r="D16" s="1767" t="s">
        <v>10</v>
      </c>
      <c r="E16" s="1767">
        <v>1.1000000000000001</v>
      </c>
      <c r="F16" s="1767">
        <v>1.1000000000000001</v>
      </c>
      <c r="G16" s="1767">
        <v>1.1000000000000001</v>
      </c>
      <c r="H16" s="1767">
        <v>1.23</v>
      </c>
      <c r="I16" s="1767">
        <v>1.23</v>
      </c>
      <c r="J16" s="1767">
        <v>1.23</v>
      </c>
      <c r="K16" s="1767">
        <v>1.23</v>
      </c>
      <c r="L16" s="1769">
        <v>1.23</v>
      </c>
      <c r="M16" s="1773" t="s">
        <v>30</v>
      </c>
      <c r="N16" s="1773" t="s">
        <v>30</v>
      </c>
      <c r="O16" s="1773" t="s">
        <v>30</v>
      </c>
      <c r="P16" s="1773" t="s">
        <v>30</v>
      </c>
      <c r="Q16" s="1755"/>
      <c r="R16" s="1755"/>
    </row>
    <row r="17" spans="1:18">
      <c r="A17" s="1767">
        <v>1.1100000000000001</v>
      </c>
      <c r="B17" s="1767">
        <v>1.1100000000000001</v>
      </c>
      <c r="C17" s="1767">
        <v>1.1100000000000001</v>
      </c>
      <c r="D17" s="1767">
        <v>1.1100000000000001</v>
      </c>
      <c r="E17" s="1767">
        <v>1.1100000000000001</v>
      </c>
      <c r="F17" s="1767">
        <v>1.1100000000000001</v>
      </c>
      <c r="G17" s="1767">
        <v>1.1100000000000001</v>
      </c>
      <c r="H17" s="1767">
        <v>1.24</v>
      </c>
      <c r="I17" s="1767">
        <v>1.24</v>
      </c>
      <c r="J17" s="1767">
        <v>1.24</v>
      </c>
      <c r="K17" s="1767">
        <v>1.24</v>
      </c>
      <c r="L17" s="1769">
        <v>1.24</v>
      </c>
      <c r="M17" s="1773" t="s">
        <v>30</v>
      </c>
      <c r="N17" s="1773" t="s">
        <v>30</v>
      </c>
      <c r="O17" s="1773" t="s">
        <v>30</v>
      </c>
      <c r="P17" s="1773" t="s">
        <v>30</v>
      </c>
      <c r="Q17" s="1755"/>
      <c r="R17" s="1755"/>
    </row>
    <row r="18" spans="1:18">
      <c r="A18" s="1767">
        <v>1.1200000000000001</v>
      </c>
      <c r="B18" s="1767">
        <v>1.1200000000000001</v>
      </c>
      <c r="C18" s="1767">
        <v>1.1200000000000001</v>
      </c>
      <c r="D18" s="1767">
        <v>1.1200000000000001</v>
      </c>
      <c r="E18" s="1767">
        <v>1.1200000000000001</v>
      </c>
      <c r="F18" s="1767">
        <v>1.1200000000000001</v>
      </c>
      <c r="G18" s="1767">
        <v>1.1200000000000001</v>
      </c>
      <c r="H18" s="1767">
        <v>1.32</v>
      </c>
      <c r="I18" s="1767">
        <v>1.32</v>
      </c>
      <c r="J18" s="1767">
        <v>1.32</v>
      </c>
      <c r="K18" s="1767">
        <v>1.32</v>
      </c>
      <c r="L18" s="1769">
        <v>1.32</v>
      </c>
      <c r="M18" s="1770" t="s">
        <v>172</v>
      </c>
      <c r="N18" s="1770" t="s">
        <v>172</v>
      </c>
      <c r="O18" s="1770" t="s">
        <v>172</v>
      </c>
      <c r="P18" s="1770" t="s">
        <v>172</v>
      </c>
      <c r="Q18" s="1755"/>
      <c r="R18" s="1755"/>
    </row>
    <row r="19" spans="1:18">
      <c r="A19" s="1767">
        <v>1.1299999999999999</v>
      </c>
      <c r="B19" s="1767">
        <v>1.1299999999999999</v>
      </c>
      <c r="C19" s="1767">
        <v>1.1299999999999999</v>
      </c>
      <c r="D19" s="1767">
        <v>1.1299999999999999</v>
      </c>
      <c r="E19" s="1767">
        <v>1.1299999999999999</v>
      </c>
      <c r="F19" s="1767">
        <v>1.1299999999999999</v>
      </c>
      <c r="G19" s="1767">
        <v>1.1299999999999999</v>
      </c>
      <c r="H19" s="1767">
        <v>1.33</v>
      </c>
      <c r="I19" s="1767">
        <v>1.33</v>
      </c>
      <c r="J19" s="1767">
        <v>1.33</v>
      </c>
      <c r="K19" s="1767">
        <v>1.33</v>
      </c>
      <c r="L19" s="1769">
        <v>1.33</v>
      </c>
      <c r="M19" s="1773" t="s">
        <v>30</v>
      </c>
      <c r="N19" s="1773" t="s">
        <v>30</v>
      </c>
      <c r="O19" s="1773" t="s">
        <v>30</v>
      </c>
      <c r="P19" s="1773" t="s">
        <v>30</v>
      </c>
      <c r="Q19" s="1755"/>
      <c r="R19" s="1755"/>
    </row>
    <row r="20" spans="1:18">
      <c r="A20" s="1772">
        <v>2.0099999999999998</v>
      </c>
      <c r="B20" s="1772">
        <v>2.0099999999999998</v>
      </c>
      <c r="C20" s="1772">
        <v>2.0099999999999998</v>
      </c>
      <c r="D20" s="1772">
        <v>2.0099999999999998</v>
      </c>
      <c r="E20" s="1774">
        <v>2.0099999999999998</v>
      </c>
      <c r="F20" s="1767">
        <v>2.0099999999999998</v>
      </c>
      <c r="G20" s="1767">
        <v>2.0099999999999998</v>
      </c>
      <c r="H20" s="1767">
        <v>1.19</v>
      </c>
      <c r="I20" s="1767">
        <v>1.19</v>
      </c>
      <c r="J20" s="1767">
        <v>1.19</v>
      </c>
      <c r="K20" s="1767">
        <v>1.19</v>
      </c>
      <c r="L20" s="1769">
        <v>1.19</v>
      </c>
      <c r="M20" s="1773" t="s">
        <v>30</v>
      </c>
      <c r="N20" s="1773" t="s">
        <v>30</v>
      </c>
      <c r="O20" s="1773" t="s">
        <v>30</v>
      </c>
      <c r="P20" s="1773" t="s">
        <v>30</v>
      </c>
      <c r="Q20" s="1755"/>
      <c r="R20" s="1755"/>
    </row>
    <row r="21" spans="1:18">
      <c r="A21" s="1772">
        <v>2.02</v>
      </c>
      <c r="B21" s="1772">
        <v>2.02</v>
      </c>
      <c r="C21" s="1772">
        <v>2.02</v>
      </c>
      <c r="D21" s="1772">
        <v>2.02</v>
      </c>
      <c r="E21" s="1767">
        <v>2.02</v>
      </c>
      <c r="F21" s="1767">
        <v>2.02</v>
      </c>
      <c r="G21" s="1767">
        <v>2.02</v>
      </c>
      <c r="H21" s="1767">
        <v>1.2</v>
      </c>
      <c r="I21" s="1767">
        <v>1.2</v>
      </c>
      <c r="J21" s="1767">
        <v>1.2</v>
      </c>
      <c r="K21" s="1767">
        <v>1.2</v>
      </c>
      <c r="L21" s="1769">
        <v>1.2</v>
      </c>
      <c r="M21" s="1773" t="s">
        <v>30</v>
      </c>
      <c r="N21" s="1773" t="s">
        <v>30</v>
      </c>
      <c r="O21" s="1773" t="s">
        <v>30</v>
      </c>
      <c r="P21" s="1773" t="s">
        <v>30</v>
      </c>
      <c r="Q21" s="1755"/>
      <c r="R21" s="1755"/>
    </row>
    <row r="22" spans="1:18">
      <c r="A22" s="1772">
        <v>2.0299999999999998</v>
      </c>
      <c r="B22" s="1772">
        <v>2.0299999999999998</v>
      </c>
      <c r="C22" s="1772">
        <v>2.0299999999999998</v>
      </c>
      <c r="D22" s="1772">
        <v>2.0299999999999998</v>
      </c>
      <c r="E22" s="1767">
        <v>2.0299999999999998</v>
      </c>
      <c r="F22" s="1767">
        <v>2.0299999999999998</v>
      </c>
      <c r="G22" s="1767">
        <v>2.0299999999999998</v>
      </c>
      <c r="H22" s="1771">
        <v>1.51</v>
      </c>
      <c r="I22" s="1772" t="s">
        <v>30</v>
      </c>
      <c r="J22" s="1772" t="s">
        <v>30</v>
      </c>
      <c r="K22" s="1772" t="s">
        <v>30</v>
      </c>
      <c r="L22" s="1772" t="s">
        <v>30</v>
      </c>
      <c r="M22" s="1772" t="s">
        <v>30</v>
      </c>
      <c r="N22" s="1772" t="s">
        <v>30</v>
      </c>
      <c r="O22" s="1772" t="s">
        <v>30</v>
      </c>
      <c r="P22" s="1772" t="s">
        <v>30</v>
      </c>
      <c r="Q22" s="1755"/>
      <c r="R22" s="1755"/>
    </row>
    <row r="23" spans="1:18">
      <c r="A23" s="1772">
        <v>2.04</v>
      </c>
      <c r="B23" s="1772">
        <v>2.04</v>
      </c>
      <c r="C23" s="1772">
        <v>2.04</v>
      </c>
      <c r="D23" s="1772">
        <v>2.04</v>
      </c>
      <c r="E23" s="1771">
        <v>2.04</v>
      </c>
      <c r="F23" s="1771">
        <v>2.04</v>
      </c>
      <c r="G23" s="1771">
        <v>2.04</v>
      </c>
      <c r="H23" s="1772">
        <v>2.04</v>
      </c>
      <c r="I23" s="1772">
        <v>2.04</v>
      </c>
      <c r="J23" s="1772">
        <v>2.04</v>
      </c>
      <c r="K23" s="1772">
        <v>2.04</v>
      </c>
      <c r="L23" s="1770">
        <v>2.04</v>
      </c>
      <c r="M23" s="1770" t="s">
        <v>17</v>
      </c>
      <c r="N23" s="1770" t="s">
        <v>17</v>
      </c>
      <c r="O23" s="1770" t="s">
        <v>30</v>
      </c>
      <c r="P23" s="1770" t="s">
        <v>30</v>
      </c>
      <c r="Q23" s="1755"/>
      <c r="R23" s="1755"/>
    </row>
    <row r="24" spans="1:18">
      <c r="A24" s="1772">
        <v>2.0499999999999998</v>
      </c>
      <c r="B24" s="1772">
        <v>2.0499999999999998</v>
      </c>
      <c r="C24" s="1772">
        <v>2.0499999999999998</v>
      </c>
      <c r="D24" s="1772">
        <v>2.0499999999999998</v>
      </c>
      <c r="E24" s="1767">
        <v>2.0499999999999998</v>
      </c>
      <c r="F24" s="1767">
        <v>2.0499999999999998</v>
      </c>
      <c r="G24" s="1767">
        <v>2.0499999999999998</v>
      </c>
      <c r="H24" s="1772">
        <v>2.0499999999999998</v>
      </c>
      <c r="I24" s="1772">
        <v>2.0499999999999998</v>
      </c>
      <c r="J24" s="1772">
        <v>2.0499999999999998</v>
      </c>
      <c r="K24" s="1772">
        <v>2.0499999999999998</v>
      </c>
      <c r="L24" s="1770">
        <v>2.0499999999999998</v>
      </c>
      <c r="M24" s="1770" t="s">
        <v>187</v>
      </c>
      <c r="N24" s="1770" t="s">
        <v>187</v>
      </c>
      <c r="O24" s="1770" t="s">
        <v>30</v>
      </c>
      <c r="P24" s="1770" t="s">
        <v>30</v>
      </c>
      <c r="Q24" s="1755"/>
      <c r="R24" s="1755"/>
    </row>
    <row r="25" spans="1:18">
      <c r="A25" s="1772">
        <v>2.06</v>
      </c>
      <c r="B25" s="1772">
        <v>2.06</v>
      </c>
      <c r="C25" s="1772">
        <v>2.06</v>
      </c>
      <c r="D25" s="1772">
        <v>2.06</v>
      </c>
      <c r="E25" s="1772">
        <v>2.06</v>
      </c>
      <c r="F25" s="1772">
        <v>2.06</v>
      </c>
      <c r="G25" s="1772">
        <v>2.06</v>
      </c>
      <c r="H25" s="1772">
        <v>2.06</v>
      </c>
      <c r="I25" s="1772">
        <v>2.06</v>
      </c>
      <c r="J25" s="1772">
        <v>2.06</v>
      </c>
      <c r="K25" s="1772">
        <v>2.06</v>
      </c>
      <c r="L25" s="1770">
        <v>2.06</v>
      </c>
      <c r="M25" s="1770" t="s">
        <v>20</v>
      </c>
      <c r="N25" s="1770" t="s">
        <v>20</v>
      </c>
      <c r="O25" s="1770" t="s">
        <v>30</v>
      </c>
      <c r="P25" s="1770" t="s">
        <v>30</v>
      </c>
      <c r="Q25" s="1755"/>
      <c r="R25" s="1755"/>
    </row>
    <row r="26" spans="1:18">
      <c r="A26" s="1772">
        <v>2.0699999999999998</v>
      </c>
      <c r="B26" s="1772">
        <v>2.0699999999999998</v>
      </c>
      <c r="C26" s="1772">
        <v>2.0699999999999998</v>
      </c>
      <c r="D26" s="1772" t="s">
        <v>30</v>
      </c>
      <c r="E26" s="1772" t="s">
        <v>30</v>
      </c>
      <c r="F26" s="1772" t="s">
        <v>30</v>
      </c>
      <c r="G26" s="1772" t="s">
        <v>30</v>
      </c>
      <c r="H26" s="1772" t="s">
        <v>30</v>
      </c>
      <c r="I26" s="1772" t="s">
        <v>30</v>
      </c>
      <c r="J26" s="1772" t="s">
        <v>30</v>
      </c>
      <c r="K26" s="1772" t="s">
        <v>30</v>
      </c>
      <c r="L26" s="1772" t="s">
        <v>30</v>
      </c>
      <c r="M26" s="1772" t="s">
        <v>30</v>
      </c>
      <c r="N26" s="1772" t="s">
        <v>30</v>
      </c>
      <c r="O26" s="1772" t="s">
        <v>30</v>
      </c>
      <c r="P26" s="1772" t="s">
        <v>30</v>
      </c>
      <c r="Q26" s="1755"/>
      <c r="R26" s="1755"/>
    </row>
    <row r="27" spans="1:18">
      <c r="A27" s="1772">
        <v>2.08</v>
      </c>
      <c r="B27" s="1772">
        <v>2.08</v>
      </c>
      <c r="C27" s="1772">
        <v>2.08</v>
      </c>
      <c r="D27" s="1772" t="s">
        <v>30</v>
      </c>
      <c r="E27" s="1772" t="s">
        <v>30</v>
      </c>
      <c r="F27" s="1772" t="s">
        <v>30</v>
      </c>
      <c r="G27" s="1772" t="s">
        <v>30</v>
      </c>
      <c r="H27" s="1772" t="s">
        <v>30</v>
      </c>
      <c r="I27" s="1772" t="s">
        <v>30</v>
      </c>
      <c r="J27" s="1772" t="s">
        <v>30</v>
      </c>
      <c r="K27" s="1772" t="s">
        <v>30</v>
      </c>
      <c r="L27" s="1772" t="s">
        <v>30</v>
      </c>
      <c r="M27" s="1772" t="s">
        <v>30</v>
      </c>
      <c r="N27" s="1772" t="s">
        <v>30</v>
      </c>
      <c r="O27" s="1772" t="s">
        <v>30</v>
      </c>
      <c r="P27" s="1772" t="s">
        <v>30</v>
      </c>
      <c r="Q27" s="1755"/>
      <c r="R27" s="1755"/>
    </row>
    <row r="28" spans="1:18">
      <c r="A28" s="1772">
        <v>2.09</v>
      </c>
      <c r="B28" s="1772">
        <v>2.09</v>
      </c>
      <c r="C28" s="1772">
        <v>2.09</v>
      </c>
      <c r="D28" s="1772">
        <v>2.09</v>
      </c>
      <c r="E28" s="1772">
        <v>2.09</v>
      </c>
      <c r="F28" s="1772">
        <v>2.09</v>
      </c>
      <c r="G28" s="1772">
        <v>2.09</v>
      </c>
      <c r="H28" s="1772">
        <v>2.09</v>
      </c>
      <c r="I28" s="1772">
        <v>2.09</v>
      </c>
      <c r="J28" s="1772">
        <v>2.09</v>
      </c>
      <c r="K28" s="1772">
        <v>2.09</v>
      </c>
      <c r="L28" s="1770">
        <v>2.09</v>
      </c>
      <c r="M28" s="1770" t="s">
        <v>48</v>
      </c>
      <c r="N28" s="1770" t="s">
        <v>30</v>
      </c>
      <c r="O28" s="1770" t="s">
        <v>30</v>
      </c>
      <c r="P28" s="1770" t="s">
        <v>30</v>
      </c>
      <c r="Q28" s="1755"/>
      <c r="R28" s="1755"/>
    </row>
    <row r="29" spans="1:18">
      <c r="A29" s="1771" t="s">
        <v>49</v>
      </c>
      <c r="B29" s="1771" t="s">
        <v>49</v>
      </c>
      <c r="C29" s="1771" t="s">
        <v>49</v>
      </c>
      <c r="D29" s="1772" t="s">
        <v>30</v>
      </c>
      <c r="E29" s="1772" t="s">
        <v>30</v>
      </c>
      <c r="F29" s="1772" t="s">
        <v>30</v>
      </c>
      <c r="G29" s="1772" t="s">
        <v>30</v>
      </c>
      <c r="H29" s="1772" t="s">
        <v>30</v>
      </c>
      <c r="I29" s="1772" t="s">
        <v>30</v>
      </c>
      <c r="J29" s="1772" t="s">
        <v>30</v>
      </c>
      <c r="K29" s="1772" t="s">
        <v>30</v>
      </c>
      <c r="L29" s="1772" t="s">
        <v>30</v>
      </c>
      <c r="M29" s="1772" t="s">
        <v>30</v>
      </c>
      <c r="N29" s="1772" t="s">
        <v>30</v>
      </c>
      <c r="O29" s="1772" t="s">
        <v>30</v>
      </c>
      <c r="P29" s="1772" t="s">
        <v>30</v>
      </c>
      <c r="Q29" s="1755"/>
      <c r="R29" s="1755"/>
    </row>
    <row r="30" spans="1:18">
      <c r="A30" s="1772">
        <v>2.11</v>
      </c>
      <c r="B30" s="1772">
        <v>2.11</v>
      </c>
      <c r="C30" s="1772">
        <v>2.11</v>
      </c>
      <c r="D30" s="1772">
        <v>2.11</v>
      </c>
      <c r="E30" s="1772">
        <v>2.11</v>
      </c>
      <c r="F30" s="1772">
        <v>2.11</v>
      </c>
      <c r="G30" s="1772">
        <v>2.11</v>
      </c>
      <c r="H30" s="1767">
        <v>2.11</v>
      </c>
      <c r="I30" s="1767">
        <v>2.11</v>
      </c>
      <c r="J30" s="1767">
        <v>2.11</v>
      </c>
      <c r="K30" s="1767">
        <v>2.11</v>
      </c>
      <c r="L30" s="1769" t="s">
        <v>30</v>
      </c>
      <c r="M30" s="1773" t="s">
        <v>30</v>
      </c>
      <c r="N30" s="1773" t="s">
        <v>30</v>
      </c>
      <c r="O30" s="1773" t="s">
        <v>30</v>
      </c>
      <c r="P30" s="1773" t="s">
        <v>30</v>
      </c>
      <c r="Q30" s="1755"/>
      <c r="R30" s="1755"/>
    </row>
    <row r="31" spans="1:18">
      <c r="A31" s="1772">
        <v>2.12</v>
      </c>
      <c r="B31" s="1772">
        <v>2.12</v>
      </c>
      <c r="C31" s="1772">
        <v>2.12</v>
      </c>
      <c r="D31" s="1772">
        <v>2.12</v>
      </c>
      <c r="E31" s="1772">
        <v>2.12</v>
      </c>
      <c r="F31" s="1772">
        <v>2.12</v>
      </c>
      <c r="G31" s="1772">
        <v>2.12</v>
      </c>
      <c r="H31" s="1767">
        <v>2.12</v>
      </c>
      <c r="I31" s="1767" t="s">
        <v>30</v>
      </c>
      <c r="J31" s="1767" t="s">
        <v>30</v>
      </c>
      <c r="K31" s="1767" t="s">
        <v>30</v>
      </c>
      <c r="L31" s="1767" t="s">
        <v>30</v>
      </c>
      <c r="M31" s="1767" t="s">
        <v>30</v>
      </c>
      <c r="N31" s="1767" t="s">
        <v>30</v>
      </c>
      <c r="O31" s="1767" t="s">
        <v>30</v>
      </c>
      <c r="P31" s="1767" t="s">
        <v>30</v>
      </c>
      <c r="Q31" s="1755"/>
      <c r="R31" s="1755"/>
    </row>
    <row r="32" spans="1:18">
      <c r="A32" s="1772">
        <v>2.13</v>
      </c>
      <c r="B32" s="1772">
        <v>2.13</v>
      </c>
      <c r="C32" s="1772">
        <v>2.13</v>
      </c>
      <c r="D32" s="1772">
        <v>2.13</v>
      </c>
      <c r="E32" s="1775">
        <v>2.13</v>
      </c>
      <c r="F32" s="1775">
        <v>2.13</v>
      </c>
      <c r="G32" s="1775">
        <v>2.13</v>
      </c>
      <c r="H32" s="1767">
        <v>2.13</v>
      </c>
      <c r="I32" s="1767" t="s">
        <v>30</v>
      </c>
      <c r="J32" s="1767" t="s">
        <v>30</v>
      </c>
      <c r="K32" s="1767" t="s">
        <v>30</v>
      </c>
      <c r="L32" s="1767" t="s">
        <v>30</v>
      </c>
      <c r="M32" s="1767" t="s">
        <v>30</v>
      </c>
      <c r="N32" s="1767" t="s">
        <v>30</v>
      </c>
      <c r="O32" s="1767" t="s">
        <v>30</v>
      </c>
      <c r="P32" s="1767" t="s">
        <v>30</v>
      </c>
      <c r="Q32" s="1755"/>
      <c r="R32" s="1755"/>
    </row>
    <row r="33" spans="1:18">
      <c r="A33" s="1772">
        <v>2.14</v>
      </c>
      <c r="B33" s="1772">
        <v>2.14</v>
      </c>
      <c r="C33" s="1772">
        <v>2.14</v>
      </c>
      <c r="D33" s="1772">
        <v>2.14</v>
      </c>
      <c r="E33" s="1767">
        <v>2.14</v>
      </c>
      <c r="F33" s="1767">
        <v>2.14</v>
      </c>
      <c r="G33" s="1767">
        <v>2.14</v>
      </c>
      <c r="H33" s="1767">
        <v>1.1299999999999999</v>
      </c>
      <c r="I33" s="1767">
        <v>1.1299999999999999</v>
      </c>
      <c r="J33" s="1767">
        <v>1.1299999999999999</v>
      </c>
      <c r="K33" s="1767">
        <v>1.1299999999999999</v>
      </c>
      <c r="L33" s="1769">
        <v>1.1299999999999999</v>
      </c>
      <c r="M33" s="1770" t="s">
        <v>160</v>
      </c>
      <c r="N33" s="1770" t="s">
        <v>160</v>
      </c>
      <c r="O33" s="1770" t="s">
        <v>160</v>
      </c>
      <c r="P33" s="1770" t="s">
        <v>160</v>
      </c>
      <c r="Q33" s="1755"/>
      <c r="R33" s="1755"/>
    </row>
    <row r="34" spans="1:18">
      <c r="A34" s="1772">
        <v>2.15</v>
      </c>
      <c r="B34" s="1772">
        <v>2.15</v>
      </c>
      <c r="C34" s="1772">
        <v>2.15</v>
      </c>
      <c r="D34" s="1772">
        <v>2.15</v>
      </c>
      <c r="E34" s="1767">
        <v>2.15</v>
      </c>
      <c r="F34" s="1767">
        <v>2.15</v>
      </c>
      <c r="G34" s="1767">
        <v>2.15</v>
      </c>
      <c r="H34" s="1767">
        <v>1.1399999999999999</v>
      </c>
      <c r="I34" s="1767">
        <v>1.1399999999999999</v>
      </c>
      <c r="J34" s="1767">
        <v>1.1399999999999999</v>
      </c>
      <c r="K34" s="1767">
        <v>1.1399999999999999</v>
      </c>
      <c r="L34" s="1769">
        <v>1.1399999999999999</v>
      </c>
      <c r="M34" s="1770" t="s">
        <v>162</v>
      </c>
      <c r="N34" s="1770" t="s">
        <v>162</v>
      </c>
      <c r="O34" s="1770" t="s">
        <v>162</v>
      </c>
      <c r="P34" s="1770" t="s">
        <v>162</v>
      </c>
      <c r="Q34" s="1755"/>
      <c r="R34" s="1755"/>
    </row>
    <row r="35" spans="1:18">
      <c r="A35" s="1772">
        <v>2.16</v>
      </c>
      <c r="B35" s="1772">
        <v>2.16</v>
      </c>
      <c r="C35" s="1772">
        <v>2.16</v>
      </c>
      <c r="D35" s="1772">
        <v>2.16</v>
      </c>
      <c r="E35" s="1767">
        <v>2.16</v>
      </c>
      <c r="F35" s="1767">
        <v>2.16</v>
      </c>
      <c r="G35" s="1767">
        <v>2.16</v>
      </c>
      <c r="H35" s="1767">
        <v>1.1499999999999999</v>
      </c>
      <c r="I35" s="1767">
        <v>1.1499999999999999</v>
      </c>
      <c r="J35" s="1767">
        <v>1.1499999999999999</v>
      </c>
      <c r="K35" s="1767">
        <v>1.1499999999999999</v>
      </c>
      <c r="L35" s="1769">
        <v>1.1499999999999999</v>
      </c>
      <c r="M35" s="1770" t="s">
        <v>164</v>
      </c>
      <c r="N35" s="1770" t="s">
        <v>164</v>
      </c>
      <c r="O35" s="1770" t="s">
        <v>164</v>
      </c>
      <c r="P35" s="1770" t="s">
        <v>164</v>
      </c>
      <c r="Q35" s="1755"/>
      <c r="R35" s="1755"/>
    </row>
    <row r="36" spans="1:18">
      <c r="A36" s="1772">
        <v>2.17</v>
      </c>
      <c r="B36" s="1772">
        <v>2.17</v>
      </c>
      <c r="C36" s="1772">
        <v>2.17</v>
      </c>
      <c r="D36" s="1772">
        <v>2.17</v>
      </c>
      <c r="E36" s="1767">
        <v>2.17</v>
      </c>
      <c r="F36" s="1767">
        <v>2.17</v>
      </c>
      <c r="G36" s="1767">
        <v>2.17</v>
      </c>
      <c r="H36" s="1767">
        <v>1.1599999999999999</v>
      </c>
      <c r="I36" s="1767">
        <v>1.1599999999999999</v>
      </c>
      <c r="J36" s="1767">
        <v>1.1599999999999999</v>
      </c>
      <c r="K36" s="1767">
        <v>1.1599999999999999</v>
      </c>
      <c r="L36" s="1769">
        <v>1.1599999999999999</v>
      </c>
      <c r="M36" s="1770" t="s">
        <v>165</v>
      </c>
      <c r="N36" s="1770" t="s">
        <v>165</v>
      </c>
      <c r="O36" s="1770" t="s">
        <v>165</v>
      </c>
      <c r="P36" s="1770" t="s">
        <v>165</v>
      </c>
      <c r="Q36" s="1755"/>
      <c r="R36" s="1755"/>
    </row>
    <row r="37" spans="1:18">
      <c r="A37" s="1772">
        <v>2.1800000000000002</v>
      </c>
      <c r="B37" s="1772">
        <v>2.1800000000000002</v>
      </c>
      <c r="C37" s="1772">
        <v>2.1800000000000002</v>
      </c>
      <c r="D37" s="1772">
        <v>2.1800000000000002</v>
      </c>
      <c r="E37" s="1767">
        <v>2.1800000000000002</v>
      </c>
      <c r="F37" s="1767">
        <v>2.1800000000000002</v>
      </c>
      <c r="G37" s="1767">
        <v>2.1800000000000002</v>
      </c>
      <c r="H37" s="1767">
        <v>1.17</v>
      </c>
      <c r="I37" s="1767">
        <v>1.17</v>
      </c>
      <c r="J37" s="1767">
        <v>1.17</v>
      </c>
      <c r="K37" s="1767">
        <v>1.17</v>
      </c>
      <c r="L37" s="1769">
        <v>1.17</v>
      </c>
      <c r="M37" s="1770" t="s">
        <v>166</v>
      </c>
      <c r="N37" s="1770" t="s">
        <v>166</v>
      </c>
      <c r="O37" s="1770" t="s">
        <v>166</v>
      </c>
      <c r="P37" s="1770" t="s">
        <v>166</v>
      </c>
      <c r="Q37" s="1755"/>
      <c r="R37" s="1755"/>
    </row>
    <row r="38" spans="1:18">
      <c r="A38" s="1772">
        <v>2.19</v>
      </c>
      <c r="B38" s="1772">
        <v>2.19</v>
      </c>
      <c r="C38" s="1772">
        <v>2.19</v>
      </c>
      <c r="D38" s="1772">
        <v>2.19</v>
      </c>
      <c r="E38" s="1767">
        <v>2.19</v>
      </c>
      <c r="F38" s="1767">
        <v>2.19</v>
      </c>
      <c r="G38" s="1767">
        <v>2.19</v>
      </c>
      <c r="H38" s="1767">
        <v>1.18</v>
      </c>
      <c r="I38" s="1767">
        <v>1.18</v>
      </c>
      <c r="J38" s="1767">
        <v>1.18</v>
      </c>
      <c r="K38" s="1767">
        <v>1.18</v>
      </c>
      <c r="L38" s="1769">
        <v>1.18</v>
      </c>
      <c r="M38" s="1770" t="s">
        <v>167</v>
      </c>
      <c r="N38" s="1770" t="s">
        <v>167</v>
      </c>
      <c r="O38" s="1770" t="s">
        <v>167</v>
      </c>
      <c r="P38" s="1770" t="s">
        <v>167</v>
      </c>
      <c r="Q38" s="1755"/>
      <c r="R38" s="1755"/>
    </row>
    <row r="39" spans="1:18">
      <c r="A39" s="1771" t="s">
        <v>41</v>
      </c>
      <c r="B39" s="1771" t="s">
        <v>41</v>
      </c>
      <c r="C39" s="1771" t="s">
        <v>41</v>
      </c>
      <c r="D39" s="1771" t="s">
        <v>41</v>
      </c>
      <c r="E39" s="1767" t="s">
        <v>41</v>
      </c>
      <c r="F39" s="1767" t="s">
        <v>41</v>
      </c>
      <c r="G39" s="1767" t="s">
        <v>41</v>
      </c>
      <c r="H39" s="1767">
        <v>1.21</v>
      </c>
      <c r="I39" s="1767">
        <v>1.21</v>
      </c>
      <c r="J39" s="1767">
        <v>1.21</v>
      </c>
      <c r="K39" s="1767">
        <v>1.21</v>
      </c>
      <c r="L39" s="1769">
        <v>1.21</v>
      </c>
      <c r="M39" s="1773" t="s">
        <v>30</v>
      </c>
      <c r="N39" s="1773" t="s">
        <v>30</v>
      </c>
      <c r="O39" s="1773" t="s">
        <v>30</v>
      </c>
      <c r="P39" s="1773" t="s">
        <v>30</v>
      </c>
      <c r="Q39" s="1755"/>
      <c r="R39" s="1755"/>
    </row>
    <row r="40" spans="1:18">
      <c r="A40" s="1772">
        <v>2.21</v>
      </c>
      <c r="B40" s="1772">
        <v>2.21</v>
      </c>
      <c r="C40" s="1772">
        <v>2.21</v>
      </c>
      <c r="D40" s="1772">
        <v>2.21</v>
      </c>
      <c r="E40" s="1767">
        <v>2.21</v>
      </c>
      <c r="F40" s="1767">
        <v>2.21</v>
      </c>
      <c r="G40" s="1767">
        <v>2.21</v>
      </c>
      <c r="H40" s="1767">
        <v>1.22</v>
      </c>
      <c r="I40" s="1767">
        <v>1.22</v>
      </c>
      <c r="J40" s="1767">
        <v>1.22</v>
      </c>
      <c r="K40" s="1767">
        <v>1.22</v>
      </c>
      <c r="L40" s="1769">
        <v>1.22</v>
      </c>
      <c r="M40" s="1773" t="s">
        <v>30</v>
      </c>
      <c r="N40" s="1773" t="s">
        <v>30</v>
      </c>
      <c r="O40" s="1773" t="s">
        <v>30</v>
      </c>
      <c r="P40" s="1773" t="s">
        <v>30</v>
      </c>
      <c r="Q40" s="1755"/>
      <c r="R40" s="1755"/>
    </row>
    <row r="41" spans="1:18">
      <c r="A41" s="1772">
        <v>2.2200000000000002</v>
      </c>
      <c r="B41" s="1772">
        <v>2.2200000000000002</v>
      </c>
      <c r="C41" s="1772">
        <v>2.2200000000000002</v>
      </c>
      <c r="D41" s="1772">
        <v>2.2200000000000002</v>
      </c>
      <c r="E41" s="1767">
        <v>2.2200000000000002</v>
      </c>
      <c r="F41" s="1767">
        <v>2.2200000000000002</v>
      </c>
      <c r="G41" s="1767">
        <v>2.2200000000000002</v>
      </c>
      <c r="H41" s="1767">
        <v>1.39</v>
      </c>
      <c r="I41" s="1767">
        <v>1.39</v>
      </c>
      <c r="J41" s="1767">
        <v>1.39</v>
      </c>
      <c r="K41" s="1767">
        <v>1.39</v>
      </c>
      <c r="L41" s="1769" t="s">
        <v>30</v>
      </c>
      <c r="M41" s="1770" t="s">
        <v>161</v>
      </c>
      <c r="N41" s="1770" t="s">
        <v>161</v>
      </c>
      <c r="O41" s="1770" t="s">
        <v>161</v>
      </c>
      <c r="P41" s="1770" t="s">
        <v>161</v>
      </c>
      <c r="Q41" s="1755"/>
      <c r="R41" s="1755"/>
    </row>
    <row r="42" spans="1:18">
      <c r="A42" s="1772">
        <v>2.23</v>
      </c>
      <c r="B42" s="1772">
        <v>2.23</v>
      </c>
      <c r="C42" s="1772">
        <v>2.23</v>
      </c>
      <c r="D42" s="1772" t="s">
        <v>30</v>
      </c>
      <c r="E42" s="1772" t="s">
        <v>30</v>
      </c>
      <c r="F42" s="1772" t="s">
        <v>30</v>
      </c>
      <c r="G42" s="1772" t="s">
        <v>30</v>
      </c>
      <c r="H42" s="1772" t="s">
        <v>30</v>
      </c>
      <c r="I42" s="1772" t="s">
        <v>30</v>
      </c>
      <c r="J42" s="1772" t="s">
        <v>30</v>
      </c>
      <c r="K42" s="1772" t="s">
        <v>30</v>
      </c>
      <c r="L42" s="1772" t="s">
        <v>30</v>
      </c>
      <c r="M42" s="1772" t="s">
        <v>30</v>
      </c>
      <c r="N42" s="1772" t="s">
        <v>30</v>
      </c>
      <c r="O42" s="1772" t="s">
        <v>30</v>
      </c>
      <c r="P42" s="1772" t="s">
        <v>30</v>
      </c>
      <c r="Q42" s="1755"/>
      <c r="R42" s="1755"/>
    </row>
    <row r="43" spans="1:18">
      <c r="A43" s="1772">
        <v>2.2400000000000002</v>
      </c>
      <c r="B43" s="1772">
        <v>2.2400000000000002</v>
      </c>
      <c r="C43" s="1772">
        <v>2.2400000000000002</v>
      </c>
      <c r="D43" s="1772" t="s">
        <v>30</v>
      </c>
      <c r="E43" s="1772" t="s">
        <v>30</v>
      </c>
      <c r="F43" s="1772" t="s">
        <v>30</v>
      </c>
      <c r="G43" s="1772" t="s">
        <v>30</v>
      </c>
      <c r="H43" s="1772" t="s">
        <v>30</v>
      </c>
      <c r="I43" s="1772" t="s">
        <v>30</v>
      </c>
      <c r="J43" s="1772" t="s">
        <v>30</v>
      </c>
      <c r="K43" s="1772" t="s">
        <v>30</v>
      </c>
      <c r="L43" s="1772" t="s">
        <v>30</v>
      </c>
      <c r="M43" s="1772" t="s">
        <v>30</v>
      </c>
      <c r="N43" s="1772" t="s">
        <v>30</v>
      </c>
      <c r="O43" s="1772" t="s">
        <v>30</v>
      </c>
      <c r="P43" s="1772" t="s">
        <v>30</v>
      </c>
      <c r="Q43" s="1755"/>
      <c r="R43" s="1755"/>
    </row>
    <row r="44" spans="1:18">
      <c r="A44" s="1772">
        <v>2.25</v>
      </c>
      <c r="B44" s="1772">
        <v>2.25</v>
      </c>
      <c r="C44" s="1772" t="s">
        <v>30</v>
      </c>
      <c r="D44" s="1772" t="s">
        <v>30</v>
      </c>
      <c r="E44" s="1772" t="s">
        <v>30</v>
      </c>
      <c r="F44" s="1772" t="s">
        <v>30</v>
      </c>
      <c r="G44" s="1772" t="s">
        <v>30</v>
      </c>
      <c r="H44" s="1772" t="s">
        <v>30</v>
      </c>
      <c r="I44" s="1772" t="s">
        <v>30</v>
      </c>
      <c r="J44" s="1772" t="s">
        <v>30</v>
      </c>
      <c r="K44" s="1772" t="s">
        <v>30</v>
      </c>
      <c r="L44" s="1772" t="s">
        <v>30</v>
      </c>
      <c r="M44" s="1772" t="s">
        <v>30</v>
      </c>
      <c r="N44" s="1772" t="s">
        <v>30</v>
      </c>
      <c r="O44" s="1772" t="s">
        <v>30</v>
      </c>
      <c r="P44" s="1772" t="s">
        <v>30</v>
      </c>
      <c r="Q44" s="1755"/>
      <c r="R44" s="1755"/>
    </row>
    <row r="45" spans="1:18">
      <c r="A45" s="1772">
        <v>2.2599999999999998</v>
      </c>
      <c r="B45" s="1772">
        <v>2.2599999999999998</v>
      </c>
      <c r="C45" s="1772" t="s">
        <v>30</v>
      </c>
      <c r="D45" s="1772" t="s">
        <v>30</v>
      </c>
      <c r="E45" s="1772" t="s">
        <v>30</v>
      </c>
      <c r="F45" s="1772" t="s">
        <v>30</v>
      </c>
      <c r="G45" s="1772" t="s">
        <v>30</v>
      </c>
      <c r="H45" s="1772" t="s">
        <v>30</v>
      </c>
      <c r="I45" s="1772" t="s">
        <v>30</v>
      </c>
      <c r="J45" s="1772" t="s">
        <v>30</v>
      </c>
      <c r="K45" s="1772" t="s">
        <v>30</v>
      </c>
      <c r="L45" s="1772" t="s">
        <v>30</v>
      </c>
      <c r="M45" s="1772" t="s">
        <v>30</v>
      </c>
      <c r="N45" s="1772" t="s">
        <v>30</v>
      </c>
      <c r="O45" s="1772" t="s">
        <v>30</v>
      </c>
      <c r="P45" s="1772" t="s">
        <v>30</v>
      </c>
      <c r="Q45" s="1755"/>
      <c r="R45" s="1755"/>
    </row>
    <row r="46" spans="1:18">
      <c r="A46" s="1771">
        <v>3.01</v>
      </c>
      <c r="B46" s="1771" t="s">
        <v>95</v>
      </c>
      <c r="C46" s="1771" t="s">
        <v>95</v>
      </c>
      <c r="D46" s="1771" t="s">
        <v>95</v>
      </c>
      <c r="E46" s="1767" t="s">
        <v>95</v>
      </c>
      <c r="F46" s="1767" t="s">
        <v>95</v>
      </c>
      <c r="G46" s="1767" t="s">
        <v>95</v>
      </c>
      <c r="H46" s="1767">
        <v>1.1100000000000001</v>
      </c>
      <c r="I46" s="1767">
        <v>1.1100000000000001</v>
      </c>
      <c r="J46" s="1767">
        <v>1.1100000000000001</v>
      </c>
      <c r="K46" s="1767">
        <v>1.1100000000000001</v>
      </c>
      <c r="L46" s="1769">
        <v>1.1100000000000001</v>
      </c>
      <c r="M46" s="1770" t="s">
        <v>157</v>
      </c>
      <c r="N46" s="1770" t="s">
        <v>157</v>
      </c>
      <c r="O46" s="1770" t="s">
        <v>157</v>
      </c>
      <c r="P46" s="1770" t="s">
        <v>157</v>
      </c>
      <c r="Q46" s="1755"/>
      <c r="R46" s="1755"/>
    </row>
    <row r="47" spans="1:18">
      <c r="A47" s="1772">
        <v>3.02</v>
      </c>
      <c r="B47" s="1772">
        <v>3.09</v>
      </c>
      <c r="C47" s="1772">
        <v>3.09</v>
      </c>
      <c r="D47" s="1772">
        <v>3.09</v>
      </c>
      <c r="E47" s="1767">
        <v>3.09</v>
      </c>
      <c r="F47" s="1767">
        <v>3.09</v>
      </c>
      <c r="G47" s="1767">
        <v>3.09</v>
      </c>
      <c r="H47" s="1767">
        <v>1.0900000000000001</v>
      </c>
      <c r="I47" s="1767">
        <v>1.0900000000000001</v>
      </c>
      <c r="J47" s="1767">
        <v>1.0900000000000001</v>
      </c>
      <c r="K47" s="1767">
        <v>1.0900000000000001</v>
      </c>
      <c r="L47" s="1769">
        <v>1.0900000000000001</v>
      </c>
      <c r="M47" s="1770" t="s">
        <v>156</v>
      </c>
      <c r="N47" s="1770" t="s">
        <v>156</v>
      </c>
      <c r="O47" s="1770" t="s">
        <v>156</v>
      </c>
      <c r="P47" s="1770" t="s">
        <v>156</v>
      </c>
      <c r="Q47" s="1755"/>
      <c r="R47" s="1755"/>
    </row>
    <row r="48" spans="1:18">
      <c r="A48" s="1772">
        <v>3.03</v>
      </c>
      <c r="B48" s="1772">
        <v>3.11</v>
      </c>
      <c r="C48" s="1772">
        <v>3.11</v>
      </c>
      <c r="D48" s="1772" t="s">
        <v>30</v>
      </c>
      <c r="E48" s="1772" t="s">
        <v>30</v>
      </c>
      <c r="F48" s="1772" t="s">
        <v>30</v>
      </c>
      <c r="G48" s="1772" t="s">
        <v>30</v>
      </c>
      <c r="H48" s="1772" t="s">
        <v>30</v>
      </c>
      <c r="I48" s="1772" t="s">
        <v>30</v>
      </c>
      <c r="J48" s="1772" t="s">
        <v>30</v>
      </c>
      <c r="K48" s="1772" t="s">
        <v>30</v>
      </c>
      <c r="L48" s="1772" t="s">
        <v>30</v>
      </c>
      <c r="M48" s="1772" t="s">
        <v>30</v>
      </c>
      <c r="N48" s="1772" t="s">
        <v>30</v>
      </c>
      <c r="O48" s="1772" t="s">
        <v>30</v>
      </c>
      <c r="P48" s="1772" t="s">
        <v>30</v>
      </c>
      <c r="Q48" s="1755"/>
      <c r="R48" s="1755"/>
    </row>
    <row r="49" spans="1:18">
      <c r="A49" s="1770">
        <v>3.04</v>
      </c>
      <c r="B49" s="1770">
        <v>3.13</v>
      </c>
      <c r="C49" s="1770">
        <v>3.13</v>
      </c>
      <c r="D49" s="1770">
        <v>3.13</v>
      </c>
      <c r="E49" s="1767" t="s">
        <v>30</v>
      </c>
      <c r="F49" s="1767" t="s">
        <v>30</v>
      </c>
      <c r="G49" s="1767" t="s">
        <v>30</v>
      </c>
      <c r="H49" s="1767" t="s">
        <v>30</v>
      </c>
      <c r="I49" s="1767" t="s">
        <v>30</v>
      </c>
      <c r="J49" s="1767" t="s">
        <v>30</v>
      </c>
      <c r="K49" s="1767" t="s">
        <v>30</v>
      </c>
      <c r="L49" s="1767" t="s">
        <v>30</v>
      </c>
      <c r="M49" s="1767" t="s">
        <v>30</v>
      </c>
      <c r="N49" s="1767" t="s">
        <v>30</v>
      </c>
      <c r="O49" s="1767" t="s">
        <v>30</v>
      </c>
      <c r="P49" s="1767" t="s">
        <v>30</v>
      </c>
      <c r="Q49" s="1755"/>
      <c r="R49" s="1755"/>
    </row>
    <row r="50" spans="1:18">
      <c r="A50" s="1772">
        <v>3.05</v>
      </c>
      <c r="B50" s="1772">
        <v>3.12</v>
      </c>
      <c r="C50" s="1772">
        <v>3.12</v>
      </c>
      <c r="D50" s="1772">
        <v>3.12</v>
      </c>
      <c r="E50" s="1767">
        <v>3.12</v>
      </c>
      <c r="F50" s="1767">
        <v>3.12</v>
      </c>
      <c r="G50" s="1767">
        <v>3.12</v>
      </c>
      <c r="H50" s="1767">
        <v>1.1000000000000001</v>
      </c>
      <c r="I50" s="1767">
        <v>1.1000000000000001</v>
      </c>
      <c r="J50" s="1767">
        <v>1.1000000000000001</v>
      </c>
      <c r="K50" s="1767">
        <v>1.1000000000000001</v>
      </c>
      <c r="L50" s="1769">
        <v>1.1000000000000001</v>
      </c>
      <c r="M50" s="1770" t="s">
        <v>158</v>
      </c>
      <c r="N50" s="1770" t="s">
        <v>158</v>
      </c>
      <c r="O50" s="1770" t="s">
        <v>158</v>
      </c>
      <c r="P50" s="1770" t="s">
        <v>158</v>
      </c>
      <c r="Q50" s="1755"/>
      <c r="R50" s="1755"/>
    </row>
    <row r="51" spans="1:18">
      <c r="A51" s="1772">
        <v>3.06</v>
      </c>
      <c r="B51" s="1772">
        <v>3.14</v>
      </c>
      <c r="C51" s="1772">
        <v>3.14</v>
      </c>
      <c r="D51" s="1772" t="s">
        <v>30</v>
      </c>
      <c r="E51" s="1772" t="s">
        <v>30</v>
      </c>
      <c r="F51" s="1772" t="s">
        <v>30</v>
      </c>
      <c r="G51" s="1772" t="s">
        <v>30</v>
      </c>
      <c r="H51" s="1772" t="s">
        <v>30</v>
      </c>
      <c r="I51" s="1772" t="s">
        <v>30</v>
      </c>
      <c r="J51" s="1772" t="s">
        <v>30</v>
      </c>
      <c r="K51" s="1772" t="s">
        <v>30</v>
      </c>
      <c r="L51" s="1772" t="s">
        <v>30</v>
      </c>
      <c r="M51" s="1772" t="s">
        <v>30</v>
      </c>
      <c r="N51" s="1772" t="s">
        <v>30</v>
      </c>
      <c r="O51" s="1772" t="s">
        <v>30</v>
      </c>
      <c r="P51" s="1772" t="s">
        <v>30</v>
      </c>
      <c r="Q51" s="1755"/>
      <c r="R51" s="1755"/>
    </row>
    <row r="52" spans="1:18">
      <c r="A52" s="1772">
        <v>3.07</v>
      </c>
      <c r="B52" s="1772">
        <v>3.15</v>
      </c>
      <c r="C52" s="1772">
        <v>3.15</v>
      </c>
      <c r="D52" s="1772" t="s">
        <v>30</v>
      </c>
      <c r="E52" s="1772" t="s">
        <v>30</v>
      </c>
      <c r="F52" s="1772" t="s">
        <v>30</v>
      </c>
      <c r="G52" s="1772" t="s">
        <v>30</v>
      </c>
      <c r="H52" s="1772" t="s">
        <v>30</v>
      </c>
      <c r="I52" s="1772" t="s">
        <v>30</v>
      </c>
      <c r="J52" s="1772" t="s">
        <v>30</v>
      </c>
      <c r="K52" s="1772" t="s">
        <v>30</v>
      </c>
      <c r="L52" s="1772" t="s">
        <v>30</v>
      </c>
      <c r="M52" s="1772" t="s">
        <v>30</v>
      </c>
      <c r="N52" s="1772" t="s">
        <v>30</v>
      </c>
      <c r="O52" s="1772" t="s">
        <v>30</v>
      </c>
      <c r="P52" s="1772" t="s">
        <v>30</v>
      </c>
      <c r="Q52" s="1755"/>
      <c r="R52" s="1755"/>
    </row>
    <row r="53" spans="1:18">
      <c r="A53" s="1772">
        <v>3.08</v>
      </c>
      <c r="B53" s="1772">
        <v>3.08</v>
      </c>
      <c r="C53" s="1772">
        <v>3.08</v>
      </c>
      <c r="D53" s="1772">
        <v>3.08</v>
      </c>
      <c r="E53" s="1776">
        <v>3.08</v>
      </c>
      <c r="F53" s="1776">
        <v>3.08</v>
      </c>
      <c r="G53" s="1776">
        <v>3.08</v>
      </c>
      <c r="H53" s="1771" t="s">
        <v>95</v>
      </c>
      <c r="I53" s="1772" t="s">
        <v>30</v>
      </c>
      <c r="J53" s="1772" t="s">
        <v>30</v>
      </c>
      <c r="K53" s="1772" t="s">
        <v>30</v>
      </c>
      <c r="L53" s="1772" t="s">
        <v>30</v>
      </c>
      <c r="M53" s="1772" t="s">
        <v>30</v>
      </c>
      <c r="N53" s="1772" t="s">
        <v>30</v>
      </c>
      <c r="O53" s="1772" t="s">
        <v>30</v>
      </c>
      <c r="P53" s="1772" t="s">
        <v>30</v>
      </c>
      <c r="Q53" s="1755"/>
      <c r="R53" s="1755"/>
    </row>
    <row r="54" spans="1:18">
      <c r="A54" s="1772">
        <v>4.01</v>
      </c>
      <c r="B54" s="1772">
        <v>4.01</v>
      </c>
      <c r="C54" s="1772">
        <v>4.01</v>
      </c>
      <c r="D54" s="1772">
        <v>4.01</v>
      </c>
      <c r="E54" s="1772">
        <v>4.01</v>
      </c>
      <c r="F54" s="1772">
        <v>4.01</v>
      </c>
      <c r="G54" s="1772">
        <v>4.01</v>
      </c>
      <c r="H54" s="1772">
        <v>4.01</v>
      </c>
      <c r="I54" s="1772">
        <v>4.01</v>
      </c>
      <c r="J54" s="1772">
        <v>4.01</v>
      </c>
      <c r="K54" s="1772">
        <v>4.01</v>
      </c>
      <c r="L54" s="1770">
        <v>4.01</v>
      </c>
      <c r="M54" s="1770" t="s">
        <v>71</v>
      </c>
      <c r="N54" s="1770" t="s">
        <v>71</v>
      </c>
      <c r="O54" s="1770" t="s">
        <v>30</v>
      </c>
      <c r="P54" s="1770" t="s">
        <v>30</v>
      </c>
      <c r="Q54" s="1755"/>
      <c r="R54" s="1755"/>
    </row>
    <row r="55" spans="1:18">
      <c r="A55" s="1772">
        <v>4.0199999999999996</v>
      </c>
      <c r="B55" s="1772">
        <v>4.0199999999999996</v>
      </c>
      <c r="C55" s="1772">
        <v>4.0199999999999996</v>
      </c>
      <c r="D55" s="1772">
        <v>4.0199999999999996</v>
      </c>
      <c r="E55" s="1772">
        <v>4.0199999999999996</v>
      </c>
      <c r="F55" s="1772">
        <v>4.0199999999999996</v>
      </c>
      <c r="G55" s="1772">
        <v>4.0199999999999996</v>
      </c>
      <c r="H55" s="1772">
        <v>4.0199999999999996</v>
      </c>
      <c r="I55" s="1772">
        <v>4.0199999999999996</v>
      </c>
      <c r="J55" s="1772">
        <v>4.0199999999999996</v>
      </c>
      <c r="K55" s="1772">
        <v>4.0199999999999996</v>
      </c>
      <c r="L55" s="1770">
        <v>4.0199999999999996</v>
      </c>
      <c r="M55" s="1770" t="s">
        <v>99</v>
      </c>
      <c r="N55" s="1770" t="s">
        <v>99</v>
      </c>
      <c r="O55" s="1770" t="s">
        <v>98</v>
      </c>
      <c r="P55" s="1770" t="s">
        <v>98</v>
      </c>
      <c r="Q55" s="1755"/>
      <c r="R55" s="1755"/>
    </row>
    <row r="56" spans="1:18">
      <c r="A56" s="1777">
        <v>4.03</v>
      </c>
      <c r="B56" s="1777">
        <v>4.03</v>
      </c>
      <c r="C56" s="1777">
        <v>4.03</v>
      </c>
      <c r="D56" s="1777">
        <v>4.03</v>
      </c>
      <c r="E56" s="1772">
        <v>4.03</v>
      </c>
      <c r="F56" s="1772">
        <v>4.03</v>
      </c>
      <c r="G56" s="1772">
        <v>4.03</v>
      </c>
      <c r="H56" s="1772">
        <v>4.03</v>
      </c>
      <c r="I56" s="1772">
        <v>4.03</v>
      </c>
      <c r="J56" s="1772">
        <v>4.03</v>
      </c>
      <c r="K56" s="1772">
        <v>4.03</v>
      </c>
      <c r="L56" s="1770">
        <v>4.03</v>
      </c>
      <c r="M56" s="1773" t="s">
        <v>30</v>
      </c>
      <c r="N56" s="1773" t="s">
        <v>30</v>
      </c>
      <c r="O56" s="1773" t="s">
        <v>30</v>
      </c>
      <c r="P56" s="1773" t="s">
        <v>30</v>
      </c>
      <c r="Q56" s="1755"/>
      <c r="R56" s="1755"/>
    </row>
    <row r="57" spans="1:18">
      <c r="A57" s="1777">
        <v>4.04</v>
      </c>
      <c r="B57" s="1777">
        <v>4.04</v>
      </c>
      <c r="C57" s="1777">
        <v>4.04</v>
      </c>
      <c r="D57" s="1777">
        <v>4.04</v>
      </c>
      <c r="E57" s="1777">
        <v>4.04</v>
      </c>
      <c r="F57" s="1777">
        <v>4.04</v>
      </c>
      <c r="G57" s="1777">
        <v>4.04</v>
      </c>
      <c r="H57" s="1772">
        <v>4.04</v>
      </c>
      <c r="I57" s="1772">
        <v>4.04</v>
      </c>
      <c r="J57" s="1772">
        <v>4.04</v>
      </c>
      <c r="K57" s="1772">
        <v>4.04</v>
      </c>
      <c r="L57" s="1770">
        <v>4.04</v>
      </c>
      <c r="M57" s="1770" t="s">
        <v>103</v>
      </c>
      <c r="N57" s="1770" t="s">
        <v>103</v>
      </c>
      <c r="O57" s="1770" t="s">
        <v>102</v>
      </c>
      <c r="P57" s="1770" t="s">
        <v>102</v>
      </c>
      <c r="Q57" s="1755"/>
      <c r="R57" s="1755"/>
    </row>
    <row r="58" spans="1:18">
      <c r="A58" s="1777">
        <v>4.05</v>
      </c>
      <c r="B58" s="1777">
        <v>4.05</v>
      </c>
      <c r="C58" s="1777">
        <v>4.05</v>
      </c>
      <c r="D58" s="1777">
        <v>4.05</v>
      </c>
      <c r="E58" s="1772">
        <v>4.05</v>
      </c>
      <c r="F58" s="1772">
        <v>4.05</v>
      </c>
      <c r="G58" s="1772">
        <v>4.05</v>
      </c>
      <c r="H58" s="1772">
        <v>4.05</v>
      </c>
      <c r="I58" s="1772">
        <v>4.05</v>
      </c>
      <c r="J58" s="1772">
        <v>4.05</v>
      </c>
      <c r="K58" s="1772">
        <v>4.05</v>
      </c>
      <c r="L58" s="1770">
        <v>4.05</v>
      </c>
      <c r="M58" s="1770" t="s">
        <v>104</v>
      </c>
      <c r="N58" s="1770" t="s">
        <v>104</v>
      </c>
      <c r="O58" s="1770" t="s">
        <v>103</v>
      </c>
      <c r="P58" s="1770" t="s">
        <v>103</v>
      </c>
      <c r="Q58" s="1755"/>
      <c r="R58" s="1755"/>
    </row>
    <row r="59" spans="1:18">
      <c r="A59" s="1777">
        <v>4.0599999999999996</v>
      </c>
      <c r="B59" s="1777">
        <v>4.0599999999999996</v>
      </c>
      <c r="C59" s="1777">
        <v>4.0599999999999996</v>
      </c>
      <c r="D59" s="1777" t="s">
        <v>30</v>
      </c>
      <c r="E59" s="1772" t="s">
        <v>30</v>
      </c>
      <c r="F59" s="1772" t="s">
        <v>30</v>
      </c>
      <c r="G59" s="1772" t="s">
        <v>30</v>
      </c>
      <c r="H59" s="1772" t="s">
        <v>30</v>
      </c>
      <c r="I59" s="1772" t="s">
        <v>30</v>
      </c>
      <c r="J59" s="1772" t="s">
        <v>30</v>
      </c>
      <c r="K59" s="1772" t="s">
        <v>30</v>
      </c>
      <c r="L59" s="1772" t="s">
        <v>30</v>
      </c>
      <c r="M59" s="1772" t="s">
        <v>30</v>
      </c>
      <c r="N59" s="1772" t="s">
        <v>30</v>
      </c>
      <c r="O59" s="1772" t="s">
        <v>30</v>
      </c>
      <c r="P59" s="1772" t="s">
        <v>30</v>
      </c>
      <c r="Q59" s="1755"/>
      <c r="R59" s="1755"/>
    </row>
    <row r="60" spans="1:18">
      <c r="A60" s="1777">
        <v>4.07</v>
      </c>
      <c r="B60" s="1777">
        <v>4.07</v>
      </c>
      <c r="C60" s="1777">
        <v>4.07</v>
      </c>
      <c r="D60" s="1777">
        <v>4.08</v>
      </c>
      <c r="E60" s="1771">
        <v>4.08</v>
      </c>
      <c r="F60" s="1771">
        <v>4.08</v>
      </c>
      <c r="G60" s="1771">
        <v>4.08</v>
      </c>
      <c r="H60" s="1772">
        <v>4.08</v>
      </c>
      <c r="I60" s="1772">
        <v>4.08</v>
      </c>
      <c r="J60" s="1772">
        <v>4.08</v>
      </c>
      <c r="K60" s="1772">
        <v>4.08</v>
      </c>
      <c r="L60" s="1770">
        <v>4.08</v>
      </c>
      <c r="M60" s="1770" t="s">
        <v>73</v>
      </c>
      <c r="N60" s="1770" t="s">
        <v>73</v>
      </c>
      <c r="O60" s="1770" t="s">
        <v>72</v>
      </c>
      <c r="P60" s="1770" t="s">
        <v>72</v>
      </c>
      <c r="Q60" s="1755"/>
      <c r="R60" s="1755"/>
    </row>
    <row r="61" spans="1:18">
      <c r="A61" s="1771">
        <v>4.08</v>
      </c>
      <c r="B61" s="1771">
        <v>4.08</v>
      </c>
      <c r="C61" s="1771">
        <v>4.08</v>
      </c>
      <c r="D61" s="1771" t="s">
        <v>12</v>
      </c>
      <c r="E61" s="1771" t="s">
        <v>40</v>
      </c>
      <c r="F61" s="1771" t="s">
        <v>40</v>
      </c>
      <c r="G61" s="1771" t="s">
        <v>40</v>
      </c>
      <c r="H61" s="1767">
        <v>4.0999999999999996</v>
      </c>
      <c r="I61" s="1767">
        <v>4.0999999999999996</v>
      </c>
      <c r="J61" s="1767">
        <v>4.0999999999999996</v>
      </c>
      <c r="K61" s="1767">
        <v>4.0999999999999996</v>
      </c>
      <c r="L61" s="1769">
        <v>4.0999999999999996</v>
      </c>
      <c r="M61" s="1770" t="s">
        <v>98</v>
      </c>
      <c r="N61" s="1770" t="s">
        <v>98</v>
      </c>
      <c r="O61" s="1770" t="s">
        <v>97</v>
      </c>
      <c r="P61" s="1770" t="s">
        <v>97</v>
      </c>
      <c r="Q61" s="1755"/>
      <c r="R61" s="1755"/>
    </row>
    <row r="62" spans="1:18">
      <c r="A62" s="1771">
        <v>4.09</v>
      </c>
      <c r="B62" s="1771">
        <v>4.09</v>
      </c>
      <c r="C62" s="1771">
        <v>4.09</v>
      </c>
      <c r="D62" s="1771" t="s">
        <v>40</v>
      </c>
      <c r="E62" s="1772" t="s">
        <v>30</v>
      </c>
      <c r="F62" s="1772" t="s">
        <v>30</v>
      </c>
      <c r="G62" s="1772" t="s">
        <v>30</v>
      </c>
      <c r="H62" s="1772" t="s">
        <v>30</v>
      </c>
      <c r="I62" s="1772" t="s">
        <v>30</v>
      </c>
      <c r="J62" s="1772" t="s">
        <v>30</v>
      </c>
      <c r="K62" s="1772" t="s">
        <v>30</v>
      </c>
      <c r="L62" s="1772" t="s">
        <v>30</v>
      </c>
      <c r="M62" s="1772" t="s">
        <v>30</v>
      </c>
      <c r="N62" s="1772" t="s">
        <v>30</v>
      </c>
      <c r="O62" s="1772" t="s">
        <v>30</v>
      </c>
      <c r="P62" s="1772" t="s">
        <v>30</v>
      </c>
      <c r="Q62" s="1755"/>
      <c r="R62" s="1755"/>
    </row>
    <row r="63" spans="1:18">
      <c r="A63" s="1771" t="s">
        <v>40</v>
      </c>
      <c r="B63" s="1771" t="s">
        <v>30</v>
      </c>
      <c r="C63" s="1771" t="s">
        <v>30</v>
      </c>
      <c r="D63" s="1771" t="s">
        <v>30</v>
      </c>
      <c r="E63" s="1771" t="s">
        <v>30</v>
      </c>
      <c r="F63" s="1771" t="s">
        <v>30</v>
      </c>
      <c r="G63" s="1771" t="s">
        <v>30</v>
      </c>
      <c r="H63" s="1771" t="s">
        <v>30</v>
      </c>
      <c r="I63" s="1771" t="s">
        <v>30</v>
      </c>
      <c r="J63" s="1771" t="s">
        <v>30</v>
      </c>
      <c r="K63" s="1771" t="s">
        <v>30</v>
      </c>
      <c r="L63" s="1771" t="s">
        <v>30</v>
      </c>
      <c r="M63" s="1771" t="s">
        <v>30</v>
      </c>
      <c r="N63" s="1771" t="s">
        <v>30</v>
      </c>
      <c r="O63" s="1771" t="s">
        <v>30</v>
      </c>
      <c r="P63" s="1771" t="s">
        <v>30</v>
      </c>
      <c r="Q63" s="1755"/>
      <c r="R63" s="1755"/>
    </row>
    <row r="64" spans="1:18">
      <c r="A64" s="1771">
        <v>4.1100000000000003</v>
      </c>
      <c r="B64" s="1771" t="s">
        <v>30</v>
      </c>
      <c r="C64" s="1771" t="s">
        <v>30</v>
      </c>
      <c r="D64" s="1771" t="s">
        <v>30</v>
      </c>
      <c r="E64" s="1771" t="s">
        <v>30</v>
      </c>
      <c r="F64" s="1771" t="s">
        <v>30</v>
      </c>
      <c r="G64" s="1771" t="s">
        <v>30</v>
      </c>
      <c r="H64" s="1771" t="s">
        <v>30</v>
      </c>
      <c r="I64" s="1771" t="s">
        <v>30</v>
      </c>
      <c r="J64" s="1771" t="s">
        <v>30</v>
      </c>
      <c r="K64" s="1771" t="s">
        <v>30</v>
      </c>
      <c r="L64" s="1771" t="s">
        <v>30</v>
      </c>
      <c r="M64" s="1771" t="s">
        <v>30</v>
      </c>
      <c r="N64" s="1771" t="s">
        <v>30</v>
      </c>
      <c r="O64" s="1771" t="s">
        <v>30</v>
      </c>
      <c r="P64" s="1771" t="s">
        <v>30</v>
      </c>
      <c r="Q64" s="1755"/>
      <c r="R64" s="1755"/>
    </row>
    <row r="65" spans="1:18">
      <c r="A65" s="1772">
        <v>5.01</v>
      </c>
      <c r="B65" s="1772">
        <v>5.01</v>
      </c>
      <c r="C65" s="1772">
        <v>5.01</v>
      </c>
      <c r="D65" s="1772">
        <v>5.01</v>
      </c>
      <c r="E65" s="1772">
        <v>5.01</v>
      </c>
      <c r="F65" s="1772">
        <v>5.01</v>
      </c>
      <c r="G65" s="1772">
        <v>5.01</v>
      </c>
      <c r="H65" s="1772">
        <v>5.01</v>
      </c>
      <c r="I65" s="1772">
        <v>5.01</v>
      </c>
      <c r="J65" s="1772">
        <v>5.01</v>
      </c>
      <c r="K65" s="1772">
        <v>5.0199999999999996</v>
      </c>
      <c r="L65" s="1770" t="s">
        <v>57</v>
      </c>
      <c r="M65" s="1773" t="s">
        <v>30</v>
      </c>
      <c r="N65" s="1773" t="s">
        <v>30</v>
      </c>
      <c r="O65" s="1773" t="s">
        <v>30</v>
      </c>
      <c r="P65" s="1773" t="s">
        <v>30</v>
      </c>
      <c r="Q65" s="1755"/>
      <c r="R65" s="1755"/>
    </row>
    <row r="66" spans="1:18">
      <c r="A66" s="1772">
        <v>5.0199999999999996</v>
      </c>
      <c r="B66" s="1772">
        <v>5.0199999999999996</v>
      </c>
      <c r="C66" s="1772">
        <v>5.0199999999999996</v>
      </c>
      <c r="D66" s="1772">
        <v>5.0199999999999996</v>
      </c>
      <c r="E66" s="1772">
        <v>5.0199999999999996</v>
      </c>
      <c r="F66" s="1772">
        <v>5.0199999999999996</v>
      </c>
      <c r="G66" s="1772">
        <v>5.0199999999999996</v>
      </c>
      <c r="H66" s="1772">
        <v>5.0199999999999996</v>
      </c>
      <c r="I66" s="1772">
        <v>5.0199999999999996</v>
      </c>
      <c r="J66" s="1772">
        <v>5.0199999999999996</v>
      </c>
      <c r="K66" s="1772">
        <v>5.01</v>
      </c>
      <c r="L66" s="1773" t="s">
        <v>58</v>
      </c>
      <c r="M66" s="1770" t="s">
        <v>30</v>
      </c>
      <c r="N66" s="1770" t="s">
        <v>30</v>
      </c>
      <c r="O66" s="1770" t="s">
        <v>30</v>
      </c>
      <c r="P66" s="1770" t="s">
        <v>30</v>
      </c>
      <c r="Q66" s="1755"/>
      <c r="R66" s="1755"/>
    </row>
    <row r="67" spans="1:18">
      <c r="A67" s="1772">
        <v>5.03</v>
      </c>
      <c r="B67" s="1772">
        <v>5.03</v>
      </c>
      <c r="C67" s="1772">
        <v>5.03</v>
      </c>
      <c r="D67" s="1772">
        <v>5.03</v>
      </c>
      <c r="E67" s="1772">
        <v>5.03</v>
      </c>
      <c r="F67" s="1772">
        <v>5.03</v>
      </c>
      <c r="G67" s="1772">
        <v>5.03</v>
      </c>
      <c r="H67" s="1772">
        <v>5.03</v>
      </c>
      <c r="I67" s="1772">
        <v>5.03</v>
      </c>
      <c r="J67" s="1772">
        <v>5.03</v>
      </c>
      <c r="K67" s="1772" t="s">
        <v>30</v>
      </c>
      <c r="L67" s="1772" t="s">
        <v>30</v>
      </c>
      <c r="M67" s="1772" t="s">
        <v>30</v>
      </c>
      <c r="N67" s="1772" t="s">
        <v>30</v>
      </c>
      <c r="O67" s="1772" t="s">
        <v>30</v>
      </c>
      <c r="P67" s="1772" t="s">
        <v>30</v>
      </c>
      <c r="Q67" s="1755"/>
      <c r="R67" s="1755"/>
    </row>
    <row r="68" spans="1:18">
      <c r="A68" s="1772">
        <v>5.04</v>
      </c>
      <c r="B68" s="1772">
        <v>5.04</v>
      </c>
      <c r="C68" s="1772">
        <v>5.04</v>
      </c>
      <c r="D68" s="1772">
        <v>5.04</v>
      </c>
      <c r="E68" s="1772">
        <v>5.04</v>
      </c>
      <c r="F68" s="1772">
        <v>5.04</v>
      </c>
      <c r="G68" s="1772">
        <v>5.04</v>
      </c>
      <c r="H68" s="1772">
        <v>5.04</v>
      </c>
      <c r="I68" s="1772">
        <v>5.04</v>
      </c>
      <c r="J68" s="1772">
        <v>5.04</v>
      </c>
      <c r="K68" s="1772" t="s">
        <v>30</v>
      </c>
      <c r="L68" s="1772" t="s">
        <v>30</v>
      </c>
      <c r="M68" s="1772" t="s">
        <v>30</v>
      </c>
      <c r="N68" s="1772" t="s">
        <v>30</v>
      </c>
      <c r="O68" s="1772" t="s">
        <v>30</v>
      </c>
      <c r="P68" s="1772" t="s">
        <v>30</v>
      </c>
      <c r="Q68" s="1755"/>
      <c r="R68" s="1755"/>
    </row>
    <row r="69" spans="1:18">
      <c r="A69" s="1772">
        <v>5.05</v>
      </c>
      <c r="B69" s="1772">
        <v>5.05</v>
      </c>
      <c r="C69" s="1772">
        <v>5.05</v>
      </c>
      <c r="D69" s="1772" t="s">
        <v>30</v>
      </c>
      <c r="E69" s="1772" t="s">
        <v>30</v>
      </c>
      <c r="F69" s="1772" t="s">
        <v>30</v>
      </c>
      <c r="G69" s="1772" t="s">
        <v>30</v>
      </c>
      <c r="H69" s="1772" t="s">
        <v>30</v>
      </c>
      <c r="I69" s="1772" t="s">
        <v>30</v>
      </c>
      <c r="J69" s="1772" t="s">
        <v>30</v>
      </c>
      <c r="K69" s="1772" t="s">
        <v>30</v>
      </c>
      <c r="L69" s="1772" t="s">
        <v>30</v>
      </c>
      <c r="M69" s="1772" t="s">
        <v>30</v>
      </c>
      <c r="N69" s="1772" t="s">
        <v>30</v>
      </c>
      <c r="O69" s="1772" t="s">
        <v>30</v>
      </c>
      <c r="P69" s="1772" t="s">
        <v>30</v>
      </c>
      <c r="Q69" s="1755"/>
      <c r="R69" s="1755"/>
    </row>
    <row r="70" spans="1:18">
      <c r="A70" s="1772">
        <v>6.01</v>
      </c>
      <c r="B70" s="1772">
        <v>6.01</v>
      </c>
      <c r="C70" s="1772">
        <v>6.01</v>
      </c>
      <c r="D70" s="1772">
        <v>6.01</v>
      </c>
      <c r="E70" s="1772">
        <v>6.01</v>
      </c>
      <c r="F70" s="1772">
        <v>6.01</v>
      </c>
      <c r="G70" s="1772">
        <v>6.01</v>
      </c>
      <c r="H70" s="1772">
        <v>6.01</v>
      </c>
      <c r="I70" s="1772">
        <v>6.01</v>
      </c>
      <c r="J70" s="1772">
        <v>6.01</v>
      </c>
      <c r="K70" s="1772">
        <v>6.01</v>
      </c>
      <c r="L70" s="1770">
        <v>6.01</v>
      </c>
      <c r="M70" s="1770" t="s">
        <v>179</v>
      </c>
      <c r="N70" s="1770" t="s">
        <v>179</v>
      </c>
      <c r="O70" s="1770" t="s">
        <v>179</v>
      </c>
      <c r="P70" s="1770" t="s">
        <v>179</v>
      </c>
      <c r="Q70" s="1755"/>
      <c r="R70" s="1755"/>
    </row>
    <row r="71" spans="1:18">
      <c r="A71" s="1772">
        <v>6.02</v>
      </c>
      <c r="B71" s="1772">
        <v>6.02</v>
      </c>
      <c r="C71" s="1772">
        <v>6.02</v>
      </c>
      <c r="D71" s="1772">
        <v>6.02</v>
      </c>
      <c r="E71" s="1772">
        <v>6.02</v>
      </c>
      <c r="F71" s="1772">
        <v>6.02</v>
      </c>
      <c r="G71" s="1772">
        <v>6.02</v>
      </c>
      <c r="H71" s="1772">
        <v>6.02</v>
      </c>
      <c r="I71" s="1772">
        <v>6.02</v>
      </c>
      <c r="J71" s="1772">
        <v>6.02</v>
      </c>
      <c r="K71" s="1772">
        <v>6.02</v>
      </c>
      <c r="L71" s="1770">
        <v>6.02</v>
      </c>
      <c r="M71" s="1770" t="s">
        <v>60</v>
      </c>
      <c r="N71" s="1770" t="s">
        <v>60</v>
      </c>
      <c r="O71" s="1770" t="s">
        <v>60</v>
      </c>
      <c r="P71" s="1770" t="s">
        <v>60</v>
      </c>
      <c r="Q71" s="1755"/>
      <c r="R71" s="1755"/>
    </row>
    <row r="72" spans="1:18">
      <c r="A72" s="1772">
        <v>6.03</v>
      </c>
      <c r="B72" s="1772">
        <v>6.03</v>
      </c>
      <c r="C72" s="1772">
        <v>6.03</v>
      </c>
      <c r="D72" s="1772">
        <v>6.03</v>
      </c>
      <c r="E72" s="1772">
        <v>6.03</v>
      </c>
      <c r="F72" s="1772">
        <v>6.03</v>
      </c>
      <c r="G72" s="1772">
        <v>6.03</v>
      </c>
      <c r="H72" s="1772">
        <v>6.03</v>
      </c>
      <c r="I72" s="1772">
        <v>6.03</v>
      </c>
      <c r="J72" s="1772">
        <v>6.03</v>
      </c>
      <c r="K72" s="1772">
        <v>6.03</v>
      </c>
      <c r="L72" s="1770">
        <v>6.03</v>
      </c>
      <c r="M72" s="1770" t="s">
        <v>180</v>
      </c>
      <c r="N72" s="1770" t="s">
        <v>180</v>
      </c>
      <c r="O72" s="1770" t="s">
        <v>180</v>
      </c>
      <c r="P72" s="1770" t="s">
        <v>180</v>
      </c>
      <c r="Q72" s="1755"/>
      <c r="R72" s="1755"/>
    </row>
    <row r="73" spans="1:18">
      <c r="A73" s="1777">
        <v>6.04</v>
      </c>
      <c r="B73" s="1777">
        <v>6.04</v>
      </c>
      <c r="C73" s="1777">
        <v>6.04</v>
      </c>
      <c r="D73" s="1777">
        <v>6.04</v>
      </c>
      <c r="E73" s="1767">
        <v>6.04</v>
      </c>
      <c r="F73" s="1767">
        <v>6.04</v>
      </c>
      <c r="G73" s="1767">
        <v>6.04</v>
      </c>
      <c r="H73" s="1772">
        <v>6.04</v>
      </c>
      <c r="I73" s="1772">
        <v>6.04</v>
      </c>
      <c r="J73" s="1772">
        <v>6.04</v>
      </c>
      <c r="K73" s="1772">
        <v>6.04</v>
      </c>
      <c r="L73" s="1770">
        <v>6.04</v>
      </c>
      <c r="M73" s="1770" t="s">
        <v>62</v>
      </c>
      <c r="N73" s="1770" t="s">
        <v>62</v>
      </c>
      <c r="O73" s="1770" t="s">
        <v>62</v>
      </c>
      <c r="P73" s="1770" t="s">
        <v>62</v>
      </c>
      <c r="Q73" s="1755"/>
      <c r="R73" s="1755"/>
    </row>
    <row r="74" spans="1:18">
      <c r="A74" s="1777">
        <v>6.05</v>
      </c>
      <c r="B74" s="1777">
        <v>6.05</v>
      </c>
      <c r="C74" s="1777">
        <v>6.05</v>
      </c>
      <c r="D74" s="1777">
        <v>6.05</v>
      </c>
      <c r="E74" s="1767">
        <v>6.05</v>
      </c>
      <c r="F74" s="1767">
        <v>6.05</v>
      </c>
      <c r="G74" s="1767">
        <v>6.05</v>
      </c>
      <c r="H74" s="1772">
        <v>6.05</v>
      </c>
      <c r="I74" s="1772">
        <v>6.05</v>
      </c>
      <c r="J74" s="1772">
        <v>6.05</v>
      </c>
      <c r="K74" s="1772">
        <v>6.05</v>
      </c>
      <c r="L74" s="1770">
        <v>6.05</v>
      </c>
      <c r="M74" s="1770" t="s">
        <v>63</v>
      </c>
      <c r="N74" s="1770" t="s">
        <v>63</v>
      </c>
      <c r="O74" s="1770" t="s">
        <v>63</v>
      </c>
      <c r="P74" s="1770" t="s">
        <v>63</v>
      </c>
      <c r="Q74" s="1755"/>
      <c r="R74" s="1755"/>
    </row>
    <row r="75" spans="1:18">
      <c r="A75" s="1772">
        <v>6.06</v>
      </c>
      <c r="B75" s="1772">
        <v>6.06</v>
      </c>
      <c r="C75" s="1772">
        <v>6.06</v>
      </c>
      <c r="D75" s="1772">
        <v>6.06</v>
      </c>
      <c r="E75" s="1767">
        <v>6.06</v>
      </c>
      <c r="F75" s="1767">
        <v>6.06</v>
      </c>
      <c r="G75" s="1767">
        <v>6.06</v>
      </c>
      <c r="H75" s="1772">
        <v>6.06</v>
      </c>
      <c r="I75" s="1772">
        <v>6.06</v>
      </c>
      <c r="J75" s="1772">
        <v>6.06</v>
      </c>
      <c r="K75" s="1772">
        <v>6.06</v>
      </c>
      <c r="L75" s="1770">
        <v>6.06</v>
      </c>
      <c r="M75" s="1770" t="s">
        <v>64</v>
      </c>
      <c r="N75" s="1770" t="s">
        <v>64</v>
      </c>
      <c r="O75" s="1770" t="s">
        <v>64</v>
      </c>
      <c r="P75" s="1770" t="s">
        <v>64</v>
      </c>
      <c r="Q75" s="1755"/>
      <c r="R75" s="1755"/>
    </row>
    <row r="76" spans="1:18">
      <c r="A76" s="1772">
        <v>7.01</v>
      </c>
      <c r="B76" s="1772">
        <v>7.01</v>
      </c>
      <c r="C76" s="1772">
        <v>7.01</v>
      </c>
      <c r="D76" s="1772">
        <v>7.01</v>
      </c>
      <c r="E76" s="1767">
        <v>7.01</v>
      </c>
      <c r="F76" s="1767">
        <v>7.01</v>
      </c>
      <c r="G76" s="1767">
        <v>7.01</v>
      </c>
      <c r="H76" s="1772">
        <v>7.01</v>
      </c>
      <c r="I76" s="1772">
        <v>7.01</v>
      </c>
      <c r="J76" s="1772">
        <v>7.01</v>
      </c>
      <c r="K76" s="1772">
        <v>7.01</v>
      </c>
      <c r="L76" s="1770">
        <v>7.01</v>
      </c>
      <c r="M76" s="1770" t="s">
        <v>65</v>
      </c>
      <c r="N76" s="1770" t="s">
        <v>65</v>
      </c>
      <c r="O76" s="1770" t="s">
        <v>65</v>
      </c>
      <c r="P76" s="1770" t="s">
        <v>65</v>
      </c>
      <c r="Q76" s="1755"/>
      <c r="R76" s="1755"/>
    </row>
    <row r="77" spans="1:18">
      <c r="A77" s="1772">
        <v>7.02</v>
      </c>
      <c r="B77" s="1772">
        <v>7.02</v>
      </c>
      <c r="C77" s="1772">
        <v>7.02</v>
      </c>
      <c r="D77" s="1772">
        <v>7.02</v>
      </c>
      <c r="E77" s="1772">
        <v>7.02</v>
      </c>
      <c r="F77" s="1772">
        <v>7.02</v>
      </c>
      <c r="G77" s="1772">
        <v>7.02</v>
      </c>
      <c r="H77" s="1772">
        <v>7.02</v>
      </c>
      <c r="I77" s="1772">
        <v>7.02</v>
      </c>
      <c r="J77" s="1772">
        <v>7.02</v>
      </c>
      <c r="K77" s="1772">
        <v>7.02</v>
      </c>
      <c r="L77" s="1770">
        <v>7.02</v>
      </c>
      <c r="M77" s="1770" t="s">
        <v>66</v>
      </c>
      <c r="N77" s="1770" t="s">
        <v>66</v>
      </c>
      <c r="O77" s="1770" t="s">
        <v>66</v>
      </c>
      <c r="P77" s="1770" t="s">
        <v>66</v>
      </c>
      <c r="Q77" s="1755"/>
      <c r="R77" s="1755"/>
    </row>
    <row r="78" spans="1:18">
      <c r="A78" s="1772">
        <v>7.03</v>
      </c>
      <c r="B78" s="1772">
        <v>7.03</v>
      </c>
      <c r="C78" s="1772">
        <v>7.03</v>
      </c>
      <c r="D78" s="1772">
        <v>7.03</v>
      </c>
      <c r="E78" s="1772">
        <v>7.03</v>
      </c>
      <c r="F78" s="1772">
        <v>7.03</v>
      </c>
      <c r="G78" s="1772">
        <v>7.03</v>
      </c>
      <c r="H78" s="1772">
        <v>7.03</v>
      </c>
      <c r="I78" s="1772">
        <v>7.03</v>
      </c>
      <c r="J78" s="1772">
        <v>7.03</v>
      </c>
      <c r="K78" s="1772">
        <v>7.03</v>
      </c>
      <c r="L78" s="1770">
        <v>7.03</v>
      </c>
      <c r="M78" s="1770" t="s">
        <v>67</v>
      </c>
      <c r="N78" s="1770" t="s">
        <v>67</v>
      </c>
      <c r="O78" s="1770" t="s">
        <v>67</v>
      </c>
      <c r="P78" s="1770" t="s">
        <v>67</v>
      </c>
      <c r="Q78" s="1755"/>
      <c r="R78" s="1755"/>
    </row>
    <row r="79" spans="1:18">
      <c r="A79" s="1771">
        <v>7.04</v>
      </c>
      <c r="B79" s="1771">
        <v>7.04</v>
      </c>
      <c r="C79" s="1771">
        <v>7.04</v>
      </c>
      <c r="D79" s="1771">
        <v>7.04</v>
      </c>
      <c r="E79" s="1772">
        <v>7.04</v>
      </c>
      <c r="F79" s="1772">
        <v>7.04</v>
      </c>
      <c r="G79" s="1772">
        <v>7.04</v>
      </c>
      <c r="H79" s="1772">
        <v>7.04</v>
      </c>
      <c r="I79" s="1772">
        <v>7.04</v>
      </c>
      <c r="J79" s="1772">
        <v>7.04</v>
      </c>
      <c r="K79" s="1772">
        <v>7.04</v>
      </c>
      <c r="L79" s="1770">
        <v>7.04</v>
      </c>
      <c r="M79" s="1770" t="s">
        <v>68</v>
      </c>
      <c r="N79" s="1770" t="s">
        <v>68</v>
      </c>
      <c r="O79" s="1770" t="s">
        <v>68</v>
      </c>
      <c r="P79" s="1770" t="s">
        <v>68</v>
      </c>
      <c r="Q79" s="1755"/>
      <c r="R79" s="1755"/>
    </row>
    <row r="80" spans="1:18">
      <c r="A80" s="1771">
        <v>7.05</v>
      </c>
      <c r="B80" s="1771">
        <v>7.05</v>
      </c>
      <c r="C80" s="1771">
        <v>7.05</v>
      </c>
      <c r="D80" s="1771">
        <v>7.05</v>
      </c>
      <c r="E80" s="1772">
        <v>7.05</v>
      </c>
      <c r="F80" s="1772">
        <v>7.05</v>
      </c>
      <c r="G80" s="1772">
        <v>7.05</v>
      </c>
      <c r="H80" s="1772">
        <v>7.05</v>
      </c>
      <c r="I80" s="1772">
        <v>7.05</v>
      </c>
      <c r="J80" s="1772">
        <v>7.05</v>
      </c>
      <c r="K80" s="1772">
        <v>7.05</v>
      </c>
      <c r="L80" s="1770">
        <v>7.05</v>
      </c>
      <c r="M80" s="1770" t="s">
        <v>69</v>
      </c>
      <c r="N80" s="1770" t="s">
        <v>69</v>
      </c>
      <c r="O80" s="1770" t="s">
        <v>69</v>
      </c>
      <c r="P80" s="1770" t="s">
        <v>69</v>
      </c>
      <c r="Q80" s="1755"/>
      <c r="R80" s="1755"/>
    </row>
    <row r="81" spans="1:18">
      <c r="A81" s="1771">
        <v>8.01</v>
      </c>
      <c r="B81" s="1771">
        <v>8.01</v>
      </c>
      <c r="C81" s="1771">
        <v>8.01</v>
      </c>
      <c r="D81" s="1771">
        <v>8.01</v>
      </c>
      <c r="E81" s="1772">
        <v>8.01</v>
      </c>
      <c r="F81" s="1772">
        <v>8.01</v>
      </c>
      <c r="G81" s="1772">
        <v>8.01</v>
      </c>
      <c r="H81" s="1767">
        <v>8.01</v>
      </c>
      <c r="I81" s="1767">
        <v>8.01</v>
      </c>
      <c r="J81" s="1767">
        <v>8.01</v>
      </c>
      <c r="K81" s="1767">
        <v>8.01</v>
      </c>
      <c r="L81" s="1769">
        <v>8.01</v>
      </c>
      <c r="M81" s="1770" t="s">
        <v>129</v>
      </c>
      <c r="N81" s="1770" t="s">
        <v>129</v>
      </c>
      <c r="O81" s="1770" t="s">
        <v>129</v>
      </c>
      <c r="P81" s="1770" t="s">
        <v>129</v>
      </c>
      <c r="Q81" s="1755"/>
      <c r="R81" s="1755"/>
    </row>
    <row r="82" spans="1:18">
      <c r="A82" s="1771">
        <v>8.02</v>
      </c>
      <c r="B82" s="1771">
        <v>8.02</v>
      </c>
      <c r="C82" s="1771">
        <v>8.02</v>
      </c>
      <c r="D82" s="1771">
        <v>8.02</v>
      </c>
      <c r="E82" s="1764">
        <v>8.02</v>
      </c>
      <c r="F82" s="1764">
        <v>8.02</v>
      </c>
      <c r="G82" s="1764">
        <v>8.02</v>
      </c>
      <c r="H82" s="1767">
        <v>1.01</v>
      </c>
      <c r="I82" s="1767">
        <v>1.01</v>
      </c>
      <c r="J82" s="1767">
        <v>1.01</v>
      </c>
      <c r="K82" s="1767">
        <v>1.01</v>
      </c>
      <c r="L82" s="1769">
        <v>1.01</v>
      </c>
      <c r="M82" s="1773" t="s">
        <v>30</v>
      </c>
      <c r="N82" s="1773" t="s">
        <v>30</v>
      </c>
      <c r="O82" s="1773" t="s">
        <v>30</v>
      </c>
      <c r="P82" s="1773" t="s">
        <v>30</v>
      </c>
      <c r="Q82" s="1755"/>
      <c r="R82" s="1755"/>
    </row>
    <row r="83" spans="1:18">
      <c r="A83" s="1771">
        <v>8.0299999999999994</v>
      </c>
      <c r="B83" s="1771">
        <v>8.0299999999999994</v>
      </c>
      <c r="C83" s="1771">
        <v>8.0299999999999994</v>
      </c>
      <c r="D83" s="1771">
        <v>8.0299999999999994</v>
      </c>
      <c r="E83" s="1772">
        <v>8.0299999999999994</v>
      </c>
      <c r="F83" s="1772">
        <v>8.0299999999999994</v>
      </c>
      <c r="G83" s="1772">
        <v>8.0299999999999994</v>
      </c>
      <c r="H83" s="1767">
        <v>8.0299999999999994</v>
      </c>
      <c r="I83" s="1767">
        <v>8.0299999999999994</v>
      </c>
      <c r="J83" s="1767">
        <v>8.0299999999999994</v>
      </c>
      <c r="K83" s="1767">
        <v>8.0299999999999994</v>
      </c>
      <c r="L83" s="1769">
        <v>8.0299999999999994</v>
      </c>
      <c r="M83" s="1770" t="s">
        <v>134</v>
      </c>
      <c r="N83" s="1770" t="s">
        <v>134</v>
      </c>
      <c r="O83" s="1770" t="s">
        <v>134</v>
      </c>
      <c r="P83" s="1770" t="s">
        <v>134</v>
      </c>
      <c r="Q83" s="1755"/>
      <c r="R83" s="1755"/>
    </row>
    <row r="84" spans="1:18">
      <c r="A84" s="1771">
        <v>8.0399999999999991</v>
      </c>
      <c r="B84" s="1771">
        <v>8.0399999999999991</v>
      </c>
      <c r="C84" s="1771">
        <v>8.0399999999999991</v>
      </c>
      <c r="D84" s="1771">
        <v>8.0399999999999991</v>
      </c>
      <c r="E84" s="1772">
        <v>8.0399999999999991</v>
      </c>
      <c r="F84" s="1772">
        <v>8.0399999999999991</v>
      </c>
      <c r="G84" s="1772">
        <v>8.0399999999999991</v>
      </c>
      <c r="H84" s="1767">
        <v>8.0399999999999991</v>
      </c>
      <c r="I84" s="1767">
        <v>8.0399999999999991</v>
      </c>
      <c r="J84" s="1767">
        <v>8.0399999999999991</v>
      </c>
      <c r="K84" s="1767">
        <v>8.0399999999999991</v>
      </c>
      <c r="L84" s="1769">
        <v>8.0399999999999991</v>
      </c>
      <c r="M84" s="1770" t="s">
        <v>136</v>
      </c>
      <c r="N84" s="1770" t="s">
        <v>136</v>
      </c>
      <c r="O84" s="1770" t="s">
        <v>136</v>
      </c>
      <c r="P84" s="1770" t="s">
        <v>136</v>
      </c>
      <c r="Q84" s="1755"/>
      <c r="R84" s="1755"/>
    </row>
    <row r="85" spans="1:18">
      <c r="A85" s="1771">
        <v>8.0500000000000007</v>
      </c>
      <c r="B85" s="1771">
        <v>8.0500000000000007</v>
      </c>
      <c r="C85" s="1771">
        <v>8.0500000000000007</v>
      </c>
      <c r="D85" s="1771">
        <v>8.0500000000000007</v>
      </c>
      <c r="E85" s="1772">
        <v>8.0500000000000007</v>
      </c>
      <c r="F85" s="1772">
        <v>8.0500000000000007</v>
      </c>
      <c r="G85" s="1772">
        <v>8.0500000000000007</v>
      </c>
      <c r="H85" s="1767">
        <v>8.0500000000000007</v>
      </c>
      <c r="I85" s="1767">
        <v>8.0500000000000007</v>
      </c>
      <c r="J85" s="1767">
        <v>8.0500000000000007</v>
      </c>
      <c r="K85" s="1767">
        <v>8.0500000000000007</v>
      </c>
      <c r="L85" s="1769">
        <v>8.0500000000000007</v>
      </c>
      <c r="M85" s="1770" t="s">
        <v>138</v>
      </c>
      <c r="N85" s="1770" t="s">
        <v>138</v>
      </c>
      <c r="O85" s="1770" t="s">
        <v>138</v>
      </c>
      <c r="P85" s="1770" t="s">
        <v>138</v>
      </c>
      <c r="Q85" s="1755"/>
      <c r="R85" s="1755"/>
    </row>
    <row r="86" spans="1:18">
      <c r="A86" s="1771">
        <v>8.06</v>
      </c>
      <c r="B86" s="1771">
        <v>8.06</v>
      </c>
      <c r="C86" s="1771">
        <v>8.06</v>
      </c>
      <c r="D86" s="1771">
        <v>8.06</v>
      </c>
      <c r="E86" s="1772">
        <v>8.06</v>
      </c>
      <c r="F86" s="1772">
        <v>8.06</v>
      </c>
      <c r="G86" s="1772">
        <v>8.06</v>
      </c>
      <c r="H86" s="1764">
        <v>8.06</v>
      </c>
      <c r="I86" s="1764">
        <v>8.06</v>
      </c>
      <c r="J86" s="1764">
        <v>8.06</v>
      </c>
      <c r="K86" s="1764">
        <v>8.06</v>
      </c>
      <c r="L86" s="1765">
        <v>8.06</v>
      </c>
      <c r="M86" s="1768" t="s">
        <v>139</v>
      </c>
      <c r="N86" s="1768" t="s">
        <v>139</v>
      </c>
      <c r="O86" s="1768" t="s">
        <v>139</v>
      </c>
      <c r="P86" s="1768" t="s">
        <v>139</v>
      </c>
      <c r="Q86" s="1755"/>
      <c r="R86" s="1755"/>
    </row>
    <row r="87" spans="1:18">
      <c r="A87" s="1771">
        <v>8.07</v>
      </c>
      <c r="B87" s="1771">
        <v>8.07</v>
      </c>
      <c r="C87" s="1771">
        <v>8.07</v>
      </c>
      <c r="D87" s="1771">
        <v>8.07</v>
      </c>
      <c r="E87" s="1772">
        <v>8.07</v>
      </c>
      <c r="F87" s="1772">
        <v>8.07</v>
      </c>
      <c r="G87" s="1772">
        <v>8.07</v>
      </c>
      <c r="H87" s="1764">
        <v>8.07</v>
      </c>
      <c r="I87" s="1764">
        <v>8.07</v>
      </c>
      <c r="J87" s="1764">
        <v>8.07</v>
      </c>
      <c r="K87" s="1764">
        <v>8.07</v>
      </c>
      <c r="L87" s="1765">
        <v>8.07</v>
      </c>
      <c r="M87" s="1768" t="s">
        <v>142</v>
      </c>
      <c r="N87" s="1768" t="s">
        <v>142</v>
      </c>
      <c r="O87" s="1768" t="s">
        <v>142</v>
      </c>
      <c r="P87" s="1768" t="s">
        <v>142</v>
      </c>
      <c r="Q87" s="1755"/>
      <c r="R87" s="1755"/>
    </row>
    <row r="88" spans="1:18">
      <c r="A88" s="1778">
        <v>8.08</v>
      </c>
      <c r="B88" s="1778">
        <v>8.08</v>
      </c>
      <c r="C88" s="1778">
        <v>8.08</v>
      </c>
      <c r="D88" s="1778">
        <v>8.08</v>
      </c>
      <c r="E88" s="1772">
        <v>8.08</v>
      </c>
      <c r="F88" s="1772">
        <v>8.08</v>
      </c>
      <c r="G88" s="1772">
        <v>8.08</v>
      </c>
      <c r="H88" s="1764">
        <v>8.08</v>
      </c>
      <c r="I88" s="1764">
        <v>8.08</v>
      </c>
      <c r="J88" s="1764">
        <v>8.08</v>
      </c>
      <c r="K88" s="1764">
        <v>8.08</v>
      </c>
      <c r="L88" s="1765">
        <v>8.08</v>
      </c>
      <c r="M88" s="1768" t="s">
        <v>146</v>
      </c>
      <c r="N88" s="1768" t="s">
        <v>146</v>
      </c>
      <c r="O88" s="1768" t="s">
        <v>146</v>
      </c>
      <c r="P88" s="1768" t="s">
        <v>146</v>
      </c>
      <c r="Q88" s="1755"/>
      <c r="R88" s="1755"/>
    </row>
    <row r="89" spans="1:18">
      <c r="A89" s="1778">
        <v>8.09</v>
      </c>
      <c r="B89" s="1778">
        <v>8.09</v>
      </c>
      <c r="C89" s="1778">
        <v>8.09</v>
      </c>
      <c r="D89" s="1778">
        <v>8.09</v>
      </c>
      <c r="E89" s="1772">
        <v>8.09</v>
      </c>
      <c r="F89" s="1772">
        <v>8.09</v>
      </c>
      <c r="G89" s="1772">
        <v>8.09</v>
      </c>
      <c r="H89" s="1764">
        <v>8.09</v>
      </c>
      <c r="I89" s="1764">
        <v>8.09</v>
      </c>
      <c r="J89" s="1764">
        <v>8.09</v>
      </c>
      <c r="K89" s="1764">
        <v>8.09</v>
      </c>
      <c r="L89" s="1765">
        <v>8.09</v>
      </c>
      <c r="M89" s="1768" t="s">
        <v>144</v>
      </c>
      <c r="N89" s="1768" t="s">
        <v>144</v>
      </c>
      <c r="O89" s="1768" t="s">
        <v>144</v>
      </c>
      <c r="P89" s="1768" t="s">
        <v>144</v>
      </c>
      <c r="Q89" s="1755"/>
      <c r="R89" s="1755"/>
    </row>
    <row r="90" spans="1:18">
      <c r="A90" s="1777" t="s">
        <v>42</v>
      </c>
      <c r="B90" s="1777" t="s">
        <v>42</v>
      </c>
      <c r="C90" s="1777" t="s">
        <v>42</v>
      </c>
      <c r="D90" s="1777" t="s">
        <v>42</v>
      </c>
      <c r="E90" s="1772" t="s">
        <v>42</v>
      </c>
      <c r="F90" s="1772" t="s">
        <v>42</v>
      </c>
      <c r="G90" s="1772" t="s">
        <v>42</v>
      </c>
      <c r="H90" s="1764">
        <v>8.1</v>
      </c>
      <c r="I90" s="1764">
        <v>8.1</v>
      </c>
      <c r="J90" s="1764">
        <v>8.1</v>
      </c>
      <c r="K90" s="1764">
        <v>8.1</v>
      </c>
      <c r="L90" s="1765">
        <v>8.1</v>
      </c>
      <c r="M90" s="1768" t="s">
        <v>145</v>
      </c>
      <c r="N90" s="1768" t="s">
        <v>145</v>
      </c>
      <c r="O90" s="1768" t="s">
        <v>145</v>
      </c>
      <c r="P90" s="1768" t="s">
        <v>145</v>
      </c>
      <c r="Q90" s="1755"/>
      <c r="R90" s="1755"/>
    </row>
    <row r="91" spans="1:18">
      <c r="A91" s="1777" t="s">
        <v>43</v>
      </c>
      <c r="B91" s="1777" t="s">
        <v>43</v>
      </c>
      <c r="C91" s="1777" t="s">
        <v>43</v>
      </c>
      <c r="D91" s="1777" t="s">
        <v>43</v>
      </c>
      <c r="E91" s="1772" t="s">
        <v>43</v>
      </c>
      <c r="F91" s="1772" t="s">
        <v>43</v>
      </c>
      <c r="G91" s="1772" t="s">
        <v>43</v>
      </c>
      <c r="H91" s="1767">
        <v>8.11</v>
      </c>
      <c r="I91" s="1767">
        <v>8.11</v>
      </c>
      <c r="J91" s="1767" t="s">
        <v>30</v>
      </c>
      <c r="K91" s="1767" t="s">
        <v>30</v>
      </c>
      <c r="L91" s="1767" t="s">
        <v>30</v>
      </c>
      <c r="M91" s="1767" t="s">
        <v>30</v>
      </c>
      <c r="N91" s="1767" t="s">
        <v>30</v>
      </c>
      <c r="O91" s="1764" t="s">
        <v>30</v>
      </c>
      <c r="P91" s="1764" t="s">
        <v>30</v>
      </c>
      <c r="Q91" s="1755"/>
      <c r="R91" s="1755"/>
    </row>
    <row r="92" spans="1:18">
      <c r="A92" s="1778">
        <v>8.1199999999999992</v>
      </c>
      <c r="B92" s="1778">
        <v>8.1199999999999992</v>
      </c>
      <c r="C92" s="1778">
        <v>8.1199999999999992</v>
      </c>
      <c r="D92" s="1778">
        <v>8.1199999999999992</v>
      </c>
      <c r="E92" s="1772">
        <v>8.1199999999999992</v>
      </c>
      <c r="F92" s="1772">
        <v>8.1199999999999992</v>
      </c>
      <c r="G92" s="1772">
        <v>8.1199999999999992</v>
      </c>
      <c r="H92" s="1767">
        <v>8.02</v>
      </c>
      <c r="I92" s="1767">
        <v>8.1199999999999992</v>
      </c>
      <c r="J92" s="1767" t="s">
        <v>30</v>
      </c>
      <c r="K92" s="1767" t="s">
        <v>30</v>
      </c>
      <c r="L92" s="1767" t="s">
        <v>30</v>
      </c>
      <c r="M92" s="1767" t="s">
        <v>30</v>
      </c>
      <c r="N92" s="1767" t="s">
        <v>30</v>
      </c>
      <c r="O92" s="1767" t="s">
        <v>30</v>
      </c>
      <c r="P92" s="1767" t="s">
        <v>30</v>
      </c>
      <c r="Q92" s="1755"/>
      <c r="R92" s="1755"/>
    </row>
    <row r="93" spans="1:18">
      <c r="A93" s="1778">
        <v>9.01</v>
      </c>
      <c r="B93" s="1778">
        <v>9.09</v>
      </c>
      <c r="C93" s="1778">
        <v>9.09</v>
      </c>
      <c r="D93" s="1778">
        <v>9.09</v>
      </c>
      <c r="E93" s="1767">
        <v>9.09</v>
      </c>
      <c r="F93" s="1767">
        <v>9.09</v>
      </c>
      <c r="G93" s="1767">
        <v>9.09</v>
      </c>
      <c r="H93" s="1767">
        <v>9.09</v>
      </c>
      <c r="I93" s="1767">
        <v>9.09</v>
      </c>
      <c r="J93" s="1767">
        <v>9.09</v>
      </c>
      <c r="K93" s="1767">
        <v>9.09</v>
      </c>
      <c r="L93" s="1769">
        <v>9.09</v>
      </c>
      <c r="M93" s="1770" t="s">
        <v>59</v>
      </c>
      <c r="N93" s="1770" t="s">
        <v>59</v>
      </c>
      <c r="O93" s="1770" t="s">
        <v>59</v>
      </c>
      <c r="P93" s="1770" t="s">
        <v>29</v>
      </c>
      <c r="Q93" s="1755"/>
      <c r="R93" s="1755"/>
    </row>
    <row r="94" spans="1:18">
      <c r="A94" s="1778">
        <v>9.02</v>
      </c>
      <c r="B94" s="1778" t="s">
        <v>22</v>
      </c>
      <c r="C94" s="1778" t="s">
        <v>22</v>
      </c>
      <c r="D94" s="1778" t="s">
        <v>22</v>
      </c>
      <c r="E94" s="1767" t="s">
        <v>22</v>
      </c>
      <c r="F94" s="1767" t="s">
        <v>22</v>
      </c>
      <c r="G94" s="1767" t="s">
        <v>22</v>
      </c>
      <c r="H94" s="1775" t="s">
        <v>22</v>
      </c>
      <c r="I94" s="1767">
        <v>9.09</v>
      </c>
      <c r="J94" s="1767">
        <v>9.09</v>
      </c>
      <c r="K94" s="1775" t="s">
        <v>22</v>
      </c>
      <c r="L94" s="1769">
        <v>9.08</v>
      </c>
      <c r="M94" s="1770" t="s">
        <v>24</v>
      </c>
      <c r="N94" s="1770" t="s">
        <v>21</v>
      </c>
      <c r="O94" s="1770" t="s">
        <v>21</v>
      </c>
      <c r="P94" s="1770" t="s">
        <v>20</v>
      </c>
      <c r="Q94" s="1755"/>
      <c r="R94" s="1755"/>
    </row>
    <row r="95" spans="1:18">
      <c r="A95" s="1778">
        <v>9.0299999999999994</v>
      </c>
      <c r="B95" s="1778">
        <v>9.11</v>
      </c>
      <c r="C95" s="1778">
        <v>9.11</v>
      </c>
      <c r="D95" s="1778">
        <v>9.11</v>
      </c>
      <c r="E95" s="1764">
        <v>9.11</v>
      </c>
      <c r="F95" s="1764">
        <v>9.11</v>
      </c>
      <c r="G95" s="1764">
        <v>9.11</v>
      </c>
      <c r="H95" s="1767">
        <v>9.11</v>
      </c>
      <c r="I95" s="1767">
        <v>9.11</v>
      </c>
      <c r="J95" s="1767">
        <v>9.11</v>
      </c>
      <c r="K95" s="1767">
        <v>9.11</v>
      </c>
      <c r="L95" s="1769">
        <v>9.11</v>
      </c>
      <c r="M95" s="1773" t="s">
        <v>30</v>
      </c>
      <c r="N95" s="1773" t="s">
        <v>30</v>
      </c>
      <c r="O95" s="1773" t="s">
        <v>30</v>
      </c>
      <c r="P95" s="1773" t="s">
        <v>30</v>
      </c>
      <c r="Q95" s="1755"/>
      <c r="R95" s="1755"/>
    </row>
    <row r="96" spans="1:18">
      <c r="A96" s="1778">
        <v>9.0399999999999991</v>
      </c>
      <c r="B96" s="1778">
        <v>9.1199999999999992</v>
      </c>
      <c r="C96" s="1778">
        <v>9.1199999999999992</v>
      </c>
      <c r="D96" s="1778">
        <v>9.1199999999999992</v>
      </c>
      <c r="E96" s="1764">
        <v>9.1199999999999992</v>
      </c>
      <c r="F96" s="1764">
        <v>9.1199999999999992</v>
      </c>
      <c r="G96" s="1764">
        <v>9.1199999999999992</v>
      </c>
      <c r="H96" s="1767">
        <v>9.1199999999999992</v>
      </c>
      <c r="I96" s="1767">
        <v>9.1199999999999992</v>
      </c>
      <c r="J96" s="1767">
        <v>9.1199999999999992</v>
      </c>
      <c r="K96" s="1767">
        <v>9.1199999999999992</v>
      </c>
      <c r="L96" s="1769">
        <v>9.0399999999999991</v>
      </c>
      <c r="M96" s="1770" t="s">
        <v>113</v>
      </c>
      <c r="N96" s="1770" t="s">
        <v>113</v>
      </c>
      <c r="O96" s="1770" t="s">
        <v>113</v>
      </c>
      <c r="P96" s="1770" t="s">
        <v>112</v>
      </c>
      <c r="Q96" s="1755"/>
      <c r="R96" s="1755"/>
    </row>
    <row r="97" spans="1:18">
      <c r="A97" s="1778">
        <v>9.0500000000000007</v>
      </c>
      <c r="B97" s="1778">
        <v>9.1300000000000008</v>
      </c>
      <c r="C97" s="1778">
        <v>9.1300000000000008</v>
      </c>
      <c r="D97" s="1778">
        <v>9.1300000000000008</v>
      </c>
      <c r="E97" s="1764">
        <v>9.1300000000000008</v>
      </c>
      <c r="F97" s="1764">
        <v>9.1300000000000008</v>
      </c>
      <c r="G97" s="1764">
        <v>9.1300000000000008</v>
      </c>
      <c r="H97" s="1767">
        <v>9.1300000000000008</v>
      </c>
      <c r="I97" s="1767">
        <v>9.1300000000000008</v>
      </c>
      <c r="J97" s="1767">
        <v>9.1300000000000008</v>
      </c>
      <c r="K97" s="1767">
        <v>9.1300000000000008</v>
      </c>
      <c r="L97" s="1769">
        <v>9.0500000000000007</v>
      </c>
      <c r="M97" s="1770" t="s">
        <v>115</v>
      </c>
      <c r="N97" s="1770" t="s">
        <v>115</v>
      </c>
      <c r="O97" s="1770" t="s">
        <v>115</v>
      </c>
      <c r="P97" s="1770" t="s">
        <v>114</v>
      </c>
      <c r="Q97" s="1755"/>
      <c r="R97" s="1755"/>
    </row>
    <row r="98" spans="1:18">
      <c r="A98" s="1778">
        <v>9.06</v>
      </c>
      <c r="B98" s="1778">
        <v>9.14</v>
      </c>
      <c r="C98" s="1778">
        <v>9.14</v>
      </c>
      <c r="D98" s="1778">
        <v>9.14</v>
      </c>
      <c r="E98" s="1764">
        <v>9.14</v>
      </c>
      <c r="F98" s="1764">
        <v>9.14</v>
      </c>
      <c r="G98" s="1764">
        <v>9.14</v>
      </c>
      <c r="H98" s="1767">
        <v>9.14</v>
      </c>
      <c r="I98" s="1767">
        <v>9.14</v>
      </c>
      <c r="J98" s="1767">
        <v>9.14</v>
      </c>
      <c r="K98" s="1767">
        <v>9.14</v>
      </c>
      <c r="L98" s="1769">
        <v>9.06</v>
      </c>
      <c r="M98" s="1770" t="s">
        <v>111</v>
      </c>
      <c r="N98" s="1770" t="s">
        <v>111</v>
      </c>
      <c r="O98" s="1770" t="s">
        <v>111</v>
      </c>
      <c r="P98" s="1770" t="s">
        <v>110</v>
      </c>
      <c r="Q98" s="1755"/>
      <c r="R98" s="1755"/>
    </row>
    <row r="99" spans="1:18">
      <c r="A99" s="1771">
        <v>9.07</v>
      </c>
      <c r="B99" s="1771">
        <v>9.15</v>
      </c>
      <c r="C99" s="1771">
        <v>9.15</v>
      </c>
      <c r="D99" s="1771">
        <v>9.15</v>
      </c>
      <c r="E99" s="1764">
        <v>9.15</v>
      </c>
      <c r="F99" s="1764">
        <v>9.15</v>
      </c>
      <c r="G99" s="1764">
        <v>9.15</v>
      </c>
      <c r="H99" s="1767">
        <v>1.41</v>
      </c>
      <c r="I99" s="1767" t="s">
        <v>30</v>
      </c>
      <c r="J99" s="1767" t="s">
        <v>30</v>
      </c>
      <c r="K99" s="1767" t="s">
        <v>30</v>
      </c>
      <c r="L99" s="1767" t="s">
        <v>30</v>
      </c>
      <c r="M99" s="1767" t="s">
        <v>30</v>
      </c>
      <c r="N99" s="1767" t="s">
        <v>30</v>
      </c>
      <c r="O99" s="1767" t="s">
        <v>30</v>
      </c>
      <c r="P99" s="1767" t="s">
        <v>30</v>
      </c>
      <c r="Q99" s="1755"/>
      <c r="R99" s="1755"/>
    </row>
    <row r="100" spans="1:18">
      <c r="A100" s="1771">
        <v>9.08</v>
      </c>
      <c r="B100" s="1771" t="s">
        <v>11</v>
      </c>
      <c r="C100" s="1771" t="s">
        <v>11</v>
      </c>
      <c r="D100" s="1771" t="s">
        <v>11</v>
      </c>
      <c r="E100" s="1767" t="s">
        <v>45</v>
      </c>
      <c r="F100" s="1767" t="s">
        <v>45</v>
      </c>
      <c r="G100" s="1767" t="s">
        <v>45</v>
      </c>
      <c r="H100" s="1767">
        <v>1.07</v>
      </c>
      <c r="I100" s="1767">
        <v>1.07</v>
      </c>
      <c r="J100" s="1767">
        <v>1.07</v>
      </c>
      <c r="K100" s="1767">
        <v>1.07</v>
      </c>
      <c r="L100" s="1769">
        <v>1.07</v>
      </c>
      <c r="M100" s="1770" t="s">
        <v>170</v>
      </c>
      <c r="N100" s="1770" t="s">
        <v>170</v>
      </c>
      <c r="O100" s="1770" t="s">
        <v>170</v>
      </c>
      <c r="P100" s="1770" t="s">
        <v>170</v>
      </c>
      <c r="Q100" s="1755"/>
      <c r="R100" s="1755"/>
    </row>
    <row r="101" spans="1:18">
      <c r="A101" s="1778">
        <v>9.09</v>
      </c>
      <c r="B101" s="1778" t="s">
        <v>120</v>
      </c>
      <c r="C101" s="1778" t="s">
        <v>120</v>
      </c>
      <c r="D101" s="1778" t="s">
        <v>74</v>
      </c>
      <c r="E101" s="1767" t="s">
        <v>74</v>
      </c>
      <c r="F101" s="1767" t="s">
        <v>74</v>
      </c>
      <c r="G101" s="1767" t="s">
        <v>74</v>
      </c>
      <c r="H101" s="1767">
        <v>1.08</v>
      </c>
      <c r="I101" s="1767">
        <v>1.08</v>
      </c>
      <c r="J101" s="1767">
        <v>1.08</v>
      </c>
      <c r="K101" s="1767">
        <v>1.08</v>
      </c>
      <c r="L101" s="1769">
        <v>1.08</v>
      </c>
      <c r="M101" s="1770" t="s">
        <v>171</v>
      </c>
      <c r="N101" s="1770" t="s">
        <v>171</v>
      </c>
      <c r="O101" s="1770" t="s">
        <v>171</v>
      </c>
      <c r="P101" s="1770" t="s">
        <v>171</v>
      </c>
      <c r="Q101" s="1755"/>
      <c r="R101" s="1755"/>
    </row>
    <row r="102" spans="1:18">
      <c r="A102" s="1778" t="s">
        <v>22</v>
      </c>
      <c r="B102" s="1778">
        <v>9.17</v>
      </c>
      <c r="C102" s="1778">
        <v>9.17</v>
      </c>
      <c r="D102" s="1778">
        <v>9.17</v>
      </c>
      <c r="E102" s="1767">
        <v>9.17</v>
      </c>
      <c r="F102" s="1767">
        <v>9.17</v>
      </c>
      <c r="G102" s="1767">
        <v>9.17</v>
      </c>
      <c r="H102" s="1767">
        <v>9.17</v>
      </c>
      <c r="I102" s="1767">
        <v>9.17</v>
      </c>
      <c r="J102" s="1767">
        <v>9.17</v>
      </c>
      <c r="K102" s="1767">
        <v>9.17</v>
      </c>
      <c r="L102" s="1779" t="s">
        <v>30</v>
      </c>
      <c r="M102" s="1773" t="s">
        <v>30</v>
      </c>
      <c r="N102" s="1773" t="s">
        <v>30</v>
      </c>
      <c r="O102" s="1773" t="s">
        <v>30</v>
      </c>
      <c r="P102" s="1773" t="s">
        <v>30</v>
      </c>
      <c r="Q102" s="1755"/>
      <c r="R102" s="1755"/>
    </row>
    <row r="103" spans="1:18">
      <c r="A103" s="1778">
        <v>9.11</v>
      </c>
      <c r="B103" s="1778">
        <v>9.18</v>
      </c>
      <c r="C103" s="1778">
        <v>9.18</v>
      </c>
      <c r="D103" s="1778">
        <v>9.18</v>
      </c>
      <c r="E103" s="1767">
        <v>9.18</v>
      </c>
      <c r="F103" s="1767">
        <v>9.18</v>
      </c>
      <c r="G103" s="1767">
        <v>9.18</v>
      </c>
      <c r="H103" s="1767">
        <v>9.18</v>
      </c>
      <c r="I103" s="1767">
        <v>9.18</v>
      </c>
      <c r="J103" s="1767">
        <v>9.18</v>
      </c>
      <c r="K103" s="1767">
        <v>9.18</v>
      </c>
      <c r="L103" s="1779" t="s">
        <v>30</v>
      </c>
      <c r="M103" s="1773" t="s">
        <v>30</v>
      </c>
      <c r="N103" s="1773" t="s">
        <v>30</v>
      </c>
      <c r="O103" s="1773" t="s">
        <v>30</v>
      </c>
      <c r="P103" s="1773" t="s">
        <v>30</v>
      </c>
      <c r="Q103" s="1755"/>
      <c r="R103" s="1755"/>
    </row>
    <row r="104" spans="1:18">
      <c r="A104" s="1778">
        <v>9.1199999999999992</v>
      </c>
      <c r="B104" s="1778">
        <v>9.19</v>
      </c>
      <c r="C104" s="1778">
        <v>9.19</v>
      </c>
      <c r="D104" s="1778">
        <v>9.19</v>
      </c>
      <c r="E104" s="1767">
        <v>9.19</v>
      </c>
      <c r="F104" s="1767">
        <v>9.19</v>
      </c>
      <c r="G104" s="1767">
        <v>9.19</v>
      </c>
      <c r="H104" s="1767">
        <v>9.19</v>
      </c>
      <c r="I104" s="1767">
        <v>9.19</v>
      </c>
      <c r="J104" s="1767">
        <v>9.01</v>
      </c>
      <c r="K104" s="1767">
        <v>9.01</v>
      </c>
      <c r="L104" s="1769">
        <v>9.01</v>
      </c>
      <c r="M104" s="1773" t="s">
        <v>30</v>
      </c>
      <c r="N104" s="1773" t="s">
        <v>30</v>
      </c>
      <c r="O104" s="1773" t="s">
        <v>30</v>
      </c>
      <c r="P104" s="1773" t="s">
        <v>30</v>
      </c>
      <c r="Q104" s="1755"/>
      <c r="R104" s="1755"/>
    </row>
    <row r="105" spans="1:18">
      <c r="A105" s="1778">
        <v>9.1300000000000008</v>
      </c>
      <c r="B105" s="1778">
        <v>9.0299999999999994</v>
      </c>
      <c r="C105" s="1778">
        <v>9.0299999999999994</v>
      </c>
      <c r="D105" s="1778">
        <v>9.0299999999999994</v>
      </c>
      <c r="E105" s="1767">
        <v>9.0299999999999994</v>
      </c>
      <c r="F105" s="1767">
        <v>9.0299999999999994</v>
      </c>
      <c r="G105" s="1767">
        <v>9.0299999999999994</v>
      </c>
      <c r="H105" s="1767">
        <v>9.0299999999999994</v>
      </c>
      <c r="I105" s="1767">
        <v>9.0299999999999994</v>
      </c>
      <c r="J105" s="1767">
        <v>9.0299999999999994</v>
      </c>
      <c r="K105" s="1767">
        <v>9.0299999999999994</v>
      </c>
      <c r="L105" s="1769">
        <v>9.0299999999999994</v>
      </c>
      <c r="M105" s="1773" t="s">
        <v>30</v>
      </c>
      <c r="N105" s="1773" t="s">
        <v>30</v>
      </c>
      <c r="O105" s="1773" t="s">
        <v>30</v>
      </c>
      <c r="P105" s="1773" t="s">
        <v>30</v>
      </c>
      <c r="Q105" s="1755"/>
      <c r="R105" s="1755"/>
    </row>
    <row r="106" spans="1:18">
      <c r="A106" s="1778">
        <v>9.14</v>
      </c>
      <c r="B106" s="1778">
        <v>9.0399999999999991</v>
      </c>
      <c r="C106" s="1778">
        <v>9.0399999999999991</v>
      </c>
      <c r="D106" s="1778">
        <v>9.0399999999999991</v>
      </c>
      <c r="E106" s="1767">
        <v>9.0399999999999991</v>
      </c>
      <c r="F106" s="1767">
        <v>9.0399999999999991</v>
      </c>
      <c r="G106" s="1767">
        <v>9.0399999999999991</v>
      </c>
      <c r="H106" s="1767">
        <v>9.0399999999999991</v>
      </c>
      <c r="I106" s="1767">
        <v>9.0399999999999991</v>
      </c>
      <c r="J106" s="1767">
        <v>9.0399999999999991</v>
      </c>
      <c r="K106" s="1767">
        <v>9.0399999999999991</v>
      </c>
      <c r="L106" s="1779" t="s">
        <v>30</v>
      </c>
      <c r="M106" s="1773" t="s">
        <v>30</v>
      </c>
      <c r="N106" s="1773" t="s">
        <v>30</v>
      </c>
      <c r="O106" s="1773" t="s">
        <v>30</v>
      </c>
      <c r="P106" s="1773" t="s">
        <v>30</v>
      </c>
      <c r="Q106" s="1755"/>
      <c r="R106" s="1755"/>
    </row>
    <row r="107" spans="1:18">
      <c r="A107" s="1778">
        <v>9.15</v>
      </c>
      <c r="B107" s="1778" t="s">
        <v>30</v>
      </c>
      <c r="C107" s="1778" t="s">
        <v>30</v>
      </c>
      <c r="D107" s="1778" t="s">
        <v>30</v>
      </c>
      <c r="E107" s="1771" t="s">
        <v>30</v>
      </c>
      <c r="F107" s="1771" t="s">
        <v>30</v>
      </c>
      <c r="G107" s="1771" t="s">
        <v>30</v>
      </c>
      <c r="H107" s="1771" t="s">
        <v>30</v>
      </c>
      <c r="I107" s="1771" t="s">
        <v>30</v>
      </c>
      <c r="J107" s="1771" t="s">
        <v>30</v>
      </c>
      <c r="K107" s="1771" t="s">
        <v>30</v>
      </c>
      <c r="L107" s="1771" t="s">
        <v>30</v>
      </c>
      <c r="M107" s="1771" t="s">
        <v>30</v>
      </c>
      <c r="N107" s="1771" t="s">
        <v>30</v>
      </c>
      <c r="O107" s="1771" t="s">
        <v>30</v>
      </c>
      <c r="P107" s="1771" t="s">
        <v>30</v>
      </c>
      <c r="Q107" s="1755"/>
      <c r="R107" s="1755"/>
    </row>
    <row r="108" spans="1:18">
      <c r="A108" s="1778" t="s">
        <v>33</v>
      </c>
      <c r="B108" s="1778" t="s">
        <v>33</v>
      </c>
      <c r="C108" s="1778" t="s">
        <v>33</v>
      </c>
      <c r="D108" s="1778" t="s">
        <v>33</v>
      </c>
      <c r="E108" s="1767" t="s">
        <v>33</v>
      </c>
      <c r="F108" s="1767" t="s">
        <v>33</v>
      </c>
      <c r="G108" s="1767" t="s">
        <v>33</v>
      </c>
      <c r="H108" s="1771" t="s">
        <v>33</v>
      </c>
      <c r="I108" s="1772">
        <v>2.0099999999999998</v>
      </c>
      <c r="J108" s="1772">
        <v>2.0099999999999998</v>
      </c>
      <c r="K108" s="1772">
        <v>2.0099999999999998</v>
      </c>
      <c r="L108" s="1772">
        <v>2.0099999999999998</v>
      </c>
      <c r="M108" s="1770" t="s">
        <v>25</v>
      </c>
      <c r="N108" s="1770" t="s">
        <v>25</v>
      </c>
      <c r="O108" s="1770" t="s">
        <v>25</v>
      </c>
      <c r="P108" s="1770" t="s">
        <v>30</v>
      </c>
      <c r="Q108" s="1755"/>
      <c r="R108" s="1755"/>
    </row>
    <row r="109" spans="1:18">
      <c r="A109" s="1778" t="s">
        <v>34</v>
      </c>
      <c r="B109" s="1778" t="s">
        <v>34</v>
      </c>
      <c r="C109" s="1778" t="s">
        <v>34</v>
      </c>
      <c r="D109" s="1778" t="s">
        <v>34</v>
      </c>
      <c r="E109" s="1775" t="s">
        <v>34</v>
      </c>
      <c r="F109" s="1775" t="s">
        <v>34</v>
      </c>
      <c r="G109" s="1775" t="s">
        <v>34</v>
      </c>
      <c r="H109" s="1771" t="s">
        <v>34</v>
      </c>
      <c r="I109" s="1772">
        <v>2.02</v>
      </c>
      <c r="J109" s="1772">
        <v>2.02</v>
      </c>
      <c r="K109" s="1772">
        <v>2.02</v>
      </c>
      <c r="L109" s="1772">
        <v>2.02</v>
      </c>
      <c r="M109" s="1770" t="s">
        <v>25</v>
      </c>
      <c r="N109" s="1770" t="s">
        <v>25</v>
      </c>
      <c r="O109" s="1770" t="s">
        <v>25</v>
      </c>
      <c r="P109" s="1770" t="s">
        <v>30</v>
      </c>
      <c r="Q109" s="1755"/>
      <c r="R109" s="1755"/>
    </row>
    <row r="110" spans="1:18">
      <c r="A110" s="1778" t="s">
        <v>35</v>
      </c>
      <c r="B110" s="1778" t="s">
        <v>35</v>
      </c>
      <c r="C110" s="1778" t="s">
        <v>35</v>
      </c>
      <c r="D110" s="1778" t="s">
        <v>35</v>
      </c>
      <c r="E110" s="1767" t="s">
        <v>35</v>
      </c>
      <c r="F110" s="1767" t="s">
        <v>35</v>
      </c>
      <c r="G110" s="1767" t="s">
        <v>35</v>
      </c>
      <c r="H110" s="1775" t="s">
        <v>35</v>
      </c>
      <c r="I110" s="1767">
        <v>2.13</v>
      </c>
      <c r="J110" s="1767" t="s">
        <v>30</v>
      </c>
      <c r="K110" s="1767" t="s">
        <v>30</v>
      </c>
      <c r="L110" s="1767" t="s">
        <v>30</v>
      </c>
      <c r="M110" s="1767" t="s">
        <v>30</v>
      </c>
      <c r="N110" s="1767" t="s">
        <v>30</v>
      </c>
      <c r="O110" s="1767" t="s">
        <v>30</v>
      </c>
      <c r="P110" s="1767" t="s">
        <v>30</v>
      </c>
      <c r="Q110" s="1755"/>
      <c r="R110" s="1755"/>
    </row>
    <row r="111" spans="1:18">
      <c r="A111" s="1764">
        <v>10.039999999999999</v>
      </c>
      <c r="B111" s="1764">
        <v>10.039999999999999</v>
      </c>
      <c r="C111" s="1764">
        <v>10.039999999999999</v>
      </c>
      <c r="D111" s="1764">
        <v>11.16</v>
      </c>
      <c r="E111" s="1771">
        <v>11.16</v>
      </c>
      <c r="F111" s="1771">
        <v>11.16</v>
      </c>
      <c r="G111" s="1771">
        <v>11.16</v>
      </c>
      <c r="H111" s="1772">
        <v>2.0299999999999998</v>
      </c>
      <c r="I111" s="1772">
        <v>2.0299999999999998</v>
      </c>
      <c r="J111" s="1772">
        <v>2.0299999999999998</v>
      </c>
      <c r="K111" s="1772">
        <v>2.0299999999999998</v>
      </c>
      <c r="L111" s="1770">
        <v>2.0299999999999998</v>
      </c>
      <c r="M111" s="1770" t="s">
        <v>186</v>
      </c>
      <c r="N111" s="1770" t="s">
        <v>186</v>
      </c>
      <c r="O111" s="1770" t="s">
        <v>186</v>
      </c>
      <c r="P111" s="1770" t="s">
        <v>30</v>
      </c>
      <c r="Q111" s="1755"/>
      <c r="R111" s="1755"/>
    </row>
    <row r="112" spans="1:18">
      <c r="A112" s="1777">
        <v>10.050000000000001</v>
      </c>
      <c r="B112" s="1777">
        <v>10.050000000000001</v>
      </c>
      <c r="C112" s="1777">
        <v>10.050000000000001</v>
      </c>
      <c r="D112" s="1777">
        <v>2.0699999999999998</v>
      </c>
      <c r="E112" s="1772">
        <v>2.0699999999999998</v>
      </c>
      <c r="F112" s="1772">
        <v>2.0699999999999998</v>
      </c>
      <c r="G112" s="1772">
        <v>2.0699999999999998</v>
      </c>
      <c r="H112" s="1772">
        <v>2.0699999999999998</v>
      </c>
      <c r="I112" s="1772">
        <v>2.0699999999999998</v>
      </c>
      <c r="J112" s="1772">
        <v>2.0699999999999998</v>
      </c>
      <c r="K112" s="1772">
        <v>2.0699999999999998</v>
      </c>
      <c r="L112" s="1770">
        <v>2.0699999999999998</v>
      </c>
      <c r="M112" s="1770" t="s">
        <v>23</v>
      </c>
      <c r="N112" s="1770" t="s">
        <v>23</v>
      </c>
      <c r="O112" s="1770" t="s">
        <v>17</v>
      </c>
      <c r="P112" s="1770" t="s">
        <v>30</v>
      </c>
      <c r="Q112" s="1755"/>
      <c r="R112" s="1755"/>
    </row>
    <row r="113" spans="1:18">
      <c r="A113" s="1778">
        <v>11.01</v>
      </c>
      <c r="B113" s="1778">
        <v>11.01</v>
      </c>
      <c r="C113" s="1778">
        <v>11.01</v>
      </c>
      <c r="D113" s="1778">
        <v>11.01</v>
      </c>
      <c r="E113" s="1767">
        <v>11.01</v>
      </c>
      <c r="F113" s="1767">
        <v>11.01</v>
      </c>
      <c r="G113" s="1767">
        <v>11.01</v>
      </c>
      <c r="H113" s="1767">
        <v>1.42</v>
      </c>
      <c r="I113" s="1767">
        <v>1.42</v>
      </c>
      <c r="J113" s="1767">
        <v>1.42</v>
      </c>
      <c r="K113" s="1767">
        <v>1.42</v>
      </c>
      <c r="L113" s="1769">
        <v>8.02</v>
      </c>
      <c r="M113" s="1770" t="s">
        <v>132</v>
      </c>
      <c r="N113" s="1770" t="s">
        <v>132</v>
      </c>
      <c r="O113" s="1770" t="s">
        <v>132</v>
      </c>
      <c r="P113" s="1770" t="s">
        <v>132</v>
      </c>
      <c r="Q113" s="1755"/>
      <c r="R113" s="1755"/>
    </row>
    <row r="114" spans="1:18">
      <c r="A114" s="1778">
        <v>11.02</v>
      </c>
      <c r="B114" s="1778">
        <v>11.02</v>
      </c>
      <c r="C114" s="1778">
        <v>11.02</v>
      </c>
      <c r="D114" s="1778">
        <v>11.02</v>
      </c>
      <c r="E114" s="1767">
        <v>11.02</v>
      </c>
      <c r="F114" s="1767">
        <v>11.02</v>
      </c>
      <c r="G114" s="1767">
        <v>11.02</v>
      </c>
      <c r="H114" s="1767">
        <v>1.02</v>
      </c>
      <c r="I114" s="1767">
        <v>1.02</v>
      </c>
      <c r="J114" s="1767">
        <v>1.02</v>
      </c>
      <c r="K114" s="1767">
        <v>1.02</v>
      </c>
      <c r="L114" s="1769">
        <v>1.02</v>
      </c>
      <c r="M114" s="1773" t="s">
        <v>30</v>
      </c>
      <c r="N114" s="1773" t="s">
        <v>30</v>
      </c>
      <c r="O114" s="1773" t="s">
        <v>30</v>
      </c>
      <c r="P114" s="1773" t="s">
        <v>30</v>
      </c>
      <c r="Q114" s="1755"/>
      <c r="R114" s="1755"/>
    </row>
    <row r="115" spans="1:18">
      <c r="A115" s="1778">
        <v>11.03</v>
      </c>
      <c r="B115" s="1778">
        <v>11.03</v>
      </c>
      <c r="C115" s="1778">
        <v>11.03</v>
      </c>
      <c r="D115" s="1778">
        <v>11.03</v>
      </c>
      <c r="E115" s="1767">
        <v>11.03</v>
      </c>
      <c r="F115" s="1767">
        <v>11.03</v>
      </c>
      <c r="G115" s="1767">
        <v>11.03</v>
      </c>
      <c r="H115" s="1767">
        <v>1.03</v>
      </c>
      <c r="I115" s="1767">
        <v>1.03</v>
      </c>
      <c r="J115" s="1767">
        <v>1.03</v>
      </c>
      <c r="K115" s="1767">
        <v>1.03</v>
      </c>
      <c r="L115" s="1769">
        <v>1.03</v>
      </c>
      <c r="M115" s="1770" t="s">
        <v>150</v>
      </c>
      <c r="N115" s="1770" t="s">
        <v>150</v>
      </c>
      <c r="O115" s="1770" t="s">
        <v>150</v>
      </c>
      <c r="P115" s="1770" t="s">
        <v>150</v>
      </c>
      <c r="Q115" s="1755"/>
      <c r="R115" s="1755"/>
    </row>
    <row r="116" spans="1:18">
      <c r="A116" s="1777">
        <v>11.04</v>
      </c>
      <c r="B116" s="1777">
        <v>11.04</v>
      </c>
      <c r="C116" s="1777">
        <v>11.04</v>
      </c>
      <c r="D116" s="1777" t="s">
        <v>30</v>
      </c>
      <c r="E116" s="1772" t="s">
        <v>30</v>
      </c>
      <c r="F116" s="1772" t="s">
        <v>30</v>
      </c>
      <c r="G116" s="1772" t="s">
        <v>30</v>
      </c>
      <c r="H116" s="1772" t="s">
        <v>30</v>
      </c>
      <c r="I116" s="1772" t="s">
        <v>30</v>
      </c>
      <c r="J116" s="1772" t="s">
        <v>30</v>
      </c>
      <c r="K116" s="1772" t="s">
        <v>30</v>
      </c>
      <c r="L116" s="1772" t="s">
        <v>30</v>
      </c>
      <c r="M116" s="1772" t="s">
        <v>30</v>
      </c>
      <c r="N116" s="1772" t="s">
        <v>30</v>
      </c>
      <c r="O116" s="1772" t="s">
        <v>30</v>
      </c>
      <c r="P116" s="1772" t="s">
        <v>30</v>
      </c>
      <c r="Q116" s="1755"/>
      <c r="R116" s="1755"/>
    </row>
    <row r="117" spans="1:18">
      <c r="A117" s="1778">
        <v>11.05</v>
      </c>
      <c r="B117" s="1778">
        <v>11.05</v>
      </c>
      <c r="C117" s="1778">
        <v>11.05</v>
      </c>
      <c r="D117" s="1778">
        <v>11.05</v>
      </c>
      <c r="E117" s="1767">
        <v>11.05</v>
      </c>
      <c r="F117" s="1767">
        <v>11.05</v>
      </c>
      <c r="G117" s="1767">
        <v>11.05</v>
      </c>
      <c r="H117" s="1767">
        <v>1.05</v>
      </c>
      <c r="I117" s="1767">
        <v>1.05</v>
      </c>
      <c r="J117" s="1767">
        <v>1.05</v>
      </c>
      <c r="K117" s="1767">
        <v>1.05</v>
      </c>
      <c r="L117" s="1769">
        <v>1.05</v>
      </c>
      <c r="M117" s="1770" t="s">
        <v>154</v>
      </c>
      <c r="N117" s="1770" t="s">
        <v>154</v>
      </c>
      <c r="O117" s="1770" t="s">
        <v>154</v>
      </c>
      <c r="P117" s="1770" t="s">
        <v>154</v>
      </c>
      <c r="Q117" s="1755"/>
      <c r="R117" s="1755"/>
    </row>
    <row r="118" spans="1:18">
      <c r="A118" s="1778">
        <v>11.06</v>
      </c>
      <c r="B118" s="1778">
        <v>11.06</v>
      </c>
      <c r="C118" s="1778">
        <v>11.06</v>
      </c>
      <c r="D118" s="1778">
        <v>11.06</v>
      </c>
      <c r="E118" s="1767">
        <v>11.06</v>
      </c>
      <c r="F118" s="1767">
        <v>11.06</v>
      </c>
      <c r="G118" s="1767">
        <v>11.06</v>
      </c>
      <c r="H118" s="1767">
        <v>1.06</v>
      </c>
      <c r="I118" s="1767">
        <v>1.06</v>
      </c>
      <c r="J118" s="1767">
        <v>1.06</v>
      </c>
      <c r="K118" s="1767">
        <v>1.06</v>
      </c>
      <c r="L118" s="1769">
        <v>1.06</v>
      </c>
      <c r="M118" s="1770" t="s">
        <v>155</v>
      </c>
      <c r="N118" s="1770" t="s">
        <v>155</v>
      </c>
      <c r="O118" s="1770" t="s">
        <v>155</v>
      </c>
      <c r="P118" s="1770" t="s">
        <v>155</v>
      </c>
      <c r="Q118" s="1755"/>
      <c r="R118" s="1755"/>
    </row>
    <row r="119" spans="1:18">
      <c r="A119" s="1778">
        <v>11.07</v>
      </c>
      <c r="B119" s="1778">
        <v>11.07</v>
      </c>
      <c r="C119" s="1778">
        <v>11.07</v>
      </c>
      <c r="D119" s="1778">
        <v>11.07</v>
      </c>
      <c r="E119" s="1767">
        <v>11.11</v>
      </c>
      <c r="F119" s="1767">
        <v>11.11</v>
      </c>
      <c r="G119" s="1767">
        <v>11.11</v>
      </c>
      <c r="H119" s="1767">
        <v>1.34</v>
      </c>
      <c r="I119" s="1767">
        <v>1.34</v>
      </c>
      <c r="J119" s="1767">
        <v>1.34</v>
      </c>
      <c r="K119" s="1767">
        <v>1.34</v>
      </c>
      <c r="L119" s="1769" t="s">
        <v>30</v>
      </c>
      <c r="M119" s="1773" t="s">
        <v>30</v>
      </c>
      <c r="N119" s="1773" t="s">
        <v>30</v>
      </c>
      <c r="O119" s="1773" t="s">
        <v>30</v>
      </c>
      <c r="P119" s="1773" t="s">
        <v>30</v>
      </c>
      <c r="Q119" s="1755"/>
      <c r="R119" s="1755"/>
    </row>
    <row r="120" spans="1:18">
      <c r="A120" s="1778">
        <v>11.08</v>
      </c>
      <c r="B120" s="1778">
        <v>11.08</v>
      </c>
      <c r="C120" s="1778">
        <v>11.08</v>
      </c>
      <c r="D120" s="1778">
        <v>11.08</v>
      </c>
      <c r="E120" s="1764">
        <v>11.08</v>
      </c>
      <c r="F120" s="1764">
        <v>11.08</v>
      </c>
      <c r="G120" s="1764">
        <v>11.08</v>
      </c>
      <c r="H120" s="1764">
        <v>1.36</v>
      </c>
      <c r="I120" s="1764">
        <v>1.36</v>
      </c>
      <c r="J120" s="1764">
        <v>1.36</v>
      </c>
      <c r="K120" s="1764">
        <v>1.36</v>
      </c>
      <c r="L120" s="1765" t="s">
        <v>30</v>
      </c>
      <c r="M120" s="1766" t="s">
        <v>30</v>
      </c>
      <c r="N120" s="1766" t="s">
        <v>30</v>
      </c>
      <c r="O120" s="1766" t="s">
        <v>30</v>
      </c>
      <c r="P120" s="1766" t="s">
        <v>30</v>
      </c>
      <c r="Q120" s="1755"/>
      <c r="R120" s="1755"/>
    </row>
    <row r="121" spans="1:18">
      <c r="A121" s="1777">
        <v>11.09</v>
      </c>
      <c r="B121" s="1777">
        <v>11.09</v>
      </c>
      <c r="C121" s="1777">
        <v>11.09</v>
      </c>
      <c r="D121" s="1777" t="s">
        <v>30</v>
      </c>
      <c r="E121" s="1772" t="s">
        <v>30</v>
      </c>
      <c r="F121" s="1772" t="s">
        <v>30</v>
      </c>
      <c r="G121" s="1772" t="s">
        <v>30</v>
      </c>
      <c r="H121" s="1772" t="s">
        <v>30</v>
      </c>
      <c r="I121" s="1772" t="s">
        <v>30</v>
      </c>
      <c r="J121" s="1772" t="s">
        <v>30</v>
      </c>
      <c r="K121" s="1772" t="s">
        <v>30</v>
      </c>
      <c r="L121" s="1772" t="s">
        <v>30</v>
      </c>
      <c r="M121" s="1772" t="s">
        <v>30</v>
      </c>
      <c r="N121" s="1772" t="s">
        <v>30</v>
      </c>
      <c r="O121" s="1772" t="s">
        <v>30</v>
      </c>
      <c r="P121" s="1772" t="s">
        <v>30</v>
      </c>
      <c r="Q121" s="1755"/>
      <c r="R121" s="1755"/>
    </row>
    <row r="122" spans="1:18">
      <c r="A122" s="1768" t="s">
        <v>44</v>
      </c>
      <c r="B122" s="1768" t="s">
        <v>44</v>
      </c>
      <c r="C122" s="1768" t="s">
        <v>44</v>
      </c>
      <c r="D122" s="1768" t="s">
        <v>44</v>
      </c>
      <c r="E122" s="1767">
        <v>11.17</v>
      </c>
      <c r="F122" s="1767">
        <v>11.17</v>
      </c>
      <c r="G122" s="1767">
        <v>11.17</v>
      </c>
      <c r="H122" s="1767">
        <v>1.49</v>
      </c>
      <c r="I122" s="1767">
        <v>1.49</v>
      </c>
      <c r="J122" s="1767" t="s">
        <v>30</v>
      </c>
      <c r="K122" s="1767" t="s">
        <v>30</v>
      </c>
      <c r="L122" s="1767" t="s">
        <v>30</v>
      </c>
      <c r="M122" s="1767" t="s">
        <v>30</v>
      </c>
      <c r="N122" s="1767" t="s">
        <v>30</v>
      </c>
      <c r="O122" s="1767" t="s">
        <v>30</v>
      </c>
      <c r="P122" s="1767" t="s">
        <v>30</v>
      </c>
      <c r="Q122" s="1755"/>
      <c r="R122" s="1755"/>
    </row>
    <row r="123" spans="1:18">
      <c r="A123" s="1768">
        <v>11.11</v>
      </c>
      <c r="B123" s="1768">
        <v>11.11</v>
      </c>
      <c r="C123" s="1768">
        <v>11.11</v>
      </c>
      <c r="D123" s="1768">
        <v>11.11</v>
      </c>
      <c r="E123" s="1767">
        <v>11.18</v>
      </c>
      <c r="F123" s="1767">
        <v>11.18</v>
      </c>
      <c r="G123" s="1767">
        <v>11.18</v>
      </c>
      <c r="H123" s="1767" t="s">
        <v>30</v>
      </c>
      <c r="I123" s="1767" t="s">
        <v>30</v>
      </c>
      <c r="J123" s="1767" t="s">
        <v>30</v>
      </c>
      <c r="K123" s="1767" t="s">
        <v>30</v>
      </c>
      <c r="L123" s="1767" t="s">
        <v>30</v>
      </c>
      <c r="M123" s="1767" t="s">
        <v>30</v>
      </c>
      <c r="N123" s="1767" t="s">
        <v>30</v>
      </c>
      <c r="O123" s="1767" t="s">
        <v>30</v>
      </c>
      <c r="P123" s="1767" t="s">
        <v>30</v>
      </c>
      <c r="Q123" s="1755"/>
      <c r="R123" s="1755"/>
    </row>
    <row r="124" spans="1:18">
      <c r="A124" s="1778">
        <v>11.12</v>
      </c>
      <c r="B124" s="1778">
        <v>11.12</v>
      </c>
      <c r="C124" s="1778">
        <v>11.12</v>
      </c>
      <c r="D124" s="1778">
        <v>11.12</v>
      </c>
      <c r="E124" s="1767">
        <v>11.12</v>
      </c>
      <c r="F124" s="1767">
        <v>11.12</v>
      </c>
      <c r="G124" s="1767">
        <v>11.12</v>
      </c>
      <c r="H124" s="1767">
        <v>1.48</v>
      </c>
      <c r="I124" s="1767">
        <v>1.48</v>
      </c>
      <c r="J124" s="1767" t="s">
        <v>30</v>
      </c>
      <c r="K124" s="1767" t="s">
        <v>30</v>
      </c>
      <c r="L124" s="1767" t="s">
        <v>30</v>
      </c>
      <c r="M124" s="1767" t="s">
        <v>30</v>
      </c>
      <c r="N124" s="1767" t="s">
        <v>30</v>
      </c>
      <c r="O124" s="1767" t="s">
        <v>30</v>
      </c>
      <c r="P124" s="1767" t="s">
        <v>30</v>
      </c>
      <c r="Q124" s="1755"/>
      <c r="R124" s="1755"/>
    </row>
    <row r="125" spans="1:18">
      <c r="A125" s="1778">
        <v>11.13</v>
      </c>
      <c r="B125" s="1778">
        <v>11.13</v>
      </c>
      <c r="C125" s="1778">
        <v>11.13</v>
      </c>
      <c r="D125" s="1778">
        <v>11.13</v>
      </c>
      <c r="E125" s="1767">
        <v>11.13</v>
      </c>
      <c r="F125" s="1767">
        <v>11.13</v>
      </c>
      <c r="G125" s="1767">
        <v>11.13</v>
      </c>
      <c r="H125" s="1767">
        <v>1.47</v>
      </c>
      <c r="I125" s="1767">
        <v>1.47</v>
      </c>
      <c r="J125" s="1767" t="s">
        <v>30</v>
      </c>
      <c r="K125" s="1767" t="s">
        <v>30</v>
      </c>
      <c r="L125" s="1767" t="s">
        <v>30</v>
      </c>
      <c r="M125" s="1767" t="s">
        <v>30</v>
      </c>
      <c r="N125" s="1767" t="s">
        <v>30</v>
      </c>
      <c r="O125" s="1767" t="s">
        <v>30</v>
      </c>
      <c r="P125" s="1767" t="s">
        <v>30</v>
      </c>
      <c r="Q125" s="1755"/>
      <c r="R125" s="1755"/>
    </row>
    <row r="126" spans="1:18">
      <c r="A126" s="1778">
        <v>11.14</v>
      </c>
      <c r="B126" s="1778">
        <v>11.14</v>
      </c>
      <c r="C126" s="1778">
        <v>11.14</v>
      </c>
      <c r="D126" s="1778">
        <v>11.14</v>
      </c>
      <c r="E126" s="1767">
        <v>11.14</v>
      </c>
      <c r="F126" s="1767">
        <v>11.14</v>
      </c>
      <c r="G126" s="1767">
        <v>11.14</v>
      </c>
      <c r="H126" s="1771">
        <v>2.0099999999999998</v>
      </c>
      <c r="I126" s="1772" t="s">
        <v>30</v>
      </c>
      <c r="J126" s="1772" t="s">
        <v>30</v>
      </c>
      <c r="K126" s="1772" t="s">
        <v>30</v>
      </c>
      <c r="L126" s="1772" t="s">
        <v>30</v>
      </c>
      <c r="M126" s="1772" t="s">
        <v>30</v>
      </c>
      <c r="N126" s="1772" t="s">
        <v>30</v>
      </c>
      <c r="O126" s="1772" t="s">
        <v>30</v>
      </c>
      <c r="P126" s="1772" t="s">
        <v>30</v>
      </c>
      <c r="Q126" s="1755"/>
      <c r="R126" s="1755"/>
    </row>
    <row r="127" spans="1:18">
      <c r="A127" s="1777">
        <v>11.15</v>
      </c>
      <c r="B127" s="1777">
        <v>11.15</v>
      </c>
      <c r="C127" s="1777">
        <v>11.15</v>
      </c>
      <c r="D127" s="1777">
        <v>11.15</v>
      </c>
      <c r="E127" s="1771">
        <v>11.15</v>
      </c>
      <c r="F127" s="1771">
        <v>11.15</v>
      </c>
      <c r="G127" s="1771">
        <v>11.15</v>
      </c>
      <c r="H127" s="1767">
        <v>2.02</v>
      </c>
      <c r="I127" s="1767">
        <v>2.12</v>
      </c>
      <c r="J127" s="1767">
        <v>2.12</v>
      </c>
      <c r="K127" s="1767" t="s">
        <v>30</v>
      </c>
      <c r="L127" s="1767" t="s">
        <v>30</v>
      </c>
      <c r="M127" s="1767" t="s">
        <v>30</v>
      </c>
      <c r="N127" s="1767" t="s">
        <v>30</v>
      </c>
      <c r="O127" s="1767" t="s">
        <v>30</v>
      </c>
      <c r="P127" s="1767" t="s">
        <v>30</v>
      </c>
      <c r="Q127" s="1755"/>
      <c r="R127" s="1755"/>
    </row>
    <row r="128" spans="1:18">
      <c r="A128" s="1777">
        <v>11.16</v>
      </c>
      <c r="B128" s="1777">
        <v>11.16</v>
      </c>
      <c r="C128" s="1777">
        <v>11.16</v>
      </c>
      <c r="D128" s="1777" t="s">
        <v>30</v>
      </c>
      <c r="E128" s="1772" t="s">
        <v>30</v>
      </c>
      <c r="F128" s="1772" t="s">
        <v>30</v>
      </c>
      <c r="G128" s="1772" t="s">
        <v>30</v>
      </c>
      <c r="H128" s="1772" t="s">
        <v>30</v>
      </c>
      <c r="I128" s="1772" t="s">
        <v>30</v>
      </c>
      <c r="J128" s="1772" t="s">
        <v>30</v>
      </c>
      <c r="K128" s="1772" t="s">
        <v>30</v>
      </c>
      <c r="L128" s="1772" t="s">
        <v>30</v>
      </c>
      <c r="M128" s="1772" t="s">
        <v>30</v>
      </c>
      <c r="N128" s="1772" t="s">
        <v>30</v>
      </c>
      <c r="O128" s="1772" t="s">
        <v>30</v>
      </c>
      <c r="P128" s="1772" t="s">
        <v>30</v>
      </c>
      <c r="Q128" s="1755"/>
      <c r="R128" s="1755"/>
    </row>
    <row r="129" spans="1:18">
      <c r="A129" s="1768">
        <v>11.17</v>
      </c>
      <c r="B129" s="1768">
        <v>11.17</v>
      </c>
      <c r="C129" s="1768">
        <v>11.17</v>
      </c>
      <c r="D129" s="1768">
        <v>11.17</v>
      </c>
      <c r="E129" s="1767">
        <v>11.19</v>
      </c>
      <c r="F129" s="1767">
        <v>11.19</v>
      </c>
      <c r="G129" s="1767" t="s">
        <v>30</v>
      </c>
      <c r="H129" s="1767" t="s">
        <v>30</v>
      </c>
      <c r="I129" s="1767" t="s">
        <v>30</v>
      </c>
      <c r="J129" s="1767" t="s">
        <v>30</v>
      </c>
      <c r="K129" s="1767" t="s">
        <v>30</v>
      </c>
      <c r="L129" s="1767" t="s">
        <v>30</v>
      </c>
      <c r="M129" s="1767" t="s">
        <v>30</v>
      </c>
      <c r="N129" s="1767" t="s">
        <v>30</v>
      </c>
      <c r="O129" s="1767" t="s">
        <v>30</v>
      </c>
      <c r="P129" s="1767" t="s">
        <v>30</v>
      </c>
      <c r="Q129" s="1755"/>
      <c r="R129" s="1755"/>
    </row>
    <row r="130" spans="1:18">
      <c r="A130" s="1768">
        <v>11.18</v>
      </c>
      <c r="B130" s="1766" t="s">
        <v>30</v>
      </c>
      <c r="C130" s="1766" t="s">
        <v>30</v>
      </c>
      <c r="D130" s="1766" t="s">
        <v>30</v>
      </c>
      <c r="E130" s="1773" t="s">
        <v>30</v>
      </c>
      <c r="F130" s="1773" t="s">
        <v>30</v>
      </c>
      <c r="G130" s="1773" t="s">
        <v>30</v>
      </c>
      <c r="H130" s="1773" t="s">
        <v>30</v>
      </c>
      <c r="I130" s="1773" t="s">
        <v>30</v>
      </c>
      <c r="J130" s="1773" t="s">
        <v>30</v>
      </c>
      <c r="K130" s="1773" t="s">
        <v>30</v>
      </c>
      <c r="L130" s="1773" t="s">
        <v>30</v>
      </c>
      <c r="M130" s="1773" t="s">
        <v>30</v>
      </c>
      <c r="N130" s="1773" t="s">
        <v>30</v>
      </c>
      <c r="O130" s="1773" t="s">
        <v>30</v>
      </c>
      <c r="P130" s="1773" t="s">
        <v>30</v>
      </c>
      <c r="Q130" s="1755"/>
      <c r="R130" s="1755"/>
    </row>
    <row r="131" spans="1:18">
      <c r="A131" s="1777">
        <v>12.01</v>
      </c>
      <c r="B131" s="1777">
        <v>3.01</v>
      </c>
      <c r="C131" s="1777">
        <v>3.01</v>
      </c>
      <c r="D131" s="1777">
        <v>3.01</v>
      </c>
      <c r="E131" s="1767">
        <v>3.01</v>
      </c>
      <c r="F131" s="1767">
        <v>3.01</v>
      </c>
      <c r="G131" s="1767">
        <v>3.01</v>
      </c>
      <c r="H131" s="1767" t="s">
        <v>30</v>
      </c>
      <c r="I131" s="1767" t="s">
        <v>30</v>
      </c>
      <c r="J131" s="1767" t="s">
        <v>30</v>
      </c>
      <c r="K131" s="1767" t="s">
        <v>30</v>
      </c>
      <c r="L131" s="1767" t="s">
        <v>30</v>
      </c>
      <c r="M131" s="1767" t="s">
        <v>30</v>
      </c>
      <c r="N131" s="1767" t="s">
        <v>30</v>
      </c>
      <c r="O131" s="1767" t="s">
        <v>30</v>
      </c>
      <c r="P131" s="1767" t="s">
        <v>30</v>
      </c>
      <c r="Q131" s="1755"/>
      <c r="R131" s="1755"/>
    </row>
    <row r="132" spans="1:18">
      <c r="A132" s="1777">
        <v>12.02</v>
      </c>
      <c r="B132" s="1777">
        <v>3.02</v>
      </c>
      <c r="C132" s="1777">
        <v>3.02</v>
      </c>
      <c r="D132" s="1777">
        <v>3.02</v>
      </c>
      <c r="E132" s="1772">
        <v>3.02</v>
      </c>
      <c r="F132" s="1772">
        <v>3.02</v>
      </c>
      <c r="G132" s="1772">
        <v>3.02</v>
      </c>
      <c r="H132" s="1771" t="s">
        <v>54</v>
      </c>
      <c r="I132" s="1771" t="s">
        <v>54</v>
      </c>
      <c r="J132" s="1771" t="s">
        <v>54</v>
      </c>
      <c r="K132" s="1772" t="s">
        <v>30</v>
      </c>
      <c r="L132" s="1772" t="s">
        <v>30</v>
      </c>
      <c r="M132" s="1772" t="s">
        <v>30</v>
      </c>
      <c r="N132" s="1772" t="s">
        <v>30</v>
      </c>
      <c r="O132" s="1772" t="s">
        <v>30</v>
      </c>
      <c r="P132" s="1772" t="s">
        <v>30</v>
      </c>
      <c r="Q132" s="1755"/>
      <c r="R132" s="1755"/>
    </row>
    <row r="133" spans="1:18">
      <c r="A133" s="1777">
        <v>12.03</v>
      </c>
      <c r="B133" s="1777">
        <v>3.03</v>
      </c>
      <c r="C133" s="1777">
        <v>3.03</v>
      </c>
      <c r="D133" s="1777">
        <v>3.03</v>
      </c>
      <c r="E133" s="1772">
        <v>3.03</v>
      </c>
      <c r="F133" s="1772">
        <v>3.03</v>
      </c>
      <c r="G133" s="1772">
        <v>3.03</v>
      </c>
      <c r="H133" s="1771" t="s">
        <v>55</v>
      </c>
      <c r="I133" s="1771" t="s">
        <v>55</v>
      </c>
      <c r="J133" s="1771" t="s">
        <v>55</v>
      </c>
      <c r="K133" s="1772" t="s">
        <v>30</v>
      </c>
      <c r="L133" s="1772" t="s">
        <v>30</v>
      </c>
      <c r="M133" s="1772" t="s">
        <v>30</v>
      </c>
      <c r="N133" s="1772" t="s">
        <v>30</v>
      </c>
      <c r="O133" s="1772" t="s">
        <v>30</v>
      </c>
      <c r="P133" s="1772" t="s">
        <v>30</v>
      </c>
      <c r="Q133" s="1755"/>
      <c r="R133" s="1755"/>
    </row>
    <row r="134" spans="1:18">
      <c r="A134" s="1777">
        <v>12.04</v>
      </c>
      <c r="B134" s="1777">
        <v>3.04</v>
      </c>
      <c r="C134" s="1777">
        <v>3.04</v>
      </c>
      <c r="D134" s="1777">
        <v>3.04</v>
      </c>
      <c r="E134" s="1772">
        <v>3.04</v>
      </c>
      <c r="F134" s="1772">
        <v>3.04</v>
      </c>
      <c r="G134" s="1772">
        <v>3.04</v>
      </c>
      <c r="H134" s="1771" t="s">
        <v>56</v>
      </c>
      <c r="I134" s="1771" t="s">
        <v>56</v>
      </c>
      <c r="J134" s="1771" t="s">
        <v>56</v>
      </c>
      <c r="K134" s="1772" t="s">
        <v>30</v>
      </c>
      <c r="L134" s="1772" t="s">
        <v>30</v>
      </c>
      <c r="M134" s="1772" t="s">
        <v>30</v>
      </c>
      <c r="N134" s="1772" t="s">
        <v>30</v>
      </c>
      <c r="O134" s="1772" t="s">
        <v>30</v>
      </c>
      <c r="P134" s="1772" t="s">
        <v>30</v>
      </c>
      <c r="Q134" s="1755"/>
      <c r="R134" s="1755"/>
    </row>
    <row r="135" spans="1:18">
      <c r="A135" s="1777">
        <v>12.05</v>
      </c>
      <c r="B135" s="1777">
        <v>3.05</v>
      </c>
      <c r="C135" s="1777">
        <v>3.05</v>
      </c>
      <c r="D135" s="1777">
        <v>3.05</v>
      </c>
      <c r="E135" s="1767">
        <v>3.05</v>
      </c>
      <c r="F135" s="1767">
        <v>3.05</v>
      </c>
      <c r="G135" s="1767">
        <v>3.05</v>
      </c>
      <c r="H135" s="1772">
        <v>3.07</v>
      </c>
      <c r="I135" s="1772">
        <v>3.07</v>
      </c>
      <c r="J135" s="1772">
        <v>3.07</v>
      </c>
      <c r="K135" s="1772">
        <v>3.07</v>
      </c>
      <c r="L135" s="1770" t="s">
        <v>30</v>
      </c>
      <c r="M135" s="1773" t="s">
        <v>30</v>
      </c>
      <c r="N135" s="1773" t="s">
        <v>30</v>
      </c>
      <c r="O135" s="1773" t="s">
        <v>30</v>
      </c>
      <c r="P135" s="1773" t="s">
        <v>30</v>
      </c>
      <c r="Q135" s="1755"/>
      <c r="R135" s="1755"/>
    </row>
    <row r="136" spans="1:18">
      <c r="A136" s="1777">
        <v>12.06</v>
      </c>
      <c r="B136" s="1777">
        <v>3.06</v>
      </c>
      <c r="C136" s="1777">
        <v>3.06</v>
      </c>
      <c r="D136" s="1777">
        <v>3.06</v>
      </c>
      <c r="E136" s="1767">
        <v>3.06</v>
      </c>
      <c r="F136" s="1767">
        <v>3.06</v>
      </c>
      <c r="G136" s="1767">
        <v>3.06</v>
      </c>
      <c r="H136" s="1772">
        <v>3.08</v>
      </c>
      <c r="I136" s="1772">
        <v>3.08</v>
      </c>
      <c r="J136" s="1772">
        <v>3.08</v>
      </c>
      <c r="K136" s="1772">
        <v>3.08</v>
      </c>
      <c r="L136" s="1770" t="s">
        <v>30</v>
      </c>
      <c r="M136" s="1773" t="s">
        <v>30</v>
      </c>
      <c r="N136" s="1773" t="s">
        <v>30</v>
      </c>
      <c r="O136" s="1773" t="s">
        <v>30</v>
      </c>
      <c r="P136" s="1773" t="s">
        <v>30</v>
      </c>
      <c r="Q136" s="1755"/>
      <c r="R136" s="1755"/>
    </row>
    <row r="137" spans="1:18">
      <c r="A137" s="1777">
        <v>12.07</v>
      </c>
      <c r="B137" s="1777">
        <v>3.07</v>
      </c>
      <c r="C137" s="1777">
        <v>3.07</v>
      </c>
      <c r="D137" s="1777">
        <v>3.07</v>
      </c>
      <c r="E137" s="1774">
        <v>3.07</v>
      </c>
      <c r="F137" s="1774">
        <v>3.07</v>
      </c>
      <c r="G137" s="1774">
        <v>3.07</v>
      </c>
      <c r="H137" s="1772">
        <v>3.09</v>
      </c>
      <c r="I137" s="1772">
        <v>3.09</v>
      </c>
      <c r="J137" s="1772">
        <v>3.09</v>
      </c>
      <c r="K137" s="1772">
        <v>3.09</v>
      </c>
      <c r="L137" s="1770" t="s">
        <v>30</v>
      </c>
      <c r="M137" s="1773" t="s">
        <v>30</v>
      </c>
      <c r="N137" s="1773" t="s">
        <v>30</v>
      </c>
      <c r="O137" s="1773" t="s">
        <v>30</v>
      </c>
      <c r="P137" s="1773" t="s">
        <v>30</v>
      </c>
      <c r="Q137" s="1755"/>
      <c r="R137" s="1755"/>
    </row>
    <row r="138" spans="1:18">
      <c r="A138" s="1778" t="s">
        <v>30</v>
      </c>
      <c r="B138" s="1778">
        <v>9.01</v>
      </c>
      <c r="C138" s="1778">
        <v>9.01</v>
      </c>
      <c r="D138" s="1778">
        <v>9.01</v>
      </c>
      <c r="E138" s="1767">
        <v>9.01</v>
      </c>
      <c r="F138" s="1767">
        <v>9.01</v>
      </c>
      <c r="G138" s="1767">
        <v>9.01</v>
      </c>
      <c r="H138" s="1767">
        <v>9.01</v>
      </c>
      <c r="I138" s="1767">
        <v>9.01</v>
      </c>
      <c r="J138" s="1767" t="s">
        <v>30</v>
      </c>
      <c r="K138" s="1767" t="s">
        <v>30</v>
      </c>
      <c r="L138" s="1767" t="s">
        <v>30</v>
      </c>
      <c r="M138" s="1773" t="s">
        <v>30</v>
      </c>
      <c r="N138" s="1773" t="s">
        <v>30</v>
      </c>
      <c r="O138" s="1773" t="s">
        <v>30</v>
      </c>
      <c r="P138" s="1773" t="s">
        <v>30</v>
      </c>
      <c r="Q138" s="1755"/>
      <c r="R138" s="1755"/>
    </row>
    <row r="139" spans="1:18">
      <c r="A139" s="1778" t="s">
        <v>30</v>
      </c>
      <c r="B139" s="1778">
        <v>9.02</v>
      </c>
      <c r="C139" s="1778">
        <v>9.02</v>
      </c>
      <c r="D139" s="1778">
        <v>9.02</v>
      </c>
      <c r="E139" s="1767">
        <v>9.02</v>
      </c>
      <c r="F139" s="1767">
        <v>9.02</v>
      </c>
      <c r="G139" s="1767">
        <v>9.02</v>
      </c>
      <c r="H139" s="1767">
        <v>9.02</v>
      </c>
      <c r="I139" s="1767">
        <v>9.02</v>
      </c>
      <c r="J139" s="1767">
        <v>9.02</v>
      </c>
      <c r="K139" s="1767">
        <v>9.02</v>
      </c>
      <c r="L139" s="1769">
        <v>9.02</v>
      </c>
      <c r="M139" s="1773" t="s">
        <v>30</v>
      </c>
      <c r="N139" s="1773" t="s">
        <v>30</v>
      </c>
      <c r="O139" s="1773" t="s">
        <v>30</v>
      </c>
      <c r="P139" s="1773" t="s">
        <v>30</v>
      </c>
      <c r="Q139" s="1755"/>
      <c r="R139" s="1755"/>
    </row>
    <row r="140" spans="1:18">
      <c r="A140" s="1778" t="s">
        <v>30</v>
      </c>
      <c r="B140" s="1778">
        <v>9.0500000000000007</v>
      </c>
      <c r="C140" s="1778">
        <v>9.0500000000000007</v>
      </c>
      <c r="D140" s="1778">
        <v>9.0500000000000007</v>
      </c>
      <c r="E140" s="1767">
        <v>9.0500000000000007</v>
      </c>
      <c r="F140" s="1767">
        <v>9.0500000000000007</v>
      </c>
      <c r="G140" s="1767">
        <v>9.0500000000000007</v>
      </c>
      <c r="H140" s="1767">
        <v>9.0500000000000007</v>
      </c>
      <c r="I140" s="1767">
        <v>9.0500000000000007</v>
      </c>
      <c r="J140" s="1767">
        <v>9.0500000000000007</v>
      </c>
      <c r="K140" s="1767">
        <v>9.0500000000000007</v>
      </c>
      <c r="L140" s="1779" t="s">
        <v>30</v>
      </c>
      <c r="M140" s="1773" t="s">
        <v>30</v>
      </c>
      <c r="N140" s="1773" t="s">
        <v>30</v>
      </c>
      <c r="O140" s="1773" t="s">
        <v>30</v>
      </c>
      <c r="P140" s="1773" t="s">
        <v>30</v>
      </c>
      <c r="Q140" s="1755"/>
      <c r="R140" s="1755"/>
    </row>
    <row r="141" spans="1:18">
      <c r="A141" s="1778" t="s">
        <v>30</v>
      </c>
      <c r="B141" s="1778">
        <v>9.06</v>
      </c>
      <c r="C141" s="1778">
        <v>9.06</v>
      </c>
      <c r="D141" s="1778">
        <v>9.06</v>
      </c>
      <c r="E141" s="1767">
        <v>9.06</v>
      </c>
      <c r="F141" s="1767">
        <v>9.06</v>
      </c>
      <c r="G141" s="1767">
        <v>9.06</v>
      </c>
      <c r="H141" s="1767">
        <v>9.06</v>
      </c>
      <c r="I141" s="1767">
        <v>9.06</v>
      </c>
      <c r="J141" s="1767">
        <v>9.06</v>
      </c>
      <c r="K141" s="1767">
        <v>9.06</v>
      </c>
      <c r="L141" s="1769" t="s">
        <v>30</v>
      </c>
      <c r="M141" s="1770" t="s">
        <v>30</v>
      </c>
      <c r="N141" s="1770" t="s">
        <v>30</v>
      </c>
      <c r="O141" s="1770" t="s">
        <v>30</v>
      </c>
      <c r="P141" s="1770" t="s">
        <v>30</v>
      </c>
      <c r="Q141" s="1755"/>
      <c r="R141" s="1755"/>
    </row>
    <row r="142" spans="1:18">
      <c r="A142" s="1771" t="s">
        <v>30</v>
      </c>
      <c r="B142" s="1771">
        <v>9.07</v>
      </c>
      <c r="C142" s="1771">
        <v>9.07</v>
      </c>
      <c r="D142" s="1771">
        <v>9.07</v>
      </c>
      <c r="E142" s="1767">
        <v>9.07</v>
      </c>
      <c r="F142" s="1767">
        <v>9.07</v>
      </c>
      <c r="G142" s="1767">
        <v>9.07</v>
      </c>
      <c r="H142" s="1771">
        <v>9.2100000000000009</v>
      </c>
      <c r="I142" s="1772" t="s">
        <v>30</v>
      </c>
      <c r="J142" s="1772" t="s">
        <v>30</v>
      </c>
      <c r="K142" s="1772" t="s">
        <v>30</v>
      </c>
      <c r="L142" s="1772" t="s">
        <v>30</v>
      </c>
      <c r="M142" s="1772" t="s">
        <v>30</v>
      </c>
      <c r="N142" s="1772" t="s">
        <v>30</v>
      </c>
      <c r="O142" s="1772" t="s">
        <v>30</v>
      </c>
      <c r="P142" s="1772" t="s">
        <v>30</v>
      </c>
      <c r="Q142" s="1755"/>
      <c r="R142" s="1755"/>
    </row>
    <row r="143" spans="1:18">
      <c r="A143" s="1771" t="s">
        <v>30</v>
      </c>
      <c r="B143" s="1771">
        <v>9.08</v>
      </c>
      <c r="C143" s="1771">
        <v>9.08</v>
      </c>
      <c r="D143" s="1771">
        <v>9.08</v>
      </c>
      <c r="E143" s="1767">
        <v>9.08</v>
      </c>
      <c r="F143" s="1767">
        <v>9.08</v>
      </c>
      <c r="G143" s="1767">
        <v>9.08</v>
      </c>
      <c r="H143" s="1767">
        <v>9.08</v>
      </c>
      <c r="I143" s="1767">
        <v>9.08</v>
      </c>
      <c r="J143" s="1767">
        <v>9.08</v>
      </c>
      <c r="K143" s="1767">
        <v>9.08</v>
      </c>
      <c r="L143" s="1769" t="s">
        <v>30</v>
      </c>
      <c r="M143" s="1770" t="s">
        <v>30</v>
      </c>
      <c r="N143" s="1770" t="s">
        <v>30</v>
      </c>
      <c r="O143" s="1770" t="s">
        <v>30</v>
      </c>
      <c r="P143" s="1770" t="s">
        <v>30</v>
      </c>
      <c r="Q143" s="1755"/>
      <c r="R143" s="1755"/>
    </row>
    <row r="144" spans="1:18">
      <c r="A144" s="1767" t="s">
        <v>30</v>
      </c>
      <c r="B144" s="1767" t="s">
        <v>30</v>
      </c>
      <c r="C144" s="1767" t="s">
        <v>30</v>
      </c>
      <c r="D144" s="1767">
        <v>1.1399999999999999</v>
      </c>
      <c r="E144" s="1767">
        <v>1.1399999999999999</v>
      </c>
      <c r="F144" s="1767" t="s">
        <v>30</v>
      </c>
      <c r="G144" s="1767" t="s">
        <v>30</v>
      </c>
      <c r="H144" s="1767" t="s">
        <v>30</v>
      </c>
      <c r="I144" s="1767" t="s">
        <v>30</v>
      </c>
      <c r="J144" s="1767" t="s">
        <v>30</v>
      </c>
      <c r="K144" s="1767" t="s">
        <v>30</v>
      </c>
      <c r="L144" s="1769" t="s">
        <v>30</v>
      </c>
      <c r="M144" s="1769" t="s">
        <v>30</v>
      </c>
      <c r="N144" s="1769" t="s">
        <v>30</v>
      </c>
      <c r="O144" s="1769" t="s">
        <v>30</v>
      </c>
      <c r="P144" s="1769" t="s">
        <v>30</v>
      </c>
      <c r="Q144" s="1755"/>
      <c r="R144" s="1755"/>
    </row>
    <row r="145" spans="1:18">
      <c r="A145" s="1767" t="s">
        <v>30</v>
      </c>
      <c r="B145" s="1767" t="s">
        <v>30</v>
      </c>
      <c r="C145" s="1767" t="s">
        <v>30</v>
      </c>
      <c r="D145" s="1767">
        <v>1.1499999999999999</v>
      </c>
      <c r="E145" s="1767">
        <v>1.1499999999999999</v>
      </c>
      <c r="F145" s="1772" t="s">
        <v>30</v>
      </c>
      <c r="G145" s="1772" t="s">
        <v>30</v>
      </c>
      <c r="H145" s="1772" t="s">
        <v>30</v>
      </c>
      <c r="I145" s="1772" t="s">
        <v>30</v>
      </c>
      <c r="J145" s="1772" t="s">
        <v>30</v>
      </c>
      <c r="K145" s="1772" t="s">
        <v>30</v>
      </c>
      <c r="L145" s="1770" t="s">
        <v>30</v>
      </c>
      <c r="M145" s="1770" t="s">
        <v>30</v>
      </c>
      <c r="N145" s="1770" t="s">
        <v>30</v>
      </c>
      <c r="O145" s="1770" t="s">
        <v>30</v>
      </c>
      <c r="P145" s="1770" t="s">
        <v>30</v>
      </c>
      <c r="Q145" s="1755"/>
      <c r="R145" s="1755"/>
    </row>
    <row r="146" spans="1:18">
      <c r="A146" s="1772" t="s">
        <v>30</v>
      </c>
      <c r="B146" s="1772" t="s">
        <v>30</v>
      </c>
      <c r="C146" s="1772" t="s">
        <v>30</v>
      </c>
      <c r="D146" s="1772">
        <v>2.08</v>
      </c>
      <c r="E146" s="1772">
        <v>2.08</v>
      </c>
      <c r="F146" s="1772">
        <v>2.08</v>
      </c>
      <c r="G146" s="1772">
        <v>2.08</v>
      </c>
      <c r="H146" s="1772">
        <v>2.08</v>
      </c>
      <c r="I146" s="1772">
        <v>2.08</v>
      </c>
      <c r="J146" s="1772">
        <v>2.08</v>
      </c>
      <c r="K146" s="1772">
        <v>2.08</v>
      </c>
      <c r="L146" s="1770">
        <v>2.08</v>
      </c>
      <c r="M146" s="1770" t="s">
        <v>46</v>
      </c>
      <c r="N146" s="1770" t="s">
        <v>46</v>
      </c>
      <c r="O146" s="1770" t="s">
        <v>187</v>
      </c>
      <c r="P146" s="1770" t="s">
        <v>30</v>
      </c>
      <c r="Q146" s="1755"/>
      <c r="R146" s="1755"/>
    </row>
    <row r="147" spans="1:18">
      <c r="A147" s="1772" t="s">
        <v>30</v>
      </c>
      <c r="B147" s="1772" t="s">
        <v>30</v>
      </c>
      <c r="C147" s="1772" t="s">
        <v>30</v>
      </c>
      <c r="D147" s="1772" t="s">
        <v>49</v>
      </c>
      <c r="E147" s="1780" t="s">
        <v>49</v>
      </c>
      <c r="F147" s="1780" t="s">
        <v>49</v>
      </c>
      <c r="G147" s="1780" t="s">
        <v>49</v>
      </c>
      <c r="H147" s="1775" t="s">
        <v>49</v>
      </c>
      <c r="I147" s="1775" t="s">
        <v>49</v>
      </c>
      <c r="J147" s="1775" t="s">
        <v>49</v>
      </c>
      <c r="K147" s="1775" t="s">
        <v>49</v>
      </c>
      <c r="L147" s="1769" t="s">
        <v>30</v>
      </c>
      <c r="M147" s="1773" t="s">
        <v>30</v>
      </c>
      <c r="N147" s="1773" t="s">
        <v>30</v>
      </c>
      <c r="O147" s="1773" t="s">
        <v>30</v>
      </c>
      <c r="P147" s="1773" t="s">
        <v>30</v>
      </c>
      <c r="Q147" s="1755"/>
      <c r="R147" s="1755"/>
    </row>
    <row r="148" spans="1:18">
      <c r="A148" s="1772" t="s">
        <v>30</v>
      </c>
      <c r="B148" s="1772" t="s">
        <v>30</v>
      </c>
      <c r="C148" s="1772" t="s">
        <v>30</v>
      </c>
      <c r="D148" s="1772">
        <v>2.23</v>
      </c>
      <c r="E148" s="1767">
        <v>2.23</v>
      </c>
      <c r="F148" s="1767">
        <v>2.23</v>
      </c>
      <c r="G148" s="1767">
        <v>2.23</v>
      </c>
      <c r="H148" s="1767">
        <v>1.4</v>
      </c>
      <c r="I148" s="1767">
        <v>1.4</v>
      </c>
      <c r="J148" s="1767">
        <v>1.4</v>
      </c>
      <c r="K148" s="1767">
        <v>1.4</v>
      </c>
      <c r="L148" s="1769" t="s">
        <v>30</v>
      </c>
      <c r="M148" s="1770" t="s">
        <v>163</v>
      </c>
      <c r="N148" s="1770" t="s">
        <v>163</v>
      </c>
      <c r="O148" s="1770" t="s">
        <v>163</v>
      </c>
      <c r="P148" s="1770" t="s">
        <v>163</v>
      </c>
      <c r="Q148" s="1755"/>
      <c r="R148" s="1755"/>
    </row>
    <row r="149" spans="1:18">
      <c r="A149" s="1772" t="s">
        <v>30</v>
      </c>
      <c r="B149" s="1772" t="s">
        <v>30</v>
      </c>
      <c r="C149" s="1772" t="s">
        <v>30</v>
      </c>
      <c r="D149" s="1772">
        <v>3.11</v>
      </c>
      <c r="E149" s="1767">
        <v>3.11</v>
      </c>
      <c r="F149" s="1767">
        <v>3.11</v>
      </c>
      <c r="G149" s="1767">
        <v>3.11</v>
      </c>
      <c r="H149" s="1767">
        <v>1.1200000000000001</v>
      </c>
      <c r="I149" s="1767">
        <v>1.1200000000000001</v>
      </c>
      <c r="J149" s="1767">
        <v>1.1200000000000001</v>
      </c>
      <c r="K149" s="1767">
        <v>1.1200000000000001</v>
      </c>
      <c r="L149" s="1769">
        <v>1.1200000000000001</v>
      </c>
      <c r="M149" s="1770" t="s">
        <v>159</v>
      </c>
      <c r="N149" s="1770" t="s">
        <v>159</v>
      </c>
      <c r="O149" s="1770" t="s">
        <v>159</v>
      </c>
      <c r="P149" s="1770" t="s">
        <v>159</v>
      </c>
      <c r="Q149" s="1755"/>
      <c r="R149" s="1755"/>
    </row>
    <row r="150" spans="1:18">
      <c r="A150" s="1772" t="s">
        <v>30</v>
      </c>
      <c r="B150" s="1772" t="s">
        <v>30</v>
      </c>
      <c r="C150" s="1772" t="s">
        <v>30</v>
      </c>
      <c r="D150" s="1771">
        <v>4.0599999999999996</v>
      </c>
      <c r="E150" s="1772">
        <v>4.1100000000000003</v>
      </c>
      <c r="F150" s="1772">
        <v>4.1100000000000003</v>
      </c>
      <c r="G150" s="1772">
        <v>4.1100000000000003</v>
      </c>
      <c r="H150" s="1767">
        <v>4.13</v>
      </c>
      <c r="I150" s="1767">
        <v>4.13</v>
      </c>
      <c r="J150" s="1767">
        <v>4.13</v>
      </c>
      <c r="K150" s="1767" t="s">
        <v>30</v>
      </c>
      <c r="L150" s="1767" t="s">
        <v>30</v>
      </c>
      <c r="M150" s="1767" t="s">
        <v>30</v>
      </c>
      <c r="N150" s="1767" t="s">
        <v>30</v>
      </c>
      <c r="O150" s="1767" t="s">
        <v>30</v>
      </c>
      <c r="P150" s="1767" t="s">
        <v>30</v>
      </c>
      <c r="Q150" s="1755"/>
      <c r="R150" s="1755"/>
    </row>
    <row r="151" spans="1:18">
      <c r="A151" s="1772" t="s">
        <v>30</v>
      </c>
      <c r="B151" s="1772" t="s">
        <v>30</v>
      </c>
      <c r="C151" s="1772" t="s">
        <v>30</v>
      </c>
      <c r="D151" s="1772">
        <v>4.07</v>
      </c>
      <c r="E151" s="1771">
        <v>4.07</v>
      </c>
      <c r="F151" s="1771">
        <v>4.07</v>
      </c>
      <c r="G151" s="1771">
        <v>4.07</v>
      </c>
      <c r="H151" s="1772">
        <v>4.07</v>
      </c>
      <c r="I151" s="1772">
        <v>4.07</v>
      </c>
      <c r="J151" s="1772">
        <v>4.07</v>
      </c>
      <c r="K151" s="1772">
        <v>4.07</v>
      </c>
      <c r="L151" s="1770">
        <v>4.07</v>
      </c>
      <c r="M151" s="1770" t="s">
        <v>70</v>
      </c>
      <c r="N151" s="1770" t="s">
        <v>70</v>
      </c>
      <c r="O151" s="1770" t="s">
        <v>30</v>
      </c>
      <c r="P151" s="1770" t="s">
        <v>30</v>
      </c>
      <c r="Q151" s="1755"/>
      <c r="R151" s="1755"/>
    </row>
    <row r="152" spans="1:18">
      <c r="A152" s="1772" t="s">
        <v>30</v>
      </c>
      <c r="B152" s="1772" t="s">
        <v>30</v>
      </c>
      <c r="C152" s="1772" t="s">
        <v>30</v>
      </c>
      <c r="D152" s="1771">
        <v>8.1300000000000008</v>
      </c>
      <c r="E152" s="1767">
        <v>8.1300000000000008</v>
      </c>
      <c r="F152" s="1772" t="s">
        <v>30</v>
      </c>
      <c r="G152" s="1772" t="s">
        <v>30</v>
      </c>
      <c r="H152" s="1772" t="s">
        <v>30</v>
      </c>
      <c r="I152" s="1772" t="s">
        <v>30</v>
      </c>
      <c r="J152" s="1772" t="s">
        <v>30</v>
      </c>
      <c r="K152" s="1772" t="s">
        <v>30</v>
      </c>
      <c r="L152" s="1770" t="s">
        <v>30</v>
      </c>
      <c r="M152" s="1770" t="s">
        <v>30</v>
      </c>
      <c r="N152" s="1770" t="s">
        <v>30</v>
      </c>
      <c r="O152" s="1770" t="s">
        <v>30</v>
      </c>
      <c r="P152" s="1770" t="s">
        <v>30</v>
      </c>
      <c r="Q152" s="1755"/>
      <c r="R152" s="1755"/>
    </row>
    <row r="153" spans="1:18">
      <c r="A153" s="1772" t="s">
        <v>30</v>
      </c>
      <c r="B153" s="1772" t="s">
        <v>30</v>
      </c>
      <c r="C153" s="1772" t="s">
        <v>30</v>
      </c>
      <c r="D153" s="1771" t="s">
        <v>120</v>
      </c>
      <c r="E153" s="1767" t="s">
        <v>120</v>
      </c>
      <c r="F153" s="1767" t="s">
        <v>120</v>
      </c>
      <c r="G153" s="1767" t="s">
        <v>120</v>
      </c>
      <c r="H153" s="1767">
        <v>9.1999999999999993</v>
      </c>
      <c r="I153" s="1767">
        <v>9.1999999999999993</v>
      </c>
      <c r="J153" s="1767" t="s">
        <v>30</v>
      </c>
      <c r="K153" s="1767" t="s">
        <v>30</v>
      </c>
      <c r="L153" s="1767" t="s">
        <v>30</v>
      </c>
      <c r="M153" s="1767" t="s">
        <v>30</v>
      </c>
      <c r="N153" s="1767" t="s">
        <v>30</v>
      </c>
      <c r="O153" s="1767" t="s">
        <v>30</v>
      </c>
      <c r="P153" s="1767" t="s">
        <v>30</v>
      </c>
      <c r="Q153" s="1755"/>
      <c r="R153" s="1755"/>
    </row>
    <row r="154" spans="1:18">
      <c r="A154" s="1772" t="s">
        <v>30</v>
      </c>
      <c r="B154" s="1772" t="s">
        <v>30</v>
      </c>
      <c r="C154" s="1772" t="s">
        <v>30</v>
      </c>
      <c r="D154" s="1771">
        <v>11.04</v>
      </c>
      <c r="E154" s="1767">
        <v>11.04</v>
      </c>
      <c r="F154" s="1767">
        <v>11.04</v>
      </c>
      <c r="G154" s="1767">
        <v>11.04</v>
      </c>
      <c r="H154" s="1767">
        <v>1.04</v>
      </c>
      <c r="I154" s="1767">
        <v>1.04</v>
      </c>
      <c r="J154" s="1767">
        <v>1.04</v>
      </c>
      <c r="K154" s="1767">
        <v>1.04</v>
      </c>
      <c r="L154" s="1769">
        <v>1.04</v>
      </c>
      <c r="M154" s="1770" t="s">
        <v>151</v>
      </c>
      <c r="N154" s="1770" t="s">
        <v>151</v>
      </c>
      <c r="O154" s="1770" t="s">
        <v>151</v>
      </c>
      <c r="P154" s="1770" t="s">
        <v>151</v>
      </c>
      <c r="Q154" s="1755"/>
      <c r="R154" s="1755"/>
    </row>
    <row r="155" spans="1:18" ht="9.75" customHeight="1">
      <c r="A155" s="1772" t="s">
        <v>30</v>
      </c>
      <c r="B155" s="1772" t="s">
        <v>30</v>
      </c>
      <c r="C155" s="1772" t="s">
        <v>30</v>
      </c>
      <c r="D155" s="1771">
        <v>11.09</v>
      </c>
      <c r="E155" s="1767">
        <v>11.07</v>
      </c>
      <c r="F155" s="1767">
        <v>11.07</v>
      </c>
      <c r="G155" s="1767">
        <v>11.07</v>
      </c>
      <c r="H155" s="1767">
        <v>1.35</v>
      </c>
      <c r="I155" s="1767">
        <v>1.35</v>
      </c>
      <c r="J155" s="1767">
        <v>1.35</v>
      </c>
      <c r="K155" s="1767">
        <v>1.35</v>
      </c>
      <c r="L155" s="1769" t="s">
        <v>30</v>
      </c>
      <c r="M155" s="1773" t="s">
        <v>30</v>
      </c>
      <c r="N155" s="1773" t="s">
        <v>30</v>
      </c>
      <c r="O155" s="1773" t="s">
        <v>30</v>
      </c>
      <c r="P155" s="1773" t="s">
        <v>30</v>
      </c>
      <c r="Q155" s="1755"/>
      <c r="R155" s="1755"/>
    </row>
    <row r="156" spans="1:18" ht="9.75" customHeight="1">
      <c r="A156" s="1772" t="s">
        <v>30</v>
      </c>
      <c r="B156" s="1772" t="s">
        <v>30</v>
      </c>
      <c r="C156" s="1772" t="s">
        <v>30</v>
      </c>
      <c r="D156" s="1772" t="s">
        <v>30</v>
      </c>
      <c r="E156" s="1771">
        <v>4.0599999999999996</v>
      </c>
      <c r="F156" s="1771">
        <v>4.0599999999999996</v>
      </c>
      <c r="G156" s="1771">
        <v>4.0599999999999996</v>
      </c>
      <c r="H156" s="1772">
        <v>4.0599999999999996</v>
      </c>
      <c r="I156" s="1772">
        <v>4.0599999999999996</v>
      </c>
      <c r="J156" s="1772">
        <v>4.0599999999999996</v>
      </c>
      <c r="K156" s="1772">
        <v>4.0599999999999996</v>
      </c>
      <c r="L156" s="1770">
        <v>4.0599999999999996</v>
      </c>
      <c r="M156" s="1770" t="s">
        <v>105</v>
      </c>
      <c r="N156" s="1770" t="s">
        <v>105</v>
      </c>
      <c r="O156" s="1770" t="s">
        <v>104</v>
      </c>
      <c r="P156" s="1770" t="s">
        <v>104</v>
      </c>
      <c r="Q156" s="1755"/>
      <c r="R156" s="1755"/>
    </row>
    <row r="157" spans="1:18">
      <c r="A157" s="1772" t="s">
        <v>30</v>
      </c>
      <c r="B157" s="1772" t="s">
        <v>30</v>
      </c>
      <c r="C157" s="1772" t="s">
        <v>30</v>
      </c>
      <c r="D157" s="1772" t="s">
        <v>30</v>
      </c>
      <c r="E157" s="1771">
        <v>4.09</v>
      </c>
      <c r="F157" s="1771">
        <v>4.09</v>
      </c>
      <c r="G157" s="1771">
        <v>4.09</v>
      </c>
      <c r="H157" s="1772">
        <v>4.09</v>
      </c>
      <c r="I157" s="1772">
        <v>4.09</v>
      </c>
      <c r="J157" s="1772">
        <v>4.09</v>
      </c>
      <c r="K157" s="1772">
        <v>4.09</v>
      </c>
      <c r="L157" s="1770">
        <v>4.09</v>
      </c>
      <c r="M157" s="1770" t="s">
        <v>97</v>
      </c>
      <c r="N157" s="1770" t="s">
        <v>97</v>
      </c>
      <c r="O157" s="1770" t="s">
        <v>73</v>
      </c>
      <c r="P157" s="1770" t="s">
        <v>73</v>
      </c>
      <c r="Q157" s="1755"/>
      <c r="R157" s="1755"/>
    </row>
    <row r="158" spans="1:18">
      <c r="A158" s="1772" t="s">
        <v>30</v>
      </c>
      <c r="B158" s="1772" t="s">
        <v>30</v>
      </c>
      <c r="C158" s="1772" t="s">
        <v>30</v>
      </c>
      <c r="D158" s="1772" t="s">
        <v>30</v>
      </c>
      <c r="E158" s="1767">
        <v>9.16</v>
      </c>
      <c r="F158" s="1767">
        <v>9.16</v>
      </c>
      <c r="G158" s="1767">
        <v>9.16</v>
      </c>
      <c r="H158" s="1767">
        <v>9.16</v>
      </c>
      <c r="I158" s="1767">
        <v>9.16</v>
      </c>
      <c r="J158" s="1767">
        <v>9.16</v>
      </c>
      <c r="K158" s="1767">
        <v>9.16</v>
      </c>
      <c r="L158" s="1769">
        <v>9.1</v>
      </c>
      <c r="M158" s="1770" t="s">
        <v>24</v>
      </c>
      <c r="N158" s="1770" t="s">
        <v>24</v>
      </c>
      <c r="O158" s="1770" t="s">
        <v>24</v>
      </c>
      <c r="P158" s="1770" t="s">
        <v>23</v>
      </c>
      <c r="Q158" s="1755"/>
      <c r="R158" s="1755"/>
    </row>
    <row r="159" spans="1:18">
      <c r="A159" s="1772" t="s">
        <v>30</v>
      </c>
      <c r="B159" s="1772" t="s">
        <v>30</v>
      </c>
      <c r="C159" s="1772" t="s">
        <v>30</v>
      </c>
      <c r="D159" s="1772" t="s">
        <v>30</v>
      </c>
      <c r="E159" s="1767">
        <v>11.09</v>
      </c>
      <c r="F159" s="1767">
        <v>11.09</v>
      </c>
      <c r="G159" s="1767">
        <v>11.09</v>
      </c>
      <c r="H159" s="1767">
        <v>1.37</v>
      </c>
      <c r="I159" s="1767">
        <v>1.37</v>
      </c>
      <c r="J159" s="1767">
        <v>1.37</v>
      </c>
      <c r="K159" s="1767">
        <v>1.37</v>
      </c>
      <c r="L159" s="1769" t="s">
        <v>30</v>
      </c>
      <c r="M159" s="1773" t="s">
        <v>30</v>
      </c>
      <c r="N159" s="1773" t="s">
        <v>30</v>
      </c>
      <c r="O159" s="1773" t="s">
        <v>30</v>
      </c>
      <c r="P159" s="1773" t="s">
        <v>30</v>
      </c>
      <c r="Q159" s="1755"/>
      <c r="R159" s="1755"/>
    </row>
    <row r="160" spans="1:18">
      <c r="A160" s="1772" t="s">
        <v>30</v>
      </c>
      <c r="B160" s="1772" t="s">
        <v>30</v>
      </c>
      <c r="C160" s="1772" t="s">
        <v>30</v>
      </c>
      <c r="D160" s="1772" t="s">
        <v>30</v>
      </c>
      <c r="E160" s="1767" t="s">
        <v>44</v>
      </c>
      <c r="F160" s="1767" t="s">
        <v>44</v>
      </c>
      <c r="G160" s="1767" t="s">
        <v>44</v>
      </c>
      <c r="H160" s="1767">
        <v>1.38</v>
      </c>
      <c r="I160" s="1767">
        <v>1.38</v>
      </c>
      <c r="J160" s="1767">
        <v>1.38</v>
      </c>
      <c r="K160" s="1767">
        <v>1.38</v>
      </c>
      <c r="L160" s="1769" t="s">
        <v>30</v>
      </c>
      <c r="M160" s="1773" t="s">
        <v>30</v>
      </c>
      <c r="N160" s="1773" t="s">
        <v>30</v>
      </c>
      <c r="O160" s="1773" t="s">
        <v>30</v>
      </c>
      <c r="P160" s="1773" t="s">
        <v>30</v>
      </c>
      <c r="Q160" s="1755"/>
      <c r="R160" s="1755"/>
    </row>
    <row r="161" spans="1:18">
      <c r="A161" s="1772" t="s">
        <v>30</v>
      </c>
      <c r="B161" s="1772" t="s">
        <v>30</v>
      </c>
      <c r="C161" s="1772" t="s">
        <v>30</v>
      </c>
      <c r="D161" s="1772" t="s">
        <v>30</v>
      </c>
      <c r="E161" s="1777" t="s">
        <v>30</v>
      </c>
      <c r="F161" s="1777" t="s">
        <v>30</v>
      </c>
      <c r="G161" s="1777" t="s">
        <v>30</v>
      </c>
      <c r="H161" s="1764">
        <v>1.44</v>
      </c>
      <c r="I161" s="1764">
        <v>1.44</v>
      </c>
      <c r="J161" s="1764">
        <v>1.44</v>
      </c>
      <c r="K161" s="1764" t="s">
        <v>30</v>
      </c>
      <c r="L161" s="1764" t="s">
        <v>30</v>
      </c>
      <c r="M161" s="1764" t="s">
        <v>30</v>
      </c>
      <c r="N161" s="1764" t="s">
        <v>30</v>
      </c>
      <c r="O161" s="1764" t="s">
        <v>30</v>
      </c>
      <c r="P161" s="1764" t="s">
        <v>30</v>
      </c>
      <c r="Q161" s="1755"/>
      <c r="R161" s="1755"/>
    </row>
    <row r="162" spans="1:18">
      <c r="A162" s="1772" t="s">
        <v>30</v>
      </c>
      <c r="B162" s="1772" t="s">
        <v>30</v>
      </c>
      <c r="C162" s="1772" t="s">
        <v>30</v>
      </c>
      <c r="D162" s="1772" t="s">
        <v>30</v>
      </c>
      <c r="E162" s="1767" t="s">
        <v>30</v>
      </c>
      <c r="F162" s="1767" t="s">
        <v>30</v>
      </c>
      <c r="G162" s="1767" t="s">
        <v>30</v>
      </c>
      <c r="H162" s="1767">
        <v>1.45</v>
      </c>
      <c r="I162" s="1767">
        <v>1.45</v>
      </c>
      <c r="J162" s="1767" t="s">
        <v>30</v>
      </c>
      <c r="K162" s="1767" t="s">
        <v>30</v>
      </c>
      <c r="L162" s="1767" t="s">
        <v>30</v>
      </c>
      <c r="M162" s="1767" t="s">
        <v>30</v>
      </c>
      <c r="N162" s="1767" t="s">
        <v>30</v>
      </c>
      <c r="O162" s="1767" t="s">
        <v>30</v>
      </c>
      <c r="P162" s="1767" t="s">
        <v>30</v>
      </c>
      <c r="Q162" s="1755"/>
      <c r="R162" s="1755"/>
    </row>
    <row r="163" spans="1:18">
      <c r="A163" s="1772" t="s">
        <v>30</v>
      </c>
      <c r="B163" s="1772" t="s">
        <v>30</v>
      </c>
      <c r="C163" s="1772" t="s">
        <v>30</v>
      </c>
      <c r="D163" s="1772" t="s">
        <v>30</v>
      </c>
      <c r="E163" s="1767" t="s">
        <v>30</v>
      </c>
      <c r="F163" s="1767" t="s">
        <v>30</v>
      </c>
      <c r="G163" s="1767" t="s">
        <v>30</v>
      </c>
      <c r="H163" s="1767">
        <v>1.46</v>
      </c>
      <c r="I163" s="1767">
        <v>1.46</v>
      </c>
      <c r="J163" s="1767" t="s">
        <v>30</v>
      </c>
      <c r="K163" s="1767" t="s">
        <v>30</v>
      </c>
      <c r="L163" s="1767" t="s">
        <v>30</v>
      </c>
      <c r="M163" s="1767" t="s">
        <v>30</v>
      </c>
      <c r="N163" s="1767" t="s">
        <v>30</v>
      </c>
      <c r="O163" s="1767" t="s">
        <v>30</v>
      </c>
      <c r="P163" s="1767" t="s">
        <v>30</v>
      </c>
      <c r="Q163" s="1755"/>
      <c r="R163" s="1755"/>
    </row>
    <row r="164" spans="1:18">
      <c r="A164" s="1772" t="s">
        <v>30</v>
      </c>
      <c r="B164" s="1772" t="s">
        <v>30</v>
      </c>
      <c r="C164" s="1772" t="s">
        <v>30</v>
      </c>
      <c r="D164" s="1772" t="s">
        <v>30</v>
      </c>
      <c r="E164" s="1773" t="s">
        <v>30</v>
      </c>
      <c r="F164" s="1773" t="s">
        <v>30</v>
      </c>
      <c r="G164" s="1773" t="s">
        <v>30</v>
      </c>
      <c r="H164" s="1772">
        <v>3.01</v>
      </c>
      <c r="I164" s="1772">
        <v>3.01</v>
      </c>
      <c r="J164" s="1772">
        <v>3.01</v>
      </c>
      <c r="K164" s="1772">
        <v>3.01</v>
      </c>
      <c r="L164" s="1770">
        <v>3.01</v>
      </c>
      <c r="M164" s="1770" t="s">
        <v>106</v>
      </c>
      <c r="N164" s="1770" t="s">
        <v>106</v>
      </c>
      <c r="O164" s="1770" t="s">
        <v>52</v>
      </c>
      <c r="P164" s="1770" t="s">
        <v>53</v>
      </c>
      <c r="Q164" s="1755"/>
      <c r="R164" s="1755"/>
    </row>
    <row r="165" spans="1:18">
      <c r="A165" s="1772" t="s">
        <v>30</v>
      </c>
      <c r="B165" s="1772" t="s">
        <v>30</v>
      </c>
      <c r="C165" s="1772" t="s">
        <v>30</v>
      </c>
      <c r="D165" s="1772" t="s">
        <v>30</v>
      </c>
      <c r="E165" s="1773" t="s">
        <v>30</v>
      </c>
      <c r="F165" s="1773" t="s">
        <v>30</v>
      </c>
      <c r="G165" s="1773" t="s">
        <v>30</v>
      </c>
      <c r="H165" s="1772">
        <v>3.02</v>
      </c>
      <c r="I165" s="1772">
        <v>3.02</v>
      </c>
      <c r="J165" s="1772">
        <v>3.02</v>
      </c>
      <c r="K165" s="1772">
        <v>3.02</v>
      </c>
      <c r="L165" s="1770">
        <v>3.02</v>
      </c>
      <c r="M165" s="1773" t="s">
        <v>30</v>
      </c>
      <c r="N165" s="1773" t="s">
        <v>30</v>
      </c>
      <c r="O165" s="1773" t="s">
        <v>30</v>
      </c>
      <c r="P165" s="1773" t="s">
        <v>30</v>
      </c>
      <c r="Q165" s="1755"/>
      <c r="R165" s="1755"/>
    </row>
    <row r="166" spans="1:18">
      <c r="A166" s="1772" t="s">
        <v>30</v>
      </c>
      <c r="B166" s="1772" t="s">
        <v>30</v>
      </c>
      <c r="C166" s="1772" t="s">
        <v>30</v>
      </c>
      <c r="D166" s="1772" t="s">
        <v>30</v>
      </c>
      <c r="E166" s="1773" t="s">
        <v>30</v>
      </c>
      <c r="F166" s="1773" t="s">
        <v>30</v>
      </c>
      <c r="G166" s="1773" t="s">
        <v>30</v>
      </c>
      <c r="H166" s="1772">
        <v>3.03</v>
      </c>
      <c r="I166" s="1772">
        <v>3.03</v>
      </c>
      <c r="J166" s="1772">
        <v>3.03</v>
      </c>
      <c r="K166" s="1772">
        <v>3.03</v>
      </c>
      <c r="L166" s="1770">
        <v>3.03</v>
      </c>
      <c r="M166" s="1770" t="s">
        <v>107</v>
      </c>
      <c r="N166" s="1770" t="s">
        <v>107</v>
      </c>
      <c r="O166" s="1770" t="s">
        <v>30</v>
      </c>
      <c r="P166" s="1770" t="s">
        <v>30</v>
      </c>
      <c r="Q166" s="1755"/>
      <c r="R166" s="1755"/>
    </row>
    <row r="167" spans="1:18">
      <c r="A167" s="1772" t="s">
        <v>30</v>
      </c>
      <c r="B167" s="1772" t="s">
        <v>30</v>
      </c>
      <c r="C167" s="1772" t="s">
        <v>30</v>
      </c>
      <c r="D167" s="1772" t="s">
        <v>30</v>
      </c>
      <c r="E167" s="1773" t="s">
        <v>30</v>
      </c>
      <c r="F167" s="1773" t="s">
        <v>30</v>
      </c>
      <c r="G167" s="1773" t="s">
        <v>30</v>
      </c>
      <c r="H167" s="1772">
        <v>3.05</v>
      </c>
      <c r="I167" s="1772">
        <v>3.05</v>
      </c>
      <c r="J167" s="1772">
        <v>3.05</v>
      </c>
      <c r="K167" s="1772">
        <v>3.05</v>
      </c>
      <c r="L167" s="1770">
        <v>3.05</v>
      </c>
      <c r="M167" s="1770" t="s">
        <v>108</v>
      </c>
      <c r="N167" s="1770" t="s">
        <v>108</v>
      </c>
      <c r="O167" s="1770" t="s">
        <v>30</v>
      </c>
      <c r="P167" s="1770" t="s">
        <v>30</v>
      </c>
      <c r="Q167" s="1755"/>
      <c r="R167" s="1755"/>
    </row>
    <row r="168" spans="1:18">
      <c r="A168" s="1772" t="s">
        <v>30</v>
      </c>
      <c r="B168" s="1772" t="s">
        <v>30</v>
      </c>
      <c r="C168" s="1772" t="s">
        <v>30</v>
      </c>
      <c r="D168" s="1772" t="s">
        <v>30</v>
      </c>
      <c r="E168" s="1772" t="s">
        <v>30</v>
      </c>
      <c r="F168" s="1772" t="s">
        <v>30</v>
      </c>
      <c r="G168" s="1772" t="s">
        <v>30</v>
      </c>
      <c r="H168" s="1772">
        <v>3.06</v>
      </c>
      <c r="I168" s="1772">
        <v>3.06</v>
      </c>
      <c r="J168" s="1772">
        <v>3.06</v>
      </c>
      <c r="K168" s="1772">
        <v>3.06</v>
      </c>
      <c r="L168" s="1770">
        <v>3.06</v>
      </c>
      <c r="M168" s="1773" t="s">
        <v>30</v>
      </c>
      <c r="N168" s="1773" t="s">
        <v>30</v>
      </c>
      <c r="O168" s="1773" t="s">
        <v>30</v>
      </c>
      <c r="P168" s="1773" t="s">
        <v>30</v>
      </c>
      <c r="Q168" s="1755"/>
      <c r="R168" s="1755"/>
    </row>
    <row r="169" spans="1:18">
      <c r="A169" s="1772" t="s">
        <v>30</v>
      </c>
      <c r="B169" s="1772" t="s">
        <v>30</v>
      </c>
      <c r="C169" s="1772" t="s">
        <v>30</v>
      </c>
      <c r="D169" s="1772" t="s">
        <v>30</v>
      </c>
      <c r="E169" s="1767" t="s">
        <v>30</v>
      </c>
      <c r="F169" s="1767" t="s">
        <v>30</v>
      </c>
      <c r="G169" s="1767" t="s">
        <v>30</v>
      </c>
      <c r="H169" s="1767">
        <v>4.1100000000000003</v>
      </c>
      <c r="I169" s="1767">
        <v>4.1100000000000003</v>
      </c>
      <c r="J169" s="1767">
        <v>4.1100000000000003</v>
      </c>
      <c r="K169" s="1767" t="s">
        <v>30</v>
      </c>
      <c r="L169" s="1767" t="s">
        <v>30</v>
      </c>
      <c r="M169" s="1767" t="s">
        <v>30</v>
      </c>
      <c r="N169" s="1767" t="s">
        <v>30</v>
      </c>
      <c r="O169" s="1767" t="s">
        <v>30</v>
      </c>
      <c r="P169" s="1767" t="s">
        <v>30</v>
      </c>
      <c r="Q169" s="1755"/>
      <c r="R169" s="1755"/>
    </row>
    <row r="170" spans="1:18">
      <c r="A170" s="1772" t="s">
        <v>30</v>
      </c>
      <c r="B170" s="1772" t="s">
        <v>30</v>
      </c>
      <c r="C170" s="1772" t="s">
        <v>30</v>
      </c>
      <c r="D170" s="1772" t="s">
        <v>30</v>
      </c>
      <c r="E170" s="1767" t="s">
        <v>30</v>
      </c>
      <c r="F170" s="1767" t="s">
        <v>30</v>
      </c>
      <c r="G170" s="1767" t="s">
        <v>30</v>
      </c>
      <c r="H170" s="1767">
        <v>4.12</v>
      </c>
      <c r="I170" s="1767">
        <v>4.12</v>
      </c>
      <c r="J170" s="1767">
        <v>4.12</v>
      </c>
      <c r="K170" s="1767" t="s">
        <v>30</v>
      </c>
      <c r="L170" s="1767" t="s">
        <v>30</v>
      </c>
      <c r="M170" s="1767" t="s">
        <v>30</v>
      </c>
      <c r="N170" s="1767" t="s">
        <v>30</v>
      </c>
      <c r="O170" s="1767" t="s">
        <v>30</v>
      </c>
      <c r="P170" s="1767" t="s">
        <v>30</v>
      </c>
      <c r="Q170" s="1755"/>
      <c r="R170" s="1755"/>
    </row>
    <row r="171" spans="1:18">
      <c r="A171" s="1772" t="s">
        <v>30</v>
      </c>
      <c r="B171" s="1772" t="s">
        <v>30</v>
      </c>
      <c r="C171" s="1772" t="s">
        <v>30</v>
      </c>
      <c r="D171" s="1772" t="s">
        <v>30</v>
      </c>
      <c r="E171" s="1770" t="s">
        <v>30</v>
      </c>
      <c r="F171" s="1770" t="s">
        <v>30</v>
      </c>
      <c r="G171" s="1770" t="s">
        <v>30</v>
      </c>
      <c r="H171" s="1767">
        <v>9.07</v>
      </c>
      <c r="I171" s="1767">
        <v>9.07</v>
      </c>
      <c r="J171" s="1767">
        <v>9.07</v>
      </c>
      <c r="K171" s="1767">
        <v>9.07</v>
      </c>
      <c r="L171" s="1769" t="s">
        <v>30</v>
      </c>
      <c r="M171" s="1770" t="s">
        <v>30</v>
      </c>
      <c r="N171" s="1770" t="s">
        <v>30</v>
      </c>
      <c r="O171" s="1770" t="s">
        <v>30</v>
      </c>
      <c r="P171" s="1770" t="s">
        <v>30</v>
      </c>
      <c r="Q171" s="1755"/>
      <c r="R171" s="1755"/>
    </row>
    <row r="172" spans="1:18">
      <c r="A172" s="1772" t="s">
        <v>30</v>
      </c>
      <c r="B172" s="1772" t="s">
        <v>30</v>
      </c>
      <c r="C172" s="1772" t="s">
        <v>30</v>
      </c>
      <c r="D172" s="1772" t="s">
        <v>30</v>
      </c>
      <c r="E172" s="1770" t="s">
        <v>30</v>
      </c>
      <c r="F172" s="1770" t="s">
        <v>30</v>
      </c>
      <c r="G172" s="1770" t="s">
        <v>30</v>
      </c>
      <c r="H172" s="1767">
        <v>9.15</v>
      </c>
      <c r="I172" s="1767">
        <v>9.15</v>
      </c>
      <c r="J172" s="1767">
        <v>9.15</v>
      </c>
      <c r="K172" s="1767">
        <v>9.15</v>
      </c>
      <c r="L172" s="1769" t="s">
        <v>30</v>
      </c>
      <c r="M172" s="1773" t="s">
        <v>30</v>
      </c>
      <c r="N172" s="1773" t="s">
        <v>30</v>
      </c>
      <c r="O172" s="1773" t="s">
        <v>30</v>
      </c>
      <c r="P172" s="1773" t="s">
        <v>30</v>
      </c>
      <c r="Q172" s="1755"/>
      <c r="R172" s="1755"/>
    </row>
    <row r="173" spans="1:18">
      <c r="A173" s="1772" t="s">
        <v>30</v>
      </c>
      <c r="B173" s="1772" t="s">
        <v>30</v>
      </c>
      <c r="C173" s="1772" t="s">
        <v>30</v>
      </c>
      <c r="D173" s="1772" t="s">
        <v>30</v>
      </c>
      <c r="E173" s="1767" t="s">
        <v>30</v>
      </c>
      <c r="F173" s="1767" t="s">
        <v>30</v>
      </c>
      <c r="G173" s="1767" t="s">
        <v>30</v>
      </c>
      <c r="H173" s="1767" t="s">
        <v>30</v>
      </c>
      <c r="I173" s="1767">
        <v>1.41</v>
      </c>
      <c r="J173" s="1767">
        <v>1.41</v>
      </c>
      <c r="K173" s="1767">
        <v>1.41</v>
      </c>
      <c r="L173" s="1769">
        <v>9.07</v>
      </c>
      <c r="M173" s="1773" t="s">
        <v>30</v>
      </c>
      <c r="N173" s="1773" t="s">
        <v>30</v>
      </c>
      <c r="O173" s="1773" t="s">
        <v>30</v>
      </c>
      <c r="P173" s="1773" t="s">
        <v>30</v>
      </c>
      <c r="Q173" s="1755"/>
      <c r="R173" s="1755"/>
    </row>
    <row r="174" spans="1:18">
      <c r="A174" s="1772" t="s">
        <v>30</v>
      </c>
      <c r="B174" s="1772" t="s">
        <v>30</v>
      </c>
      <c r="C174" s="1772" t="s">
        <v>30</v>
      </c>
      <c r="D174" s="1772" t="s">
        <v>30</v>
      </c>
      <c r="E174" s="1772" t="s">
        <v>30</v>
      </c>
      <c r="F174" s="1772" t="s">
        <v>30</v>
      </c>
      <c r="G174" s="1772" t="s">
        <v>30</v>
      </c>
      <c r="H174" s="1772" t="s">
        <v>30</v>
      </c>
      <c r="I174" s="1771" t="s">
        <v>95</v>
      </c>
      <c r="J174" s="1771" t="s">
        <v>95</v>
      </c>
      <c r="K174" s="1772" t="s">
        <v>30</v>
      </c>
      <c r="L174" s="1772" t="s">
        <v>30</v>
      </c>
      <c r="M174" s="1772" t="s">
        <v>30</v>
      </c>
      <c r="N174" s="1772" t="s">
        <v>109</v>
      </c>
      <c r="O174" s="1772" t="s">
        <v>30</v>
      </c>
      <c r="P174" s="1772" t="s">
        <v>30</v>
      </c>
      <c r="Q174" s="1755"/>
      <c r="R174" s="1755"/>
    </row>
    <row r="175" spans="1:18">
      <c r="A175" s="1772" t="s">
        <v>30</v>
      </c>
      <c r="B175" s="1772" t="s">
        <v>30</v>
      </c>
      <c r="C175" s="1772" t="s">
        <v>30</v>
      </c>
      <c r="D175" s="1772" t="s">
        <v>30</v>
      </c>
      <c r="E175" s="1767" t="s">
        <v>30</v>
      </c>
      <c r="F175" s="1767" t="s">
        <v>30</v>
      </c>
      <c r="G175" s="1767" t="s">
        <v>30</v>
      </c>
      <c r="H175" s="1767" t="s">
        <v>30</v>
      </c>
      <c r="I175" s="1767">
        <v>8.02</v>
      </c>
      <c r="J175" s="1767">
        <v>8.02</v>
      </c>
      <c r="K175" s="1767">
        <v>8.02</v>
      </c>
      <c r="L175" s="1769">
        <v>8.01</v>
      </c>
      <c r="M175" s="1770" t="s">
        <v>129</v>
      </c>
      <c r="N175" s="1770" t="s">
        <v>129</v>
      </c>
      <c r="O175" s="1770" t="s">
        <v>129</v>
      </c>
      <c r="P175" s="1770" t="s">
        <v>129</v>
      </c>
      <c r="Q175" s="1755"/>
      <c r="R175" s="1755"/>
    </row>
    <row r="176" spans="1:18">
      <c r="A176" s="1772" t="s">
        <v>30</v>
      </c>
      <c r="B176" s="1772" t="s">
        <v>30</v>
      </c>
      <c r="C176" s="1772" t="s">
        <v>30</v>
      </c>
      <c r="D176" s="1772" t="s">
        <v>30</v>
      </c>
      <c r="E176" s="1767" t="s">
        <v>30</v>
      </c>
      <c r="F176" s="1767" t="s">
        <v>30</v>
      </c>
      <c r="G176" s="1767" t="s">
        <v>30</v>
      </c>
      <c r="H176" s="1767" t="s">
        <v>30</v>
      </c>
      <c r="I176" s="1767" t="s">
        <v>30</v>
      </c>
      <c r="J176" s="1767" t="s">
        <v>30</v>
      </c>
      <c r="K176" s="1767" t="s">
        <v>30</v>
      </c>
      <c r="L176" s="1769" t="s">
        <v>30</v>
      </c>
      <c r="M176" s="1770" t="s">
        <v>130</v>
      </c>
      <c r="N176" s="1770" t="s">
        <v>130</v>
      </c>
      <c r="O176" s="1770" t="s">
        <v>130</v>
      </c>
      <c r="P176" s="1770" t="s">
        <v>130</v>
      </c>
      <c r="Q176" s="1755"/>
      <c r="R176" s="1755"/>
    </row>
    <row r="177" spans="1:18">
      <c r="A177" s="1772" t="s">
        <v>30</v>
      </c>
      <c r="B177" s="1772" t="s">
        <v>30</v>
      </c>
      <c r="C177" s="1772" t="s">
        <v>30</v>
      </c>
      <c r="D177" s="1772" t="s">
        <v>30</v>
      </c>
      <c r="E177" s="1767" t="s">
        <v>30</v>
      </c>
      <c r="F177" s="1767" t="s">
        <v>30</v>
      </c>
      <c r="G177" s="1767" t="s">
        <v>30</v>
      </c>
      <c r="H177" s="1767" t="s">
        <v>30</v>
      </c>
      <c r="I177" s="1767" t="s">
        <v>30</v>
      </c>
      <c r="J177" s="1767" t="s">
        <v>30</v>
      </c>
      <c r="K177" s="1767" t="s">
        <v>30</v>
      </c>
      <c r="L177" s="1769" t="s">
        <v>30</v>
      </c>
      <c r="M177" s="1770" t="s">
        <v>131</v>
      </c>
      <c r="N177" s="1770" t="s">
        <v>131</v>
      </c>
      <c r="O177" s="1770" t="s">
        <v>131</v>
      </c>
      <c r="P177" s="1770" t="s">
        <v>131</v>
      </c>
      <c r="Q177" s="1755"/>
      <c r="R177" s="1755"/>
    </row>
    <row r="178" spans="1:18">
      <c r="A178" s="1772" t="s">
        <v>30</v>
      </c>
      <c r="B178" s="1772" t="s">
        <v>30</v>
      </c>
      <c r="C178" s="1772" t="s">
        <v>30</v>
      </c>
      <c r="D178" s="1772" t="s">
        <v>30</v>
      </c>
      <c r="E178" s="1767" t="s">
        <v>30</v>
      </c>
      <c r="F178" s="1767" t="s">
        <v>30</v>
      </c>
      <c r="G178" s="1767" t="s">
        <v>30</v>
      </c>
      <c r="H178" s="1767" t="s">
        <v>30</v>
      </c>
      <c r="I178" s="1767" t="s">
        <v>30</v>
      </c>
      <c r="J178" s="1767" t="s">
        <v>30</v>
      </c>
      <c r="K178" s="1767" t="s">
        <v>30</v>
      </c>
      <c r="L178" s="1769" t="s">
        <v>30</v>
      </c>
      <c r="M178" s="1770" t="s">
        <v>133</v>
      </c>
      <c r="N178" s="1770" t="s">
        <v>133</v>
      </c>
      <c r="O178" s="1770" t="s">
        <v>133</v>
      </c>
      <c r="P178" s="1770" t="s">
        <v>133</v>
      </c>
      <c r="Q178" s="1755"/>
      <c r="R178" s="1755"/>
    </row>
    <row r="179" spans="1:18">
      <c r="A179" s="1772" t="s">
        <v>30</v>
      </c>
      <c r="B179" s="1772" t="s">
        <v>30</v>
      </c>
      <c r="C179" s="1772" t="s">
        <v>30</v>
      </c>
      <c r="D179" s="1772" t="s">
        <v>30</v>
      </c>
      <c r="E179" s="1767" t="s">
        <v>30</v>
      </c>
      <c r="F179" s="1767" t="s">
        <v>30</v>
      </c>
      <c r="G179" s="1767" t="s">
        <v>30</v>
      </c>
      <c r="H179" s="1767" t="s">
        <v>30</v>
      </c>
      <c r="I179" s="1767" t="s">
        <v>30</v>
      </c>
      <c r="J179" s="1767" t="s">
        <v>30</v>
      </c>
      <c r="K179" s="1767" t="s">
        <v>30</v>
      </c>
      <c r="L179" s="1769" t="s">
        <v>30</v>
      </c>
      <c r="M179" s="1770" t="s">
        <v>135</v>
      </c>
      <c r="N179" s="1770" t="s">
        <v>135</v>
      </c>
      <c r="O179" s="1770" t="s">
        <v>135</v>
      </c>
      <c r="P179" s="1770" t="s">
        <v>135</v>
      </c>
      <c r="Q179" s="1755"/>
      <c r="R179" s="1755"/>
    </row>
    <row r="180" spans="1:18">
      <c r="A180" s="1772" t="s">
        <v>30</v>
      </c>
      <c r="B180" s="1772" t="s">
        <v>30</v>
      </c>
      <c r="C180" s="1772" t="s">
        <v>30</v>
      </c>
      <c r="D180" s="1772" t="s">
        <v>30</v>
      </c>
      <c r="E180" s="1767" t="s">
        <v>30</v>
      </c>
      <c r="F180" s="1767" t="s">
        <v>30</v>
      </c>
      <c r="G180" s="1767" t="s">
        <v>30</v>
      </c>
      <c r="H180" s="1767" t="s">
        <v>30</v>
      </c>
      <c r="I180" s="1767" t="s">
        <v>30</v>
      </c>
      <c r="J180" s="1767" t="s">
        <v>30</v>
      </c>
      <c r="K180" s="1767" t="s">
        <v>30</v>
      </c>
      <c r="L180" s="1769" t="s">
        <v>30</v>
      </c>
      <c r="M180" s="1770" t="s">
        <v>137</v>
      </c>
      <c r="N180" s="1770" t="s">
        <v>137</v>
      </c>
      <c r="O180" s="1770" t="s">
        <v>137</v>
      </c>
      <c r="P180" s="1770" t="s">
        <v>137</v>
      </c>
      <c r="Q180" s="1755"/>
      <c r="R180" s="1755"/>
    </row>
    <row r="181" spans="1:18">
      <c r="A181" s="1772" t="s">
        <v>30</v>
      </c>
      <c r="B181" s="1772" t="s">
        <v>30</v>
      </c>
      <c r="C181" s="1772" t="s">
        <v>30</v>
      </c>
      <c r="D181" s="1772" t="s">
        <v>30</v>
      </c>
      <c r="E181" s="1767" t="s">
        <v>30</v>
      </c>
      <c r="F181" s="1767" t="s">
        <v>30</v>
      </c>
      <c r="G181" s="1767" t="s">
        <v>30</v>
      </c>
      <c r="H181" s="1767" t="s">
        <v>30</v>
      </c>
      <c r="I181" s="1767" t="s">
        <v>30</v>
      </c>
      <c r="J181" s="1767" t="s">
        <v>30</v>
      </c>
      <c r="K181" s="1767" t="s">
        <v>30</v>
      </c>
      <c r="L181" s="1769" t="s">
        <v>30</v>
      </c>
      <c r="M181" s="1770" t="s">
        <v>140</v>
      </c>
      <c r="N181" s="1770" t="s">
        <v>140</v>
      </c>
      <c r="O181" s="1770" t="s">
        <v>140</v>
      </c>
      <c r="P181" s="1770" t="s">
        <v>140</v>
      </c>
      <c r="Q181" s="1755"/>
      <c r="R181" s="1755"/>
    </row>
    <row r="182" spans="1:18">
      <c r="A182" s="1772" t="s">
        <v>30</v>
      </c>
      <c r="B182" s="1772" t="s">
        <v>30</v>
      </c>
      <c r="C182" s="1772" t="s">
        <v>30</v>
      </c>
      <c r="D182" s="1772" t="s">
        <v>30</v>
      </c>
      <c r="E182" s="1767" t="s">
        <v>30</v>
      </c>
      <c r="F182" s="1767" t="s">
        <v>30</v>
      </c>
      <c r="G182" s="1767" t="s">
        <v>30</v>
      </c>
      <c r="H182" s="1767" t="s">
        <v>30</v>
      </c>
      <c r="I182" s="1767" t="s">
        <v>30</v>
      </c>
      <c r="J182" s="1767" t="s">
        <v>30</v>
      </c>
      <c r="K182" s="1767" t="s">
        <v>30</v>
      </c>
      <c r="L182" s="1769" t="s">
        <v>30</v>
      </c>
      <c r="M182" s="1770" t="s">
        <v>141</v>
      </c>
      <c r="N182" s="1770" t="s">
        <v>141</v>
      </c>
      <c r="O182" s="1770" t="s">
        <v>141</v>
      </c>
      <c r="P182" s="1770" t="s">
        <v>141</v>
      </c>
      <c r="Q182" s="1755"/>
      <c r="R182" s="1755"/>
    </row>
    <row r="183" spans="1:18">
      <c r="A183" s="1772" t="s">
        <v>30</v>
      </c>
      <c r="B183" s="1772" t="s">
        <v>30</v>
      </c>
      <c r="C183" s="1772" t="s">
        <v>30</v>
      </c>
      <c r="D183" s="1772" t="s">
        <v>30</v>
      </c>
      <c r="E183" s="1767" t="s">
        <v>30</v>
      </c>
      <c r="F183" s="1767" t="s">
        <v>30</v>
      </c>
      <c r="G183" s="1767" t="s">
        <v>30</v>
      </c>
      <c r="H183" s="1767" t="s">
        <v>30</v>
      </c>
      <c r="I183" s="1767" t="s">
        <v>30</v>
      </c>
      <c r="J183" s="1767" t="s">
        <v>30</v>
      </c>
      <c r="K183" s="1767" t="s">
        <v>30</v>
      </c>
      <c r="L183" s="1769" t="s">
        <v>30</v>
      </c>
      <c r="M183" s="1770" t="s">
        <v>143</v>
      </c>
      <c r="N183" s="1770" t="s">
        <v>143</v>
      </c>
      <c r="O183" s="1770" t="s">
        <v>143</v>
      </c>
      <c r="P183" s="1770" t="s">
        <v>143</v>
      </c>
      <c r="Q183" s="1755"/>
      <c r="R183" s="1755"/>
    </row>
    <row r="184" spans="1:18">
      <c r="A184" s="1772" t="s">
        <v>30</v>
      </c>
      <c r="B184" s="1772" t="s">
        <v>30</v>
      </c>
      <c r="C184" s="1772" t="s">
        <v>30</v>
      </c>
      <c r="D184" s="1772" t="s">
        <v>30</v>
      </c>
      <c r="E184" s="1767" t="s">
        <v>30</v>
      </c>
      <c r="F184" s="1767" t="s">
        <v>30</v>
      </c>
      <c r="G184" s="1767" t="s">
        <v>30</v>
      </c>
      <c r="H184" s="1767" t="s">
        <v>30</v>
      </c>
      <c r="I184" s="1767" t="s">
        <v>30</v>
      </c>
      <c r="J184" s="1767" t="s">
        <v>30</v>
      </c>
      <c r="K184" s="1767" t="s">
        <v>30</v>
      </c>
      <c r="L184" s="1769" t="s">
        <v>30</v>
      </c>
      <c r="M184" s="1770" t="s">
        <v>147</v>
      </c>
      <c r="N184" s="1770" t="s">
        <v>147</v>
      </c>
      <c r="O184" s="1770" t="s">
        <v>147</v>
      </c>
      <c r="P184" s="1770" t="s">
        <v>147</v>
      </c>
      <c r="Q184" s="1755"/>
      <c r="R184" s="1755"/>
    </row>
    <row r="185" spans="1:18">
      <c r="A185" s="1772" t="s">
        <v>30</v>
      </c>
      <c r="B185" s="1772" t="s">
        <v>30</v>
      </c>
      <c r="C185" s="1772" t="s">
        <v>30</v>
      </c>
      <c r="D185" s="1772" t="s">
        <v>30</v>
      </c>
      <c r="E185" s="1767" t="s">
        <v>30</v>
      </c>
      <c r="F185" s="1767" t="s">
        <v>30</v>
      </c>
      <c r="G185" s="1767" t="s">
        <v>30</v>
      </c>
      <c r="H185" s="1767" t="s">
        <v>30</v>
      </c>
      <c r="I185" s="1767" t="s">
        <v>30</v>
      </c>
      <c r="J185" s="1767" t="s">
        <v>30</v>
      </c>
      <c r="K185" s="1767" t="s">
        <v>30</v>
      </c>
      <c r="L185" s="1769" t="s">
        <v>30</v>
      </c>
      <c r="M185" s="1770" t="s">
        <v>148</v>
      </c>
      <c r="N185" s="1770" t="s">
        <v>148</v>
      </c>
      <c r="O185" s="1770" t="s">
        <v>148</v>
      </c>
      <c r="P185" s="1770" t="s">
        <v>148</v>
      </c>
      <c r="Q185" s="1755"/>
      <c r="R185" s="1755"/>
    </row>
    <row r="186" spans="1:18">
      <c r="A186" s="1772" t="s">
        <v>30</v>
      </c>
      <c r="B186" s="1772" t="s">
        <v>30</v>
      </c>
      <c r="C186" s="1772" t="s">
        <v>30</v>
      </c>
      <c r="D186" s="1772" t="s">
        <v>30</v>
      </c>
      <c r="E186" s="1767" t="s">
        <v>30</v>
      </c>
      <c r="F186" s="1767" t="s">
        <v>30</v>
      </c>
      <c r="G186" s="1767" t="s">
        <v>30</v>
      </c>
      <c r="H186" s="1767" t="s">
        <v>30</v>
      </c>
      <c r="I186" s="1767" t="s">
        <v>30</v>
      </c>
      <c r="J186" s="1767" t="s">
        <v>30</v>
      </c>
      <c r="K186" s="1767" t="s">
        <v>30</v>
      </c>
      <c r="L186" s="1769" t="s">
        <v>30</v>
      </c>
      <c r="M186" s="1770" t="s">
        <v>149</v>
      </c>
      <c r="N186" s="1770" t="s">
        <v>149</v>
      </c>
      <c r="O186" s="1770" t="s">
        <v>149</v>
      </c>
      <c r="P186" s="1770" t="s">
        <v>149</v>
      </c>
      <c r="Q186" s="1755"/>
      <c r="R186" s="1755"/>
    </row>
    <row r="187" spans="1:18">
      <c r="A187" s="1772" t="s">
        <v>30</v>
      </c>
      <c r="B187" s="1772" t="s">
        <v>30</v>
      </c>
      <c r="C187" s="1772" t="s">
        <v>30</v>
      </c>
      <c r="D187" s="1772" t="s">
        <v>30</v>
      </c>
      <c r="E187" s="1767" t="s">
        <v>30</v>
      </c>
      <c r="F187" s="1767" t="s">
        <v>30</v>
      </c>
      <c r="G187" s="1767" t="s">
        <v>30</v>
      </c>
      <c r="H187" s="1767" t="s">
        <v>30</v>
      </c>
      <c r="I187" s="1767" t="s">
        <v>30</v>
      </c>
      <c r="J187" s="1767" t="s">
        <v>30</v>
      </c>
      <c r="K187" s="1767" t="s">
        <v>30</v>
      </c>
      <c r="L187" s="1769" t="s">
        <v>30</v>
      </c>
      <c r="M187" s="1770" t="s">
        <v>152</v>
      </c>
      <c r="N187" s="1770" t="s">
        <v>152</v>
      </c>
      <c r="O187" s="1770" t="s">
        <v>152</v>
      </c>
      <c r="P187" s="1770" t="s">
        <v>152</v>
      </c>
      <c r="Q187" s="1755"/>
      <c r="R187" s="1755"/>
    </row>
    <row r="188" spans="1:18">
      <c r="A188" s="1772" t="s">
        <v>30</v>
      </c>
      <c r="B188" s="1772" t="s">
        <v>30</v>
      </c>
      <c r="C188" s="1772" t="s">
        <v>30</v>
      </c>
      <c r="D188" s="1772" t="s">
        <v>30</v>
      </c>
      <c r="E188" s="1767" t="s">
        <v>30</v>
      </c>
      <c r="F188" s="1767" t="s">
        <v>30</v>
      </c>
      <c r="G188" s="1767" t="s">
        <v>30</v>
      </c>
      <c r="H188" s="1767" t="s">
        <v>30</v>
      </c>
      <c r="I188" s="1767" t="s">
        <v>30</v>
      </c>
      <c r="J188" s="1767" t="s">
        <v>30</v>
      </c>
      <c r="K188" s="1767" t="s">
        <v>30</v>
      </c>
      <c r="L188" s="1769" t="s">
        <v>30</v>
      </c>
      <c r="M188" s="1770" t="s">
        <v>153</v>
      </c>
      <c r="N188" s="1770" t="s">
        <v>153</v>
      </c>
      <c r="O188" s="1770" t="s">
        <v>153</v>
      </c>
      <c r="P188" s="1770" t="s">
        <v>153</v>
      </c>
      <c r="Q188" s="1755"/>
      <c r="R188" s="1755"/>
    </row>
    <row r="189" spans="1:18">
      <c r="A189" s="1772" t="s">
        <v>30</v>
      </c>
      <c r="B189" s="1772" t="s">
        <v>30</v>
      </c>
      <c r="C189" s="1772" t="s">
        <v>30</v>
      </c>
      <c r="D189" s="1772" t="s">
        <v>30</v>
      </c>
      <c r="E189" s="1767" t="s">
        <v>30</v>
      </c>
      <c r="F189" s="1767" t="s">
        <v>30</v>
      </c>
      <c r="G189" s="1767" t="s">
        <v>30</v>
      </c>
      <c r="H189" s="1767" t="s">
        <v>30</v>
      </c>
      <c r="I189" s="1767" t="s">
        <v>30</v>
      </c>
      <c r="J189" s="1767" t="s">
        <v>30</v>
      </c>
      <c r="K189" s="1767" t="s">
        <v>30</v>
      </c>
      <c r="L189" s="1769" t="s">
        <v>30</v>
      </c>
      <c r="M189" s="1770" t="s">
        <v>168</v>
      </c>
      <c r="N189" s="1770" t="s">
        <v>168</v>
      </c>
      <c r="O189" s="1770" t="s">
        <v>168</v>
      </c>
      <c r="P189" s="1770" t="s">
        <v>168</v>
      </c>
      <c r="Q189" s="1755"/>
      <c r="R189" s="1755"/>
    </row>
    <row r="190" spans="1:18">
      <c r="A190" s="1772" t="s">
        <v>30</v>
      </c>
      <c r="B190" s="1772" t="s">
        <v>30</v>
      </c>
      <c r="C190" s="1772" t="s">
        <v>30</v>
      </c>
      <c r="D190" s="1772" t="s">
        <v>30</v>
      </c>
      <c r="E190" s="1767" t="s">
        <v>30</v>
      </c>
      <c r="F190" s="1767" t="s">
        <v>30</v>
      </c>
      <c r="G190" s="1767" t="s">
        <v>30</v>
      </c>
      <c r="H190" s="1767" t="s">
        <v>30</v>
      </c>
      <c r="I190" s="1767" t="s">
        <v>30</v>
      </c>
      <c r="J190" s="1767" t="s">
        <v>30</v>
      </c>
      <c r="K190" s="1767" t="s">
        <v>30</v>
      </c>
      <c r="L190" s="1769" t="s">
        <v>30</v>
      </c>
      <c r="M190" s="1770" t="s">
        <v>169</v>
      </c>
      <c r="N190" s="1770" t="s">
        <v>169</v>
      </c>
      <c r="O190" s="1770" t="s">
        <v>169</v>
      </c>
      <c r="P190" s="1770" t="s">
        <v>169</v>
      </c>
      <c r="Q190" s="1755"/>
      <c r="R190" s="1755"/>
    </row>
    <row r="191" spans="1:18">
      <c r="A191" s="1772" t="s">
        <v>30</v>
      </c>
      <c r="B191" s="1772" t="s">
        <v>30</v>
      </c>
      <c r="C191" s="1772" t="s">
        <v>30</v>
      </c>
      <c r="D191" s="1772" t="s">
        <v>30</v>
      </c>
      <c r="E191" s="1767" t="s">
        <v>30</v>
      </c>
      <c r="F191" s="1767" t="s">
        <v>30</v>
      </c>
      <c r="G191" s="1767" t="s">
        <v>30</v>
      </c>
      <c r="H191" s="1767" t="s">
        <v>30</v>
      </c>
      <c r="I191" s="1767" t="s">
        <v>30</v>
      </c>
      <c r="J191" s="1767" t="s">
        <v>30</v>
      </c>
      <c r="K191" s="1767" t="s">
        <v>30</v>
      </c>
      <c r="L191" s="1769" t="s">
        <v>30</v>
      </c>
      <c r="M191" s="1770" t="s">
        <v>173</v>
      </c>
      <c r="N191" s="1770" t="s">
        <v>173</v>
      </c>
      <c r="O191" s="1770" t="s">
        <v>173</v>
      </c>
      <c r="P191" s="1770" t="s">
        <v>173</v>
      </c>
      <c r="Q191" s="1755"/>
      <c r="R191" s="1755"/>
    </row>
    <row r="192" spans="1:18">
      <c r="A192" s="1772" t="s">
        <v>30</v>
      </c>
      <c r="B192" s="1772" t="s">
        <v>30</v>
      </c>
      <c r="C192" s="1772" t="s">
        <v>30</v>
      </c>
      <c r="D192" s="1772" t="s">
        <v>30</v>
      </c>
      <c r="E192" s="1767" t="s">
        <v>30</v>
      </c>
      <c r="F192" s="1767" t="s">
        <v>30</v>
      </c>
      <c r="G192" s="1767" t="s">
        <v>30</v>
      </c>
      <c r="H192" s="1767" t="s">
        <v>30</v>
      </c>
      <c r="I192" s="1767" t="s">
        <v>30</v>
      </c>
      <c r="J192" s="1767" t="s">
        <v>30</v>
      </c>
      <c r="K192" s="1767" t="s">
        <v>30</v>
      </c>
      <c r="L192" s="1769" t="s">
        <v>30</v>
      </c>
      <c r="M192" s="1770" t="s">
        <v>61</v>
      </c>
      <c r="N192" s="1770" t="s">
        <v>61</v>
      </c>
      <c r="O192" s="1770" t="s">
        <v>61</v>
      </c>
      <c r="P192" s="1770" t="s">
        <v>61</v>
      </c>
      <c r="Q192" s="1755"/>
      <c r="R192" s="1755"/>
    </row>
    <row r="193" spans="1:18">
      <c r="A193" s="1772" t="s">
        <v>30</v>
      </c>
      <c r="B193" s="1772" t="s">
        <v>30</v>
      </c>
      <c r="C193" s="1772" t="s">
        <v>30</v>
      </c>
      <c r="D193" s="1772" t="s">
        <v>30</v>
      </c>
      <c r="E193" s="1767" t="s">
        <v>30</v>
      </c>
      <c r="F193" s="1767" t="s">
        <v>30</v>
      </c>
      <c r="G193" s="1767" t="s">
        <v>30</v>
      </c>
      <c r="H193" s="1767" t="s">
        <v>30</v>
      </c>
      <c r="I193" s="1767" t="s">
        <v>30</v>
      </c>
      <c r="J193" s="1767" t="s">
        <v>30</v>
      </c>
      <c r="K193" s="1767" t="s">
        <v>30</v>
      </c>
      <c r="L193" s="1769" t="s">
        <v>30</v>
      </c>
      <c r="M193" s="1770" t="s">
        <v>100</v>
      </c>
      <c r="N193" s="1770" t="s">
        <v>100</v>
      </c>
      <c r="O193" s="1770" t="s">
        <v>99</v>
      </c>
      <c r="P193" s="1770" t="s">
        <v>99</v>
      </c>
      <c r="Q193" s="1755"/>
      <c r="R193" s="1755"/>
    </row>
    <row r="194" spans="1:18">
      <c r="A194" s="1772" t="s">
        <v>30</v>
      </c>
      <c r="B194" s="1772" t="s">
        <v>30</v>
      </c>
      <c r="C194" s="1772" t="s">
        <v>30</v>
      </c>
      <c r="D194" s="1772" t="s">
        <v>30</v>
      </c>
      <c r="E194" s="1767" t="s">
        <v>30</v>
      </c>
      <c r="F194" s="1767" t="s">
        <v>30</v>
      </c>
      <c r="G194" s="1767" t="s">
        <v>30</v>
      </c>
      <c r="H194" s="1767" t="s">
        <v>30</v>
      </c>
      <c r="I194" s="1767" t="s">
        <v>30</v>
      </c>
      <c r="J194" s="1767" t="s">
        <v>30</v>
      </c>
      <c r="K194" s="1767" t="s">
        <v>30</v>
      </c>
      <c r="L194" s="1769" t="s">
        <v>30</v>
      </c>
      <c r="M194" s="1770" t="s">
        <v>101</v>
      </c>
      <c r="N194" s="1770" t="s">
        <v>101</v>
      </c>
      <c r="O194" s="1770" t="s">
        <v>100</v>
      </c>
      <c r="P194" s="1770" t="s">
        <v>100</v>
      </c>
      <c r="Q194" s="1755"/>
      <c r="R194" s="1755"/>
    </row>
    <row r="195" spans="1:18">
      <c r="A195" s="1772" t="s">
        <v>30</v>
      </c>
      <c r="B195" s="1772" t="s">
        <v>30</v>
      </c>
      <c r="C195" s="1772" t="s">
        <v>30</v>
      </c>
      <c r="D195" s="1772" t="s">
        <v>30</v>
      </c>
      <c r="E195" s="1767" t="s">
        <v>30</v>
      </c>
      <c r="F195" s="1767" t="s">
        <v>30</v>
      </c>
      <c r="G195" s="1767" t="s">
        <v>30</v>
      </c>
      <c r="H195" s="1767" t="s">
        <v>30</v>
      </c>
      <c r="I195" s="1767" t="s">
        <v>30</v>
      </c>
      <c r="J195" s="1767" t="s">
        <v>30</v>
      </c>
      <c r="K195" s="1767" t="s">
        <v>30</v>
      </c>
      <c r="L195" s="1769" t="s">
        <v>30</v>
      </c>
      <c r="M195" s="1770" t="s">
        <v>102</v>
      </c>
      <c r="N195" s="1770" t="s">
        <v>102</v>
      </c>
      <c r="O195" s="1770" t="s">
        <v>101</v>
      </c>
      <c r="P195" s="1770" t="s">
        <v>101</v>
      </c>
      <c r="Q195" s="1755"/>
      <c r="R195" s="1755"/>
    </row>
    <row r="196" spans="1:18">
      <c r="A196" s="1772" t="s">
        <v>30</v>
      </c>
      <c r="B196" s="1772" t="s">
        <v>30</v>
      </c>
      <c r="C196" s="1772" t="s">
        <v>30</v>
      </c>
      <c r="D196" s="1772" t="s">
        <v>30</v>
      </c>
      <c r="E196" s="1767" t="s">
        <v>30</v>
      </c>
      <c r="F196" s="1767" t="s">
        <v>30</v>
      </c>
      <c r="G196" s="1767" t="s">
        <v>30</v>
      </c>
      <c r="H196" s="1767" t="s">
        <v>30</v>
      </c>
      <c r="I196" s="1767" t="s">
        <v>30</v>
      </c>
      <c r="J196" s="1767" t="s">
        <v>30</v>
      </c>
      <c r="K196" s="1767" t="s">
        <v>30</v>
      </c>
      <c r="L196" s="1769" t="s">
        <v>30</v>
      </c>
      <c r="M196" s="1770" t="s">
        <v>112</v>
      </c>
      <c r="N196" s="1770" t="s">
        <v>112</v>
      </c>
      <c r="O196" s="1770" t="s">
        <v>112</v>
      </c>
      <c r="P196" s="1770" t="s">
        <v>30</v>
      </c>
      <c r="Q196" s="1755"/>
      <c r="R196" s="1755"/>
    </row>
    <row r="197" spans="1:18">
      <c r="A197" s="1772" t="s">
        <v>30</v>
      </c>
      <c r="B197" s="1772" t="s">
        <v>30</v>
      </c>
      <c r="C197" s="1772" t="s">
        <v>30</v>
      </c>
      <c r="D197" s="1772" t="s">
        <v>30</v>
      </c>
      <c r="E197" s="1767" t="s">
        <v>30</v>
      </c>
      <c r="F197" s="1767" t="s">
        <v>30</v>
      </c>
      <c r="G197" s="1767" t="s">
        <v>30</v>
      </c>
      <c r="H197" s="1767" t="s">
        <v>30</v>
      </c>
      <c r="I197" s="1767" t="s">
        <v>30</v>
      </c>
      <c r="J197" s="1767" t="s">
        <v>30</v>
      </c>
      <c r="K197" s="1767" t="s">
        <v>30</v>
      </c>
      <c r="L197" s="1769" t="s">
        <v>30</v>
      </c>
      <c r="M197" s="1770" t="s">
        <v>114</v>
      </c>
      <c r="N197" s="1770" t="s">
        <v>114</v>
      </c>
      <c r="O197" s="1770" t="s">
        <v>114</v>
      </c>
      <c r="P197" s="1770" t="s">
        <v>30</v>
      </c>
      <c r="Q197" s="1755"/>
      <c r="R197" s="1755"/>
    </row>
    <row r="198" spans="1:18">
      <c r="A198" s="1772" t="s">
        <v>30</v>
      </c>
      <c r="B198" s="1772" t="s">
        <v>30</v>
      </c>
      <c r="C198" s="1772" t="s">
        <v>30</v>
      </c>
      <c r="D198" s="1772" t="s">
        <v>30</v>
      </c>
      <c r="E198" s="1767" t="s">
        <v>30</v>
      </c>
      <c r="F198" s="1767" t="s">
        <v>30</v>
      </c>
      <c r="G198" s="1767" t="s">
        <v>30</v>
      </c>
      <c r="H198" s="1767" t="s">
        <v>30</v>
      </c>
      <c r="I198" s="1767" t="s">
        <v>30</v>
      </c>
      <c r="J198" s="1767" t="s">
        <v>30</v>
      </c>
      <c r="K198" s="1767" t="s">
        <v>30</v>
      </c>
      <c r="L198" s="1769" t="s">
        <v>30</v>
      </c>
      <c r="M198" s="1770" t="s">
        <v>26</v>
      </c>
      <c r="N198" s="1770" t="s">
        <v>26</v>
      </c>
      <c r="O198" s="1770" t="s">
        <v>26</v>
      </c>
      <c r="P198" s="1770" t="s">
        <v>30</v>
      </c>
      <c r="Q198" s="1755"/>
      <c r="R198" s="1755"/>
    </row>
    <row r="199" spans="1:18">
      <c r="A199" s="1772" t="s">
        <v>30</v>
      </c>
      <c r="B199" s="1772" t="s">
        <v>30</v>
      </c>
      <c r="C199" s="1772" t="s">
        <v>30</v>
      </c>
      <c r="D199" s="1772" t="s">
        <v>30</v>
      </c>
      <c r="E199" s="1767" t="s">
        <v>30</v>
      </c>
      <c r="F199" s="1767" t="s">
        <v>30</v>
      </c>
      <c r="G199" s="1767" t="s">
        <v>30</v>
      </c>
      <c r="H199" s="1767" t="s">
        <v>30</v>
      </c>
      <c r="I199" s="1767" t="s">
        <v>30</v>
      </c>
      <c r="J199" s="1767" t="s">
        <v>30</v>
      </c>
      <c r="K199" s="1767" t="s">
        <v>30</v>
      </c>
      <c r="L199" s="1769" t="s">
        <v>30</v>
      </c>
      <c r="M199" s="1770" t="s">
        <v>185</v>
      </c>
      <c r="N199" s="1770" t="s">
        <v>185</v>
      </c>
      <c r="O199" s="1770" t="s">
        <v>185</v>
      </c>
      <c r="P199" s="1770" t="s">
        <v>30</v>
      </c>
      <c r="Q199" s="1755"/>
      <c r="R199" s="1755"/>
    </row>
    <row r="200" spans="1:18">
      <c r="A200" s="1772" t="s">
        <v>30</v>
      </c>
      <c r="B200" s="1772" t="s">
        <v>30</v>
      </c>
      <c r="C200" s="1772" t="s">
        <v>30</v>
      </c>
      <c r="D200" s="1772" t="s">
        <v>30</v>
      </c>
      <c r="E200" s="1767" t="s">
        <v>30</v>
      </c>
      <c r="F200" s="1767" t="s">
        <v>30</v>
      </c>
      <c r="G200" s="1767" t="s">
        <v>30</v>
      </c>
      <c r="H200" s="1767" t="s">
        <v>30</v>
      </c>
      <c r="I200" s="1767" t="s">
        <v>30</v>
      </c>
      <c r="J200" s="1767" t="s">
        <v>30</v>
      </c>
      <c r="K200" s="1767" t="s">
        <v>30</v>
      </c>
      <c r="L200" s="1769" t="s">
        <v>30</v>
      </c>
      <c r="M200" s="1770" t="s">
        <v>19</v>
      </c>
      <c r="N200" s="1770" t="s">
        <v>19</v>
      </c>
      <c r="O200" s="1770" t="s">
        <v>30</v>
      </c>
      <c r="P200" s="1770" t="s">
        <v>30</v>
      </c>
      <c r="Q200" s="1755"/>
      <c r="R200" s="1755"/>
    </row>
    <row r="201" spans="1:18">
      <c r="A201" s="1772" t="s">
        <v>30</v>
      </c>
      <c r="B201" s="1772" t="s">
        <v>30</v>
      </c>
      <c r="C201" s="1772" t="s">
        <v>30</v>
      </c>
      <c r="D201" s="1772" t="s">
        <v>30</v>
      </c>
      <c r="E201" s="1767" t="s">
        <v>30</v>
      </c>
      <c r="F201" s="1767" t="s">
        <v>30</v>
      </c>
      <c r="G201" s="1767" t="s">
        <v>30</v>
      </c>
      <c r="H201" s="1767" t="s">
        <v>30</v>
      </c>
      <c r="I201" s="1767" t="s">
        <v>30</v>
      </c>
      <c r="J201" s="1767" t="s">
        <v>30</v>
      </c>
      <c r="K201" s="1767" t="s">
        <v>30</v>
      </c>
      <c r="L201" s="1769" t="s">
        <v>30</v>
      </c>
      <c r="M201" s="1770" t="s">
        <v>47</v>
      </c>
      <c r="N201" s="1770" t="s">
        <v>30</v>
      </c>
      <c r="O201" s="1770" t="s">
        <v>30</v>
      </c>
      <c r="P201" s="1770" t="s">
        <v>30</v>
      </c>
      <c r="Q201" s="1755"/>
      <c r="R201" s="1755"/>
    </row>
    <row r="202" spans="1:18">
      <c r="A202" s="1772" t="s">
        <v>30</v>
      </c>
      <c r="B202" s="1772" t="s">
        <v>30</v>
      </c>
      <c r="C202" s="1772" t="s">
        <v>30</v>
      </c>
      <c r="D202" s="1772" t="s">
        <v>30</v>
      </c>
      <c r="E202" s="1767" t="s">
        <v>30</v>
      </c>
      <c r="F202" s="1767" t="s">
        <v>30</v>
      </c>
      <c r="G202" s="1767" t="s">
        <v>30</v>
      </c>
      <c r="H202" s="1767" t="s">
        <v>30</v>
      </c>
      <c r="I202" s="1767" t="s">
        <v>30</v>
      </c>
      <c r="J202" s="1767" t="s">
        <v>30</v>
      </c>
      <c r="K202" s="1767" t="s">
        <v>30</v>
      </c>
      <c r="L202" s="1769" t="s">
        <v>30</v>
      </c>
      <c r="M202" s="1770" t="s">
        <v>117</v>
      </c>
      <c r="N202" s="1770" t="s">
        <v>117</v>
      </c>
      <c r="O202" s="1770" t="s">
        <v>117</v>
      </c>
      <c r="P202" s="1770" t="s">
        <v>116</v>
      </c>
      <c r="Q202" s="1755"/>
      <c r="R202" s="1755"/>
    </row>
    <row r="203" spans="1:18">
      <c r="A203" s="1772" t="s">
        <v>30</v>
      </c>
      <c r="B203" s="1772" t="s">
        <v>30</v>
      </c>
      <c r="C203" s="1772" t="s">
        <v>30</v>
      </c>
      <c r="D203" s="1772" t="s">
        <v>30</v>
      </c>
      <c r="E203" s="1767" t="s">
        <v>30</v>
      </c>
      <c r="F203" s="1767" t="s">
        <v>30</v>
      </c>
      <c r="G203" s="1767" t="s">
        <v>30</v>
      </c>
      <c r="H203" s="1767" t="s">
        <v>30</v>
      </c>
      <c r="I203" s="1767" t="s">
        <v>30</v>
      </c>
      <c r="J203" s="1767" t="s">
        <v>30</v>
      </c>
      <c r="K203" s="1767" t="s">
        <v>30</v>
      </c>
      <c r="L203" s="1769" t="s">
        <v>30</v>
      </c>
      <c r="M203" s="1770" t="s">
        <v>14</v>
      </c>
      <c r="N203" s="1770" t="s">
        <v>14</v>
      </c>
      <c r="O203" s="1770" t="s">
        <v>14</v>
      </c>
      <c r="P203" s="1770" t="s">
        <v>118</v>
      </c>
      <c r="Q203" s="1755"/>
      <c r="R203" s="1755"/>
    </row>
    <row r="204" spans="1:18">
      <c r="A204" s="1772" t="s">
        <v>30</v>
      </c>
      <c r="B204" s="1772" t="s">
        <v>30</v>
      </c>
      <c r="C204" s="1772" t="s">
        <v>30</v>
      </c>
      <c r="D204" s="1772" t="s">
        <v>30</v>
      </c>
      <c r="E204" s="1767" t="s">
        <v>30</v>
      </c>
      <c r="F204" s="1767" t="s">
        <v>30</v>
      </c>
      <c r="G204" s="1767" t="s">
        <v>30</v>
      </c>
      <c r="H204" s="1767" t="s">
        <v>30</v>
      </c>
      <c r="I204" s="1767" t="s">
        <v>30</v>
      </c>
      <c r="J204" s="1767" t="s">
        <v>30</v>
      </c>
      <c r="K204" s="1767" t="s">
        <v>30</v>
      </c>
      <c r="L204" s="1769" t="s">
        <v>30</v>
      </c>
      <c r="M204" s="1770" t="s">
        <v>16</v>
      </c>
      <c r="N204" s="1770" t="s">
        <v>16</v>
      </c>
      <c r="O204" s="1770" t="s">
        <v>16</v>
      </c>
      <c r="P204" s="1770" t="s">
        <v>15</v>
      </c>
      <c r="Q204" s="1755"/>
      <c r="R204" s="1755"/>
    </row>
    <row r="205" spans="1:18">
      <c r="A205" s="1772" t="s">
        <v>30</v>
      </c>
      <c r="B205" s="1772" t="s">
        <v>30</v>
      </c>
      <c r="C205" s="1772" t="s">
        <v>30</v>
      </c>
      <c r="D205" s="1772" t="s">
        <v>30</v>
      </c>
      <c r="E205" s="1767" t="s">
        <v>30</v>
      </c>
      <c r="F205" s="1767" t="s">
        <v>30</v>
      </c>
      <c r="G205" s="1767" t="s">
        <v>30</v>
      </c>
      <c r="H205" s="1767" t="s">
        <v>30</v>
      </c>
      <c r="I205" s="1767" t="s">
        <v>30</v>
      </c>
      <c r="J205" s="1767" t="s">
        <v>30</v>
      </c>
      <c r="K205" s="1767" t="s">
        <v>30</v>
      </c>
      <c r="L205" s="1769" t="s">
        <v>30</v>
      </c>
      <c r="M205" s="1770" t="s">
        <v>18</v>
      </c>
      <c r="N205" s="1770" t="s">
        <v>18</v>
      </c>
      <c r="O205" s="1770" t="s">
        <v>18</v>
      </c>
      <c r="P205" s="1770" t="s">
        <v>17</v>
      </c>
      <c r="Q205" s="1755"/>
      <c r="R205" s="1755"/>
    </row>
    <row r="206" spans="1:18">
      <c r="A206" s="1772" t="s">
        <v>30</v>
      </c>
      <c r="B206" s="1772" t="s">
        <v>30</v>
      </c>
      <c r="C206" s="1772" t="s">
        <v>30</v>
      </c>
      <c r="D206" s="1772" t="s">
        <v>30</v>
      </c>
      <c r="E206" s="1772" t="s">
        <v>30</v>
      </c>
      <c r="F206" s="1772" t="s">
        <v>30</v>
      </c>
      <c r="G206" s="1772" t="s">
        <v>30</v>
      </c>
      <c r="H206" s="1772" t="s">
        <v>30</v>
      </c>
      <c r="I206" s="1772" t="s">
        <v>30</v>
      </c>
      <c r="J206" s="1772" t="s">
        <v>30</v>
      </c>
      <c r="K206" s="1772" t="s">
        <v>30</v>
      </c>
      <c r="L206" s="1770" t="s">
        <v>30</v>
      </c>
      <c r="M206" s="1770" t="s">
        <v>30</v>
      </c>
      <c r="N206" s="1770" t="s">
        <v>109</v>
      </c>
      <c r="O206" s="1770" t="s">
        <v>30</v>
      </c>
      <c r="P206" s="1770" t="s">
        <v>30</v>
      </c>
      <c r="Q206" s="1755"/>
      <c r="R206" s="1755"/>
    </row>
    <row r="207" spans="1:18">
      <c r="A207" s="1772" t="s">
        <v>30</v>
      </c>
      <c r="B207" s="1772" t="s">
        <v>30</v>
      </c>
      <c r="C207" s="1772" t="s">
        <v>30</v>
      </c>
      <c r="D207" s="1772" t="s">
        <v>30</v>
      </c>
      <c r="E207" s="1772" t="s">
        <v>30</v>
      </c>
      <c r="F207" s="1772" t="s">
        <v>30</v>
      </c>
      <c r="G207" s="1772" t="s">
        <v>30</v>
      </c>
      <c r="H207" s="1772" t="s">
        <v>30</v>
      </c>
      <c r="I207" s="1772" t="s">
        <v>30</v>
      </c>
      <c r="J207" s="1772" t="s">
        <v>30</v>
      </c>
      <c r="K207" s="1772" t="s">
        <v>30</v>
      </c>
      <c r="L207" s="1770" t="s">
        <v>30</v>
      </c>
      <c r="M207" s="1770" t="s">
        <v>30</v>
      </c>
      <c r="N207" s="1770" t="s">
        <v>30</v>
      </c>
      <c r="O207" s="1770" t="s">
        <v>106</v>
      </c>
      <c r="P207" s="1770" t="s">
        <v>109</v>
      </c>
      <c r="Q207" s="1755"/>
      <c r="R207" s="1755"/>
    </row>
    <row r="208" spans="1:18">
      <c r="A208" s="1781">
        <f>COUNTIF(A7:A207,"&lt;&gt;-")</f>
        <v>131</v>
      </c>
      <c r="B208" s="1781">
        <f>COUNTIF(B7:B207,"&lt;&gt;-")</f>
        <v>133</v>
      </c>
      <c r="C208" s="1781">
        <f>COUNTIF(C7:C207,"&lt;&gt;-")</f>
        <v>131</v>
      </c>
      <c r="D208" s="1781">
        <f>COUNTIF(D7:D194,"&lt;&gt;-")</f>
        <v>130</v>
      </c>
      <c r="E208" s="1781">
        <f>COUNTIF(E7:E194,"&lt;&gt;-")</f>
        <v>133</v>
      </c>
      <c r="F208" s="1781">
        <f t="shared" ref="F208:P208" si="0">COUNTIF(F7:F194,"&lt;&gt;-")</f>
        <v>130</v>
      </c>
      <c r="G208" s="1781">
        <f t="shared" si="0"/>
        <v>129</v>
      </c>
      <c r="H208" s="1781">
        <v>140</v>
      </c>
      <c r="I208" s="1781">
        <f t="shared" si="0"/>
        <v>135</v>
      </c>
      <c r="J208" s="1781">
        <f t="shared" si="0"/>
        <v>125</v>
      </c>
      <c r="K208" s="1781">
        <f t="shared" si="0"/>
        <v>113</v>
      </c>
      <c r="L208" s="1781">
        <f t="shared" si="0"/>
        <v>92</v>
      </c>
      <c r="M208" s="1781">
        <f t="shared" si="0"/>
        <v>92</v>
      </c>
      <c r="N208" s="1781">
        <f t="shared" si="0"/>
        <v>92</v>
      </c>
      <c r="O208" s="1781">
        <f t="shared" si="0"/>
        <v>84</v>
      </c>
      <c r="P208" s="1781">
        <f t="shared" si="0"/>
        <v>79</v>
      </c>
      <c r="Q208" s="1755"/>
      <c r="R208" s="1755"/>
    </row>
    <row r="209" spans="1:20">
      <c r="F209" s="1782"/>
      <c r="G209" s="1782"/>
      <c r="H209" s="1782"/>
      <c r="I209" s="1782"/>
      <c r="J209" s="1782"/>
      <c r="K209" s="1782"/>
      <c r="L209" s="1782"/>
      <c r="M209" s="1782"/>
      <c r="N209" s="1782"/>
      <c r="O209" s="1782"/>
      <c r="Q209" s="1755"/>
      <c r="R209" s="1755"/>
    </row>
    <row r="210" spans="1:20" ht="13">
      <c r="A210" s="1755" t="s">
        <v>50</v>
      </c>
      <c r="B210" s="1755" t="s">
        <v>50</v>
      </c>
      <c r="G210" s="1755"/>
      <c r="H210" s="1755"/>
      <c r="I210" s="774"/>
      <c r="J210" s="774"/>
      <c r="M210" s="1756"/>
      <c r="N210" s="1756"/>
      <c r="O210" s="1783"/>
      <c r="P210" s="1783"/>
      <c r="Q210" s="1783"/>
      <c r="R210" s="1783"/>
      <c r="S210" s="1780"/>
      <c r="T210" s="1780"/>
    </row>
    <row r="211" spans="1:20" ht="9.75" customHeight="1">
      <c r="G211" s="1755"/>
      <c r="H211" s="774"/>
      <c r="I211" s="774"/>
      <c r="M211" s="1756"/>
      <c r="Q211" s="1755"/>
      <c r="S211" s="1756"/>
    </row>
    <row r="212" spans="1:20">
      <c r="G212" s="1755"/>
      <c r="M212" s="1756"/>
      <c r="Q212" s="1755"/>
      <c r="S212" s="1756"/>
    </row>
    <row r="213" spans="1:20">
      <c r="G213" s="1755"/>
      <c r="M213" s="1756"/>
      <c r="Q213" s="1755"/>
      <c r="S213" s="1756"/>
    </row>
  </sheetData>
  <pageMargins left="0.55118110236220474" right="0.39370078740157483" top="0.31496062992125984" bottom="0.35433070866141736" header="0.23622047244094491" footer="0.23622047244094491"/>
  <pageSetup paperSize="9" scale="60" fitToHeight="2" orientation="landscape"/>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63C5-3DB1-144F-A021-1EC3448B7C77}">
  <sheetPr>
    <pageSetUpPr fitToPage="1"/>
  </sheetPr>
  <dimension ref="A1:C87"/>
  <sheetViews>
    <sheetView topLeftCell="A70" workbookViewId="0">
      <selection activeCell="B86" sqref="B86"/>
    </sheetView>
  </sheetViews>
  <sheetFormatPr baseColWidth="10" defaultColWidth="11.3984375" defaultRowHeight="13"/>
  <cols>
    <col min="1" max="1" width="25.59765625" style="1680" customWidth="1"/>
    <col min="2" max="2" width="23" style="1680" customWidth="1"/>
    <col min="3" max="3" width="28.59765625" style="1680" customWidth="1"/>
    <col min="4" max="4" width="7.796875" style="1680" customWidth="1"/>
    <col min="5" max="5" width="4.59765625" style="1680" customWidth="1"/>
    <col min="6" max="16384" width="11.3984375" style="1680"/>
  </cols>
  <sheetData>
    <row r="1" spans="1:2" ht="14">
      <c r="A1" s="1679" t="s">
        <v>2405</v>
      </c>
    </row>
    <row r="2" spans="1:2" ht="16">
      <c r="A2" s="1681"/>
    </row>
    <row r="3" spans="1:2" ht="14">
      <c r="A3" s="1679" t="s">
        <v>2406</v>
      </c>
    </row>
    <row r="4" spans="1:2" ht="15.75" customHeight="1"/>
    <row r="5" spans="1:2" ht="21" customHeight="1">
      <c r="A5" s="1682" t="s">
        <v>2407</v>
      </c>
      <c r="B5" s="1683" t="s">
        <v>2408</v>
      </c>
    </row>
    <row r="6" spans="1:2" ht="18.75" customHeight="1">
      <c r="A6" s="1684" t="s">
        <v>2409</v>
      </c>
      <c r="B6" s="1685" t="s">
        <v>2410</v>
      </c>
    </row>
    <row r="7" spans="1:2" ht="41.25" customHeight="1">
      <c r="A7" s="1686" t="s">
        <v>2411</v>
      </c>
      <c r="B7" s="1687" t="s">
        <v>2412</v>
      </c>
    </row>
    <row r="8" spans="1:2" ht="22.5" customHeight="1">
      <c r="A8" s="1688" t="s">
        <v>2413</v>
      </c>
      <c r="B8" s="1689" t="s">
        <v>30</v>
      </c>
    </row>
    <row r="9" spans="1:2" ht="14">
      <c r="A9" s="1688" t="s">
        <v>2414</v>
      </c>
      <c r="B9" s="1690">
        <v>0.1</v>
      </c>
    </row>
    <row r="10" spans="1:2" ht="14">
      <c r="A10" s="1688" t="s">
        <v>2415</v>
      </c>
      <c r="B10" s="1690">
        <v>0.2</v>
      </c>
    </row>
    <row r="11" spans="1:2" ht="14">
      <c r="A11" s="1688" t="s">
        <v>2416</v>
      </c>
      <c r="B11" s="1690">
        <v>0.35</v>
      </c>
    </row>
    <row r="12" spans="1:2" ht="14">
      <c r="A12" s="1688" t="s">
        <v>2417</v>
      </c>
      <c r="B12" s="1690">
        <v>0.4</v>
      </c>
    </row>
    <row r="13" spans="1:2" ht="25.5" customHeight="1">
      <c r="A13" s="1691"/>
    </row>
    <row r="14" spans="1:2" ht="21" customHeight="1">
      <c r="A14" s="1682" t="s">
        <v>2407</v>
      </c>
      <c r="B14" s="1692" t="s">
        <v>2418</v>
      </c>
    </row>
    <row r="15" spans="1:2" ht="19.5" customHeight="1">
      <c r="A15" s="1693" t="s">
        <v>2409</v>
      </c>
      <c r="B15" s="1694" t="s">
        <v>2410</v>
      </c>
    </row>
    <row r="16" spans="1:2" ht="42" customHeight="1">
      <c r="A16" s="1686" t="s">
        <v>2411</v>
      </c>
      <c r="B16" s="1687" t="s">
        <v>2412</v>
      </c>
    </row>
    <row r="17" spans="1:3" ht="24" customHeight="1">
      <c r="A17" s="1695" t="s">
        <v>2419</v>
      </c>
      <c r="B17" s="1689" t="s">
        <v>30</v>
      </c>
    </row>
    <row r="18" spans="1:3" ht="14">
      <c r="A18" s="1696" t="s">
        <v>2420</v>
      </c>
      <c r="B18" s="1697">
        <v>0.08</v>
      </c>
    </row>
    <row r="19" spans="1:3" ht="14">
      <c r="A19" s="1688" t="s">
        <v>2415</v>
      </c>
      <c r="B19" s="1697">
        <v>0.15</v>
      </c>
    </row>
    <row r="20" spans="1:3" ht="14">
      <c r="A20" s="1688" t="s">
        <v>2416</v>
      </c>
      <c r="B20" s="1697">
        <v>0.3</v>
      </c>
    </row>
    <row r="21" spans="1:3" ht="14">
      <c r="A21" s="1688" t="s">
        <v>2417</v>
      </c>
      <c r="B21" s="1690">
        <v>0.4</v>
      </c>
    </row>
    <row r="22" spans="1:3" ht="24" customHeight="1">
      <c r="A22" s="1691"/>
    </row>
    <row r="23" spans="1:3" ht="21" customHeight="1">
      <c r="A23" s="1682" t="s">
        <v>2407</v>
      </c>
      <c r="B23" s="1692" t="s">
        <v>2421</v>
      </c>
      <c r="C23" s="1698"/>
    </row>
    <row r="24" spans="1:3" ht="21.75" customHeight="1">
      <c r="A24" s="1693" t="s">
        <v>2409</v>
      </c>
      <c r="B24" s="1694" t="s">
        <v>2410</v>
      </c>
      <c r="C24" s="1699"/>
    </row>
    <row r="25" spans="1:3" ht="21" customHeight="1">
      <c r="A25" s="1826" t="s">
        <v>2411</v>
      </c>
      <c r="B25" s="1828" t="s">
        <v>2412</v>
      </c>
      <c r="C25" s="1700" t="s">
        <v>2422</v>
      </c>
    </row>
    <row r="26" spans="1:3" ht="29.25" customHeight="1">
      <c r="A26" s="1827"/>
      <c r="B26" s="1829"/>
      <c r="C26" s="1701" t="s">
        <v>2423</v>
      </c>
    </row>
    <row r="27" spans="1:3" ht="18.75" customHeight="1">
      <c r="A27" s="1702" t="s">
        <v>2424</v>
      </c>
      <c r="B27" s="1689" t="s">
        <v>30</v>
      </c>
      <c r="C27" s="1703" t="s">
        <v>30</v>
      </c>
    </row>
    <row r="28" spans="1:3" ht="14">
      <c r="A28" s="1688" t="s">
        <v>2425</v>
      </c>
      <c r="B28" s="1690">
        <v>0.08</v>
      </c>
      <c r="C28" s="1704">
        <v>170</v>
      </c>
    </row>
    <row r="29" spans="1:3" ht="14">
      <c r="A29" s="1688" t="s">
        <v>2415</v>
      </c>
      <c r="B29" s="1690">
        <v>0.15</v>
      </c>
      <c r="C29" s="1704">
        <v>370</v>
      </c>
    </row>
    <row r="30" spans="1:3" ht="14">
      <c r="A30" s="1688" t="s">
        <v>2416</v>
      </c>
      <c r="B30" s="1690">
        <v>0.3</v>
      </c>
      <c r="C30" s="1704">
        <v>970</v>
      </c>
    </row>
    <row r="31" spans="1:3" ht="14">
      <c r="A31" s="1688" t="s">
        <v>2417</v>
      </c>
      <c r="B31" s="1690">
        <v>0.4</v>
      </c>
      <c r="C31" s="1704">
        <v>1270</v>
      </c>
    </row>
    <row r="32" spans="1:3" ht="25.5" customHeight="1">
      <c r="A32" s="1691"/>
    </row>
    <row r="33" spans="1:3" ht="15" customHeight="1">
      <c r="A33" s="1691"/>
    </row>
    <row r="34" spans="1:3" ht="21" customHeight="1">
      <c r="A34" s="1682" t="s">
        <v>2407</v>
      </c>
      <c r="B34" s="1705">
        <v>2004</v>
      </c>
      <c r="C34" s="1698"/>
    </row>
    <row r="35" spans="1:3" ht="21.75" customHeight="1">
      <c r="A35" s="1693" t="s">
        <v>2409</v>
      </c>
      <c r="B35" s="1706" t="s">
        <v>2426</v>
      </c>
      <c r="C35" s="1699"/>
    </row>
    <row r="36" spans="1:3" ht="19.5" customHeight="1">
      <c r="A36" s="1826" t="s">
        <v>2411</v>
      </c>
      <c r="B36" s="1828" t="s">
        <v>2412</v>
      </c>
      <c r="C36" s="1700" t="s">
        <v>2422</v>
      </c>
    </row>
    <row r="37" spans="1:3" ht="42" customHeight="1">
      <c r="A37" s="1827"/>
      <c r="B37" s="1829"/>
      <c r="C37" s="1701" t="s">
        <v>2427</v>
      </c>
    </row>
    <row r="38" spans="1:3" ht="16.5" customHeight="1">
      <c r="A38" s="1695" t="s">
        <v>2428</v>
      </c>
      <c r="B38" s="1689" t="s">
        <v>30</v>
      </c>
      <c r="C38" s="1703" t="s">
        <v>30</v>
      </c>
    </row>
    <row r="39" spans="1:3" ht="14">
      <c r="A39" s="1688" t="s">
        <v>2425</v>
      </c>
      <c r="B39" s="1697">
        <v>0.03</v>
      </c>
      <c r="C39" s="1704">
        <v>80</v>
      </c>
    </row>
    <row r="40" spans="1:3" ht="14">
      <c r="A40" s="1688" t="s">
        <v>2415</v>
      </c>
      <c r="B40" s="1697">
        <v>0.09</v>
      </c>
      <c r="C40" s="1704">
        <v>240</v>
      </c>
    </row>
    <row r="41" spans="1:3" ht="14">
      <c r="A41" s="1688" t="s">
        <v>2416</v>
      </c>
      <c r="B41" s="1697">
        <v>0.24</v>
      </c>
      <c r="C41" s="1704">
        <v>720</v>
      </c>
    </row>
    <row r="42" spans="1:3" ht="14">
      <c r="A42" s="1688" t="s">
        <v>2417</v>
      </c>
      <c r="B42" s="1697">
        <v>0.3</v>
      </c>
      <c r="C42" s="1704">
        <v>960</v>
      </c>
    </row>
    <row r="43" spans="1:3" ht="22.5" customHeight="1">
      <c r="A43" s="1691"/>
    </row>
    <row r="44" spans="1:3" ht="21" customHeight="1">
      <c r="A44" s="1682" t="s">
        <v>2407</v>
      </c>
      <c r="B44" s="1705">
        <v>2005</v>
      </c>
      <c r="C44" s="1698"/>
    </row>
    <row r="45" spans="1:3" ht="21" customHeight="1">
      <c r="A45" s="1693" t="s">
        <v>2409</v>
      </c>
      <c r="B45" s="1694" t="s">
        <v>2429</v>
      </c>
      <c r="C45" s="1699"/>
    </row>
    <row r="46" spans="1:3" ht="20.25" customHeight="1">
      <c r="A46" s="1826" t="s">
        <v>2411</v>
      </c>
      <c r="B46" s="1828" t="s">
        <v>2412</v>
      </c>
      <c r="C46" s="1700" t="s">
        <v>2422</v>
      </c>
    </row>
    <row r="47" spans="1:3" ht="41.25" customHeight="1">
      <c r="A47" s="1827"/>
      <c r="B47" s="1829"/>
      <c r="C47" s="1707" t="s">
        <v>2427</v>
      </c>
    </row>
    <row r="48" spans="1:3" ht="15" customHeight="1">
      <c r="A48" s="1688" t="s">
        <v>2430</v>
      </c>
      <c r="B48" s="1689" t="s">
        <v>30</v>
      </c>
      <c r="C48" s="1703" t="s">
        <v>30</v>
      </c>
    </row>
    <row r="49" spans="1:3" ht="14">
      <c r="A49" s="1708" t="s">
        <v>2431</v>
      </c>
      <c r="B49" s="1697">
        <v>0.5</v>
      </c>
      <c r="C49" s="1704">
        <v>160</v>
      </c>
    </row>
    <row r="50" spans="1:3" ht="14">
      <c r="A50" s="1708" t="s">
        <v>2432</v>
      </c>
      <c r="B50" s="1697">
        <v>0.5</v>
      </c>
      <c r="C50" s="1704">
        <v>560</v>
      </c>
    </row>
    <row r="51" spans="1:3" ht="14">
      <c r="A51" s="1688" t="s">
        <v>2433</v>
      </c>
      <c r="B51" s="1697">
        <v>0.5</v>
      </c>
      <c r="C51" s="1703">
        <v>960</v>
      </c>
    </row>
    <row r="52" spans="1:3" ht="14">
      <c r="A52" s="1708" t="s">
        <v>2434</v>
      </c>
      <c r="B52" s="1697">
        <v>0.5</v>
      </c>
      <c r="C52" s="1704">
        <v>1360</v>
      </c>
    </row>
    <row r="53" spans="1:3" ht="14">
      <c r="A53" s="1708" t="s">
        <v>2435</v>
      </c>
      <c r="B53" s="1697">
        <v>0.5</v>
      </c>
      <c r="C53" s="1704">
        <v>1760</v>
      </c>
    </row>
    <row r="54" spans="1:3" ht="22.5" customHeight="1">
      <c r="A54" s="1709"/>
    </row>
    <row r="55" spans="1:3" ht="23.25" customHeight="1">
      <c r="A55" s="1682" t="s">
        <v>2407</v>
      </c>
      <c r="B55" s="1692" t="s">
        <v>2436</v>
      </c>
      <c r="C55" s="1698"/>
    </row>
    <row r="56" spans="1:3" ht="21" customHeight="1">
      <c r="A56" s="1693" t="s">
        <v>2409</v>
      </c>
      <c r="B56" s="1710" t="s">
        <v>2437</v>
      </c>
      <c r="C56" s="1699"/>
    </row>
    <row r="57" spans="1:3" ht="20.25" customHeight="1">
      <c r="A57" s="1826" t="s">
        <v>2411</v>
      </c>
      <c r="B57" s="1828" t="s">
        <v>2412</v>
      </c>
      <c r="C57" s="1700" t="s">
        <v>2422</v>
      </c>
    </row>
    <row r="58" spans="1:3" ht="41.25" customHeight="1">
      <c r="A58" s="1827"/>
      <c r="B58" s="1829"/>
      <c r="C58" s="1707" t="s">
        <v>2427</v>
      </c>
    </row>
    <row r="59" spans="1:3" ht="12.75" customHeight="1">
      <c r="A59" s="1688" t="s">
        <v>2430</v>
      </c>
      <c r="B59" s="1689" t="s">
        <v>30</v>
      </c>
      <c r="C59" s="1703" t="s">
        <v>30</v>
      </c>
    </row>
    <row r="60" spans="1:3" ht="14">
      <c r="A60" s="1702" t="s">
        <v>2431</v>
      </c>
      <c r="B60" s="1711">
        <v>0.5</v>
      </c>
      <c r="C60" s="1712">
        <v>160</v>
      </c>
    </row>
    <row r="61" spans="1:3" ht="14">
      <c r="A61" s="1702" t="s">
        <v>2432</v>
      </c>
      <c r="B61" s="1711">
        <v>0.5</v>
      </c>
      <c r="C61" s="1712">
        <v>560</v>
      </c>
    </row>
    <row r="62" spans="1:3" ht="14">
      <c r="A62" s="1702" t="s">
        <v>2433</v>
      </c>
      <c r="B62" s="1711">
        <v>0.5</v>
      </c>
      <c r="C62" s="1712">
        <v>960</v>
      </c>
    </row>
    <row r="63" spans="1:3" ht="14">
      <c r="A63" s="1702" t="s">
        <v>2434</v>
      </c>
      <c r="B63" s="1711">
        <v>0.5</v>
      </c>
      <c r="C63" s="1712">
        <v>1360</v>
      </c>
    </row>
    <row r="64" spans="1:3" ht="14">
      <c r="A64" s="1702" t="s">
        <v>2435</v>
      </c>
      <c r="B64" s="1711">
        <v>0.5</v>
      </c>
      <c r="C64" s="1712">
        <v>1760</v>
      </c>
    </row>
    <row r="65" spans="1:3" ht="22.5" customHeight="1">
      <c r="A65" s="1709"/>
    </row>
    <row r="66" spans="1:3" ht="23.25" customHeight="1">
      <c r="A66" s="1682" t="s">
        <v>2407</v>
      </c>
      <c r="B66" s="1692" t="s">
        <v>2438</v>
      </c>
      <c r="C66" s="1698"/>
    </row>
    <row r="67" spans="1:3" ht="21" customHeight="1">
      <c r="A67" s="1693" t="s">
        <v>2409</v>
      </c>
      <c r="B67" s="1713" t="s">
        <v>2437</v>
      </c>
      <c r="C67" s="1699"/>
    </row>
    <row r="68" spans="1:3" ht="20.25" customHeight="1">
      <c r="A68" s="1826" t="s">
        <v>2411</v>
      </c>
      <c r="B68" s="1828" t="s">
        <v>2412</v>
      </c>
      <c r="C68" s="1700" t="s">
        <v>2422</v>
      </c>
    </row>
    <row r="69" spans="1:3" ht="41.25" customHeight="1">
      <c r="A69" s="1827"/>
      <c r="B69" s="1829"/>
      <c r="C69" s="1714" t="s">
        <v>2439</v>
      </c>
    </row>
    <row r="70" spans="1:3" ht="12.75" customHeight="1">
      <c r="A70" s="1688" t="s">
        <v>2430</v>
      </c>
      <c r="B70" s="1689" t="s">
        <v>30</v>
      </c>
      <c r="C70" s="1715" t="s">
        <v>30</v>
      </c>
    </row>
    <row r="71" spans="1:3" ht="14">
      <c r="A71" s="1702" t="s">
        <v>2431</v>
      </c>
      <c r="B71" s="1711">
        <v>0.5</v>
      </c>
      <c r="C71" s="1714">
        <f>(0.7*(500-300))</f>
        <v>140</v>
      </c>
    </row>
    <row r="72" spans="1:3" ht="14">
      <c r="A72" s="1702" t="s">
        <v>2432</v>
      </c>
      <c r="B72" s="1711">
        <v>0.5</v>
      </c>
      <c r="C72" s="1714">
        <f>(0.7*(1000-300))</f>
        <v>489.99999999999994</v>
      </c>
    </row>
    <row r="73" spans="1:3" ht="14">
      <c r="A73" s="1702" t="s">
        <v>2433</v>
      </c>
      <c r="B73" s="1711">
        <v>0.5</v>
      </c>
      <c r="C73" s="1714">
        <f>(0.7*(1500-300))</f>
        <v>840</v>
      </c>
    </row>
    <row r="74" spans="1:3" ht="14">
      <c r="A74" s="1702" t="s">
        <v>2434</v>
      </c>
      <c r="B74" s="1711">
        <v>0.5</v>
      </c>
      <c r="C74" s="1714">
        <f>(0.7*(2000-300))</f>
        <v>1190</v>
      </c>
    </row>
    <row r="75" spans="1:3" ht="14">
      <c r="A75" s="1702" t="s">
        <v>2435</v>
      </c>
      <c r="B75" s="1711">
        <v>0.5</v>
      </c>
      <c r="C75" s="1714">
        <f>(0.7*(2500-300))</f>
        <v>1540</v>
      </c>
    </row>
    <row r="76" spans="1:3" ht="15.75" customHeight="1">
      <c r="A76" s="1716" t="s">
        <v>2399</v>
      </c>
    </row>
    <row r="77" spans="1:3" ht="9" customHeight="1">
      <c r="A77" s="1425"/>
    </row>
    <row r="78" spans="1:3">
      <c r="A78" s="1425" t="s">
        <v>2440</v>
      </c>
    </row>
    <row r="79" spans="1:3">
      <c r="A79" s="1425"/>
    </row>
    <row r="80" spans="1:3">
      <c r="A80" s="1425" t="s">
        <v>2441</v>
      </c>
    </row>
    <row r="81" spans="1:1">
      <c r="A81" s="1425" t="s">
        <v>2442</v>
      </c>
    </row>
    <row r="82" spans="1:1">
      <c r="A82" s="1425" t="s">
        <v>2443</v>
      </c>
    </row>
    <row r="83" spans="1:1">
      <c r="A83" s="1425"/>
    </row>
    <row r="84" spans="1:1">
      <c r="A84" s="1717" t="s">
        <v>2444</v>
      </c>
    </row>
    <row r="85" spans="1:1">
      <c r="A85" s="1425"/>
    </row>
    <row r="86" spans="1:1">
      <c r="A86" s="1425"/>
    </row>
    <row r="87" spans="1:1">
      <c r="A87" s="1425"/>
    </row>
  </sheetData>
  <mergeCells count="10">
    <mergeCell ref="A57:A58"/>
    <mergeCell ref="B57:B58"/>
    <mergeCell ref="A68:A69"/>
    <mergeCell ref="B68:B69"/>
    <mergeCell ref="A25:A26"/>
    <mergeCell ref="B25:B26"/>
    <mergeCell ref="A36:A37"/>
    <mergeCell ref="B36:B37"/>
    <mergeCell ref="A46:A47"/>
    <mergeCell ref="B46:B47"/>
  </mergeCells>
  <pageMargins left="0.62992125984251968" right="0.35433070866141736" top="0.35433070866141736" bottom="0.39370078740157483" header="0.23622047244094491" footer="0.19685039370078741"/>
  <pageSetup paperSize="9" fitToHeight="2" orientation="portrait"/>
  <headerFooter alignWithMargins="0"/>
  <rowBreaks count="1" manualBreakCount="1">
    <brk id="3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F7C4-1BAC-CA46-960F-3FDE2D629F95}">
  <sheetPr>
    <pageSetUpPr fitToPage="1"/>
  </sheetPr>
  <dimension ref="A1:C85"/>
  <sheetViews>
    <sheetView topLeftCell="A58" workbookViewId="0">
      <selection activeCell="A76" sqref="A76"/>
    </sheetView>
  </sheetViews>
  <sheetFormatPr baseColWidth="10" defaultColWidth="11.3984375" defaultRowHeight="13"/>
  <cols>
    <col min="1" max="1" width="23.19921875" style="1680" customWidth="1"/>
    <col min="2" max="2" width="23.3984375" style="1680" customWidth="1"/>
    <col min="3" max="3" width="28.796875" style="1680" customWidth="1"/>
    <col min="4" max="4" width="13.3984375" style="1680" customWidth="1"/>
    <col min="5" max="5" width="6" style="1680" customWidth="1"/>
    <col min="6" max="16384" width="11.3984375" style="1680"/>
  </cols>
  <sheetData>
    <row r="1" spans="1:2" ht="14">
      <c r="A1" s="1679" t="s">
        <v>2445</v>
      </c>
    </row>
    <row r="2" spans="1:2" ht="14">
      <c r="A2" s="1718"/>
    </row>
    <row r="3" spans="1:2" ht="14">
      <c r="A3" s="1679" t="s">
        <v>2446</v>
      </c>
    </row>
    <row r="4" spans="1:2" ht="25.5" customHeight="1"/>
    <row r="5" spans="1:2" ht="21.75" customHeight="1">
      <c r="A5" s="1719" t="s">
        <v>2447</v>
      </c>
      <c r="B5" s="1683" t="s">
        <v>2408</v>
      </c>
    </row>
    <row r="6" spans="1:2" ht="21.75" customHeight="1">
      <c r="A6" s="1684" t="s">
        <v>2409</v>
      </c>
      <c r="B6" s="1685" t="s">
        <v>2448</v>
      </c>
    </row>
    <row r="7" spans="1:2" ht="43.5" customHeight="1">
      <c r="A7" s="1686" t="s">
        <v>2411</v>
      </c>
      <c r="B7" s="1687" t="s">
        <v>2412</v>
      </c>
    </row>
    <row r="8" spans="1:2" ht="22.5" customHeight="1">
      <c r="A8" s="1688" t="s">
        <v>2449</v>
      </c>
      <c r="B8" s="1689" t="s">
        <v>30</v>
      </c>
    </row>
    <row r="9" spans="1:2" ht="14">
      <c r="A9" s="1688" t="s">
        <v>2450</v>
      </c>
      <c r="B9" s="1690">
        <v>0.2</v>
      </c>
    </row>
    <row r="10" spans="1:2" ht="14">
      <c r="A10" s="1688" t="s">
        <v>2451</v>
      </c>
      <c r="B10" s="1690">
        <v>0.35</v>
      </c>
    </row>
    <row r="11" spans="1:2" ht="14">
      <c r="A11" s="1688" t="s">
        <v>2452</v>
      </c>
      <c r="B11" s="1690">
        <v>0.4</v>
      </c>
    </row>
    <row r="12" spans="1:2" ht="34.5" customHeight="1">
      <c r="A12" s="1691"/>
    </row>
    <row r="13" spans="1:2" ht="21.75" customHeight="1">
      <c r="A13" s="1719" t="s">
        <v>2447</v>
      </c>
      <c r="B13" s="1692" t="s">
        <v>2418</v>
      </c>
    </row>
    <row r="14" spans="1:2" ht="17.25" customHeight="1">
      <c r="A14" s="1693" t="s">
        <v>2409</v>
      </c>
      <c r="B14" s="1694" t="s">
        <v>2448</v>
      </c>
    </row>
    <row r="15" spans="1:2" ht="33" customHeight="1">
      <c r="A15" s="1686" t="s">
        <v>2411</v>
      </c>
      <c r="B15" s="1687" t="s">
        <v>2412</v>
      </c>
    </row>
    <row r="16" spans="1:2" ht="20.25" customHeight="1">
      <c r="A16" s="1688" t="s">
        <v>2449</v>
      </c>
      <c r="B16" s="1689" t="s">
        <v>30</v>
      </c>
    </row>
    <row r="17" spans="1:3" ht="14">
      <c r="A17" s="1688" t="s">
        <v>2450</v>
      </c>
      <c r="B17" s="1697">
        <v>0.15</v>
      </c>
    </row>
    <row r="18" spans="1:3" ht="14">
      <c r="A18" s="1688" t="s">
        <v>2451</v>
      </c>
      <c r="B18" s="1697">
        <v>0.3</v>
      </c>
    </row>
    <row r="19" spans="1:3" ht="14">
      <c r="A19" s="1688" t="s">
        <v>2452</v>
      </c>
      <c r="B19" s="1690">
        <v>0.4</v>
      </c>
    </row>
    <row r="20" spans="1:3" ht="30.75" customHeight="1">
      <c r="A20" s="1691"/>
    </row>
    <row r="21" spans="1:3" ht="20.25" customHeight="1">
      <c r="A21" s="1719" t="s">
        <v>2447</v>
      </c>
      <c r="B21" s="1692" t="s">
        <v>2421</v>
      </c>
      <c r="C21" s="1698"/>
    </row>
    <row r="22" spans="1:3" ht="25.5" customHeight="1">
      <c r="A22" s="1693" t="s">
        <v>2409</v>
      </c>
      <c r="B22" s="1694" t="s">
        <v>2448</v>
      </c>
      <c r="C22" s="1699"/>
    </row>
    <row r="23" spans="1:3" ht="28">
      <c r="A23" s="1826" t="s">
        <v>2411</v>
      </c>
      <c r="B23" s="1828" t="s">
        <v>2412</v>
      </c>
      <c r="C23" s="1720" t="s">
        <v>2422</v>
      </c>
    </row>
    <row r="24" spans="1:3" ht="39" customHeight="1">
      <c r="A24" s="1827"/>
      <c r="B24" s="1829"/>
      <c r="C24" s="1701" t="s">
        <v>2423</v>
      </c>
    </row>
    <row r="25" spans="1:3" ht="19.5" customHeight="1">
      <c r="A25" s="1688" t="s">
        <v>2449</v>
      </c>
      <c r="B25" s="1689" t="s">
        <v>30</v>
      </c>
      <c r="C25" s="1712" t="s">
        <v>30</v>
      </c>
    </row>
    <row r="26" spans="1:3" ht="14">
      <c r="A26" s="1688" t="s">
        <v>2450</v>
      </c>
      <c r="B26" s="1690">
        <v>0.15</v>
      </c>
      <c r="C26" s="1704">
        <v>150</v>
      </c>
    </row>
    <row r="27" spans="1:3" ht="14">
      <c r="A27" s="1688" t="s">
        <v>2451</v>
      </c>
      <c r="B27" s="1690">
        <v>0.3</v>
      </c>
      <c r="C27" s="1704">
        <v>300</v>
      </c>
    </row>
    <row r="28" spans="1:3" ht="14">
      <c r="A28" s="1688" t="s">
        <v>2452</v>
      </c>
      <c r="B28" s="1690">
        <v>0.4</v>
      </c>
      <c r="C28" s="1704">
        <v>375</v>
      </c>
    </row>
    <row r="29" spans="1:3" ht="30.75" customHeight="1">
      <c r="A29" s="1691"/>
    </row>
    <row r="30" spans="1:3" ht="18.75" customHeight="1">
      <c r="A30" s="1691"/>
    </row>
    <row r="31" spans="1:3" ht="15.75" customHeight="1">
      <c r="A31" s="1719" t="s">
        <v>2447</v>
      </c>
      <c r="B31" s="1705">
        <v>2004</v>
      </c>
      <c r="C31" s="1698"/>
    </row>
    <row r="32" spans="1:3" ht="29.25" customHeight="1">
      <c r="A32" s="1693" t="s">
        <v>2409</v>
      </c>
      <c r="B32" s="1706" t="s">
        <v>2453</v>
      </c>
      <c r="C32" s="1699"/>
    </row>
    <row r="33" spans="1:3" ht="19.5" customHeight="1">
      <c r="A33" s="1826" t="s">
        <v>2411</v>
      </c>
      <c r="B33" s="1828" t="s">
        <v>2412</v>
      </c>
      <c r="C33" s="1700" t="s">
        <v>2422</v>
      </c>
    </row>
    <row r="34" spans="1:3" ht="49.5" customHeight="1">
      <c r="A34" s="1827"/>
      <c r="B34" s="1829"/>
      <c r="C34" s="1701" t="s">
        <v>2427</v>
      </c>
    </row>
    <row r="35" spans="1:3" ht="15" customHeight="1">
      <c r="A35" s="1688" t="s">
        <v>2449</v>
      </c>
      <c r="B35" s="1689" t="s">
        <v>30</v>
      </c>
      <c r="C35" s="1703" t="s">
        <v>30</v>
      </c>
    </row>
    <row r="36" spans="1:3" ht="14">
      <c r="A36" s="1688" t="s">
        <v>2450</v>
      </c>
      <c r="B36" s="1697">
        <v>0.21</v>
      </c>
      <c r="C36" s="1704">
        <v>120</v>
      </c>
    </row>
    <row r="37" spans="1:3" ht="14">
      <c r="A37" s="1688" t="s">
        <v>2451</v>
      </c>
      <c r="B37" s="1721">
        <v>0.37</v>
      </c>
      <c r="C37" s="1704">
        <v>240</v>
      </c>
    </row>
    <row r="38" spans="1:3" ht="14">
      <c r="A38" s="1688" t="s">
        <v>2452</v>
      </c>
      <c r="B38" s="1697">
        <v>0.43</v>
      </c>
      <c r="C38" s="1704">
        <v>300</v>
      </c>
    </row>
    <row r="39" spans="1:3" ht="26.25" customHeight="1">
      <c r="A39" s="1691"/>
    </row>
    <row r="40" spans="1:3" ht="20.25" customHeight="1">
      <c r="A40" s="1719" t="s">
        <v>2447</v>
      </c>
      <c r="B40" s="1705">
        <v>2005</v>
      </c>
      <c r="C40" s="1698"/>
    </row>
    <row r="41" spans="1:3" ht="18" customHeight="1">
      <c r="A41" s="1693" t="s">
        <v>2409</v>
      </c>
      <c r="B41" s="1694" t="s">
        <v>2454</v>
      </c>
      <c r="C41" s="1699"/>
    </row>
    <row r="42" spans="1:3" ht="19.5" customHeight="1">
      <c r="A42" s="1826" t="s">
        <v>2411</v>
      </c>
      <c r="B42" s="1828" t="s">
        <v>2412</v>
      </c>
      <c r="C42" s="1700" t="s">
        <v>2422</v>
      </c>
    </row>
    <row r="43" spans="1:3" ht="42.75" customHeight="1">
      <c r="A43" s="1827"/>
      <c r="B43" s="1829"/>
      <c r="C43" s="1707" t="s">
        <v>2427</v>
      </c>
    </row>
    <row r="44" spans="1:3" ht="15.75" customHeight="1">
      <c r="A44" s="1688" t="s">
        <v>2449</v>
      </c>
      <c r="B44" s="1689" t="s">
        <v>30</v>
      </c>
      <c r="C44" s="1703" t="s">
        <v>30</v>
      </c>
    </row>
    <row r="45" spans="1:3" ht="14">
      <c r="A45" s="1708" t="s">
        <v>2455</v>
      </c>
      <c r="B45" s="1697">
        <v>0.5</v>
      </c>
      <c r="C45" s="1704">
        <v>80</v>
      </c>
    </row>
    <row r="46" spans="1:3" ht="14">
      <c r="A46" s="1708" t="s">
        <v>2456</v>
      </c>
      <c r="B46" s="1697">
        <v>0.5</v>
      </c>
      <c r="C46" s="1704">
        <v>160</v>
      </c>
    </row>
    <row r="47" spans="1:3" ht="14">
      <c r="A47" s="1688" t="s">
        <v>2457</v>
      </c>
      <c r="B47" s="1697">
        <v>0.5</v>
      </c>
      <c r="C47" s="1703">
        <v>240</v>
      </c>
    </row>
    <row r="48" spans="1:3" ht="14">
      <c r="A48" s="1708" t="s">
        <v>2458</v>
      </c>
      <c r="B48" s="1697">
        <v>0.5</v>
      </c>
      <c r="C48" s="1704">
        <v>320</v>
      </c>
    </row>
    <row r="49" spans="1:3" ht="14">
      <c r="A49" s="1708" t="s">
        <v>2459</v>
      </c>
      <c r="B49" s="1697">
        <v>0.5</v>
      </c>
      <c r="C49" s="1704">
        <v>400</v>
      </c>
    </row>
    <row r="50" spans="1:3" ht="14">
      <c r="A50" s="1708" t="s">
        <v>2460</v>
      </c>
      <c r="B50" s="1697">
        <v>0.5</v>
      </c>
      <c r="C50" s="1704">
        <v>480</v>
      </c>
    </row>
    <row r="51" spans="1:3" ht="29.25" customHeight="1">
      <c r="A51" s="1425"/>
    </row>
    <row r="52" spans="1:3" ht="20.25" customHeight="1">
      <c r="A52" s="1719" t="s">
        <v>2447</v>
      </c>
      <c r="B52" s="1692" t="s">
        <v>2436</v>
      </c>
      <c r="C52" s="1698"/>
    </row>
    <row r="53" spans="1:3" ht="18" customHeight="1">
      <c r="A53" s="1693" t="s">
        <v>2409</v>
      </c>
      <c r="B53" s="1710" t="s">
        <v>2461</v>
      </c>
      <c r="C53" s="1699"/>
    </row>
    <row r="54" spans="1:3" ht="20.25" customHeight="1">
      <c r="A54" s="1826" t="s">
        <v>2411</v>
      </c>
      <c r="B54" s="1828" t="s">
        <v>2412</v>
      </c>
      <c r="C54" s="1700" t="s">
        <v>2422</v>
      </c>
    </row>
    <row r="55" spans="1:3" ht="39" customHeight="1">
      <c r="A55" s="1827"/>
      <c r="B55" s="1829"/>
      <c r="C55" s="1707" t="s">
        <v>2427</v>
      </c>
    </row>
    <row r="56" spans="1:3" ht="14.25" customHeight="1">
      <c r="A56" s="1688" t="s">
        <v>2449</v>
      </c>
      <c r="B56" s="1689" t="s">
        <v>30</v>
      </c>
      <c r="C56" s="1703" t="s">
        <v>30</v>
      </c>
    </row>
    <row r="57" spans="1:3" ht="14">
      <c r="A57" s="1702" t="s">
        <v>2455</v>
      </c>
      <c r="B57" s="1711">
        <v>0.5</v>
      </c>
      <c r="C57" s="1712">
        <v>80</v>
      </c>
    </row>
    <row r="58" spans="1:3" ht="14">
      <c r="A58" s="1702" t="s">
        <v>2456</v>
      </c>
      <c r="B58" s="1711">
        <v>0.5</v>
      </c>
      <c r="C58" s="1712">
        <v>160</v>
      </c>
    </row>
    <row r="59" spans="1:3" ht="14">
      <c r="A59" s="1702" t="s">
        <v>2457</v>
      </c>
      <c r="B59" s="1711">
        <v>0.5</v>
      </c>
      <c r="C59" s="1712">
        <v>240</v>
      </c>
    </row>
    <row r="60" spans="1:3" ht="14">
      <c r="A60" s="1702" t="s">
        <v>2458</v>
      </c>
      <c r="B60" s="1711">
        <v>0.5</v>
      </c>
      <c r="C60" s="1712">
        <v>320</v>
      </c>
    </row>
    <row r="61" spans="1:3" ht="14">
      <c r="A61" s="1702" t="s">
        <v>2459</v>
      </c>
      <c r="B61" s="1711">
        <v>0.5</v>
      </c>
      <c r="C61" s="1712">
        <v>400</v>
      </c>
    </row>
    <row r="62" spans="1:3" ht="14">
      <c r="A62" s="1702" t="s">
        <v>2460</v>
      </c>
      <c r="B62" s="1711">
        <v>0.5</v>
      </c>
      <c r="C62" s="1712">
        <v>480</v>
      </c>
    </row>
    <row r="63" spans="1:3" ht="29.25" customHeight="1">
      <c r="A63" s="1425"/>
    </row>
    <row r="64" spans="1:3" ht="20.25" customHeight="1">
      <c r="A64" s="1719" t="s">
        <v>2447</v>
      </c>
      <c r="B64" s="1692" t="s">
        <v>2438</v>
      </c>
      <c r="C64" s="1698"/>
    </row>
    <row r="65" spans="1:3" ht="18" customHeight="1">
      <c r="A65" s="1693" t="s">
        <v>2409</v>
      </c>
      <c r="B65" s="1713" t="s">
        <v>2461</v>
      </c>
      <c r="C65" s="1699"/>
    </row>
    <row r="66" spans="1:3" ht="20.25" customHeight="1">
      <c r="A66" s="1826" t="s">
        <v>2411</v>
      </c>
      <c r="B66" s="1828" t="s">
        <v>2412</v>
      </c>
      <c r="C66" s="1700" t="s">
        <v>2422</v>
      </c>
    </row>
    <row r="67" spans="1:3" ht="39" customHeight="1">
      <c r="A67" s="1827"/>
      <c r="B67" s="1829"/>
      <c r="C67" s="1714" t="s">
        <v>2439</v>
      </c>
    </row>
    <row r="68" spans="1:3" ht="14.25" customHeight="1">
      <c r="A68" s="1688" t="s">
        <v>2449</v>
      </c>
      <c r="B68" s="1689" t="s">
        <v>30</v>
      </c>
      <c r="C68" s="1722" t="s">
        <v>30</v>
      </c>
    </row>
    <row r="69" spans="1:3" ht="14">
      <c r="A69" s="1702" t="s">
        <v>2455</v>
      </c>
      <c r="B69" s="1711">
        <v>0.5</v>
      </c>
      <c r="C69" s="1704">
        <v>70</v>
      </c>
    </row>
    <row r="70" spans="1:3" ht="14">
      <c r="A70" s="1702" t="s">
        <v>2456</v>
      </c>
      <c r="B70" s="1711">
        <v>0.5</v>
      </c>
      <c r="C70" s="1704">
        <v>140</v>
      </c>
    </row>
    <row r="71" spans="1:3" ht="14">
      <c r="A71" s="1702" t="s">
        <v>2457</v>
      </c>
      <c r="B71" s="1711">
        <v>0.5</v>
      </c>
      <c r="C71" s="1704">
        <v>210</v>
      </c>
    </row>
    <row r="72" spans="1:3" ht="14">
      <c r="A72" s="1702" t="s">
        <v>2458</v>
      </c>
      <c r="B72" s="1711">
        <v>0.5</v>
      </c>
      <c r="C72" s="1704">
        <v>280</v>
      </c>
    </row>
    <row r="73" spans="1:3" ht="14">
      <c r="A73" s="1702" t="s">
        <v>2459</v>
      </c>
      <c r="B73" s="1711">
        <v>0.5</v>
      </c>
      <c r="C73" s="1704">
        <v>350</v>
      </c>
    </row>
    <row r="74" spans="1:3" ht="14">
      <c r="A74" s="1702" t="s">
        <v>2460</v>
      </c>
      <c r="B74" s="1711">
        <v>0.5</v>
      </c>
      <c r="C74" s="1704">
        <v>420</v>
      </c>
    </row>
    <row r="75" spans="1:3">
      <c r="A75" s="1709" t="s">
        <v>2399</v>
      </c>
    </row>
    <row r="76" spans="1:3">
      <c r="A76" s="1709"/>
    </row>
    <row r="77" spans="1:3">
      <c r="A77" s="1425" t="s">
        <v>2440</v>
      </c>
    </row>
    <row r="78" spans="1:3">
      <c r="A78" s="1425"/>
    </row>
    <row r="79" spans="1:3">
      <c r="A79" s="1425" t="s">
        <v>2462</v>
      </c>
    </row>
    <row r="80" spans="1:3">
      <c r="A80" s="1425" t="s">
        <v>2443</v>
      </c>
    </row>
    <row r="81" spans="1:1">
      <c r="A81" s="1425"/>
    </row>
    <row r="82" spans="1:1">
      <c r="A82" s="1717" t="s">
        <v>2444</v>
      </c>
    </row>
    <row r="83" spans="1:1">
      <c r="A83" s="1425"/>
    </row>
    <row r="84" spans="1:1">
      <c r="A84" s="1425"/>
    </row>
    <row r="85" spans="1:1">
      <c r="A85" s="1425"/>
    </row>
  </sheetData>
  <mergeCells count="10">
    <mergeCell ref="A54:A55"/>
    <mergeCell ref="B54:B55"/>
    <mergeCell ref="A66:A67"/>
    <mergeCell ref="B66:B67"/>
    <mergeCell ref="A23:A24"/>
    <mergeCell ref="B23:B24"/>
    <mergeCell ref="A33:A34"/>
    <mergeCell ref="B33:B34"/>
    <mergeCell ref="A42:A43"/>
    <mergeCell ref="B42:B43"/>
  </mergeCells>
  <pageMargins left="0.47" right="0.6" top="0.48" bottom="0.54" header="0.35" footer="0.33"/>
  <pageSetup paperSize="9" scale="97" fitToHeight="2" orientation="portrait"/>
  <headerFooter alignWithMargins="0"/>
  <rowBreaks count="1" manualBreakCount="1">
    <brk id="2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C73B-92F3-4147-A8C1-F969182CC65A}">
  <sheetPr>
    <pageSetUpPr fitToPage="1"/>
  </sheetPr>
  <dimension ref="A1:O59"/>
  <sheetViews>
    <sheetView workbookViewId="0">
      <selection activeCell="M16" sqref="M16"/>
    </sheetView>
  </sheetViews>
  <sheetFormatPr baseColWidth="10" defaultRowHeight="13"/>
  <cols>
    <col min="1" max="1" width="24.796875" customWidth="1"/>
    <col min="2" max="2" width="14.3984375" customWidth="1"/>
    <col min="3" max="3" width="14.59765625" customWidth="1"/>
    <col min="4" max="4" width="14.3984375" customWidth="1"/>
    <col min="5" max="5" width="14.59765625" customWidth="1"/>
    <col min="6" max="6" width="10" customWidth="1"/>
    <col min="7" max="7" width="9.59765625" customWidth="1"/>
    <col min="8" max="8" width="10.59765625" customWidth="1"/>
    <col min="9" max="9" width="11.19921875" customWidth="1"/>
  </cols>
  <sheetData>
    <row r="1" spans="1:10" ht="14">
      <c r="A1" s="1723" t="s">
        <v>2463</v>
      </c>
      <c r="B1" s="305"/>
      <c r="C1" s="305"/>
      <c r="D1" s="305"/>
      <c r="E1" s="305"/>
      <c r="F1" s="305"/>
      <c r="G1" s="305"/>
      <c r="H1" s="305"/>
      <c r="I1" s="305"/>
    </row>
    <row r="2" spans="1:10" ht="14">
      <c r="A2" s="305"/>
      <c r="B2" s="305"/>
      <c r="C2" s="305"/>
      <c r="D2" s="305"/>
      <c r="E2" s="305"/>
      <c r="F2" s="305"/>
      <c r="G2" s="305"/>
      <c r="H2" s="305"/>
      <c r="I2" s="305"/>
    </row>
    <row r="3" spans="1:10" ht="39.75" customHeight="1">
      <c r="A3" s="1830" t="s">
        <v>2464</v>
      </c>
      <c r="B3" s="1830"/>
      <c r="C3" s="1830"/>
      <c r="D3" s="1830"/>
      <c r="E3" s="1830"/>
      <c r="F3" s="1830"/>
      <c r="G3" s="1830"/>
      <c r="H3" s="1830"/>
      <c r="I3" s="1830"/>
      <c r="J3" s="610"/>
    </row>
    <row r="4" spans="1:10" ht="20.25" customHeight="1">
      <c r="A4" s="1724"/>
      <c r="B4" s="1725"/>
      <c r="C4" s="1725"/>
      <c r="D4" s="1725"/>
      <c r="E4" s="1725"/>
      <c r="F4" s="1725"/>
      <c r="G4" s="1725"/>
      <c r="H4" s="1725"/>
      <c r="I4" s="1725"/>
      <c r="J4" s="610"/>
    </row>
    <row r="5" spans="1:10" ht="18.75" customHeight="1">
      <c r="A5" s="1726"/>
      <c r="B5" s="1727"/>
      <c r="C5" s="1727"/>
      <c r="D5" s="1727"/>
      <c r="E5" s="1727"/>
      <c r="G5" s="23"/>
    </row>
    <row r="6" spans="1:10" ht="23.25" customHeight="1">
      <c r="A6" s="1831" t="s">
        <v>2465</v>
      </c>
      <c r="B6" s="1832"/>
      <c r="C6" s="1833"/>
      <c r="D6" s="4"/>
      <c r="E6" s="3"/>
      <c r="F6" s="3"/>
      <c r="G6" s="3"/>
      <c r="H6" s="3"/>
      <c r="I6" s="3"/>
    </row>
    <row r="7" spans="1:10" ht="28.5" customHeight="1">
      <c r="A7" s="1834" t="s">
        <v>2466</v>
      </c>
      <c r="B7" s="1835"/>
      <c r="C7" s="1835"/>
      <c r="D7" s="1836" t="s">
        <v>2467</v>
      </c>
      <c r="E7" s="1837"/>
      <c r="F7" s="1836" t="s">
        <v>2468</v>
      </c>
      <c r="G7" s="1838"/>
      <c r="H7" s="1838"/>
      <c r="I7" s="1837"/>
    </row>
    <row r="8" spans="1:10" ht="41.25" customHeight="1">
      <c r="A8" s="1728" t="s">
        <v>2411</v>
      </c>
      <c r="B8" s="1729" t="s">
        <v>2469</v>
      </c>
      <c r="C8" s="1730" t="s">
        <v>2470</v>
      </c>
      <c r="D8" s="1729" t="s">
        <v>2469</v>
      </c>
      <c r="E8" s="1731" t="s">
        <v>2470</v>
      </c>
      <c r="F8" s="1839" t="s">
        <v>2469</v>
      </c>
      <c r="G8" s="1840"/>
      <c r="H8" s="1841" t="s">
        <v>2470</v>
      </c>
      <c r="I8" s="1842"/>
    </row>
    <row r="9" spans="1:10" ht="13.5" customHeight="1">
      <c r="A9" s="1732" t="s">
        <v>2471</v>
      </c>
      <c r="B9" s="1733">
        <v>1.4921465968586345E-2</v>
      </c>
      <c r="C9" s="1734">
        <v>1.2249283667621791E-2</v>
      </c>
      <c r="D9" s="1735">
        <v>4652.3999999999996</v>
      </c>
      <c r="E9" s="1736">
        <v>5652.4</v>
      </c>
      <c r="F9" s="1735" t="s">
        <v>30</v>
      </c>
      <c r="G9" s="1735" t="s">
        <v>30</v>
      </c>
      <c r="H9" s="1736" t="s">
        <v>30</v>
      </c>
      <c r="I9" s="1736" t="s">
        <v>30</v>
      </c>
    </row>
    <row r="10" spans="1:10" ht="13.5" customHeight="1">
      <c r="A10" s="1737" t="s">
        <v>2472</v>
      </c>
      <c r="B10" s="1738">
        <v>1.5391539153915224E-2</v>
      </c>
      <c r="C10" s="1734">
        <v>1.2119064493267162E-2</v>
      </c>
      <c r="D10" s="1735">
        <v>4512.3999999999996</v>
      </c>
      <c r="E10" s="1736">
        <v>5712.4</v>
      </c>
      <c r="F10" s="1735">
        <v>140</v>
      </c>
      <c r="G10" s="1738">
        <v>3.0091995529189237E-2</v>
      </c>
      <c r="H10" s="1736">
        <v>-60</v>
      </c>
      <c r="I10" s="1734">
        <v>-1.0614960016983936E-2</v>
      </c>
    </row>
    <row r="11" spans="1:10" ht="13.5" customHeight="1">
      <c r="A11" s="1737" t="s">
        <v>2473</v>
      </c>
      <c r="B11" s="1738">
        <v>1.6707376648754213E-2</v>
      </c>
      <c r="C11" s="1734">
        <v>1.1805315843976372E-2</v>
      </c>
      <c r="D11" s="1735">
        <v>4162.3999999999996</v>
      </c>
      <c r="E11" s="1736">
        <v>5862.4</v>
      </c>
      <c r="F11" s="1735">
        <v>490</v>
      </c>
      <c r="G11" s="1738">
        <v>0.10532198435216233</v>
      </c>
      <c r="H11" s="1736">
        <v>-210</v>
      </c>
      <c r="I11" s="1734">
        <v>-3.7152360059443779E-2</v>
      </c>
    </row>
    <row r="12" spans="1:10" ht="13.5" customHeight="1">
      <c r="A12" s="1737" t="s">
        <v>2433</v>
      </c>
      <c r="B12" s="1738">
        <v>1.8269230769230704E-2</v>
      </c>
      <c r="C12" s="1734">
        <v>1.1507402422610946E-2</v>
      </c>
      <c r="D12" s="1735">
        <v>3812.3999999999996</v>
      </c>
      <c r="E12" s="1736">
        <v>6012.4</v>
      </c>
      <c r="F12" s="1735">
        <v>840</v>
      </c>
      <c r="G12" s="1738">
        <v>0.18055197317513544</v>
      </c>
      <c r="H12" s="1736">
        <v>-360</v>
      </c>
      <c r="I12" s="1734">
        <v>-6.3689760101903622E-2</v>
      </c>
    </row>
    <row r="13" spans="1:10" ht="13.5" customHeight="1">
      <c r="A13" s="1737" t="s">
        <v>2434</v>
      </c>
      <c r="B13" s="1738">
        <v>2.0153211549793548E-2</v>
      </c>
      <c r="C13" s="1734">
        <v>1.1224154906465333E-2</v>
      </c>
      <c r="D13" s="1735">
        <v>3462.3999999999996</v>
      </c>
      <c r="E13" s="1736">
        <v>6162.4</v>
      </c>
      <c r="F13" s="1735">
        <v>1190</v>
      </c>
      <c r="G13" s="1738">
        <v>0.25578196199810854</v>
      </c>
      <c r="H13" s="1736">
        <v>-510</v>
      </c>
      <c r="I13" s="1734">
        <v>-9.0227160144363466E-2</v>
      </c>
    </row>
    <row r="14" spans="1:10" ht="13.5" customHeight="1">
      <c r="A14" s="1737" t="s">
        <v>2435</v>
      </c>
      <c r="B14" s="1738">
        <v>2.2470433639947274E-2</v>
      </c>
      <c r="C14" s="1734">
        <v>1.0954516335682118E-2</v>
      </c>
      <c r="D14" s="1735">
        <v>3112.3999999999996</v>
      </c>
      <c r="E14" s="1736">
        <v>6312.4</v>
      </c>
      <c r="F14" s="1735">
        <v>1540</v>
      </c>
      <c r="G14" s="1738">
        <v>0.33101195082108159</v>
      </c>
      <c r="H14" s="1736">
        <v>-660</v>
      </c>
      <c r="I14" s="1734">
        <v>-0.11676456018682331</v>
      </c>
    </row>
    <row r="15" spans="1:10" ht="45.75" customHeight="1">
      <c r="A15" s="1726"/>
      <c r="B15" s="1727"/>
      <c r="C15" s="1727"/>
      <c r="D15" s="1727"/>
      <c r="E15" s="1727"/>
      <c r="G15" s="23"/>
    </row>
    <row r="16" spans="1:10" ht="24.75" customHeight="1">
      <c r="A16" s="1831" t="s">
        <v>2474</v>
      </c>
      <c r="B16" s="1832"/>
      <c r="C16" s="1833"/>
      <c r="D16" s="4"/>
      <c r="E16" s="4"/>
      <c r="F16" s="4"/>
      <c r="G16" s="4"/>
      <c r="H16" s="4"/>
      <c r="I16" s="4"/>
    </row>
    <row r="17" spans="1:9" ht="30" customHeight="1">
      <c r="A17" s="1834" t="s">
        <v>2475</v>
      </c>
      <c r="B17" s="1835"/>
      <c r="C17" s="1835"/>
      <c r="D17" s="1836" t="s">
        <v>2467</v>
      </c>
      <c r="E17" s="1837"/>
      <c r="F17" s="1836" t="s">
        <v>2468</v>
      </c>
      <c r="G17" s="1838"/>
      <c r="H17" s="1838"/>
      <c r="I17" s="1837"/>
    </row>
    <row r="18" spans="1:9" ht="36.75" customHeight="1">
      <c r="A18" s="1728" t="s">
        <v>2411</v>
      </c>
      <c r="B18" s="1729" t="s">
        <v>2469</v>
      </c>
      <c r="C18" s="1730" t="s">
        <v>2470</v>
      </c>
      <c r="D18" s="1729" t="s">
        <v>2469</v>
      </c>
      <c r="E18" s="1731" t="s">
        <v>2470</v>
      </c>
      <c r="F18" s="1839" t="s">
        <v>2469</v>
      </c>
      <c r="G18" s="1840"/>
      <c r="H18" s="1841" t="s">
        <v>2470</v>
      </c>
      <c r="I18" s="1842"/>
    </row>
    <row r="19" spans="1:9" ht="15" customHeight="1">
      <c r="A19" s="1732" t="s">
        <v>2471</v>
      </c>
      <c r="B19" s="1733">
        <v>2.9146021568055902E-2</v>
      </c>
      <c r="C19" s="1734">
        <v>2.3450324396154132E-2</v>
      </c>
      <c r="D19" s="1735">
        <v>4237.2000000000007</v>
      </c>
      <c r="E19" s="1736">
        <v>5237.2000000000007</v>
      </c>
      <c r="F19" s="1735" t="s">
        <v>30</v>
      </c>
      <c r="G19" s="1735" t="s">
        <v>30</v>
      </c>
      <c r="H19" s="1736" t="s">
        <v>30</v>
      </c>
      <c r="I19" s="1736" t="s">
        <v>30</v>
      </c>
    </row>
    <row r="20" spans="1:9" ht="15" customHeight="1">
      <c r="A20" s="1737" t="s">
        <v>2472</v>
      </c>
      <c r="B20" s="1738">
        <v>3.0171980287639455E-2</v>
      </c>
      <c r="C20" s="1734">
        <v>2.3178552113111373E-2</v>
      </c>
      <c r="D20" s="1735">
        <v>4097.2000000000007</v>
      </c>
      <c r="E20" s="1736">
        <v>5297.2000000000007</v>
      </c>
      <c r="F20" s="1735">
        <v>140</v>
      </c>
      <c r="G20" s="1738">
        <v>3.304068724629472E-2</v>
      </c>
      <c r="H20" s="1736">
        <v>-60</v>
      </c>
      <c r="I20" s="1734">
        <v>-1.1456503475139386E-2</v>
      </c>
    </row>
    <row r="21" spans="1:9" ht="15" customHeight="1">
      <c r="A21" s="1737" t="s">
        <v>2473</v>
      </c>
      <c r="B21" s="1738">
        <v>3.3083370092633402E-2</v>
      </c>
      <c r="C21" s="1734">
        <v>2.2525904790509088E-2</v>
      </c>
      <c r="D21" s="1735">
        <v>3747.2000000000007</v>
      </c>
      <c r="E21" s="1736">
        <v>5447.2000000000007</v>
      </c>
      <c r="F21" s="1735">
        <v>490</v>
      </c>
      <c r="G21" s="1738">
        <v>0.11564240536203151</v>
      </c>
      <c r="H21" s="1736">
        <v>-210</v>
      </c>
      <c r="I21" s="1734">
        <v>-4.0097762162987848E-2</v>
      </c>
    </row>
    <row r="22" spans="1:9" ht="15" customHeight="1">
      <c r="A22" s="1737" t="s">
        <v>2433</v>
      </c>
      <c r="B22" s="1738">
        <v>3.6616623947272053E-2</v>
      </c>
      <c r="C22" s="1734">
        <v>2.1909004600890958E-2</v>
      </c>
      <c r="D22" s="1735">
        <v>3397.2000000000007</v>
      </c>
      <c r="E22" s="1736">
        <v>5597.2000000000007</v>
      </c>
      <c r="F22" s="1735">
        <v>840</v>
      </c>
      <c r="G22" s="1738">
        <v>0.19824412347776829</v>
      </c>
      <c r="H22" s="1736">
        <v>-360</v>
      </c>
      <c r="I22" s="1734">
        <v>-6.8739020850836316E-2</v>
      </c>
    </row>
    <row r="23" spans="1:9" ht="15" customHeight="1">
      <c r="A23" s="1737" t="s">
        <v>2434</v>
      </c>
      <c r="B23" s="1738">
        <v>4.0994807324405524E-2</v>
      </c>
      <c r="C23" s="1734">
        <v>2.1324992891669003E-2</v>
      </c>
      <c r="D23" s="1735">
        <v>3047.2000000000007</v>
      </c>
      <c r="E23" s="1736">
        <v>5747.2000000000007</v>
      </c>
      <c r="F23" s="1735">
        <v>1190</v>
      </c>
      <c r="G23" s="1738">
        <v>0.28084584159350512</v>
      </c>
      <c r="H23" s="1736">
        <v>-510</v>
      </c>
      <c r="I23" s="1734">
        <v>-9.7380279538684777E-2</v>
      </c>
    </row>
    <row r="24" spans="1:9" ht="15" customHeight="1">
      <c r="A24" s="1737" t="s">
        <v>2435</v>
      </c>
      <c r="B24" s="1738">
        <v>4.6562160484246551E-2</v>
      </c>
      <c r="C24" s="1734">
        <v>2.0771307900020686E-2</v>
      </c>
      <c r="D24" s="1735">
        <v>2697.2000000000007</v>
      </c>
      <c r="E24" s="1736">
        <v>5897.2000000000007</v>
      </c>
      <c r="F24" s="1735">
        <v>1540</v>
      </c>
      <c r="G24" s="1738">
        <v>0.36344755970924186</v>
      </c>
      <c r="H24" s="1736">
        <v>-660</v>
      </c>
      <c r="I24" s="1734">
        <v>-0.12602153822653325</v>
      </c>
    </row>
    <row r="25" spans="1:9" ht="39.75" customHeight="1">
      <c r="A25" s="1726"/>
      <c r="B25" s="1727"/>
      <c r="C25" s="1727"/>
      <c r="D25" s="1727"/>
      <c r="E25" s="1727"/>
      <c r="G25" s="23"/>
    </row>
    <row r="26" spans="1:9" ht="24" customHeight="1">
      <c r="A26" s="1831" t="s">
        <v>2476</v>
      </c>
      <c r="B26" s="1832"/>
      <c r="C26" s="1833"/>
      <c r="D26" s="4"/>
      <c r="E26" s="3"/>
      <c r="F26" s="3"/>
      <c r="G26" s="3"/>
      <c r="H26" s="3"/>
      <c r="I26" s="3"/>
    </row>
    <row r="27" spans="1:9" ht="31.5" customHeight="1">
      <c r="A27" s="1834" t="s">
        <v>2477</v>
      </c>
      <c r="B27" s="1835"/>
      <c r="C27" s="1835"/>
      <c r="D27" s="1836" t="s">
        <v>2478</v>
      </c>
      <c r="E27" s="1837"/>
      <c r="F27" s="1836" t="s">
        <v>2479</v>
      </c>
      <c r="G27" s="1838"/>
      <c r="H27" s="1838"/>
      <c r="I27" s="1837"/>
    </row>
    <row r="28" spans="1:9" ht="39" customHeight="1">
      <c r="A28" s="1728" t="s">
        <v>2411</v>
      </c>
      <c r="B28" s="1729" t="s">
        <v>2469</v>
      </c>
      <c r="C28" s="1730" t="s">
        <v>2480</v>
      </c>
      <c r="D28" s="1729" t="s">
        <v>2469</v>
      </c>
      <c r="E28" s="1731" t="s">
        <v>2480</v>
      </c>
      <c r="F28" s="1839" t="s">
        <v>2469</v>
      </c>
      <c r="G28" s="1840"/>
      <c r="H28" s="1841" t="s">
        <v>2480</v>
      </c>
      <c r="I28" s="1842"/>
    </row>
    <row r="29" spans="1:9" ht="15" customHeight="1">
      <c r="A29" s="1732" t="s">
        <v>2471</v>
      </c>
      <c r="B29" s="1733">
        <v>-1.41311547803048E-2</v>
      </c>
      <c r="C29" s="1734">
        <v>-1.0689232824852568E-2</v>
      </c>
      <c r="D29" s="1735">
        <v>1071.5999999999999</v>
      </c>
      <c r="E29" s="1736">
        <v>1421.6</v>
      </c>
      <c r="F29" s="1735" t="s">
        <v>30</v>
      </c>
      <c r="G29" s="1735" t="s">
        <v>30</v>
      </c>
      <c r="H29" s="1736" t="s">
        <v>30</v>
      </c>
      <c r="I29" s="1736" t="s">
        <v>30</v>
      </c>
    </row>
    <row r="30" spans="1:9" ht="15" customHeight="1">
      <c r="A30" s="1737" t="s">
        <v>2455</v>
      </c>
      <c r="B30" s="1738">
        <v>-1.5103838892385313E-2</v>
      </c>
      <c r="C30" s="1734">
        <v>-1.0470633146098085E-2</v>
      </c>
      <c r="D30" s="1735">
        <v>1001.5999999999999</v>
      </c>
      <c r="E30" s="1736">
        <v>1451.6</v>
      </c>
      <c r="F30" s="1735">
        <v>70</v>
      </c>
      <c r="G30" s="1738">
        <v>6.532288167226577E-2</v>
      </c>
      <c r="H30" s="1736">
        <v>-30</v>
      </c>
      <c r="I30" s="1734">
        <v>-2.1102982554867755E-2</v>
      </c>
    </row>
    <row r="31" spans="1:9" ht="15" customHeight="1">
      <c r="A31" s="1737" t="s">
        <v>2456</v>
      </c>
      <c r="B31" s="1738">
        <v>-1.6220326096139326E-2</v>
      </c>
      <c r="C31" s="1734">
        <v>-1.0260795211629037E-2</v>
      </c>
      <c r="D31" s="1735">
        <v>931.59999999999991</v>
      </c>
      <c r="E31" s="1736">
        <v>1481.6</v>
      </c>
      <c r="F31" s="1735">
        <v>140</v>
      </c>
      <c r="G31" s="1738">
        <v>0.13064576334453154</v>
      </c>
      <c r="H31" s="1736">
        <v>-60</v>
      </c>
      <c r="I31" s="1734">
        <v>-4.220596510973551E-2</v>
      </c>
    </row>
    <row r="32" spans="1:9" ht="15" customHeight="1">
      <c r="A32" s="1737" t="s">
        <v>2457</v>
      </c>
      <c r="B32" s="1738">
        <v>-1.7515051997810782E-2</v>
      </c>
      <c r="C32" s="1734">
        <v>-1.005920259862747E-2</v>
      </c>
      <c r="D32" s="1735">
        <v>861.59999999999991</v>
      </c>
      <c r="E32" s="1736">
        <v>1511.6</v>
      </c>
      <c r="F32" s="1735">
        <v>210</v>
      </c>
      <c r="G32" s="1738">
        <v>0.19596864501679734</v>
      </c>
      <c r="H32" s="1736">
        <v>-90</v>
      </c>
      <c r="I32" s="1734">
        <v>-6.3308947664603266E-2</v>
      </c>
    </row>
    <row r="33" spans="1:15" ht="15" customHeight="1">
      <c r="A33" s="1737" t="s">
        <v>2481</v>
      </c>
      <c r="B33" s="1738">
        <v>-1.9034400713790145E-2</v>
      </c>
      <c r="C33" s="1734">
        <v>-9.8653786866715887E-3</v>
      </c>
      <c r="D33" s="1735">
        <v>791.59999999999991</v>
      </c>
      <c r="E33" s="1736">
        <v>1541.6</v>
      </c>
      <c r="F33" s="1735">
        <v>280</v>
      </c>
      <c r="G33" s="1738">
        <v>0.26129152668906308</v>
      </c>
      <c r="H33" s="1736">
        <v>-120</v>
      </c>
      <c r="I33" s="1734">
        <v>-8.4411930219471021E-2</v>
      </c>
    </row>
    <row r="34" spans="1:15" ht="15" customHeight="1">
      <c r="A34" s="1737" t="s">
        <v>2459</v>
      </c>
      <c r="B34" s="1738">
        <v>-2.1129085506768064E-2</v>
      </c>
      <c r="C34" s="1734">
        <v>-9.7402597402598268E-3</v>
      </c>
      <c r="D34" s="1735">
        <v>711.59999999999991</v>
      </c>
      <c r="E34" s="1736">
        <v>1561.6</v>
      </c>
      <c r="F34" s="1735">
        <v>360</v>
      </c>
      <c r="G34" s="1738">
        <v>0.33594624860022398</v>
      </c>
      <c r="H34" s="1736">
        <v>-140</v>
      </c>
      <c r="I34" s="1734">
        <v>-9.8480585256049524E-2</v>
      </c>
    </row>
    <row r="35" spans="1:15" ht="15" customHeight="1">
      <c r="A35" s="1737" t="s">
        <v>2482</v>
      </c>
      <c r="B35" s="1738">
        <v>-2.3029866858582437E-2</v>
      </c>
      <c r="C35" s="1734">
        <v>-9.49930734217308E-3</v>
      </c>
      <c r="D35" s="1735">
        <v>651.59999999999991</v>
      </c>
      <c r="E35" s="1736">
        <v>1601.6</v>
      </c>
      <c r="F35" s="1735">
        <v>420</v>
      </c>
      <c r="G35" s="1738">
        <v>0.39193729003359468</v>
      </c>
      <c r="H35" s="1736">
        <v>-180</v>
      </c>
      <c r="I35" s="1734">
        <v>-0.12661789532920653</v>
      </c>
    </row>
    <row r="36" spans="1:15" ht="11.25" customHeight="1">
      <c r="A36" s="1739"/>
      <c r="B36" s="1740"/>
      <c r="C36" s="1740"/>
      <c r="D36" s="1741"/>
      <c r="E36" s="1741"/>
      <c r="F36" s="1741"/>
      <c r="G36" s="1740"/>
      <c r="H36" s="1741"/>
      <c r="I36" s="1740"/>
      <c r="L36" s="329"/>
      <c r="M36" s="329"/>
      <c r="N36" s="329"/>
      <c r="O36" s="329"/>
    </row>
    <row r="37" spans="1:15">
      <c r="A37" s="1742" t="s">
        <v>2399</v>
      </c>
    </row>
    <row r="38" spans="1:15">
      <c r="A38" s="3"/>
    </row>
    <row r="39" spans="1:15">
      <c r="A39" s="1742" t="s">
        <v>2483</v>
      </c>
      <c r="C39" s="1743"/>
    </row>
    <row r="40" spans="1:15">
      <c r="A40" s="3"/>
    </row>
    <row r="41" spans="1:15">
      <c r="A41" s="56" t="s">
        <v>2484</v>
      </c>
    </row>
    <row r="42" spans="1:15">
      <c r="A42" s="56" t="s">
        <v>2485</v>
      </c>
    </row>
    <row r="43" spans="1:15">
      <c r="A43" s="56" t="s">
        <v>2486</v>
      </c>
    </row>
    <row r="44" spans="1:15">
      <c r="A44" s="56" t="s">
        <v>2487</v>
      </c>
    </row>
    <row r="45" spans="1:15">
      <c r="A45" s="56" t="s">
        <v>2488</v>
      </c>
    </row>
    <row r="46" spans="1:15">
      <c r="A46" s="1744" t="s">
        <v>2489</v>
      </c>
    </row>
    <row r="47" spans="1:15">
      <c r="A47" s="1744" t="s">
        <v>2490</v>
      </c>
    </row>
    <row r="48" spans="1:15">
      <c r="A48" s="1744" t="s">
        <v>2491</v>
      </c>
    </row>
    <row r="49" spans="1:5">
      <c r="A49" s="56" t="s">
        <v>2492</v>
      </c>
    </row>
    <row r="50" spans="1:5">
      <c r="A50" s="418" t="s">
        <v>2493</v>
      </c>
    </row>
    <row r="51" spans="1:5">
      <c r="A51" s="1745" t="s">
        <v>2494</v>
      </c>
    </row>
    <row r="54" spans="1:5">
      <c r="A54" s="393"/>
    </row>
    <row r="57" spans="1:5">
      <c r="A57" s="23"/>
      <c r="B57" s="23"/>
      <c r="C57" s="23"/>
      <c r="D57" s="23"/>
      <c r="E57" s="23"/>
    </row>
    <row r="59" spans="1:5">
      <c r="A59" s="1746" t="s">
        <v>2495</v>
      </c>
      <c r="B59" s="11"/>
      <c r="C59" s="11"/>
      <c r="D59" s="11"/>
      <c r="E59" s="11"/>
    </row>
  </sheetData>
  <mergeCells count="19">
    <mergeCell ref="A26:C26"/>
    <mergeCell ref="A27:C27"/>
    <mergeCell ref="D27:E27"/>
    <mergeCell ref="F27:I27"/>
    <mergeCell ref="F28:G28"/>
    <mergeCell ref="H28:I28"/>
    <mergeCell ref="A16:C16"/>
    <mergeCell ref="A17:C17"/>
    <mergeCell ref="D17:E17"/>
    <mergeCell ref="F17:I17"/>
    <mergeCell ref="F18:G18"/>
    <mergeCell ref="H18:I18"/>
    <mergeCell ref="A3:I3"/>
    <mergeCell ref="A6:C6"/>
    <mergeCell ref="A7:C7"/>
    <mergeCell ref="D7:E7"/>
    <mergeCell ref="F7:I7"/>
    <mergeCell ref="F8:G8"/>
    <mergeCell ref="H8:I8"/>
  </mergeCells>
  <pageMargins left="0.4" right="0.31" top="0.48" bottom="0.42" header="0.28999999999999998" footer="0.31"/>
  <pageSetup paperSize="9" scale="77" fitToHeight="3"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B569-8ED4-2B45-82A3-229C5B957F85}">
  <sheetPr>
    <pageSetUpPr fitToPage="1"/>
  </sheetPr>
  <dimension ref="A1:Q70"/>
  <sheetViews>
    <sheetView zoomScale="115" zoomScaleNormal="115" workbookViewId="0">
      <selection activeCell="S9" sqref="S9"/>
    </sheetView>
  </sheetViews>
  <sheetFormatPr baseColWidth="10" defaultColWidth="11.59765625" defaultRowHeight="13"/>
  <cols>
    <col min="1" max="1" width="2.59765625" style="774" customWidth="1"/>
    <col min="2" max="2" width="18.59765625" style="1017" customWidth="1"/>
    <col min="3" max="4" width="0.19921875" style="774" customWidth="1"/>
    <col min="5" max="5" width="9.19921875" style="774" hidden="1" customWidth="1"/>
    <col min="6" max="8" width="9.19921875" style="774" customWidth="1"/>
    <col min="9" max="9" width="8.59765625" style="805" customWidth="1"/>
    <col min="10" max="10" width="9.19921875" style="774" customWidth="1"/>
    <col min="11" max="11" width="8.59765625" style="1015" customWidth="1"/>
    <col min="12" max="12" width="8.3984375" style="774" customWidth="1"/>
    <col min="13" max="13" width="7.59765625" style="774" customWidth="1"/>
    <col min="14" max="14" width="8.59765625" style="1016" customWidth="1"/>
    <col min="15" max="15" width="8.796875" style="774" customWidth="1"/>
    <col min="16" max="16" width="8.19921875" style="774" customWidth="1"/>
    <col min="17" max="17" width="10.59765625" style="774" customWidth="1"/>
    <col min="18" max="16384" width="11.59765625" style="774"/>
  </cols>
  <sheetData>
    <row r="1" spans="1:17">
      <c r="B1" s="1014" t="s">
        <v>256</v>
      </c>
    </row>
    <row r="3" spans="1:17">
      <c r="B3" s="1014" t="s">
        <v>1726</v>
      </c>
    </row>
    <row r="4" spans="1:17">
      <c r="I4" s="1018"/>
      <c r="K4" s="1019"/>
    </row>
    <row r="5" spans="1:17" ht="37.5" customHeight="1">
      <c r="C5" s="1020">
        <v>2000</v>
      </c>
      <c r="D5" s="1020">
        <v>2001</v>
      </c>
      <c r="E5" s="1020">
        <v>2002</v>
      </c>
      <c r="F5" s="1020">
        <v>2003</v>
      </c>
      <c r="G5" s="1020">
        <v>2004</v>
      </c>
      <c r="H5" s="1020">
        <v>2005</v>
      </c>
      <c r="I5" s="1020">
        <v>2006</v>
      </c>
      <c r="J5" s="1020">
        <v>2007</v>
      </c>
      <c r="K5" s="1020">
        <v>2008</v>
      </c>
      <c r="L5" s="1021">
        <v>2009</v>
      </c>
      <c r="M5" s="1021">
        <v>2010</v>
      </c>
      <c r="N5" s="1021">
        <v>2011</v>
      </c>
      <c r="O5" s="1022" t="s">
        <v>1727</v>
      </c>
      <c r="P5" s="1021">
        <v>2012</v>
      </c>
      <c r="Q5" s="1021">
        <v>2013</v>
      </c>
    </row>
    <row r="6" spans="1:17">
      <c r="A6" s="1023">
        <v>1</v>
      </c>
      <c r="B6" s="1014" t="s">
        <v>702</v>
      </c>
      <c r="C6" s="1024">
        <v>7265.1130000000003</v>
      </c>
      <c r="D6" s="1025">
        <v>7301.05</v>
      </c>
      <c r="E6" s="1025">
        <v>7344.6319999999996</v>
      </c>
      <c r="F6" s="1025">
        <v>7372.5050000000001</v>
      </c>
      <c r="G6" s="1025">
        <v>7383.5739999999996</v>
      </c>
      <c r="H6" s="1025">
        <v>7435.8649999999998</v>
      </c>
      <c r="I6" s="1025">
        <v>7478.4290000000001</v>
      </c>
      <c r="J6" s="1025">
        <v>7537.5873800000008</v>
      </c>
      <c r="K6" s="1024">
        <v>7615.5633200000002</v>
      </c>
      <c r="L6" s="1026">
        <v>7708.8515100000004</v>
      </c>
      <c r="M6" s="1026">
        <v>7779.661790000001</v>
      </c>
      <c r="N6" s="1026">
        <v>7862.7704599999988</v>
      </c>
      <c r="O6" s="1027">
        <v>1.0682812729317703E-2</v>
      </c>
      <c r="P6" s="1026"/>
      <c r="Q6" s="1026"/>
    </row>
    <row r="7" spans="1:17">
      <c r="B7" s="1028" t="s">
        <v>1728</v>
      </c>
      <c r="C7" s="1026">
        <v>7263.2904821520033</v>
      </c>
      <c r="D7" s="1029">
        <v>7277.9087635100614</v>
      </c>
      <c r="E7" s="1029">
        <v>7294.8725866470413</v>
      </c>
      <c r="F7" s="1029">
        <v>7381</v>
      </c>
      <c r="G7" s="1029">
        <v>7369</v>
      </c>
      <c r="H7" s="1029">
        <v>7439</v>
      </c>
      <c r="I7" s="1029">
        <v>7479.1931914420002</v>
      </c>
      <c r="J7" s="1029">
        <v>7540.1476616999998</v>
      </c>
      <c r="K7" s="1026">
        <v>7616.5542101510009</v>
      </c>
      <c r="L7" s="1026">
        <v>7702.4292549230004</v>
      </c>
      <c r="M7" s="1026">
        <v>7781.1743319099996</v>
      </c>
      <c r="N7" s="1026">
        <v>7860.2017131350012</v>
      </c>
      <c r="O7" s="1030"/>
      <c r="P7" s="1026">
        <v>7951.8848797159999</v>
      </c>
      <c r="Q7" s="1026"/>
    </row>
    <row r="8" spans="1:17">
      <c r="B8" s="1028" t="s">
        <v>1729</v>
      </c>
      <c r="C8" s="1031">
        <v>-2.5085884390196878E-4</v>
      </c>
      <c r="D8" s="1032">
        <v>-3.1695764978926233E-3</v>
      </c>
      <c r="E8" s="1032">
        <v>-6.774936219126837E-3</v>
      </c>
      <c r="F8" s="1032">
        <v>1.1522542202413444E-3</v>
      </c>
      <c r="G8" s="1032">
        <v>-1.9738408526818185E-3</v>
      </c>
      <c r="H8" s="1032">
        <v>4.2160528734713765E-4</v>
      </c>
      <c r="I8" s="1032">
        <v>1.0218609309520232E-4</v>
      </c>
      <c r="J8" s="1032">
        <v>3.3966859300260666E-4</v>
      </c>
      <c r="K8" s="1032">
        <v>1.3011383522987252E-4</v>
      </c>
      <c r="L8" s="1032">
        <v>-8.3310141188597253E-4</v>
      </c>
      <c r="M8" s="1032">
        <v>1.9442257913349081E-4</v>
      </c>
      <c r="N8" s="1032">
        <v>-3.266974252987831E-4</v>
      </c>
      <c r="O8" s="1027"/>
      <c r="P8" s="1026"/>
      <c r="Q8" s="1026"/>
    </row>
    <row r="9" spans="1:17">
      <c r="B9" s="1028" t="s">
        <v>1730</v>
      </c>
      <c r="C9" s="1033" t="s">
        <v>30</v>
      </c>
      <c r="D9" s="1029">
        <v>7254.1157733654136</v>
      </c>
      <c r="E9" s="1029">
        <v>7163.7307153205684</v>
      </c>
      <c r="F9" s="1029">
        <v>7316.3455001697612</v>
      </c>
      <c r="G9" s="1029">
        <v>7362</v>
      </c>
      <c r="H9" s="1029">
        <v>7463</v>
      </c>
      <c r="I9" s="1029">
        <v>7592</v>
      </c>
      <c r="J9" s="1029">
        <v>7673.1906940349973</v>
      </c>
      <c r="K9" s="1026">
        <v>7691.2806604670004</v>
      </c>
      <c r="L9" s="1026">
        <v>7722.3599757610018</v>
      </c>
      <c r="M9" s="1026">
        <v>7651.4778619709978</v>
      </c>
      <c r="N9" s="1026">
        <v>7808.2453008929997</v>
      </c>
      <c r="O9" s="1027"/>
      <c r="P9" s="1026">
        <v>7901.3771749259986</v>
      </c>
      <c r="Q9" s="1026">
        <v>8015.8370450559996</v>
      </c>
    </row>
    <row r="10" spans="1:17">
      <c r="C10" s="1024"/>
      <c r="D10" s="1025"/>
      <c r="E10" s="1025"/>
      <c r="F10" s="1025"/>
      <c r="G10" s="1025"/>
      <c r="H10" s="1025"/>
      <c r="I10" s="1025"/>
      <c r="J10" s="1025"/>
      <c r="K10" s="1024"/>
      <c r="L10" s="1026"/>
      <c r="M10" s="1026"/>
      <c r="N10" s="1026"/>
      <c r="O10" s="1027"/>
      <c r="P10" s="1026"/>
      <c r="Q10" s="1026"/>
    </row>
    <row r="11" spans="1:17">
      <c r="A11" s="1023">
        <v>2</v>
      </c>
      <c r="B11" s="1014" t="s">
        <v>562</v>
      </c>
      <c r="C11" s="1024">
        <v>13441.654683999999</v>
      </c>
      <c r="D11" s="1025">
        <v>13997.312</v>
      </c>
      <c r="E11" s="1025">
        <v>15355.045232</v>
      </c>
      <c r="F11" s="1025">
        <v>16820.111152000001</v>
      </c>
      <c r="G11" s="1025">
        <v>18029.704831999999</v>
      </c>
      <c r="H11" s="1025">
        <v>18496.419615660001</v>
      </c>
      <c r="I11" s="1025">
        <v>19314.688173570001</v>
      </c>
      <c r="J11" s="1025">
        <v>19689.141486260003</v>
      </c>
      <c r="K11" s="1024">
        <v>19692.267223940002</v>
      </c>
      <c r="L11" s="1026">
        <v>20124.767119560001</v>
      </c>
      <c r="M11" s="1026">
        <v>22051.439907320004</v>
      </c>
      <c r="N11" s="1026">
        <v>23631.189258279996</v>
      </c>
      <c r="O11" s="1027">
        <v>7.1639283312088464E-2</v>
      </c>
      <c r="P11" s="1026"/>
      <c r="Q11" s="1026"/>
    </row>
    <row r="12" spans="1:17">
      <c r="B12" s="1028" t="str">
        <f>B$7</f>
        <v>Schätzung</v>
      </c>
      <c r="C12" s="1026">
        <v>13389.707699910003</v>
      </c>
      <c r="D12" s="1029">
        <v>13989.048404499999</v>
      </c>
      <c r="E12" s="1029">
        <v>15274.144299349999</v>
      </c>
      <c r="F12" s="1029">
        <v>16841</v>
      </c>
      <c r="G12" s="1029">
        <v>18003</v>
      </c>
      <c r="H12" s="1029">
        <v>18529</v>
      </c>
      <c r="I12" s="1029">
        <v>19330</v>
      </c>
      <c r="J12" s="1029">
        <v>19702.417918889994</v>
      </c>
      <c r="K12" s="1026">
        <v>19699.635458489996</v>
      </c>
      <c r="L12" s="1026">
        <v>20167.370254750007</v>
      </c>
      <c r="M12" s="1026">
        <v>22080.785091389997</v>
      </c>
      <c r="N12" s="1026">
        <v>23649.272847050001</v>
      </c>
      <c r="O12" s="1030"/>
      <c r="P12" s="1026">
        <v>24435.633135419997</v>
      </c>
      <c r="Q12" s="1026"/>
    </row>
    <row r="13" spans="1:17">
      <c r="B13" s="1028" t="str">
        <f>B$8</f>
        <v>Abweichung S</v>
      </c>
      <c r="C13" s="1031">
        <v>-3.8646271840200308E-3</v>
      </c>
      <c r="D13" s="1032">
        <v>-5.9037017250174184E-4</v>
      </c>
      <c r="E13" s="1032">
        <v>-5.2686873550462643E-3</v>
      </c>
      <c r="F13" s="1032">
        <v>1.2418971439147608E-3</v>
      </c>
      <c r="G13" s="1032">
        <v>-1.481157470343164E-3</v>
      </c>
      <c r="H13" s="1032">
        <v>1.761442755786824E-3</v>
      </c>
      <c r="I13" s="1032">
        <v>7.9275555952040833E-4</v>
      </c>
      <c r="J13" s="1032">
        <v>6.7430226143971872E-4</v>
      </c>
      <c r="K13" s="1032">
        <v>3.7416892967190307E-4</v>
      </c>
      <c r="L13" s="1032">
        <v>2.1169504688876017E-3</v>
      </c>
      <c r="M13" s="1032">
        <v>1.33076044890168E-3</v>
      </c>
      <c r="N13" s="1032">
        <v>7.6524243330955422E-4</v>
      </c>
      <c r="O13" s="1030"/>
      <c r="P13" s="1026"/>
      <c r="Q13" s="1026"/>
    </row>
    <row r="14" spans="1:17">
      <c r="B14" s="1028" t="str">
        <f>B$9</f>
        <v>Prognose</v>
      </c>
      <c r="C14" s="1026" t="s">
        <v>30</v>
      </c>
      <c r="D14" s="1029">
        <v>14172.21799859</v>
      </c>
      <c r="E14" s="1029">
        <v>15197.887399369996</v>
      </c>
      <c r="F14" s="1029">
        <v>16888.705110070001</v>
      </c>
      <c r="G14" s="1029">
        <v>18075</v>
      </c>
      <c r="H14" s="1029">
        <v>18735</v>
      </c>
      <c r="I14" s="1029">
        <v>19932</v>
      </c>
      <c r="J14" s="1029">
        <v>20116</v>
      </c>
      <c r="K14" s="1026">
        <v>20016.107919189995</v>
      </c>
      <c r="L14" s="1026">
        <v>20398.211203859999</v>
      </c>
      <c r="M14" s="1026">
        <v>22023.360697910004</v>
      </c>
      <c r="N14" s="1026">
        <v>23626.775321820001</v>
      </c>
      <c r="O14" s="1030"/>
      <c r="P14" s="1026">
        <v>24323.477975969996</v>
      </c>
      <c r="Q14" s="1026">
        <v>24916.699562769994</v>
      </c>
    </row>
    <row r="15" spans="1:17">
      <c r="C15" s="1024"/>
      <c r="D15" s="1025"/>
      <c r="E15" s="1025"/>
      <c r="F15" s="1025"/>
      <c r="G15" s="1025"/>
      <c r="H15" s="1025"/>
      <c r="I15" s="1025"/>
      <c r="J15" s="1025"/>
      <c r="K15" s="1024"/>
      <c r="L15" s="1026"/>
      <c r="M15" s="1026"/>
      <c r="N15" s="1026"/>
      <c r="O15" s="1027"/>
      <c r="P15" s="1026"/>
      <c r="Q15" s="1026"/>
    </row>
    <row r="16" spans="1:17">
      <c r="A16" s="1023">
        <v>3</v>
      </c>
      <c r="B16" s="1014" t="s">
        <v>1731</v>
      </c>
      <c r="C16" s="1024">
        <v>13190.309896999999</v>
      </c>
      <c r="D16" s="1025">
        <v>13986.27</v>
      </c>
      <c r="E16" s="1025">
        <v>14592.757041999999</v>
      </c>
      <c r="F16" s="1025">
        <v>15335.619703</v>
      </c>
      <c r="G16" s="1025">
        <v>16307.508545999999</v>
      </c>
      <c r="H16" s="1025">
        <v>17352.720035540002</v>
      </c>
      <c r="I16" s="1025">
        <v>17563.91560077</v>
      </c>
      <c r="J16" s="1025">
        <v>18423.621995400001</v>
      </c>
      <c r="K16" s="1024">
        <v>19431.457253839999</v>
      </c>
      <c r="L16" s="1026">
        <v>20273.850596579996</v>
      </c>
      <c r="M16" s="1026">
        <v>20883.746929000004</v>
      </c>
      <c r="N16" s="1026">
        <v>21356.405837799997</v>
      </c>
      <c r="O16" s="1027">
        <v>2.2632859438822317E-2</v>
      </c>
      <c r="P16" s="1026"/>
      <c r="Q16" s="1026"/>
    </row>
    <row r="17" spans="1:17">
      <c r="B17" s="1028" t="str">
        <f>B$7</f>
        <v>Schätzung</v>
      </c>
      <c r="C17" s="1026">
        <v>13263.352588819997</v>
      </c>
      <c r="D17" s="1029">
        <v>13868.973949539999</v>
      </c>
      <c r="E17" s="1029">
        <v>14545.501535449999</v>
      </c>
      <c r="F17" s="1029">
        <v>15382</v>
      </c>
      <c r="G17" s="1029">
        <v>16182</v>
      </c>
      <c r="H17" s="1029">
        <v>17293</v>
      </c>
      <c r="I17" s="1029">
        <v>17953</v>
      </c>
      <c r="J17" s="1029">
        <v>18303.805358469996</v>
      </c>
      <c r="K17" s="1026">
        <v>19054.4411406</v>
      </c>
      <c r="L17" s="1026">
        <v>20141.230242230002</v>
      </c>
      <c r="M17" s="1026">
        <v>21027.802615479995</v>
      </c>
      <c r="N17" s="1026">
        <v>21655.653844479999</v>
      </c>
      <c r="O17" s="1030"/>
      <c r="P17" s="1026">
        <v>22280.475160669997</v>
      </c>
      <c r="Q17" s="1026"/>
    </row>
    <row r="18" spans="1:17">
      <c r="B18" s="1028" t="str">
        <f>B$8</f>
        <v>Abweichung S</v>
      </c>
      <c r="C18" s="1031">
        <v>5.5376024058850781E-3</v>
      </c>
      <c r="D18" s="1032">
        <v>-8.3865140927495974E-3</v>
      </c>
      <c r="E18" s="1032">
        <v>-3.2382850213974468E-3</v>
      </c>
      <c r="F18" s="1032">
        <v>3.024351014059512E-3</v>
      </c>
      <c r="G18" s="1032">
        <v>-7.6963654899193656E-3</v>
      </c>
      <c r="H18" s="1032">
        <v>-3.4415374314625824E-3</v>
      </c>
      <c r="I18" s="1032">
        <v>2.2152486272078331E-2</v>
      </c>
      <c r="J18" s="1032">
        <v>-6.5034246230150083E-3</v>
      </c>
      <c r="K18" s="1032">
        <v>-1.9402359190816454E-2</v>
      </c>
      <c r="L18" s="1032">
        <v>-6.5414487355631712E-3</v>
      </c>
      <c r="M18" s="1032">
        <v>6.8979808541900223E-3</v>
      </c>
      <c r="N18" s="1032">
        <v>1.4012095900066912E-2</v>
      </c>
      <c r="O18" s="1030"/>
      <c r="P18" s="1026"/>
      <c r="Q18" s="1026"/>
    </row>
    <row r="19" spans="1:17">
      <c r="B19" s="1028" t="str">
        <f>B$9</f>
        <v>Prognose</v>
      </c>
      <c r="C19" s="1026" t="s">
        <v>30</v>
      </c>
      <c r="D19" s="1029">
        <v>13873.52074459</v>
      </c>
      <c r="E19" s="1029">
        <v>14375.897015919998</v>
      </c>
      <c r="F19" s="1029">
        <v>15461.261377419998</v>
      </c>
      <c r="G19" s="1029">
        <v>16330</v>
      </c>
      <c r="H19" s="1029">
        <v>17180</v>
      </c>
      <c r="I19" s="1029">
        <v>18848</v>
      </c>
      <c r="J19" s="1029">
        <v>19027</v>
      </c>
      <c r="K19" s="1026">
        <v>19109.311929110001</v>
      </c>
      <c r="L19" s="1026">
        <v>19772.739618319996</v>
      </c>
      <c r="M19" s="1026">
        <v>20559.572438620005</v>
      </c>
      <c r="N19" s="1026">
        <v>21871.078093380005</v>
      </c>
      <c r="O19" s="1030"/>
      <c r="P19" s="1026">
        <v>22479.997414199996</v>
      </c>
      <c r="Q19" s="1026">
        <v>23053.470158540003</v>
      </c>
    </row>
    <row r="20" spans="1:17">
      <c r="C20" s="1024"/>
      <c r="D20" s="1025"/>
      <c r="E20" s="1025"/>
      <c r="F20" s="1025"/>
      <c r="G20" s="1025"/>
      <c r="H20" s="1025"/>
      <c r="I20" s="1025"/>
      <c r="J20" s="1025"/>
      <c r="K20" s="1024"/>
      <c r="L20" s="1026"/>
      <c r="M20" s="1026"/>
      <c r="N20" s="1026"/>
      <c r="O20" s="1027"/>
      <c r="P20" s="1026"/>
      <c r="Q20" s="1026"/>
    </row>
    <row r="21" spans="1:17">
      <c r="A21" s="1023">
        <v>4</v>
      </c>
      <c r="B21" s="1014" t="s">
        <v>208</v>
      </c>
      <c r="C21" s="1024">
        <v>2288.0175450000002</v>
      </c>
      <c r="D21" s="1025">
        <v>2400.1799999999998</v>
      </c>
      <c r="E21" s="1025">
        <v>2502.8303667999999</v>
      </c>
      <c r="F21" s="1025">
        <v>2588.499652</v>
      </c>
      <c r="G21" s="1025">
        <v>2832.3123952999999</v>
      </c>
      <c r="H21" s="1025">
        <v>2994.9866096700002</v>
      </c>
      <c r="I21" s="1025">
        <v>3038.7113187200002</v>
      </c>
      <c r="J21" s="1025">
        <v>3155.0668707</v>
      </c>
      <c r="K21" s="1024">
        <v>3290.4542289599999</v>
      </c>
      <c r="L21" s="1026">
        <v>3382.471848149999</v>
      </c>
      <c r="M21" s="1026">
        <v>3408.7146446100001</v>
      </c>
      <c r="N21" s="1026">
        <v>3575.1042570200002</v>
      </c>
      <c r="O21" s="1027">
        <v>4.8813007176503387E-2</v>
      </c>
      <c r="P21" s="1026"/>
      <c r="Q21" s="1026"/>
    </row>
    <row r="22" spans="1:17">
      <c r="B22" s="1028" t="str">
        <f>B$7</f>
        <v>Schätzung</v>
      </c>
      <c r="C22" s="1026">
        <v>2303.9403716100005</v>
      </c>
      <c r="D22" s="1029">
        <v>2425.1343131099998</v>
      </c>
      <c r="E22" s="1029">
        <v>2546.0819887000002</v>
      </c>
      <c r="F22" s="1029">
        <v>2666</v>
      </c>
      <c r="G22" s="1029">
        <v>2901</v>
      </c>
      <c r="H22" s="1029">
        <v>3099</v>
      </c>
      <c r="I22" s="1029">
        <v>3117</v>
      </c>
      <c r="J22" s="1029">
        <v>3178.8702050500001</v>
      </c>
      <c r="K22" s="1026">
        <v>3291.5070437099998</v>
      </c>
      <c r="L22" s="1026">
        <v>3460.5105451399995</v>
      </c>
      <c r="M22" s="1026">
        <v>3539.6603510399996</v>
      </c>
      <c r="N22" s="1026">
        <v>3582.4629797900006</v>
      </c>
      <c r="O22" s="1030"/>
      <c r="P22" s="1026">
        <v>3736.8400199399998</v>
      </c>
      <c r="Q22" s="1026"/>
    </row>
    <row r="23" spans="1:17">
      <c r="B23" s="1028" t="str">
        <f>B$8</f>
        <v>Abweichung S</v>
      </c>
      <c r="C23" s="1031">
        <v>6.9592239993074845E-3</v>
      </c>
      <c r="D23" s="1032">
        <v>1.0396850698697557E-2</v>
      </c>
      <c r="E23" s="1032">
        <v>1.7281084037389149E-2</v>
      </c>
      <c r="F23" s="1032">
        <v>2.9940258226466954E-2</v>
      </c>
      <c r="G23" s="1032">
        <v>2.4251422552816537E-2</v>
      </c>
      <c r="H23" s="1032">
        <v>3.472916706678042E-2</v>
      </c>
      <c r="I23" s="1032">
        <v>2.5763777163596346E-2</v>
      </c>
      <c r="J23" s="1032">
        <v>7.544478556398726E-3</v>
      </c>
      <c r="K23" s="1032">
        <v>3.1996030843828294E-4</v>
      </c>
      <c r="L23" s="1032">
        <v>2.3071499333448431E-2</v>
      </c>
      <c r="M23" s="1032">
        <v>3.8414980449318792E-2</v>
      </c>
      <c r="N23" s="1032">
        <v>2.0583239651126295E-3</v>
      </c>
      <c r="O23" s="1030"/>
      <c r="P23" s="1026"/>
      <c r="Q23" s="1026"/>
    </row>
    <row r="24" spans="1:17">
      <c r="B24" s="1028" t="str">
        <f>B$9</f>
        <v>Prognose</v>
      </c>
      <c r="C24" s="1033"/>
      <c r="D24" s="1029">
        <v>2328.0747466299999</v>
      </c>
      <c r="E24" s="1029">
        <v>2529.1750094200006</v>
      </c>
      <c r="F24" s="1029">
        <v>2692.6295753899999</v>
      </c>
      <c r="G24" s="1029">
        <v>3044</v>
      </c>
      <c r="H24" s="1029">
        <v>3181</v>
      </c>
      <c r="I24" s="1029">
        <v>3305</v>
      </c>
      <c r="J24" s="1029">
        <v>3346</v>
      </c>
      <c r="K24" s="1026">
        <v>3340.5068328800003</v>
      </c>
      <c r="L24" s="1026">
        <v>3435.5770779900013</v>
      </c>
      <c r="M24" s="1026">
        <v>3562.1541336899995</v>
      </c>
      <c r="N24" s="1026">
        <v>3706.9558405400003</v>
      </c>
      <c r="O24" s="1030"/>
      <c r="P24" s="1026">
        <v>3730.4170666500004</v>
      </c>
      <c r="Q24" s="1026">
        <v>3903.4565878100002</v>
      </c>
    </row>
    <row r="25" spans="1:17">
      <c r="C25" s="1024"/>
      <c r="D25" s="1025"/>
      <c r="E25" s="1025"/>
      <c r="F25" s="1025"/>
      <c r="G25" s="1025"/>
      <c r="H25" s="1025"/>
      <c r="I25" s="1025"/>
      <c r="J25" s="1025"/>
      <c r="K25" s="1024"/>
      <c r="L25" s="1026"/>
      <c r="M25" s="1026"/>
      <c r="N25" s="1026"/>
      <c r="O25" s="1027"/>
      <c r="P25" s="1026"/>
      <c r="Q25" s="1026"/>
    </row>
    <row r="26" spans="1:17">
      <c r="A26" s="1023">
        <v>5</v>
      </c>
      <c r="B26" s="1014" t="s">
        <v>1732</v>
      </c>
      <c r="C26" s="1034">
        <v>837.3</v>
      </c>
      <c r="D26" s="1034">
        <v>867</v>
      </c>
      <c r="E26" s="1035">
        <v>882.5</v>
      </c>
      <c r="F26" s="1025">
        <v>863.38168700000006</v>
      </c>
      <c r="G26" s="1025">
        <v>903.60567500000002</v>
      </c>
      <c r="H26" s="1025">
        <v>910.32016699999997</v>
      </c>
      <c r="I26" s="1025">
        <v>993.79577500000005</v>
      </c>
      <c r="J26" s="1025">
        <v>1009.51491821</v>
      </c>
      <c r="K26" s="1024">
        <v>1107.29201515</v>
      </c>
      <c r="L26" s="1026">
        <v>1061.13483432</v>
      </c>
      <c r="M26" s="1026">
        <v>1225.44346494</v>
      </c>
      <c r="N26" s="1026">
        <v>1254.6590535900004</v>
      </c>
      <c r="O26" s="1027">
        <v>2.3840829451427181E-2</v>
      </c>
      <c r="P26" s="1026"/>
      <c r="Q26" s="1026"/>
    </row>
    <row r="27" spans="1:17">
      <c r="B27" s="1028" t="str">
        <f>B$7</f>
        <v>Schätzung</v>
      </c>
      <c r="C27" s="1026">
        <v>857.32106895000004</v>
      </c>
      <c r="D27" s="1029">
        <v>904.9640978000001</v>
      </c>
      <c r="E27" s="1029">
        <v>933.20770917000004</v>
      </c>
      <c r="F27" s="1029">
        <v>938</v>
      </c>
      <c r="G27" s="1029">
        <v>965</v>
      </c>
      <c r="H27" s="1029">
        <v>979</v>
      </c>
      <c r="I27" s="1029">
        <v>1005</v>
      </c>
      <c r="J27" s="1029">
        <v>1054.2850677999998</v>
      </c>
      <c r="K27" s="1026">
        <v>1084.5769063499997</v>
      </c>
      <c r="L27" s="1026">
        <v>1135.1004123800001</v>
      </c>
      <c r="M27" s="1026">
        <v>1197.6810391799997</v>
      </c>
      <c r="N27" s="1026">
        <v>1209.2712906700003</v>
      </c>
      <c r="O27" s="1030"/>
      <c r="P27" s="1026">
        <v>1221.7973150899998</v>
      </c>
      <c r="Q27" s="1026"/>
    </row>
    <row r="28" spans="1:17">
      <c r="B28" s="1028" t="str">
        <f>B$8</f>
        <v>Abweichung S</v>
      </c>
      <c r="C28" s="1032">
        <v>2.3911464170548236E-2</v>
      </c>
      <c r="D28" s="1032">
        <v>4.3787886735870973E-2</v>
      </c>
      <c r="E28" s="1032">
        <v>5.7459160532578046E-2</v>
      </c>
      <c r="F28" s="1032">
        <v>8.6425637841910818E-2</v>
      </c>
      <c r="G28" s="1032">
        <v>6.7943713390246296E-2</v>
      </c>
      <c r="H28" s="1032">
        <v>7.5445799719386031E-2</v>
      </c>
      <c r="I28" s="1032">
        <v>1.127417250289664E-2</v>
      </c>
      <c r="J28" s="1032">
        <v>4.4348180281855498E-2</v>
      </c>
      <c r="K28" s="1032">
        <v>-2.0514108734833725E-2</v>
      </c>
      <c r="L28" s="1032">
        <v>6.9704221996820026E-2</v>
      </c>
      <c r="M28" s="1032">
        <v>-2.2655003314542621E-2</v>
      </c>
      <c r="N28" s="1032">
        <v>-3.6175375923945596E-2</v>
      </c>
      <c r="O28" s="1030"/>
      <c r="P28" s="1026"/>
      <c r="Q28" s="1026"/>
    </row>
    <row r="29" spans="1:17">
      <c r="B29" s="1028" t="str">
        <f>B$9</f>
        <v>Prognose</v>
      </c>
      <c r="C29" s="1026" t="s">
        <v>30</v>
      </c>
      <c r="D29" s="1029">
        <v>884.35111183000004</v>
      </c>
      <c r="E29" s="1029">
        <v>908.60023298000021</v>
      </c>
      <c r="F29" s="1029">
        <v>979.25216290999992</v>
      </c>
      <c r="G29" s="1029">
        <v>973</v>
      </c>
      <c r="H29" s="1029">
        <v>999</v>
      </c>
      <c r="I29" s="1029">
        <v>1026</v>
      </c>
      <c r="J29" s="1029">
        <v>1041</v>
      </c>
      <c r="K29" s="1026">
        <v>1078.9641520900002</v>
      </c>
      <c r="L29" s="1026">
        <v>1100.7764457800001</v>
      </c>
      <c r="M29" s="1026">
        <v>1165.20861023</v>
      </c>
      <c r="N29" s="1026">
        <v>1196.4605248100002</v>
      </c>
      <c r="O29" s="1030"/>
      <c r="P29" s="1026">
        <v>1199.6663420799998</v>
      </c>
      <c r="Q29" s="1026">
        <v>1233.5062621399995</v>
      </c>
    </row>
    <row r="30" spans="1:17">
      <c r="C30" s="1024"/>
      <c r="D30" s="1025"/>
      <c r="E30" s="1025"/>
      <c r="F30" s="1025"/>
      <c r="G30" s="1036"/>
      <c r="H30" s="1025"/>
      <c r="I30" s="1025"/>
      <c r="J30" s="1025"/>
      <c r="K30" s="1024"/>
      <c r="L30" s="1026"/>
      <c r="M30" s="1026"/>
      <c r="N30" s="1026"/>
      <c r="O30" s="1027"/>
      <c r="P30" s="1026"/>
      <c r="Q30" s="1026"/>
    </row>
    <row r="31" spans="1:17">
      <c r="A31" s="1023">
        <v>6</v>
      </c>
      <c r="B31" s="1014" t="s">
        <v>898</v>
      </c>
      <c r="C31" s="1024">
        <v>2832.1064590000001</v>
      </c>
      <c r="D31" s="1025">
        <v>2102.63</v>
      </c>
      <c r="E31" s="1025">
        <v>1965.5320859999999</v>
      </c>
      <c r="F31" s="1025">
        <v>2393.7060728000001</v>
      </c>
      <c r="G31" s="1025">
        <v>2968.4810149999998</v>
      </c>
      <c r="H31" s="1025">
        <v>3184.4883299199996</v>
      </c>
      <c r="I31" s="1025">
        <v>3749.0085763900001</v>
      </c>
      <c r="J31" s="1025">
        <v>3970.4438487200005</v>
      </c>
      <c r="K31" s="1024">
        <v>3251.9246672899994</v>
      </c>
      <c r="L31" s="1026">
        <v>2863.0083966899997</v>
      </c>
      <c r="M31" s="1026">
        <v>3115.7425221299982</v>
      </c>
      <c r="N31" s="1026">
        <v>3710.7086986600002</v>
      </c>
      <c r="O31" s="1027">
        <v>0.19095485981404803</v>
      </c>
      <c r="P31" s="1026"/>
      <c r="Q31" s="1026"/>
    </row>
    <row r="32" spans="1:17">
      <c r="B32" s="1028" t="str">
        <f>B$7</f>
        <v>Schätzung</v>
      </c>
      <c r="C32" s="1026">
        <v>2855.834492</v>
      </c>
      <c r="D32" s="1029">
        <v>2349.2245110000003</v>
      </c>
      <c r="E32" s="1029">
        <v>1976.764197</v>
      </c>
      <c r="F32" s="1029">
        <v>2260</v>
      </c>
      <c r="G32" s="1029">
        <v>2984</v>
      </c>
      <c r="H32" s="1029">
        <v>3152</v>
      </c>
      <c r="I32" s="1029">
        <v>3543</v>
      </c>
      <c r="J32" s="1029">
        <v>4165.3955720000013</v>
      </c>
      <c r="K32" s="1026">
        <v>3701.8404859999996</v>
      </c>
      <c r="L32" s="1026">
        <v>2439.4633089999993</v>
      </c>
      <c r="M32" s="1026">
        <v>2861.2196719999993</v>
      </c>
      <c r="N32" s="1026">
        <v>3660.0912029999995</v>
      </c>
      <c r="O32" s="1030"/>
      <c r="P32" s="1026">
        <v>6032.6369586909987</v>
      </c>
      <c r="Q32" s="1026"/>
    </row>
    <row r="33" spans="1:17">
      <c r="B33" s="1028" t="str">
        <f>B$8</f>
        <v>Abweichung S</v>
      </c>
      <c r="C33" s="1031">
        <v>8.3782277762178836E-3</v>
      </c>
      <c r="D33" s="1032">
        <v>0.11727907953372685</v>
      </c>
      <c r="E33" s="1032">
        <v>5.7145396302626938E-3</v>
      </c>
      <c r="F33" s="1032">
        <v>-5.5857347867108609E-2</v>
      </c>
      <c r="G33" s="1032">
        <v>5.2279212572292622E-3</v>
      </c>
      <c r="H33" s="1032">
        <v>-1.0202056517134683E-2</v>
      </c>
      <c r="I33" s="1032">
        <v>-5.4950148070445404E-2</v>
      </c>
      <c r="J33" s="1032">
        <v>4.910073803029591E-2</v>
      </c>
      <c r="K33" s="1032">
        <v>0.13835370272735714</v>
      </c>
      <c r="L33" s="1032">
        <v>-0.1479370749242902</v>
      </c>
      <c r="M33" s="1032">
        <v>-8.1689307868739069E-2</v>
      </c>
      <c r="N33" s="1032">
        <v>-1.3640924085008277E-2</v>
      </c>
      <c r="O33" s="1030"/>
      <c r="P33" s="1026"/>
      <c r="Q33" s="1026"/>
    </row>
    <row r="34" spans="1:17">
      <c r="B34" s="1028" t="str">
        <f>B$9</f>
        <v>Prognose</v>
      </c>
      <c r="C34" s="1026" t="s">
        <v>30</v>
      </c>
      <c r="D34" s="1029">
        <v>2814.2621860000008</v>
      </c>
      <c r="E34" s="1029">
        <v>2347.8065059999999</v>
      </c>
      <c r="F34" s="1029">
        <v>2216.3722629999997</v>
      </c>
      <c r="G34" s="1029">
        <v>2745</v>
      </c>
      <c r="H34" s="1029">
        <v>3240</v>
      </c>
      <c r="I34" s="1029">
        <v>3356</v>
      </c>
      <c r="J34" s="1029">
        <v>3461</v>
      </c>
      <c r="K34" s="1026">
        <v>3956.0224839999996</v>
      </c>
      <c r="L34" s="1026">
        <v>3318.8551230000007</v>
      </c>
      <c r="M34" s="1026">
        <v>2642.7481510000007</v>
      </c>
      <c r="N34" s="1026">
        <v>3237.2481029999994</v>
      </c>
      <c r="O34" s="1030"/>
      <c r="P34" s="1026">
        <v>3983.6063250000002</v>
      </c>
      <c r="Q34" s="1026">
        <v>6247.2831536309995</v>
      </c>
    </row>
    <row r="35" spans="1:17">
      <c r="C35" s="1024"/>
      <c r="D35" s="1025"/>
      <c r="E35" s="1025"/>
      <c r="F35" s="1025"/>
      <c r="G35" s="1025"/>
      <c r="H35" s="1037"/>
      <c r="I35" s="1025"/>
      <c r="J35" s="1025"/>
      <c r="K35" s="1024"/>
      <c r="L35" s="1026"/>
      <c r="M35" s="1026"/>
      <c r="N35" s="1026"/>
      <c r="O35" s="1027"/>
      <c r="P35" s="1026"/>
      <c r="Q35" s="1026"/>
    </row>
    <row r="36" spans="1:17">
      <c r="A36" s="1023">
        <v>7</v>
      </c>
      <c r="B36" s="1014" t="s">
        <v>1562</v>
      </c>
      <c r="C36" s="1024">
        <v>3956.2184860000002</v>
      </c>
      <c r="D36" s="1025">
        <v>3996.3</v>
      </c>
      <c r="E36" s="1025">
        <v>4018.0238040999998</v>
      </c>
      <c r="F36" s="1025">
        <v>4264.2535405999997</v>
      </c>
      <c r="G36" s="1025">
        <v>4487.9860974000003</v>
      </c>
      <c r="H36" s="1025">
        <v>4710.4063184600009</v>
      </c>
      <c r="I36" s="1025">
        <v>4989.9724867100003</v>
      </c>
      <c r="J36" s="1025">
        <v>5234.0909351299988</v>
      </c>
      <c r="K36" s="1024">
        <v>5191.0501722600002</v>
      </c>
      <c r="L36" s="1026">
        <v>5095.2223594300003</v>
      </c>
      <c r="M36" s="1026">
        <v>5227.2935513399998</v>
      </c>
      <c r="N36" s="1026">
        <v>5648.6367269299999</v>
      </c>
      <c r="O36" s="1027">
        <v>8.0604460310439219E-2</v>
      </c>
      <c r="P36" s="1026"/>
      <c r="Q36" s="1026"/>
    </row>
    <row r="37" spans="1:17">
      <c r="B37" s="1028" t="str">
        <f>B$7</f>
        <v>Schätzung</v>
      </c>
      <c r="C37" s="1026">
        <v>3962.9471309999999</v>
      </c>
      <c r="D37" s="1029">
        <v>3974.075738</v>
      </c>
      <c r="E37" s="1029">
        <v>4070.0846579999998</v>
      </c>
      <c r="F37" s="1034">
        <v>4272.4598530000003</v>
      </c>
      <c r="G37" s="1038">
        <v>4546.5489809999999</v>
      </c>
      <c r="H37" s="1029">
        <v>4697</v>
      </c>
      <c r="I37" s="1029">
        <v>4866</v>
      </c>
      <c r="J37" s="1029">
        <v>5169.9915730000012</v>
      </c>
      <c r="K37" s="1026">
        <v>5298.7608519999994</v>
      </c>
      <c r="L37" s="1026">
        <v>5335.87583</v>
      </c>
      <c r="M37" s="1026">
        <v>5328.6600139999982</v>
      </c>
      <c r="N37" s="1026">
        <v>5488.520164999999</v>
      </c>
      <c r="O37" s="1030"/>
      <c r="P37" s="1026">
        <v>5237.3805071460001</v>
      </c>
      <c r="Q37" s="1026"/>
    </row>
    <row r="38" spans="1:17">
      <c r="B38" s="1028" t="str">
        <f>B$8</f>
        <v>Abweichung S</v>
      </c>
      <c r="C38" s="1031">
        <v>1.7007768968804182E-3</v>
      </c>
      <c r="D38" s="1032">
        <v>-5.5612096188975002E-3</v>
      </c>
      <c r="E38" s="1032">
        <v>1.2956830630738603E-2</v>
      </c>
      <c r="F38" s="1039">
        <v>1.9244428882729814E-3</v>
      </c>
      <c r="G38" s="1039">
        <v>1.3048811277273531E-2</v>
      </c>
      <c r="H38" s="1032">
        <v>-2.8461065890349468E-3</v>
      </c>
      <c r="I38" s="1032">
        <v>-2.484432269720549E-2</v>
      </c>
      <c r="J38" s="1032">
        <v>-1.2246512894871109E-2</v>
      </c>
      <c r="K38" s="1032">
        <v>2.0749304315258676E-2</v>
      </c>
      <c r="L38" s="1032">
        <v>4.7231200837507981E-2</v>
      </c>
      <c r="M38" s="1032">
        <v>1.9391767778951907E-2</v>
      </c>
      <c r="N38" s="1032">
        <v>-2.8346054042852842E-2</v>
      </c>
      <c r="O38" s="1027"/>
      <c r="P38" s="1026"/>
      <c r="Q38" s="1026"/>
    </row>
    <row r="39" spans="1:17">
      <c r="B39" s="1028" t="str">
        <f>B$9</f>
        <v>Prognose</v>
      </c>
      <c r="C39" s="1026" t="s">
        <v>30</v>
      </c>
      <c r="D39" s="1029">
        <v>4036.8502759999997</v>
      </c>
      <c r="E39" s="1029">
        <v>4069.2909930000001</v>
      </c>
      <c r="F39" s="1034">
        <v>4343.5413720000015</v>
      </c>
      <c r="G39" s="1034">
        <v>4528.577933999999</v>
      </c>
      <c r="H39" s="1029">
        <v>4824.4617770000004</v>
      </c>
      <c r="I39" s="1029">
        <v>4891</v>
      </c>
      <c r="J39" s="1029">
        <v>5045</v>
      </c>
      <c r="K39" s="1026">
        <v>5283.6306359999999</v>
      </c>
      <c r="L39" s="1026">
        <v>5364.6168920000009</v>
      </c>
      <c r="M39" s="1026">
        <v>5507.9461690000007</v>
      </c>
      <c r="N39" s="1026">
        <v>5600.5621659999997</v>
      </c>
      <c r="O39" s="1027"/>
      <c r="P39" s="1026">
        <v>5664.6762780000008</v>
      </c>
      <c r="Q39" s="1026">
        <v>5401.5880040050006</v>
      </c>
    </row>
    <row r="40" spans="1:17">
      <c r="C40" s="1024"/>
      <c r="D40" s="1025"/>
      <c r="E40" s="1025"/>
      <c r="F40" s="1025"/>
      <c r="I40" s="1025"/>
      <c r="J40" s="1025"/>
      <c r="K40" s="1024"/>
      <c r="L40" s="1026"/>
      <c r="M40" s="1026"/>
      <c r="N40" s="1026"/>
      <c r="O40" s="1027"/>
      <c r="P40" s="1026"/>
      <c r="Q40" s="1026"/>
    </row>
    <row r="41" spans="1:17">
      <c r="A41" s="1023">
        <v>8</v>
      </c>
      <c r="B41" s="1014" t="s">
        <v>199</v>
      </c>
      <c r="C41" s="1024">
        <v>15478.327442</v>
      </c>
      <c r="D41" s="1025">
        <v>16386.46</v>
      </c>
      <c r="E41" s="1025">
        <v>17095.587409</v>
      </c>
      <c r="F41" s="1025">
        <v>17924.119354999999</v>
      </c>
      <c r="G41" s="1025">
        <v>19139.820941000002</v>
      </c>
      <c r="H41" s="1025">
        <v>20347.706645210001</v>
      </c>
      <c r="I41" s="1025">
        <v>20602.626919490001</v>
      </c>
      <c r="J41" s="1025">
        <v>21578.688866100001</v>
      </c>
      <c r="K41" s="1024">
        <v>22721.911482799998</v>
      </c>
      <c r="L41" s="1026">
        <v>23656.322444729994</v>
      </c>
      <c r="M41" s="1026">
        <v>24292.461573610006</v>
      </c>
      <c r="N41" s="1026">
        <v>24931.510094819998</v>
      </c>
      <c r="O41" s="1027">
        <v>2.6306453929074713E-2</v>
      </c>
      <c r="P41" s="1026"/>
      <c r="Q41" s="1026"/>
    </row>
    <row r="42" spans="1:17">
      <c r="B42" s="1028" t="str">
        <f>B$7</f>
        <v>Schätzung</v>
      </c>
      <c r="C42" s="1026">
        <v>15567.292960429999</v>
      </c>
      <c r="D42" s="1029">
        <v>16294.108262649997</v>
      </c>
      <c r="E42" s="1029">
        <v>17091.583524150003</v>
      </c>
      <c r="F42" s="1029">
        <v>18048</v>
      </c>
      <c r="G42" s="1029">
        <v>19083</v>
      </c>
      <c r="H42" s="1029">
        <v>20392</v>
      </c>
      <c r="I42" s="1029">
        <v>21069</v>
      </c>
      <c r="J42" s="1029">
        <v>21482.675563520002</v>
      </c>
      <c r="K42" s="1026">
        <v>22345.948184309997</v>
      </c>
      <c r="L42" s="1026">
        <v>23601.740787370007</v>
      </c>
      <c r="M42" s="1026">
        <v>24567.462966520005</v>
      </c>
      <c r="N42" s="1026">
        <v>23649.272847050001</v>
      </c>
      <c r="O42" s="1030"/>
      <c r="P42" s="1026">
        <v>26017.315180609996</v>
      </c>
      <c r="Q42" s="1026"/>
    </row>
    <row r="43" spans="1:17">
      <c r="B43" s="1028" t="str">
        <f>B$8</f>
        <v>Abweichung S</v>
      </c>
      <c r="C43" s="1031">
        <v>5.747747536894332E-3</v>
      </c>
      <c r="D43" s="1032">
        <v>-5.6358565150741446E-3</v>
      </c>
      <c r="E43" s="1032">
        <v>-2.3420574878219025E-4</v>
      </c>
      <c r="F43" s="1032">
        <v>6.9113936671842957E-3</v>
      </c>
      <c r="G43" s="1032">
        <v>-2.9687289747984957E-3</v>
      </c>
      <c r="H43" s="1032">
        <v>2.1768229492549196E-3</v>
      </c>
      <c r="I43" s="1032">
        <v>2.2636583302336533E-2</v>
      </c>
      <c r="J43" s="1032">
        <v>-4.4494502504660582E-3</v>
      </c>
      <c r="K43" s="1032">
        <v>-1.6546288316218405E-2</v>
      </c>
      <c r="L43" s="1032">
        <v>-2.3072756759852098E-3</v>
      </c>
      <c r="M43" s="1032">
        <v>1.1320441614230958E-2</v>
      </c>
      <c r="N43" s="1032">
        <v>-5.1430388407816774E-2</v>
      </c>
      <c r="O43" s="1030"/>
      <c r="P43" s="1026"/>
      <c r="Q43" s="1026"/>
    </row>
    <row r="44" spans="1:17">
      <c r="B44" s="1028" t="str">
        <f>B$9</f>
        <v>Prognose</v>
      </c>
      <c r="C44" s="1026" t="s">
        <v>30</v>
      </c>
      <c r="D44" s="1029">
        <v>16201.595491220001</v>
      </c>
      <c r="E44" s="1029">
        <v>16905.07202534</v>
      </c>
      <c r="F44" s="1029">
        <v>18153.890952810001</v>
      </c>
      <c r="G44" s="1029">
        <v>19373</v>
      </c>
      <c r="H44" s="1029">
        <v>20361</v>
      </c>
      <c r="I44" s="1029">
        <v>21753</v>
      </c>
      <c r="J44" s="1029">
        <v>22373</v>
      </c>
      <c r="K44" s="1026">
        <v>22449.818761990002</v>
      </c>
      <c r="L44" s="1026">
        <v>23208.316696309994</v>
      </c>
      <c r="M44" s="1026">
        <v>24121.726572310003</v>
      </c>
      <c r="N44" s="1026">
        <v>25578.03393392</v>
      </c>
      <c r="O44" s="1030"/>
      <c r="P44" s="1026">
        <v>24323.477975969996</v>
      </c>
      <c r="Q44" s="1026">
        <v>26956.926746349996</v>
      </c>
    </row>
    <row r="48" spans="1:17">
      <c r="B48" s="1014" t="s">
        <v>1733</v>
      </c>
      <c r="G48" s="1023"/>
      <c r="H48" s="1015"/>
    </row>
    <row r="49" spans="2:13">
      <c r="B49" s="1040" t="s">
        <v>1734</v>
      </c>
      <c r="G49" s="1023"/>
      <c r="H49" s="1015"/>
    </row>
    <row r="50" spans="2:13">
      <c r="B50" s="1040" t="s">
        <v>1735</v>
      </c>
      <c r="G50" s="1023"/>
      <c r="H50" s="1015"/>
    </row>
    <row r="51" spans="2:13">
      <c r="B51" s="1040" t="s">
        <v>1736</v>
      </c>
      <c r="G51" s="1023"/>
      <c r="H51" s="1015"/>
    </row>
    <row r="52" spans="2:13">
      <c r="B52" s="1040" t="s">
        <v>1737</v>
      </c>
      <c r="G52" s="1023"/>
      <c r="H52" s="1015"/>
    </row>
    <row r="53" spans="2:13">
      <c r="B53" s="1040" t="s">
        <v>1738</v>
      </c>
      <c r="G53" s="1023"/>
      <c r="H53" s="1015"/>
    </row>
    <row r="54" spans="2:13">
      <c r="B54" s="1017" t="s">
        <v>1739</v>
      </c>
      <c r="G54" s="1023"/>
      <c r="H54" s="1015"/>
    </row>
    <row r="55" spans="2:13">
      <c r="B55" s="1040" t="s">
        <v>1740</v>
      </c>
      <c r="G55" s="1023"/>
      <c r="H55" s="1015"/>
    </row>
    <row r="56" spans="2:13">
      <c r="B56" s="1017" t="s">
        <v>1741</v>
      </c>
      <c r="G56" s="1023"/>
      <c r="H56" s="1015"/>
    </row>
    <row r="57" spans="2:13">
      <c r="B57" s="1017" t="s">
        <v>1742</v>
      </c>
      <c r="G57" s="1023"/>
      <c r="H57" s="1015"/>
    </row>
    <row r="58" spans="2:13">
      <c r="B58" s="1017" t="s">
        <v>1743</v>
      </c>
      <c r="G58" s="1023"/>
      <c r="H58" s="1015"/>
    </row>
    <row r="59" spans="2:13">
      <c r="B59" s="1040" t="s">
        <v>1744</v>
      </c>
      <c r="C59" s="805"/>
      <c r="D59" s="805"/>
      <c r="E59" s="805"/>
      <c r="F59" s="805"/>
      <c r="G59" s="1023"/>
      <c r="H59" s="1041"/>
      <c r="K59" s="1041"/>
    </row>
    <row r="60" spans="2:13">
      <c r="B60" s="1042" t="s">
        <v>1745</v>
      </c>
      <c r="C60" s="805"/>
      <c r="D60" s="805"/>
      <c r="E60" s="805"/>
      <c r="F60" s="805"/>
      <c r="G60" s="1023"/>
      <c r="H60" s="1041"/>
      <c r="K60" s="1041"/>
    </row>
    <row r="61" spans="2:13">
      <c r="B61" s="1042" t="s">
        <v>1746</v>
      </c>
      <c r="C61" s="805"/>
      <c r="D61" s="805"/>
      <c r="E61" s="805"/>
      <c r="F61" s="805"/>
      <c r="G61" s="1023"/>
      <c r="H61" s="1041"/>
      <c r="K61" s="1041"/>
    </row>
    <row r="62" spans="2:13">
      <c r="B62" s="1042" t="s">
        <v>1747</v>
      </c>
      <c r="C62" s="805"/>
      <c r="D62" s="805"/>
      <c r="E62" s="805"/>
      <c r="F62" s="805"/>
      <c r="G62" s="1023"/>
      <c r="H62" s="1041"/>
      <c r="K62" s="1041"/>
    </row>
    <row r="63" spans="2:13">
      <c r="B63" s="1043" t="s">
        <v>1748</v>
      </c>
      <c r="C63" s="1044"/>
      <c r="D63" s="1045"/>
      <c r="E63" s="1045"/>
      <c r="F63" s="1046"/>
      <c r="G63" s="1047"/>
      <c r="H63" s="1046"/>
      <c r="J63" s="1048" t="s">
        <v>30</v>
      </c>
      <c r="K63" s="1048" t="s">
        <v>30</v>
      </c>
      <c r="L63" s="1048" t="s">
        <v>1749</v>
      </c>
      <c r="M63" s="1048" t="s">
        <v>1749</v>
      </c>
    </row>
    <row r="64" spans="2:13">
      <c r="B64" s="1049" t="s">
        <v>1750</v>
      </c>
      <c r="C64" s="1050"/>
      <c r="D64" s="1051"/>
      <c r="E64" s="1051"/>
      <c r="F64" s="1052"/>
      <c r="G64" s="1053"/>
      <c r="H64" s="1052"/>
      <c r="J64" s="1048" t="s">
        <v>1749</v>
      </c>
      <c r="K64" s="1048" t="s">
        <v>30</v>
      </c>
      <c r="L64" s="1048" t="s">
        <v>30</v>
      </c>
      <c r="M64" s="1048" t="s">
        <v>1749</v>
      </c>
    </row>
    <row r="65" spans="2:13">
      <c r="B65" s="1054" t="s">
        <v>1751</v>
      </c>
      <c r="C65" s="1055"/>
      <c r="D65" s="1055"/>
      <c r="E65" s="1055"/>
      <c r="F65" s="1056"/>
      <c r="G65" s="1057"/>
      <c r="H65" s="1056"/>
      <c r="J65" s="1058" t="s">
        <v>1749</v>
      </c>
      <c r="K65" s="1058" t="s">
        <v>30</v>
      </c>
      <c r="L65" s="1058" t="s">
        <v>1749</v>
      </c>
      <c r="M65" s="1048" t="s">
        <v>30</v>
      </c>
    </row>
    <row r="66" spans="2:13" ht="14" thickBot="1">
      <c r="B66" s="1017" t="s">
        <v>1752</v>
      </c>
      <c r="G66" s="1023"/>
      <c r="H66" s="1015"/>
    </row>
    <row r="67" spans="2:13" ht="14" thickBot="1">
      <c r="B67" s="1059" t="s">
        <v>1753</v>
      </c>
      <c r="G67" s="1023"/>
      <c r="H67" s="1015"/>
    </row>
    <row r="68" spans="2:13">
      <c r="G68" s="1023"/>
      <c r="H68" s="1015"/>
    </row>
    <row r="70" spans="2:13">
      <c r="B70" s="1017" t="s">
        <v>1754</v>
      </c>
    </row>
  </sheetData>
  <pageMargins left="0.23622047244094491" right="0.19685039370078741" top="0.47244094488188981" bottom="0.35433070866141736" header="0.31496062992125984" footer="0.15748031496062992"/>
  <pageSetup paperSize="9" scale="78" orientation="portrait"/>
  <headerFooter alignWithMargins="0"/>
  <colBreaks count="2" manualBreakCount="2">
    <brk id="11" max="1048575" man="1"/>
    <brk id="2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953E-1E89-E846-B8EF-2413DC9EB26D}">
  <sheetPr>
    <pageSetUpPr fitToPage="1"/>
  </sheetPr>
  <dimension ref="A1:B18"/>
  <sheetViews>
    <sheetView workbookViewId="0">
      <selection activeCell="B3" sqref="B3:B15"/>
    </sheetView>
  </sheetViews>
  <sheetFormatPr baseColWidth="10" defaultColWidth="11.59765625" defaultRowHeight="13"/>
  <cols>
    <col min="1" max="1" width="5.59765625" style="541" customWidth="1"/>
    <col min="2" max="16384" width="11.59765625" style="541"/>
  </cols>
  <sheetData>
    <row r="1" spans="1:2" ht="16">
      <c r="A1" s="540" t="s">
        <v>783</v>
      </c>
    </row>
    <row r="3" spans="1:2">
      <c r="A3" s="555">
        <v>1.01</v>
      </c>
      <c r="B3" s="556" t="s">
        <v>784</v>
      </c>
    </row>
    <row r="4" spans="1:2">
      <c r="A4" s="555">
        <v>1.02</v>
      </c>
      <c r="B4" s="556" t="s">
        <v>785</v>
      </c>
    </row>
    <row r="5" spans="1:2">
      <c r="A5" s="555">
        <v>1.03</v>
      </c>
      <c r="B5" s="556" t="s">
        <v>786</v>
      </c>
    </row>
    <row r="6" spans="1:2">
      <c r="A6" s="555">
        <v>1.04</v>
      </c>
      <c r="B6" s="556" t="s">
        <v>787</v>
      </c>
    </row>
    <row r="7" spans="1:2">
      <c r="A7" s="555">
        <v>1.05</v>
      </c>
      <c r="B7" s="556" t="s">
        <v>788</v>
      </c>
    </row>
    <row r="8" spans="1:2">
      <c r="A8" s="555">
        <v>1.06</v>
      </c>
      <c r="B8" s="556" t="s">
        <v>789</v>
      </c>
    </row>
    <row r="9" spans="1:2">
      <c r="A9" s="555">
        <v>1.07</v>
      </c>
      <c r="B9" s="557" t="s">
        <v>790</v>
      </c>
    </row>
    <row r="10" spans="1:2">
      <c r="A10" s="555">
        <v>1.08</v>
      </c>
      <c r="B10" s="556" t="s">
        <v>791</v>
      </c>
    </row>
    <row r="11" spans="1:2">
      <c r="A11" s="555">
        <v>1.0900000000000001</v>
      </c>
      <c r="B11" s="556" t="s">
        <v>792</v>
      </c>
    </row>
    <row r="12" spans="1:2">
      <c r="A12" s="555">
        <v>1.1000000000000001</v>
      </c>
      <c r="B12" s="556" t="s">
        <v>793</v>
      </c>
    </row>
    <row r="13" spans="1:2">
      <c r="A13" s="555">
        <v>1.1100000000000001</v>
      </c>
      <c r="B13" s="556" t="s">
        <v>794</v>
      </c>
    </row>
    <row r="14" spans="1:2">
      <c r="A14" s="555">
        <v>1.1200000000000001</v>
      </c>
      <c r="B14" s="556" t="s">
        <v>795</v>
      </c>
    </row>
    <row r="15" spans="1:2">
      <c r="A15" s="555">
        <v>1.1299999999999999</v>
      </c>
      <c r="B15" s="556" t="s">
        <v>796</v>
      </c>
    </row>
    <row r="16" spans="1:2">
      <c r="A16" s="558"/>
      <c r="B16" s="547"/>
    </row>
    <row r="18" spans="1:1">
      <c r="A18" s="548" t="s">
        <v>719</v>
      </c>
    </row>
  </sheetData>
  <pageMargins left="0.46" right="0.46" top="0.63" bottom="0.984251969" header="0.38" footer="0.4921259845"/>
  <pageSetup paperSize="9" scale="96"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ACC4-72FD-FD44-BED1-3300491B3D45}">
  <sheetPr>
    <pageSetUpPr fitToPage="1"/>
  </sheetPr>
  <dimension ref="A1:W56"/>
  <sheetViews>
    <sheetView zoomScaleNormal="100" workbookViewId="0">
      <selection activeCell="S6" sqref="S6:S30"/>
    </sheetView>
  </sheetViews>
  <sheetFormatPr baseColWidth="10" defaultColWidth="11.3984375" defaultRowHeight="13"/>
  <cols>
    <col min="1" max="1" width="2.59765625" style="3" customWidth="1"/>
    <col min="2" max="2" width="3.19921875" style="3" customWidth="1"/>
    <col min="3" max="3" width="55" style="3" customWidth="1"/>
    <col min="4" max="4" width="9.796875" style="393" hidden="1" customWidth="1"/>
    <col min="5" max="5" width="8.59765625" style="393" hidden="1" customWidth="1"/>
    <col min="6" max="6" width="10.19921875" style="3" hidden="1" customWidth="1"/>
    <col min="7" max="7" width="9.3984375" style="3" hidden="1" customWidth="1"/>
    <col min="8" max="8" width="0.3984375" style="3" customWidth="1"/>
    <col min="9" max="9" width="9.3984375" style="110" customWidth="1"/>
    <col min="10" max="10" width="9.3984375" style="3" customWidth="1"/>
    <col min="11" max="12" width="9.3984375" style="110" customWidth="1"/>
    <col min="13" max="13" width="9.3984375" style="3" customWidth="1"/>
    <col min="14" max="15" width="10.796875" style="3" customWidth="1"/>
    <col min="16" max="16" width="11.19921875" style="3" customWidth="1"/>
    <col min="17" max="17" width="10.59765625" style="3" customWidth="1"/>
    <col min="18" max="18" width="10.3984375" style="3" customWidth="1"/>
    <col min="19" max="19" width="11" style="3" customWidth="1"/>
    <col min="20" max="20" width="3.59765625" style="3" customWidth="1"/>
    <col min="21" max="16384" width="11.3984375" style="3"/>
  </cols>
  <sheetData>
    <row r="1" spans="2:23" ht="12" customHeight="1">
      <c r="C1" s="330"/>
      <c r="D1" s="331"/>
      <c r="E1" s="331"/>
      <c r="F1" s="61"/>
      <c r="G1" s="61"/>
      <c r="H1" s="61"/>
      <c r="I1" s="300"/>
      <c r="K1" s="300"/>
      <c r="L1" s="300"/>
    </row>
    <row r="2" spans="2:23" ht="26.25" customHeight="1">
      <c r="B2" s="332" t="s">
        <v>478</v>
      </c>
      <c r="C2" s="332"/>
      <c r="D2" s="333"/>
      <c r="E2" s="333"/>
      <c r="F2" s="334"/>
      <c r="G2" s="334"/>
      <c r="H2" s="334"/>
      <c r="I2" s="335"/>
      <c r="J2" s="336"/>
      <c r="K2" s="336"/>
      <c r="L2" s="335"/>
      <c r="M2" s="337"/>
      <c r="N2" s="337"/>
      <c r="O2" s="337"/>
      <c r="P2" s="337"/>
      <c r="Q2" s="337"/>
      <c r="R2" s="337"/>
      <c r="S2" s="337"/>
      <c r="T2" s="181"/>
      <c r="U2" s="181"/>
      <c r="V2" s="181"/>
    </row>
    <row r="3" spans="2:23" ht="72.75" customHeight="1">
      <c r="B3" s="338"/>
      <c r="C3" s="339" t="s">
        <v>479</v>
      </c>
      <c r="D3" s="340">
        <v>1996</v>
      </c>
      <c r="E3" s="339">
        <v>1997</v>
      </c>
      <c r="F3" s="340">
        <v>1998</v>
      </c>
      <c r="G3" s="339">
        <v>1999</v>
      </c>
      <c r="H3" s="340">
        <v>2000</v>
      </c>
      <c r="I3" s="341">
        <v>2001</v>
      </c>
      <c r="J3" s="342">
        <v>2002</v>
      </c>
      <c r="K3" s="341">
        <v>2003</v>
      </c>
      <c r="L3" s="342">
        <v>2004</v>
      </c>
      <c r="M3" s="341">
        <v>2005</v>
      </c>
      <c r="N3" s="342">
        <v>2006</v>
      </c>
      <c r="O3" s="341">
        <v>2007</v>
      </c>
      <c r="P3" s="342">
        <v>2008</v>
      </c>
      <c r="Q3" s="341">
        <v>2009</v>
      </c>
      <c r="R3" s="342">
        <v>2010</v>
      </c>
      <c r="S3" s="341">
        <v>2011</v>
      </c>
      <c r="T3" s="343"/>
      <c r="U3" s="344" t="s">
        <v>480</v>
      </c>
      <c r="V3" s="345" t="s">
        <v>481</v>
      </c>
      <c r="W3" s="346"/>
    </row>
    <row r="4" spans="2:23" ht="14" customHeight="1">
      <c r="B4" s="338"/>
      <c r="C4" s="339"/>
      <c r="D4" s="340"/>
      <c r="E4" s="339"/>
      <c r="F4" s="340"/>
      <c r="G4" s="339"/>
      <c r="H4" s="340"/>
      <c r="I4" s="341"/>
      <c r="J4" s="347"/>
      <c r="K4" s="341"/>
      <c r="L4" s="342"/>
      <c r="M4" s="341"/>
      <c r="N4" s="342"/>
      <c r="O4" s="341"/>
      <c r="P4" s="342"/>
      <c r="Q4" s="341"/>
      <c r="R4" s="342"/>
      <c r="S4" s="341"/>
      <c r="T4" s="343"/>
      <c r="U4" s="339"/>
      <c r="V4" s="340"/>
      <c r="W4" s="348"/>
    </row>
    <row r="5" spans="2:23" ht="9.75" customHeight="1">
      <c r="B5" s="349"/>
      <c r="C5" s="350"/>
      <c r="D5" s="351"/>
      <c r="E5" s="350"/>
      <c r="F5" s="351"/>
      <c r="G5" s="350"/>
      <c r="H5" s="351"/>
      <c r="I5" s="273"/>
      <c r="J5" s="352"/>
      <c r="K5" s="273"/>
      <c r="L5" s="272"/>
      <c r="M5" s="273"/>
      <c r="N5" s="272"/>
      <c r="O5" s="273"/>
      <c r="P5" s="272"/>
      <c r="Q5" s="273"/>
      <c r="R5" s="272"/>
      <c r="S5" s="273"/>
      <c r="T5" s="353"/>
      <c r="U5" s="354"/>
      <c r="V5" s="352"/>
      <c r="W5" s="348"/>
    </row>
    <row r="6" spans="2:23" ht="20" customHeight="1" thickBot="1">
      <c r="B6" s="355">
        <v>1</v>
      </c>
      <c r="C6" s="356" t="s">
        <v>482</v>
      </c>
      <c r="D6" s="357">
        <v>145</v>
      </c>
      <c r="E6" s="358">
        <v>129</v>
      </c>
      <c r="F6" s="357">
        <v>118</v>
      </c>
      <c r="G6" s="358">
        <v>109</v>
      </c>
      <c r="H6" s="357">
        <v>101</v>
      </c>
      <c r="I6" s="358">
        <v>99</v>
      </c>
      <c r="J6" s="357">
        <v>93</v>
      </c>
      <c r="K6" s="358">
        <v>93</v>
      </c>
      <c r="L6" s="357">
        <v>92</v>
      </c>
      <c r="M6" s="358">
        <v>85</v>
      </c>
      <c r="N6" s="357">
        <v>87</v>
      </c>
      <c r="O6" s="358">
        <v>87</v>
      </c>
      <c r="P6" s="357">
        <v>86</v>
      </c>
      <c r="Q6" s="358">
        <v>81</v>
      </c>
      <c r="R6" s="357">
        <v>81</v>
      </c>
      <c r="S6" s="1251">
        <v>63</v>
      </c>
      <c r="T6" s="359"/>
      <c r="U6" s="360">
        <v>-0.22222222222222221</v>
      </c>
      <c r="V6" s="361">
        <v>-4.4192276661521257E-2</v>
      </c>
      <c r="W6" s="362"/>
    </row>
    <row r="7" spans="2:23" ht="16" customHeight="1" thickBot="1">
      <c r="B7" s="363">
        <v>2</v>
      </c>
      <c r="C7" s="364" t="s">
        <v>483</v>
      </c>
      <c r="D7" s="365">
        <v>7232.6670000000004</v>
      </c>
      <c r="E7" s="366">
        <v>7236.4709999999995</v>
      </c>
      <c r="F7" s="365">
        <v>7246.616</v>
      </c>
      <c r="G7" s="366">
        <v>7270.5219999999999</v>
      </c>
      <c r="H7" s="365">
        <v>7265.1130000000003</v>
      </c>
      <c r="I7" s="366">
        <v>7301.05</v>
      </c>
      <c r="J7" s="365">
        <v>7344.6319999999996</v>
      </c>
      <c r="K7" s="366">
        <v>7372.5050000000001</v>
      </c>
      <c r="L7" s="365">
        <v>7383.5739999999996</v>
      </c>
      <c r="M7" s="366">
        <v>7435.8649999999998</v>
      </c>
      <c r="N7" s="365">
        <v>7478.4268200000015</v>
      </c>
      <c r="O7" s="366">
        <v>7537.5873800000008</v>
      </c>
      <c r="P7" s="365">
        <v>7615.5633200000002</v>
      </c>
      <c r="Q7" s="366">
        <v>7708.8515100000004</v>
      </c>
      <c r="R7" s="365">
        <v>7779.661790000001</v>
      </c>
      <c r="S7" s="1252">
        <v>7862.7704599999988</v>
      </c>
      <c r="T7" s="359"/>
      <c r="U7" s="360">
        <v>1.0682812729317703E-2</v>
      </c>
      <c r="V7" s="361">
        <v>7.4396221678696417E-3</v>
      </c>
      <c r="W7" s="362"/>
    </row>
    <row r="8" spans="2:23" ht="16" customHeight="1" thickBot="1">
      <c r="B8" s="363" t="s">
        <v>484</v>
      </c>
      <c r="C8" s="364" t="s">
        <v>485</v>
      </c>
      <c r="D8" s="365">
        <v>5599.991</v>
      </c>
      <c r="E8" s="366">
        <v>5669.3249999999998</v>
      </c>
      <c r="F8" s="365">
        <v>5768.6210000000001</v>
      </c>
      <c r="G8" s="366">
        <v>5833.1670000000004</v>
      </c>
      <c r="H8" s="365">
        <v>5947.0349999999999</v>
      </c>
      <c r="I8" s="366">
        <v>6043.9049999999997</v>
      </c>
      <c r="J8" s="196">
        <v>6170.7879999999996</v>
      </c>
      <c r="K8" s="366">
        <v>6105.0770000000002</v>
      </c>
      <c r="L8" s="365">
        <v>6076.2309999999998</v>
      </c>
      <c r="M8" s="366">
        <v>6104.0569999999998</v>
      </c>
      <c r="N8" s="365">
        <v>6139.7749999999996</v>
      </c>
      <c r="O8" s="366">
        <v>6170.95</v>
      </c>
      <c r="P8" s="365">
        <v>6246.7870000000003</v>
      </c>
      <c r="Q8" s="366">
        <v>6463.0730000000003</v>
      </c>
      <c r="R8" s="365">
        <v>6497.0940000000001</v>
      </c>
      <c r="S8" s="1252">
        <v>6573.4549999999999</v>
      </c>
      <c r="T8" s="359"/>
      <c r="U8" s="360">
        <v>1.1753100693941088E-2</v>
      </c>
      <c r="V8" s="361">
        <v>8.4342942429889156E-3</v>
      </c>
      <c r="W8" s="362"/>
    </row>
    <row r="9" spans="2:23" ht="16" customHeight="1" thickBot="1">
      <c r="B9" s="363" t="s">
        <v>486</v>
      </c>
      <c r="C9" s="364" t="s">
        <v>487</v>
      </c>
      <c r="D9" s="367">
        <v>77.42636291702631</v>
      </c>
      <c r="E9" s="368">
        <v>78.343781105458731</v>
      </c>
      <c r="F9" s="367">
        <v>79.604342219872009</v>
      </c>
      <c r="G9" s="368">
        <v>80.230374105188048</v>
      </c>
      <c r="H9" s="367">
        <v>81.857432912605759</v>
      </c>
      <c r="I9" s="368">
        <v>82.781312277001248</v>
      </c>
      <c r="J9" s="369">
        <v>84.017660789539889</v>
      </c>
      <c r="K9" s="368">
        <v>82.808719695680097</v>
      </c>
      <c r="L9" s="367">
        <v>82.293899946015301</v>
      </c>
      <c r="M9" s="368">
        <v>82.08940049341939</v>
      </c>
      <c r="N9" s="367">
        <v>82.099820560923789</v>
      </c>
      <c r="O9" s="368">
        <v>81.869034332839803</v>
      </c>
      <c r="P9" s="367">
        <v>82.026601589353191</v>
      </c>
      <c r="Q9" s="368">
        <v>83.839635406338232</v>
      </c>
      <c r="R9" s="367">
        <v>83.51383614582555</v>
      </c>
      <c r="S9" s="1253">
        <v>83.602275221449119</v>
      </c>
      <c r="T9" s="370"/>
      <c r="U9" s="360">
        <v>1.0589751316074647E-3</v>
      </c>
      <c r="V9" s="361">
        <v>9.8732673723800346E-4</v>
      </c>
      <c r="W9" s="362"/>
    </row>
    <row r="10" spans="2:23" ht="16" customHeight="1" thickBot="1">
      <c r="B10" s="363">
        <v>4</v>
      </c>
      <c r="C10" s="364" t="s">
        <v>488</v>
      </c>
      <c r="D10" s="365">
        <v>1117.0840000000001</v>
      </c>
      <c r="E10" s="366">
        <v>1150.1220000000001</v>
      </c>
      <c r="F10" s="365">
        <v>1154.759</v>
      </c>
      <c r="G10" s="366">
        <v>1096.0329999999999</v>
      </c>
      <c r="H10" s="365">
        <v>1097.932</v>
      </c>
      <c r="I10" s="366">
        <v>1193.3150000000001</v>
      </c>
      <c r="J10" s="196">
        <v>1207.239</v>
      </c>
      <c r="K10" s="366">
        <v>1148.028</v>
      </c>
      <c r="L10" s="365">
        <v>1196.146</v>
      </c>
      <c r="M10" s="366">
        <v>1219.4549999999999</v>
      </c>
      <c r="N10" s="365">
        <v>1147.933</v>
      </c>
      <c r="O10" s="366">
        <v>1232.442</v>
      </c>
      <c r="P10" s="365">
        <v>1283.4290000000001</v>
      </c>
      <c r="Q10" s="366">
        <v>1289.3340000000001</v>
      </c>
      <c r="R10" s="365">
        <v>1211.453</v>
      </c>
      <c r="S10" s="1252">
        <v>1231.7329999999999</v>
      </c>
      <c r="T10" s="359"/>
      <c r="U10" s="360">
        <v>1.6740228469449558E-2</v>
      </c>
      <c r="V10" s="361">
        <v>3.1737228625887681E-3</v>
      </c>
      <c r="W10" s="362"/>
    </row>
    <row r="11" spans="2:23" ht="15.75" customHeight="1" thickBot="1">
      <c r="B11" s="363">
        <v>5</v>
      </c>
      <c r="C11" s="364" t="s">
        <v>489</v>
      </c>
      <c r="D11" s="365">
        <v>18812.841</v>
      </c>
      <c r="E11" s="366">
        <v>18987.651000000002</v>
      </c>
      <c r="F11" s="365">
        <v>17067.058000000001</v>
      </c>
      <c r="G11" s="366">
        <v>12747.16</v>
      </c>
      <c r="H11" s="365">
        <v>12447.351000000001</v>
      </c>
      <c r="I11" s="366">
        <v>12514.1</v>
      </c>
      <c r="J11" s="196">
        <v>12391.460999999999</v>
      </c>
      <c r="K11" s="366">
        <v>11395.671</v>
      </c>
      <c r="L11" s="365">
        <v>11754.955</v>
      </c>
      <c r="M11" s="366">
        <v>11492.861999999999</v>
      </c>
      <c r="N11" s="365">
        <v>11050.112999999999</v>
      </c>
      <c r="O11" s="366">
        <v>11706.005999999999</v>
      </c>
      <c r="P11" s="365">
        <v>11789.734</v>
      </c>
      <c r="Q11" s="366">
        <v>11966.875</v>
      </c>
      <c r="R11" s="365">
        <v>10978.201999999999</v>
      </c>
      <c r="S11" s="1252">
        <v>11005.08361</v>
      </c>
      <c r="T11" s="359"/>
      <c r="U11" s="360">
        <v>2.4486350314925076E-3</v>
      </c>
      <c r="V11" s="361">
        <v>-1.2767662537777946E-2</v>
      </c>
      <c r="W11" s="362"/>
    </row>
    <row r="12" spans="2:23" ht="15.75" customHeight="1" thickBot="1">
      <c r="B12" s="363" t="s">
        <v>490</v>
      </c>
      <c r="C12" s="364" t="s">
        <v>491</v>
      </c>
      <c r="D12" s="365">
        <v>1538.9393456106855</v>
      </c>
      <c r="E12" s="366">
        <v>1663.8889491853145</v>
      </c>
      <c r="F12" s="365">
        <v>1753.683394842503</v>
      </c>
      <c r="G12" s="366">
        <v>1792.6969718267821</v>
      </c>
      <c r="H12" s="365">
        <v>1850.1645719756871</v>
      </c>
      <c r="I12" s="366">
        <v>1917.1642434992227</v>
      </c>
      <c r="J12" s="365">
        <v>2090.6486849170938</v>
      </c>
      <c r="K12" s="366">
        <v>2281.464868725081</v>
      </c>
      <c r="L12" s="365">
        <v>2441.8668834361247</v>
      </c>
      <c r="M12" s="366">
        <v>2487.4603849935415</v>
      </c>
      <c r="N12" s="365">
        <v>2582.7207564451369</v>
      </c>
      <c r="O12" s="366">
        <v>2612.1277928402606</v>
      </c>
      <c r="P12" s="365">
        <v>2585.7925929424223</v>
      </c>
      <c r="Q12" s="366">
        <v>2610.6051067988465</v>
      </c>
      <c r="R12" s="365">
        <v>2834.4985299573032</v>
      </c>
      <c r="S12" s="1252">
        <v>3005.4532786500799</v>
      </c>
      <c r="T12" s="359"/>
      <c r="U12" s="360">
        <v>6.0312166997437799E-2</v>
      </c>
      <c r="V12" s="361">
        <v>4.5984059490643769E-2</v>
      </c>
      <c r="W12" s="362"/>
    </row>
    <row r="13" spans="2:23" ht="18" customHeight="1" thickBot="1">
      <c r="B13" s="363" t="s">
        <v>492</v>
      </c>
      <c r="C13" s="364" t="s">
        <v>493</v>
      </c>
      <c r="D13" s="365">
        <v>1722.6034666050571</v>
      </c>
      <c r="E13" s="366">
        <v>1815.591817475673</v>
      </c>
      <c r="F13" s="365">
        <v>1935.2609068839854</v>
      </c>
      <c r="G13" s="366">
        <v>2010.9299604622613</v>
      </c>
      <c r="H13" s="365">
        <v>2130.500577485856</v>
      </c>
      <c r="I13" s="366">
        <v>2244.3977236150963</v>
      </c>
      <c r="J13" s="365">
        <v>2327.6302215005462</v>
      </c>
      <c r="K13" s="366">
        <v>2431.2115563163397</v>
      </c>
      <c r="L13" s="365">
        <v>2592.2163089311498</v>
      </c>
      <c r="M13" s="366">
        <v>2736.4276577385417</v>
      </c>
      <c r="N13" s="365">
        <v>2754.9413018779796</v>
      </c>
      <c r="O13" s="366">
        <v>2862.8111062906178</v>
      </c>
      <c r="P13" s="365">
        <v>2983.6153319253076</v>
      </c>
      <c r="Q13" s="366">
        <v>3068.7220287020409</v>
      </c>
      <c r="R13" s="365">
        <v>3122.5601098540819</v>
      </c>
      <c r="S13" s="1252">
        <v>3170.8302082139126</v>
      </c>
      <c r="T13" s="359"/>
      <c r="U13" s="360">
        <v>1.5458500929254049E-2</v>
      </c>
      <c r="V13" s="361">
        <v>3.5159606315989578E-2</v>
      </c>
      <c r="W13" s="362"/>
    </row>
    <row r="14" spans="2:23" ht="16" customHeight="1" thickBot="1">
      <c r="B14" s="363" t="s">
        <v>494</v>
      </c>
      <c r="C14" s="364" t="s">
        <v>495</v>
      </c>
      <c r="D14" s="365">
        <v>1135.7666791471866</v>
      </c>
      <c r="E14" s="366">
        <v>1207.1705655887454</v>
      </c>
      <c r="F14" s="365">
        <v>1287.8682695481589</v>
      </c>
      <c r="G14" s="366">
        <v>1351.582122301535</v>
      </c>
      <c r="H14" s="365">
        <v>1451.1566242672343</v>
      </c>
      <c r="I14" s="366">
        <v>1548.8249816122338</v>
      </c>
      <c r="J14" s="365">
        <v>1615.4324000167742</v>
      </c>
      <c r="K14" s="366">
        <v>1666.6209287074066</v>
      </c>
      <c r="L14" s="365">
        <v>1751.3120155631952</v>
      </c>
      <c r="M14" s="366">
        <v>1868.8498613140498</v>
      </c>
      <c r="N14" s="365">
        <v>1876.1663221824504</v>
      </c>
      <c r="O14" s="366">
        <v>1947.0011165814174</v>
      </c>
      <c r="P14" s="365">
        <v>2050.4938838838252</v>
      </c>
      <c r="Q14" s="366">
        <v>2108.4877007664654</v>
      </c>
      <c r="R14" s="365">
        <v>2155.4118222278144</v>
      </c>
      <c r="S14" s="1252">
        <v>2204.2662362828287</v>
      </c>
      <c r="T14" s="359"/>
      <c r="U14" s="360">
        <v>2.2665930265019618E-2</v>
      </c>
      <c r="V14" s="361">
        <v>3.5919886670940704E-2</v>
      </c>
      <c r="W14" s="362"/>
    </row>
    <row r="15" spans="2:23" ht="16" customHeight="1" thickBot="1">
      <c r="B15" s="363" t="s">
        <v>496</v>
      </c>
      <c r="C15" s="364" t="s">
        <v>497</v>
      </c>
      <c r="D15" s="365">
        <v>586.83678759613247</v>
      </c>
      <c r="E15" s="366">
        <v>608.42125188692751</v>
      </c>
      <c r="F15" s="365">
        <v>647.39263733582686</v>
      </c>
      <c r="G15" s="366">
        <v>659.34783816072627</v>
      </c>
      <c r="H15" s="365">
        <v>679.34395321862166</v>
      </c>
      <c r="I15" s="366">
        <v>695.57285390457537</v>
      </c>
      <c r="J15" s="365">
        <v>712.19782148377203</v>
      </c>
      <c r="K15" s="366">
        <v>764.59062760893346</v>
      </c>
      <c r="L15" s="365">
        <v>840.90429336795432</v>
      </c>
      <c r="M15" s="366">
        <v>867.57779639624982</v>
      </c>
      <c r="N15" s="365">
        <v>878.77497969552894</v>
      </c>
      <c r="O15" s="366">
        <v>915.80998970920029</v>
      </c>
      <c r="P15" s="365">
        <v>933.12144804148261</v>
      </c>
      <c r="Q15" s="366">
        <v>960.23432793557583</v>
      </c>
      <c r="R15" s="365">
        <v>967.14828762626712</v>
      </c>
      <c r="S15" s="1252">
        <v>966.56397193108455</v>
      </c>
      <c r="T15" s="359"/>
      <c r="U15" s="360">
        <v>-6.04163500735444E-4</v>
      </c>
      <c r="V15" s="361">
        <v>3.344840153239903E-2</v>
      </c>
      <c r="W15" s="362"/>
    </row>
    <row r="16" spans="2:23" ht="16" customHeight="1" thickBot="1">
      <c r="B16" s="363" t="s">
        <v>498</v>
      </c>
      <c r="C16" s="364" t="s">
        <v>499</v>
      </c>
      <c r="D16" s="365">
        <v>232.07645782669101</v>
      </c>
      <c r="E16" s="366">
        <v>245.69743221523311</v>
      </c>
      <c r="F16" s="365">
        <v>289.40857360180263</v>
      </c>
      <c r="G16" s="366">
        <v>301.20274500235331</v>
      </c>
      <c r="H16" s="365">
        <v>314.93213457244229</v>
      </c>
      <c r="I16" s="366">
        <v>328.74449565473458</v>
      </c>
      <c r="J16" s="365">
        <v>340.77001636024784</v>
      </c>
      <c r="K16" s="366">
        <v>351.10178317952989</v>
      </c>
      <c r="L16" s="365">
        <v>383.59639861400456</v>
      </c>
      <c r="M16" s="366">
        <v>402.77581823634512</v>
      </c>
      <c r="N16" s="365">
        <v>406.33028735313604</v>
      </c>
      <c r="O16" s="366">
        <v>418.57781696455766</v>
      </c>
      <c r="P16" s="365">
        <v>432.06970918600405</v>
      </c>
      <c r="Q16" s="366">
        <v>438.77766276367134</v>
      </c>
      <c r="R16" s="365">
        <v>438.15717657438159</v>
      </c>
      <c r="S16" s="1252">
        <v>454.68760346082905</v>
      </c>
      <c r="T16" s="359"/>
      <c r="U16" s="360">
        <v>3.7727162238186507E-2</v>
      </c>
      <c r="V16" s="361">
        <v>3.296465711613128E-2</v>
      </c>
      <c r="W16" s="362"/>
    </row>
    <row r="17" spans="2:23" ht="18.75" customHeight="1" thickBot="1">
      <c r="B17" s="363" t="s">
        <v>500</v>
      </c>
      <c r="C17" s="364" t="s">
        <v>501</v>
      </c>
      <c r="D17" s="365">
        <v>1490.5270087783663</v>
      </c>
      <c r="E17" s="366">
        <v>1569.89438526044</v>
      </c>
      <c r="F17" s="365">
        <v>1645.8523332821831</v>
      </c>
      <c r="G17" s="366">
        <v>1709.7272154599079</v>
      </c>
      <c r="H17" s="365">
        <v>1815.5684429134135</v>
      </c>
      <c r="I17" s="366">
        <v>1915.651858294355</v>
      </c>
      <c r="J17" s="365">
        <v>1986.8602051130677</v>
      </c>
      <c r="K17" s="366">
        <v>2080.1097731368104</v>
      </c>
      <c r="L17" s="365">
        <v>2208.6199103577751</v>
      </c>
      <c r="M17" s="366">
        <v>2333.6518395021967</v>
      </c>
      <c r="N17" s="365">
        <v>2348.6110145248435</v>
      </c>
      <c r="O17" s="366">
        <v>2444.23328932606</v>
      </c>
      <c r="P17" s="365">
        <v>2551.5456227393033</v>
      </c>
      <c r="Q17" s="366">
        <v>2629.9443659383696</v>
      </c>
      <c r="R17" s="365">
        <v>2684.4029332797004</v>
      </c>
      <c r="S17" s="1252">
        <v>2716.1426047530836</v>
      </c>
      <c r="T17" s="359"/>
      <c r="U17" s="360">
        <v>1.1823735952562364E-2</v>
      </c>
      <c r="V17" s="361">
        <v>3.5532177060275005E-2</v>
      </c>
      <c r="W17" s="362"/>
    </row>
    <row r="18" spans="2:23" ht="15.75" customHeight="1" thickBot="1">
      <c r="B18" s="363" t="s">
        <v>502</v>
      </c>
      <c r="C18" s="371" t="s">
        <v>503</v>
      </c>
      <c r="D18" s="365">
        <v>132.70728197496166</v>
      </c>
      <c r="E18" s="366">
        <v>123.43149540708448</v>
      </c>
      <c r="F18" s="365">
        <v>117.97848775207628</v>
      </c>
      <c r="G18" s="366">
        <v>117.4940565477967</v>
      </c>
      <c r="H18" s="365">
        <v>118.82517959459129</v>
      </c>
      <c r="I18" s="366">
        <v>124.48209504112421</v>
      </c>
      <c r="J18" s="365">
        <v>125.74808222386092</v>
      </c>
      <c r="K18" s="366">
        <v>128.73966972012903</v>
      </c>
      <c r="L18" s="365">
        <v>133.72666834516724</v>
      </c>
      <c r="M18" s="366">
        <v>134.36734701880681</v>
      </c>
      <c r="N18" s="365">
        <v>144.14164993460486</v>
      </c>
      <c r="O18" s="366">
        <v>142.1810814948058</v>
      </c>
      <c r="P18" s="365">
        <v>153.45122296744293</v>
      </c>
      <c r="Q18" s="366">
        <v>147.13788275057848</v>
      </c>
      <c r="R18" s="365">
        <v>157.51886110462905</v>
      </c>
      <c r="S18" s="1252">
        <v>159.56958936710467</v>
      </c>
      <c r="T18" s="359"/>
      <c r="U18" s="360">
        <v>1.3018937847153689E-2</v>
      </c>
      <c r="V18" s="361">
        <v>2.5142700952513586E-2</v>
      </c>
      <c r="W18" s="362"/>
    </row>
    <row r="19" spans="2:23" ht="18" customHeight="1" thickBot="1">
      <c r="B19" s="363" t="s">
        <v>504</v>
      </c>
      <c r="C19" s="364" t="s">
        <v>505</v>
      </c>
      <c r="D19" s="365">
        <v>477.62973077565988</v>
      </c>
      <c r="E19" s="366">
        <v>484.75254775428522</v>
      </c>
      <c r="F19" s="365">
        <v>509.74935597525797</v>
      </c>
      <c r="G19" s="366">
        <v>524.03642778331459</v>
      </c>
      <c r="H19" s="365">
        <v>544.55016542757153</v>
      </c>
      <c r="I19" s="366">
        <v>547.35962635511339</v>
      </c>
      <c r="J19" s="365">
        <v>547.06945209780417</v>
      </c>
      <c r="K19" s="366">
        <v>578.39954541909435</v>
      </c>
      <c r="L19" s="365">
        <v>607.83383459013214</v>
      </c>
      <c r="M19" s="366">
        <v>633.47119917588623</v>
      </c>
      <c r="N19" s="365">
        <v>667.24895580511941</v>
      </c>
      <c r="O19" s="366">
        <v>694.39870760476651</v>
      </c>
      <c r="P19" s="365">
        <v>681.63705744882441</v>
      </c>
      <c r="Q19" s="366">
        <v>660.95738811681952</v>
      </c>
      <c r="R19" s="365">
        <v>671.91784070345795</v>
      </c>
      <c r="S19" s="1252">
        <v>718.40285248896862</v>
      </c>
      <c r="T19" s="359"/>
      <c r="U19" s="360">
        <v>6.918258300277258E-2</v>
      </c>
      <c r="V19" s="361">
        <v>2.756553348265145E-2</v>
      </c>
      <c r="W19" s="362"/>
    </row>
    <row r="20" spans="2:23" ht="19.5" customHeight="1" thickBot="1">
      <c r="B20" s="363" t="s">
        <v>506</v>
      </c>
      <c r="C20" s="364" t="s">
        <v>507</v>
      </c>
      <c r="D20" s="365">
        <v>394.88575237875602</v>
      </c>
      <c r="E20" s="366">
        <v>413.44461478530076</v>
      </c>
      <c r="F20" s="365">
        <v>411.98967338686089</v>
      </c>
      <c r="G20" s="366">
        <v>423.27251702147385</v>
      </c>
      <c r="H20" s="365">
        <v>389.82276793217119</v>
      </c>
      <c r="I20" s="366">
        <v>287.99008361810974</v>
      </c>
      <c r="J20" s="365">
        <v>267.61478124431557</v>
      </c>
      <c r="K20" s="366">
        <v>324.68015590359045</v>
      </c>
      <c r="L20" s="365">
        <v>402.03849991887398</v>
      </c>
      <c r="M20" s="366">
        <v>428.26064350549666</v>
      </c>
      <c r="N20" s="365">
        <v>501.3097896958493</v>
      </c>
      <c r="O20" s="366">
        <v>526.75261307816504</v>
      </c>
      <c r="P20" s="365">
        <v>427.01039051829446</v>
      </c>
      <c r="Q20" s="366">
        <v>371.39233943941923</v>
      </c>
      <c r="R20" s="365">
        <v>400.49845433319257</v>
      </c>
      <c r="S20" s="1252">
        <v>471.93399801474055</v>
      </c>
      <c r="T20" s="359"/>
      <c r="U20" s="360">
        <v>0.17836659020440959</v>
      </c>
      <c r="V20" s="361">
        <v>5.0631392192589608E-2</v>
      </c>
      <c r="W20" s="362"/>
    </row>
    <row r="21" spans="2:23" ht="16" customHeight="1" thickBot="1">
      <c r="B21" s="363" t="s">
        <v>508</v>
      </c>
      <c r="C21" s="364" t="s">
        <v>509</v>
      </c>
      <c r="D21" s="365">
        <v>11130.63582</v>
      </c>
      <c r="E21" s="366">
        <v>12040.684128000001</v>
      </c>
      <c r="F21" s="365">
        <v>12708.270148</v>
      </c>
      <c r="G21" s="366">
        <v>13033.842773</v>
      </c>
      <c r="H21" s="365">
        <v>13441.654683999999</v>
      </c>
      <c r="I21" s="366">
        <v>13997.312</v>
      </c>
      <c r="J21" s="365">
        <v>15355.045232</v>
      </c>
      <c r="K21" s="366">
        <v>16820.111152000001</v>
      </c>
      <c r="L21" s="365">
        <v>18029.704831999999</v>
      </c>
      <c r="M21" s="366">
        <v>18496.419615660001</v>
      </c>
      <c r="N21" s="365">
        <v>19314.688173570001</v>
      </c>
      <c r="O21" s="366">
        <v>19689.141486260003</v>
      </c>
      <c r="P21" s="365">
        <v>19692.267223940002</v>
      </c>
      <c r="Q21" s="366">
        <v>20124.767119560001</v>
      </c>
      <c r="R21" s="365">
        <v>22051.439907320004</v>
      </c>
      <c r="S21" s="1252">
        <v>23631.189258279996</v>
      </c>
      <c r="T21" s="359"/>
      <c r="U21" s="360">
        <v>7.1639283312088464E-2</v>
      </c>
      <c r="V21" s="361">
        <v>5.3765785686868517E-2</v>
      </c>
      <c r="W21" s="362"/>
    </row>
    <row r="22" spans="2:23" ht="18" customHeight="1" thickBot="1">
      <c r="B22" s="363" t="s">
        <v>510</v>
      </c>
      <c r="C22" s="364" t="s">
        <v>511</v>
      </c>
      <c r="D22" s="365">
        <v>12459.017247</v>
      </c>
      <c r="E22" s="366">
        <v>13138.477535</v>
      </c>
      <c r="F22" s="365">
        <v>14024.092651999999</v>
      </c>
      <c r="G22" s="366">
        <v>14620.510517999999</v>
      </c>
      <c r="H22" s="365">
        <v>15478.327442</v>
      </c>
      <c r="I22" s="366">
        <v>16386.46</v>
      </c>
      <c r="J22" s="365">
        <v>17095.587409</v>
      </c>
      <c r="K22" s="366">
        <v>17924.119354999999</v>
      </c>
      <c r="L22" s="365">
        <v>19139.820941000002</v>
      </c>
      <c r="M22" s="366">
        <v>20347.706645210001</v>
      </c>
      <c r="N22" s="365">
        <v>20602.626919490001</v>
      </c>
      <c r="O22" s="366">
        <v>21578.688866100001</v>
      </c>
      <c r="P22" s="365">
        <v>22721.911482799998</v>
      </c>
      <c r="Q22" s="366">
        <v>23656.322444729994</v>
      </c>
      <c r="R22" s="365">
        <v>24292.461573610006</v>
      </c>
      <c r="S22" s="1252">
        <v>24931.510094819998</v>
      </c>
      <c r="T22" s="359"/>
      <c r="U22" s="360">
        <v>2.6306453929074713E-2</v>
      </c>
      <c r="V22" s="361">
        <v>4.2860802670421139E-2</v>
      </c>
      <c r="W22" s="362"/>
    </row>
    <row r="23" spans="2:23" ht="16" customHeight="1" thickBot="1">
      <c r="B23" s="363" t="s">
        <v>512</v>
      </c>
      <c r="C23" s="364" t="s">
        <v>513</v>
      </c>
      <c r="D23" s="365">
        <v>1678.5317379999999</v>
      </c>
      <c r="E23" s="366">
        <v>1777.9823429999999</v>
      </c>
      <c r="F23" s="365">
        <v>2097.2328000000002</v>
      </c>
      <c r="G23" s="366">
        <v>2189.9011839999998</v>
      </c>
      <c r="H23" s="365">
        <v>2288.0175450000002</v>
      </c>
      <c r="I23" s="366">
        <v>2400.1799999999998</v>
      </c>
      <c r="J23" s="365">
        <v>2502.8303667999999</v>
      </c>
      <c r="K23" s="366">
        <v>2588.499652</v>
      </c>
      <c r="L23" s="365">
        <v>2832.3123952999999</v>
      </c>
      <c r="M23" s="366">
        <v>2994.9866096700002</v>
      </c>
      <c r="N23" s="365">
        <v>3038.7113187200002</v>
      </c>
      <c r="O23" s="366">
        <v>3155.0668707</v>
      </c>
      <c r="P23" s="365">
        <v>3290.4542289599999</v>
      </c>
      <c r="Q23" s="366">
        <v>3382.471848149999</v>
      </c>
      <c r="R23" s="365">
        <v>3408.7146446100001</v>
      </c>
      <c r="S23" s="1252">
        <v>3575.1042570200002</v>
      </c>
      <c r="T23" s="359"/>
      <c r="U23" s="360">
        <v>4.8813007176503387E-2</v>
      </c>
      <c r="V23" s="361">
        <v>4.0649523877838156E-2</v>
      </c>
      <c r="W23" s="362"/>
    </row>
    <row r="24" spans="2:23" ht="18.75" customHeight="1" thickBot="1">
      <c r="B24" s="363" t="s">
        <v>514</v>
      </c>
      <c r="C24" s="364" t="s">
        <v>515</v>
      </c>
      <c r="D24" s="365">
        <v>10780.485509</v>
      </c>
      <c r="E24" s="366">
        <v>11360.495192</v>
      </c>
      <c r="F24" s="365">
        <v>11926.859852</v>
      </c>
      <c r="G24" s="366">
        <v>12430.609334000001</v>
      </c>
      <c r="H24" s="365">
        <v>13190.309896999999</v>
      </c>
      <c r="I24" s="366">
        <v>13986.27</v>
      </c>
      <c r="J24" s="365">
        <v>14592.757041999999</v>
      </c>
      <c r="K24" s="366">
        <v>15335.619703</v>
      </c>
      <c r="L24" s="365">
        <v>16307.508545999999</v>
      </c>
      <c r="M24" s="366">
        <v>17352.720035540002</v>
      </c>
      <c r="N24" s="365">
        <v>17563.91560077</v>
      </c>
      <c r="O24" s="366">
        <v>18423.621995400001</v>
      </c>
      <c r="P24" s="365">
        <v>19431.457253839999</v>
      </c>
      <c r="Q24" s="366">
        <v>20273.850596579996</v>
      </c>
      <c r="R24" s="365">
        <v>20883.746929000004</v>
      </c>
      <c r="S24" s="1252">
        <v>21356.405837799997</v>
      </c>
      <c r="T24" s="359"/>
      <c r="U24" s="360">
        <v>2.2632859438822317E-2</v>
      </c>
      <c r="V24" s="361">
        <v>4.3236145200274967E-2</v>
      </c>
      <c r="W24" s="362"/>
    </row>
    <row r="25" spans="2:23" ht="15.75" customHeight="1" thickBot="1">
      <c r="B25" s="363" t="s">
        <v>516</v>
      </c>
      <c r="C25" s="364" t="s">
        <v>517</v>
      </c>
      <c r="D25" s="365">
        <v>959.82757900000001</v>
      </c>
      <c r="E25" s="366">
        <v>893.208437</v>
      </c>
      <c r="F25" s="365">
        <v>854.94479699999999</v>
      </c>
      <c r="G25" s="366">
        <v>854.24312299999997</v>
      </c>
      <c r="H25" s="365">
        <v>863.27835700000003</v>
      </c>
      <c r="I25" s="366">
        <v>908.85</v>
      </c>
      <c r="J25" s="365">
        <v>923.57338863999996</v>
      </c>
      <c r="K25" s="366">
        <v>949.13385871000003</v>
      </c>
      <c r="L25" s="365">
        <v>987.38075149999997</v>
      </c>
      <c r="M25" s="366">
        <v>999.13745283999992</v>
      </c>
      <c r="N25" s="365">
        <v>1077.9527807500003</v>
      </c>
      <c r="O25" s="366">
        <v>1071.7023255499998</v>
      </c>
      <c r="P25" s="365">
        <v>1168.61750504</v>
      </c>
      <c r="Q25" s="366">
        <v>1134.26408962</v>
      </c>
      <c r="R25" s="365">
        <v>1225.44346494</v>
      </c>
      <c r="S25" s="1252">
        <v>1254.6590535900004</v>
      </c>
      <c r="T25" s="359"/>
      <c r="U25" s="360">
        <v>2.3840829451427181E-2</v>
      </c>
      <c r="V25" s="361">
        <v>3.2769375315749416E-2</v>
      </c>
      <c r="W25" s="362"/>
    </row>
    <row r="26" spans="2:23" ht="15.75" customHeight="1" thickBot="1">
      <c r="B26" s="363">
        <v>11</v>
      </c>
      <c r="C26" s="364" t="s">
        <v>518</v>
      </c>
      <c r="D26" s="365">
        <v>-319.932346</v>
      </c>
      <c r="E26" s="366">
        <v>70.171887999999996</v>
      </c>
      <c r="F26" s="365">
        <v>-3.3297E-2</v>
      </c>
      <c r="G26" s="366">
        <v>-49.386769999999999</v>
      </c>
      <c r="H26" s="365">
        <v>-305.95411300000001</v>
      </c>
      <c r="I26" s="366">
        <v>-789.7</v>
      </c>
      <c r="J26" s="365">
        <v>-223.6723628</v>
      </c>
      <c r="K26" s="366">
        <v>399.72993602999998</v>
      </c>
      <c r="L26" s="365">
        <v>514.14165576000005</v>
      </c>
      <c r="M26" s="366">
        <v>171.42467388000034</v>
      </c>
      <c r="N26" s="365">
        <v>490.9499524699998</v>
      </c>
      <c r="O26" s="366">
        <v>178.66007693999958</v>
      </c>
      <c r="P26" s="365">
        <v>-755.31870567999954</v>
      </c>
      <c r="Q26" s="366">
        <v>-471.60922202999967</v>
      </c>
      <c r="R26" s="365">
        <v>224.51180578999993</v>
      </c>
      <c r="S26" s="1252">
        <v>587.66953910999985</v>
      </c>
      <c r="T26" s="359"/>
      <c r="U26" s="360" t="s">
        <v>30</v>
      </c>
      <c r="V26" s="361" t="s">
        <v>30</v>
      </c>
      <c r="W26" s="362"/>
    </row>
    <row r="27" spans="2:23" ht="18" customHeight="1" thickBot="1">
      <c r="B27" s="363" t="s">
        <v>519</v>
      </c>
      <c r="C27" s="364" t="s">
        <v>520</v>
      </c>
      <c r="D27" s="365">
        <v>3454.5367919999999</v>
      </c>
      <c r="E27" s="366">
        <v>3507.8977540000001</v>
      </c>
      <c r="F27" s="365">
        <v>3693.9578390000001</v>
      </c>
      <c r="G27" s="366">
        <v>3810.0183769999999</v>
      </c>
      <c r="H27" s="365">
        <v>3956.2184860000002</v>
      </c>
      <c r="I27" s="366">
        <v>3996.3</v>
      </c>
      <c r="J27" s="365">
        <v>4018.0238040999998</v>
      </c>
      <c r="K27" s="366">
        <v>4264.2535405999997</v>
      </c>
      <c r="L27" s="365">
        <v>4487.9860974000003</v>
      </c>
      <c r="M27" s="366">
        <v>4710.4063184600009</v>
      </c>
      <c r="N27" s="365">
        <v>4989.9724867100003</v>
      </c>
      <c r="O27" s="366">
        <v>5234.0909351299988</v>
      </c>
      <c r="P27" s="365">
        <v>5191.0501722600002</v>
      </c>
      <c r="Q27" s="366">
        <v>5095.2223594300003</v>
      </c>
      <c r="R27" s="365">
        <v>5227.2935513399998</v>
      </c>
      <c r="S27" s="1252">
        <v>5648.6367269299999</v>
      </c>
      <c r="T27" s="359"/>
      <c r="U27" s="360">
        <v>8.0604460310439219E-2</v>
      </c>
      <c r="V27" s="361">
        <v>3.5210232804487651E-2</v>
      </c>
      <c r="W27" s="362"/>
    </row>
    <row r="28" spans="2:23" ht="19.5" customHeight="1" thickBot="1">
      <c r="B28" s="363" t="s">
        <v>521</v>
      </c>
      <c r="C28" s="364" t="s">
        <v>522</v>
      </c>
      <c r="D28" s="372">
        <v>0.3204435263250443</v>
      </c>
      <c r="E28" s="373">
        <v>0.30878035637656381</v>
      </c>
      <c r="F28" s="372">
        <v>0.30971755221728081</v>
      </c>
      <c r="G28" s="373">
        <v>0.30650294564232661</v>
      </c>
      <c r="H28" s="372">
        <v>0.29993370261147551</v>
      </c>
      <c r="I28" s="373">
        <v>0.28573021970832824</v>
      </c>
      <c r="J28" s="372">
        <v>0.27534370595875501</v>
      </c>
      <c r="K28" s="373">
        <v>0.27806202965282278</v>
      </c>
      <c r="L28" s="372">
        <v>0.27520979582750793</v>
      </c>
      <c r="M28" s="373">
        <v>0.27145060306468599</v>
      </c>
      <c r="N28" s="372">
        <v>0.28410364750848838</v>
      </c>
      <c r="O28" s="373">
        <v>0.28409673930765861</v>
      </c>
      <c r="P28" s="372">
        <v>0.26714672525315397</v>
      </c>
      <c r="Q28" s="373">
        <v>0.25131991257198649</v>
      </c>
      <c r="R28" s="372">
        <v>0.25030439073560939</v>
      </c>
      <c r="S28" s="1254">
        <v>0.26449379028619768</v>
      </c>
      <c r="T28" s="359"/>
      <c r="U28" s="360" t="s">
        <v>30</v>
      </c>
      <c r="V28" s="361" t="s">
        <v>30</v>
      </c>
      <c r="W28" s="362"/>
    </row>
    <row r="29" spans="2:23" ht="19.5" customHeight="1" thickBot="1">
      <c r="B29" s="363" t="s">
        <v>523</v>
      </c>
      <c r="C29" s="364" t="s">
        <v>524</v>
      </c>
      <c r="D29" s="365">
        <v>2856.0771500000001</v>
      </c>
      <c r="E29" s="366">
        <v>2991.8799650000001</v>
      </c>
      <c r="F29" s="365">
        <v>2985.5309590000002</v>
      </c>
      <c r="G29" s="366">
        <v>3077.412147</v>
      </c>
      <c r="H29" s="365">
        <v>2832.1064590000001</v>
      </c>
      <c r="I29" s="366">
        <v>2102.63</v>
      </c>
      <c r="J29" s="365">
        <v>1965.5320859999999</v>
      </c>
      <c r="K29" s="366">
        <v>2393.7060728000001</v>
      </c>
      <c r="L29" s="365">
        <v>2968.4810149999998</v>
      </c>
      <c r="M29" s="366">
        <v>3184.4883299199996</v>
      </c>
      <c r="N29" s="365">
        <v>3749.0085763900001</v>
      </c>
      <c r="O29" s="366">
        <v>3970.4438487200005</v>
      </c>
      <c r="P29" s="365">
        <v>3251.9246672899994</v>
      </c>
      <c r="Q29" s="366">
        <v>2863.0083966899997</v>
      </c>
      <c r="R29" s="365">
        <v>3115.7425221299982</v>
      </c>
      <c r="S29" s="1252">
        <v>3710.7086986600002</v>
      </c>
      <c r="T29" s="359"/>
      <c r="U29" s="360">
        <v>0.19095485981404803</v>
      </c>
      <c r="V29" s="361">
        <v>5.8447692788205385E-2</v>
      </c>
      <c r="W29" s="362"/>
    </row>
    <row r="30" spans="2:23" s="382" customFormat="1" ht="19.5" customHeight="1" thickBot="1">
      <c r="B30" s="374" t="s">
        <v>525</v>
      </c>
      <c r="C30" s="375" t="s">
        <v>526</v>
      </c>
      <c r="D30" s="376">
        <v>0.25659604681954279</v>
      </c>
      <c r="E30" s="377">
        <v>0.24848089470618492</v>
      </c>
      <c r="F30" s="376">
        <v>0.23492819433570639</v>
      </c>
      <c r="G30" s="377">
        <v>0.23610935014307161</v>
      </c>
      <c r="H30" s="376">
        <v>0.21069626661151625</v>
      </c>
      <c r="I30" s="377">
        <v>0.15</v>
      </c>
      <c r="J30" s="376">
        <v>0.12800562009999999</v>
      </c>
      <c r="K30" s="377">
        <v>0.1423121436</v>
      </c>
      <c r="L30" s="376">
        <v>0.1646439053</v>
      </c>
      <c r="M30" s="377">
        <v>0.17216782469748099</v>
      </c>
      <c r="N30" s="376">
        <v>0.19410142906268091</v>
      </c>
      <c r="O30" s="377">
        <v>0.20165652481550608</v>
      </c>
      <c r="P30" s="376">
        <v>0.16513713887330433</v>
      </c>
      <c r="Q30" s="377">
        <v>0.14226293301587259</v>
      </c>
      <c r="R30" s="376">
        <v>0.1412942889546058</v>
      </c>
      <c r="S30" s="1255">
        <v>0.15702589734707603</v>
      </c>
      <c r="T30" s="378"/>
      <c r="U30" s="379" t="s">
        <v>30</v>
      </c>
      <c r="V30" s="380" t="s">
        <v>30</v>
      </c>
      <c r="W30" s="381"/>
    </row>
    <row r="31" spans="2:23" ht="17.25" customHeight="1">
      <c r="B31" s="383" t="s">
        <v>720</v>
      </c>
      <c r="C31" s="383"/>
      <c r="D31" s="384"/>
      <c r="E31" s="384"/>
      <c r="F31" s="384"/>
      <c r="G31" s="384"/>
      <c r="H31" s="384"/>
      <c r="I31" s="385"/>
      <c r="K31" s="385"/>
      <c r="L31" s="386"/>
    </row>
    <row r="32" spans="2:23" ht="13.5" customHeight="1">
      <c r="B32" s="387"/>
      <c r="C32" s="387"/>
      <c r="D32" s="121"/>
      <c r="E32" s="121"/>
      <c r="F32" s="121"/>
      <c r="G32" s="121"/>
      <c r="H32" s="121"/>
      <c r="I32" s="253"/>
      <c r="K32" s="253"/>
      <c r="L32" s="253"/>
    </row>
    <row r="33" spans="1:18" ht="12" customHeight="1">
      <c r="B33" s="61" t="s">
        <v>527</v>
      </c>
      <c r="C33" s="61"/>
      <c r="D33" s="121"/>
      <c r="E33" s="121"/>
      <c r="F33" s="121"/>
      <c r="G33" s="121"/>
      <c r="H33" s="121"/>
      <c r="I33" s="253"/>
      <c r="K33" s="253"/>
      <c r="L33" s="253"/>
    </row>
    <row r="34" spans="1:18" ht="12.75" customHeight="1">
      <c r="B34" s="61" t="s">
        <v>528</v>
      </c>
      <c r="C34" s="61"/>
      <c r="D34" s="121"/>
      <c r="E34" s="121"/>
      <c r="F34" s="121"/>
      <c r="G34" s="121"/>
      <c r="H34" s="121"/>
      <c r="I34" s="253"/>
      <c r="K34" s="253"/>
      <c r="L34" s="253"/>
    </row>
    <row r="35" spans="1:18" ht="12" customHeight="1">
      <c r="B35" s="4" t="s">
        <v>529</v>
      </c>
      <c r="C35" s="4"/>
      <c r="D35" s="388"/>
      <c r="E35" s="388"/>
      <c r="F35" s="2"/>
      <c r="G35" s="2"/>
      <c r="H35" s="2"/>
      <c r="I35" s="17"/>
      <c r="K35" s="17"/>
      <c r="L35" s="17"/>
    </row>
    <row r="36" spans="1:18" ht="12" customHeight="1">
      <c r="B36" s="4" t="s">
        <v>530</v>
      </c>
      <c r="C36" s="4"/>
      <c r="D36" s="388"/>
      <c r="E36" s="388"/>
      <c r="F36" s="2"/>
      <c r="G36" s="2"/>
      <c r="H36" s="2"/>
      <c r="I36" s="17"/>
      <c r="K36" s="17"/>
      <c r="L36" s="17"/>
    </row>
    <row r="37" spans="1:18" ht="11.25" customHeight="1">
      <c r="B37" s="389"/>
      <c r="C37" s="389"/>
      <c r="D37" s="390"/>
      <c r="E37" s="390"/>
      <c r="F37" s="126"/>
      <c r="G37" s="126"/>
      <c r="H37" s="126"/>
      <c r="I37" s="391"/>
      <c r="K37" s="391"/>
      <c r="L37" s="391"/>
    </row>
    <row r="38" spans="1:18">
      <c r="B38" s="4" t="s">
        <v>531</v>
      </c>
      <c r="C38" s="4"/>
      <c r="D38" s="36"/>
      <c r="E38" s="36"/>
    </row>
    <row r="39" spans="1:18">
      <c r="B39" s="4"/>
      <c r="C39" s="4"/>
      <c r="D39" s="36"/>
      <c r="E39" s="36"/>
    </row>
    <row r="40" spans="1:18">
      <c r="B40" s="4"/>
      <c r="C40" s="392" t="s">
        <v>532</v>
      </c>
      <c r="H40" s="394"/>
      <c r="I40" s="394" t="s">
        <v>533</v>
      </c>
      <c r="L40" s="392" t="s">
        <v>532</v>
      </c>
      <c r="M40" s="395"/>
      <c r="N40" s="395"/>
      <c r="O40" s="44"/>
      <c r="P40" s="44"/>
      <c r="Q40" s="44"/>
      <c r="R40" s="394" t="s">
        <v>533</v>
      </c>
    </row>
    <row r="41" spans="1:18">
      <c r="A41" s="396"/>
      <c r="B41" s="397">
        <v>1</v>
      </c>
      <c r="C41" s="398" t="s">
        <v>534</v>
      </c>
      <c r="H41" s="397"/>
      <c r="I41" s="397">
        <v>8.02</v>
      </c>
      <c r="K41" s="399" t="s">
        <v>498</v>
      </c>
      <c r="L41" s="400" t="s">
        <v>535</v>
      </c>
      <c r="M41" s="401"/>
      <c r="N41" s="401"/>
      <c r="O41" s="402"/>
      <c r="P41" s="401"/>
      <c r="Q41" s="402"/>
      <c r="R41" s="397">
        <v>2.25</v>
      </c>
    </row>
    <row r="42" spans="1:18">
      <c r="A42" s="396"/>
      <c r="B42" s="397">
        <v>2</v>
      </c>
      <c r="C42" s="403" t="s">
        <v>536</v>
      </c>
      <c r="H42" s="397"/>
      <c r="I42" s="397">
        <v>11.01</v>
      </c>
      <c r="K42" s="404" t="s">
        <v>514</v>
      </c>
      <c r="L42" s="401" t="s">
        <v>537</v>
      </c>
      <c r="M42" s="401"/>
      <c r="N42" s="401"/>
      <c r="O42" s="402"/>
      <c r="P42" s="401"/>
      <c r="Q42" s="402"/>
      <c r="R42" s="405" t="s">
        <v>41</v>
      </c>
    </row>
    <row r="43" spans="1:18">
      <c r="A43" s="396"/>
      <c r="B43" s="397" t="s">
        <v>484</v>
      </c>
      <c r="C43" s="401" t="s">
        <v>538</v>
      </c>
      <c r="H43" s="405"/>
      <c r="I43" s="405" t="s">
        <v>120</v>
      </c>
      <c r="K43" s="404" t="s">
        <v>500</v>
      </c>
      <c r="L43" s="401" t="s">
        <v>539</v>
      </c>
      <c r="M43" s="401"/>
      <c r="N43" s="401"/>
      <c r="O43" s="402"/>
      <c r="P43" s="401"/>
      <c r="Q43" s="402"/>
      <c r="R43" s="397">
        <v>2.21</v>
      </c>
    </row>
    <row r="44" spans="1:18">
      <c r="A44" s="396"/>
      <c r="B44" s="397" t="s">
        <v>486</v>
      </c>
      <c r="C44" s="400" t="s">
        <v>540</v>
      </c>
      <c r="H44" s="405"/>
      <c r="I44" s="405" t="s">
        <v>120</v>
      </c>
      <c r="K44" s="404" t="s">
        <v>516</v>
      </c>
      <c r="L44" s="401" t="s">
        <v>541</v>
      </c>
      <c r="M44" s="401"/>
      <c r="N44" s="401"/>
      <c r="O44" s="402"/>
      <c r="P44" s="401"/>
      <c r="Q44" s="402"/>
      <c r="R44" s="405" t="s">
        <v>10</v>
      </c>
    </row>
    <row r="45" spans="1:18">
      <c r="A45" s="396"/>
      <c r="B45" s="397">
        <v>4</v>
      </c>
      <c r="C45" s="401" t="s">
        <v>542</v>
      </c>
      <c r="H45" s="405"/>
      <c r="I45" s="405" t="s">
        <v>120</v>
      </c>
      <c r="K45" s="404" t="s">
        <v>502</v>
      </c>
      <c r="L45" s="401" t="s">
        <v>543</v>
      </c>
      <c r="M45" s="401"/>
      <c r="N45" s="401"/>
      <c r="O45" s="402"/>
      <c r="P45" s="401"/>
      <c r="Q45" s="402"/>
      <c r="R45" s="397">
        <v>5.01</v>
      </c>
    </row>
    <row r="46" spans="1:18">
      <c r="A46" s="396"/>
      <c r="B46" s="397">
        <v>5</v>
      </c>
      <c r="C46" s="401" t="s">
        <v>542</v>
      </c>
      <c r="H46" s="405"/>
      <c r="I46" s="405" t="s">
        <v>120</v>
      </c>
      <c r="K46" s="404">
        <v>11</v>
      </c>
      <c r="L46" s="401" t="s">
        <v>544</v>
      </c>
      <c r="M46" s="401"/>
      <c r="N46" s="401"/>
      <c r="O46" s="402"/>
      <c r="P46" s="401"/>
      <c r="Q46" s="402"/>
      <c r="R46" s="397">
        <v>1.02</v>
      </c>
    </row>
    <row r="47" spans="1:18">
      <c r="A47" s="396"/>
      <c r="B47" s="397" t="s">
        <v>508</v>
      </c>
      <c r="C47" s="401" t="s">
        <v>545</v>
      </c>
      <c r="H47" s="405"/>
      <c r="I47" s="405" t="s">
        <v>220</v>
      </c>
      <c r="K47" s="404" t="s">
        <v>519</v>
      </c>
      <c r="L47" s="401" t="s">
        <v>546</v>
      </c>
      <c r="M47" s="401"/>
      <c r="N47" s="401"/>
      <c r="O47" s="402"/>
      <c r="P47" s="401"/>
      <c r="Q47" s="402"/>
      <c r="R47" s="397">
        <v>1.1299999999999999</v>
      </c>
    </row>
    <row r="48" spans="1:18">
      <c r="A48" s="396"/>
      <c r="B48" s="397" t="s">
        <v>490</v>
      </c>
      <c r="C48" s="400" t="s">
        <v>547</v>
      </c>
      <c r="H48" s="397"/>
      <c r="I48" s="397">
        <v>3.05</v>
      </c>
      <c r="K48" s="404" t="s">
        <v>504</v>
      </c>
      <c r="L48" s="401" t="s">
        <v>548</v>
      </c>
      <c r="M48" s="401"/>
      <c r="N48" s="401"/>
      <c r="O48" s="402"/>
      <c r="P48" s="401"/>
      <c r="Q48" s="402"/>
      <c r="R48" s="397">
        <v>1.1299999999999999</v>
      </c>
    </row>
    <row r="49" spans="1:18">
      <c r="A49" s="396"/>
      <c r="B49" s="397" t="s">
        <v>510</v>
      </c>
      <c r="C49" s="401" t="s">
        <v>549</v>
      </c>
      <c r="H49" s="397"/>
      <c r="I49" s="397">
        <v>2.16</v>
      </c>
      <c r="K49" s="404" t="s">
        <v>521</v>
      </c>
      <c r="L49" s="400" t="s">
        <v>550</v>
      </c>
      <c r="M49" s="401"/>
      <c r="N49" s="401"/>
      <c r="O49" s="402"/>
      <c r="P49" s="401"/>
      <c r="Q49" s="402"/>
      <c r="R49" s="397">
        <v>1.1299999999999999</v>
      </c>
    </row>
    <row r="50" spans="1:18">
      <c r="A50" s="396"/>
      <c r="B50" s="397" t="s">
        <v>492</v>
      </c>
      <c r="C50" s="400" t="s">
        <v>551</v>
      </c>
      <c r="H50" s="397"/>
      <c r="I50" s="397">
        <v>2.1800000000000002</v>
      </c>
      <c r="K50" s="404" t="s">
        <v>523</v>
      </c>
      <c r="L50" s="401" t="s">
        <v>552</v>
      </c>
      <c r="M50" s="401"/>
      <c r="N50" s="401"/>
      <c r="O50" s="402"/>
      <c r="P50" s="401"/>
      <c r="Q50" s="402"/>
      <c r="R50" s="397">
        <v>1.1200000000000001</v>
      </c>
    </row>
    <row r="51" spans="1:18">
      <c r="A51" s="396"/>
      <c r="B51" s="397" t="s">
        <v>494</v>
      </c>
      <c r="C51" s="401" t="s">
        <v>553</v>
      </c>
      <c r="H51" s="397"/>
      <c r="I51" s="397">
        <v>2.1800000000000002</v>
      </c>
      <c r="K51" s="404" t="s">
        <v>506</v>
      </c>
      <c r="L51" s="401" t="s">
        <v>554</v>
      </c>
      <c r="M51" s="401"/>
      <c r="N51" s="401"/>
      <c r="O51" s="402"/>
      <c r="P51" s="401"/>
      <c r="Q51" s="402"/>
      <c r="R51" s="397">
        <v>1.1200000000000001</v>
      </c>
    </row>
    <row r="52" spans="1:18">
      <c r="A52" s="396"/>
      <c r="B52" s="397" t="s">
        <v>496</v>
      </c>
      <c r="C52" s="401" t="s">
        <v>553</v>
      </c>
      <c r="H52" s="397"/>
      <c r="I52" s="397">
        <v>2.1800000000000002</v>
      </c>
      <c r="K52" s="404" t="s">
        <v>525</v>
      </c>
      <c r="L52" s="401" t="s">
        <v>555</v>
      </c>
      <c r="M52" s="401"/>
      <c r="N52" s="401"/>
      <c r="O52" s="402"/>
      <c r="P52" s="401"/>
      <c r="Q52" s="402"/>
      <c r="R52" s="397">
        <v>1.1200000000000001</v>
      </c>
    </row>
    <row r="53" spans="1:18">
      <c r="A53" s="396"/>
      <c r="B53" s="397" t="s">
        <v>512</v>
      </c>
      <c r="C53" s="401" t="s">
        <v>556</v>
      </c>
      <c r="H53" s="397"/>
      <c r="I53" s="397">
        <v>2.0099999999999998</v>
      </c>
      <c r="K53" s="404"/>
      <c r="L53" s="401"/>
      <c r="M53" s="401"/>
      <c r="N53" s="401"/>
      <c r="O53" s="402"/>
      <c r="P53" s="401"/>
      <c r="Q53" s="402"/>
      <c r="R53" s="402"/>
    </row>
    <row r="56" spans="1:18">
      <c r="A56" s="3" t="s">
        <v>719</v>
      </c>
    </row>
  </sheetData>
  <pageMargins left="0.27559055118110237" right="0.23622047244094491" top="0.31496062992125984" bottom="0.31496062992125984" header="0.19685039370078741" footer="0.23622047244094491"/>
  <pageSetup paperSize="9" scale="61"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0C88-479D-6646-9A3A-4D803FD106E5}">
  <sheetPr>
    <pageSetUpPr fitToPage="1"/>
  </sheetPr>
  <dimension ref="A1:E39"/>
  <sheetViews>
    <sheetView topLeftCell="A19" zoomScaleNormal="100" workbookViewId="0">
      <selection activeCell="H27" sqref="H27"/>
    </sheetView>
  </sheetViews>
  <sheetFormatPr baseColWidth="10" defaultColWidth="11.3984375" defaultRowHeight="13"/>
  <cols>
    <col min="1" max="1" width="8.59765625" style="3" customWidth="1"/>
    <col min="2" max="2" width="48.59765625" style="119" customWidth="1"/>
    <col min="3" max="3" width="17.796875" style="3" customWidth="1"/>
    <col min="4" max="4" width="16.59765625" style="8" customWidth="1"/>
    <col min="5" max="5" width="18" style="8" customWidth="1"/>
    <col min="6" max="16384" width="11.3984375" style="3"/>
  </cols>
  <sheetData>
    <row r="1" spans="1:5" s="2" customFormat="1" ht="14" customHeight="1">
      <c r="B1" s="88"/>
      <c r="D1" s="406"/>
      <c r="E1" s="406"/>
    </row>
    <row r="2" spans="1:5" s="2" customFormat="1" ht="30.5" customHeight="1">
      <c r="A2" s="1843" t="s">
        <v>557</v>
      </c>
      <c r="B2" s="1844"/>
      <c r="C2" s="1844"/>
      <c r="D2" s="1844"/>
      <c r="E2" s="246">
        <v>2011</v>
      </c>
    </row>
    <row r="3" spans="1:5" ht="39" customHeight="1">
      <c r="A3" s="92" t="s">
        <v>558</v>
      </c>
      <c r="B3" s="92"/>
      <c r="C3" s="182" t="s">
        <v>559</v>
      </c>
      <c r="D3" s="229" t="s">
        <v>560</v>
      </c>
      <c r="E3" s="407" t="s">
        <v>278</v>
      </c>
    </row>
    <row r="4" spans="1:5" ht="38" customHeight="1">
      <c r="A4" s="408"/>
      <c r="B4" s="231"/>
      <c r="C4" s="189" t="s">
        <v>561</v>
      </c>
      <c r="D4" s="191" t="s">
        <v>561</v>
      </c>
      <c r="E4" s="409" t="s">
        <v>561</v>
      </c>
    </row>
    <row r="5" spans="1:5" ht="30" customHeight="1" thickBot="1">
      <c r="A5" s="99">
        <v>61</v>
      </c>
      <c r="B5" s="99" t="s">
        <v>562</v>
      </c>
      <c r="C5" s="410">
        <v>22725535269.73</v>
      </c>
      <c r="D5" s="411">
        <v>905653985.98000002</v>
      </c>
      <c r="E5" s="412">
        <v>23631189255.709999</v>
      </c>
    </row>
    <row r="6" spans="1:5" ht="20" customHeight="1" thickBot="1">
      <c r="A6" s="103">
        <v>64</v>
      </c>
      <c r="B6" s="103" t="s">
        <v>563</v>
      </c>
      <c r="C6" s="195">
        <v>-118230046.70999999</v>
      </c>
      <c r="D6" s="196">
        <v>-4696409.82</v>
      </c>
      <c r="E6" s="413">
        <v>-122926456.53</v>
      </c>
    </row>
    <row r="7" spans="1:5" ht="20" customHeight="1" thickBot="1">
      <c r="A7" s="103">
        <v>65</v>
      </c>
      <c r="B7" s="103" t="s">
        <v>564</v>
      </c>
      <c r="C7" s="195">
        <v>5295699.34</v>
      </c>
      <c r="D7" s="196">
        <v>173416.54</v>
      </c>
      <c r="E7" s="413">
        <v>5469115.8799999999</v>
      </c>
    </row>
    <row r="8" spans="1:5" ht="27" customHeight="1" thickBot="1">
      <c r="A8" s="145" t="s">
        <v>565</v>
      </c>
      <c r="B8" s="145" t="s">
        <v>566</v>
      </c>
      <c r="C8" s="154">
        <v>22612600922.48</v>
      </c>
      <c r="D8" s="155">
        <v>901130992.70000005</v>
      </c>
      <c r="E8" s="108">
        <v>23513731915.18</v>
      </c>
    </row>
    <row r="9" spans="1:5" ht="20" customHeight="1" thickBot="1">
      <c r="A9" s="103">
        <v>66</v>
      </c>
      <c r="B9" s="103" t="s">
        <v>567</v>
      </c>
      <c r="C9" s="195">
        <v>-53757724.93</v>
      </c>
      <c r="D9" s="196">
        <v>-1998805.96</v>
      </c>
      <c r="E9" s="413">
        <v>-55756530.890000001</v>
      </c>
    </row>
    <row r="10" spans="1:5" ht="27" customHeight="1" thickBot="1">
      <c r="A10" s="145" t="s">
        <v>568</v>
      </c>
      <c r="B10" s="145" t="s">
        <v>569</v>
      </c>
      <c r="C10" s="154">
        <v>22558843197.580002</v>
      </c>
      <c r="D10" s="155">
        <v>899132186.75</v>
      </c>
      <c r="E10" s="108">
        <v>23457975384.330002</v>
      </c>
    </row>
    <row r="11" spans="1:5" ht="20" customHeight="1" thickBot="1">
      <c r="A11" s="103">
        <v>67</v>
      </c>
      <c r="B11" s="103" t="s">
        <v>570</v>
      </c>
      <c r="C11" s="195">
        <v>2016511699.1199999</v>
      </c>
      <c r="D11" s="196">
        <v>80787161.319999993</v>
      </c>
      <c r="E11" s="413">
        <v>2097298860.4400001</v>
      </c>
    </row>
    <row r="12" spans="1:5" ht="20" customHeight="1" thickBot="1">
      <c r="A12" s="103">
        <v>68</v>
      </c>
      <c r="B12" s="103" t="s">
        <v>571</v>
      </c>
      <c r="C12" s="195">
        <v>-2023259991.97</v>
      </c>
      <c r="D12" s="196">
        <v>-81032568.109999999</v>
      </c>
      <c r="E12" s="413">
        <v>-2104292560.0799999</v>
      </c>
    </row>
    <row r="13" spans="1:5" ht="20" customHeight="1" thickBot="1">
      <c r="A13" s="103">
        <v>69</v>
      </c>
      <c r="B13" s="103" t="s">
        <v>572</v>
      </c>
      <c r="C13" s="195">
        <v>73110577.040000007</v>
      </c>
      <c r="D13" s="196">
        <v>3027071.72</v>
      </c>
      <c r="E13" s="413">
        <v>76137648.760000005</v>
      </c>
    </row>
    <row r="14" spans="1:5" ht="27" customHeight="1" thickBot="1">
      <c r="A14" s="145">
        <v>6</v>
      </c>
      <c r="B14" s="145" t="s">
        <v>573</v>
      </c>
      <c r="C14" s="154">
        <v>22625205481.740002</v>
      </c>
      <c r="D14" s="155">
        <v>901913851.61000001</v>
      </c>
      <c r="E14" s="108">
        <v>23527119333.349998</v>
      </c>
    </row>
    <row r="15" spans="1:5" ht="20" customHeight="1" thickBot="1">
      <c r="A15" s="103">
        <v>31</v>
      </c>
      <c r="B15" s="103" t="s">
        <v>574</v>
      </c>
      <c r="C15" s="195">
        <v>24160279123.360001</v>
      </c>
      <c r="D15" s="196">
        <v>771230971.70000005</v>
      </c>
      <c r="E15" s="413">
        <v>24931510095.060001</v>
      </c>
    </row>
    <row r="16" spans="1:5" ht="20" customHeight="1" thickBot="1">
      <c r="A16" s="103">
        <v>32</v>
      </c>
      <c r="B16" s="103" t="s">
        <v>575</v>
      </c>
      <c r="C16" s="195">
        <v>-3476015613.75</v>
      </c>
      <c r="D16" s="196">
        <v>-99088643.269999996</v>
      </c>
      <c r="E16" s="413">
        <v>-3575104257.02</v>
      </c>
    </row>
    <row r="17" spans="1:5" ht="27" customHeight="1" thickBot="1">
      <c r="A17" s="145" t="s">
        <v>576</v>
      </c>
      <c r="B17" s="145" t="s">
        <v>213</v>
      </c>
      <c r="C17" s="154">
        <v>20684263509.580002</v>
      </c>
      <c r="D17" s="155">
        <v>672142328.37</v>
      </c>
      <c r="E17" s="108">
        <v>21356405837.950001</v>
      </c>
    </row>
    <row r="18" spans="1:5" ht="20" customHeight="1" thickBot="1">
      <c r="A18" s="103">
        <v>34</v>
      </c>
      <c r="B18" s="103" t="s">
        <v>577</v>
      </c>
      <c r="C18" s="195">
        <v>75016590.969999999</v>
      </c>
      <c r="D18" s="196">
        <v>718427.91</v>
      </c>
      <c r="E18" s="413">
        <v>75735018.879999995</v>
      </c>
    </row>
    <row r="19" spans="1:5" ht="20" customHeight="1" thickBot="1">
      <c r="A19" s="103">
        <v>35</v>
      </c>
      <c r="B19" s="103" t="s">
        <v>578</v>
      </c>
      <c r="C19" s="195">
        <v>363796878.00999999</v>
      </c>
      <c r="D19" s="196">
        <v>41825668.75</v>
      </c>
      <c r="E19" s="413">
        <v>405622546.75999999</v>
      </c>
    </row>
    <row r="20" spans="1:5" ht="27" customHeight="1" thickBot="1">
      <c r="A20" s="145" t="s">
        <v>579</v>
      </c>
      <c r="B20" s="145" t="s">
        <v>199</v>
      </c>
      <c r="C20" s="154">
        <v>21123076978.59</v>
      </c>
      <c r="D20" s="155">
        <v>714686425.00999999</v>
      </c>
      <c r="E20" s="108">
        <v>21837763403.599998</v>
      </c>
    </row>
    <row r="21" spans="1:5" ht="20" customHeight="1" thickBot="1">
      <c r="A21" s="103">
        <v>36</v>
      </c>
      <c r="B21" s="103" t="s">
        <v>580</v>
      </c>
      <c r="C21" s="195">
        <v>-54836341.090000004</v>
      </c>
      <c r="D21" s="196">
        <v>-1471212.62</v>
      </c>
      <c r="E21" s="413">
        <v>-56307553.710000001</v>
      </c>
    </row>
    <row r="22" spans="1:5" ht="20" customHeight="1" thickBot="1">
      <c r="A22" s="103">
        <v>37</v>
      </c>
      <c r="B22" s="103" t="s">
        <v>581</v>
      </c>
      <c r="C22" s="195">
        <v>48076828.469999999</v>
      </c>
      <c r="D22" s="196">
        <v>-44462977.25</v>
      </c>
      <c r="E22" s="413">
        <v>3613851.22</v>
      </c>
    </row>
    <row r="23" spans="1:5" ht="27" customHeight="1" thickBot="1">
      <c r="A23" s="145">
        <v>3</v>
      </c>
      <c r="B23" s="145" t="s">
        <v>582</v>
      </c>
      <c r="C23" s="154">
        <v>21116317465.939999</v>
      </c>
      <c r="D23" s="155">
        <v>668752235.10000002</v>
      </c>
      <c r="E23" s="108">
        <v>21785069701.040001</v>
      </c>
    </row>
    <row r="24" spans="1:5" ht="21" customHeight="1" thickBot="1">
      <c r="A24" s="103" t="s">
        <v>583</v>
      </c>
      <c r="B24" s="103" t="s">
        <v>584</v>
      </c>
      <c r="C24" s="195">
        <v>1114946260.03</v>
      </c>
      <c r="D24" s="196">
        <v>50701348.960000001</v>
      </c>
      <c r="E24" s="413">
        <v>1165647608.99</v>
      </c>
    </row>
    <row r="25" spans="1:5" ht="21" customHeight="1" thickBot="1">
      <c r="A25" s="103">
        <v>48</v>
      </c>
      <c r="B25" s="103" t="s">
        <v>585</v>
      </c>
      <c r="C25" s="195">
        <v>85012836.329999998</v>
      </c>
      <c r="D25" s="196">
        <v>3998608.27</v>
      </c>
      <c r="E25" s="413">
        <v>89011444.599999994</v>
      </c>
    </row>
    <row r="26" spans="1:5" ht="21" customHeight="1" thickBot="1">
      <c r="A26" s="103">
        <v>49</v>
      </c>
      <c r="B26" s="103" t="s">
        <v>586</v>
      </c>
      <c r="C26" s="195">
        <v>14557283.800000001</v>
      </c>
      <c r="D26" s="196">
        <v>754035.72</v>
      </c>
      <c r="E26" s="413">
        <v>15311319.52</v>
      </c>
    </row>
    <row r="27" spans="1:5" ht="27" customHeight="1" thickBot="1">
      <c r="A27" s="145">
        <v>4</v>
      </c>
      <c r="B27" s="145" t="s">
        <v>587</v>
      </c>
      <c r="C27" s="154">
        <v>1214516380.1600001</v>
      </c>
      <c r="D27" s="155">
        <v>55453992.960000001</v>
      </c>
      <c r="E27" s="108">
        <v>1269970373.1199999</v>
      </c>
    </row>
    <row r="28" spans="1:5" ht="27" customHeight="1" thickBot="1">
      <c r="A28" s="145" t="s">
        <v>588</v>
      </c>
      <c r="B28" s="145" t="s">
        <v>589</v>
      </c>
      <c r="C28" s="154">
        <v>22330833846.119999</v>
      </c>
      <c r="D28" s="155">
        <v>724206228.09000003</v>
      </c>
      <c r="E28" s="108">
        <v>23055040074.209999</v>
      </c>
    </row>
    <row r="29" spans="1:5" ht="27" customHeight="1" thickBot="1">
      <c r="A29" s="145"/>
      <c r="B29" s="145" t="s">
        <v>590</v>
      </c>
      <c r="C29" s="154">
        <v>294371635.60000002</v>
      </c>
      <c r="D29" s="155">
        <v>177707623.56</v>
      </c>
      <c r="E29" s="108">
        <v>472079259.16000003</v>
      </c>
    </row>
    <row r="30" spans="1:5" ht="27" customHeight="1" thickBot="1">
      <c r="A30" s="145">
        <v>7</v>
      </c>
      <c r="B30" s="145" t="s">
        <v>591</v>
      </c>
      <c r="C30" s="154">
        <v>110228285.95</v>
      </c>
      <c r="D30" s="155">
        <v>5361993.99</v>
      </c>
      <c r="E30" s="108">
        <v>115590279.94</v>
      </c>
    </row>
    <row r="31" spans="1:5" ht="34.5" customHeight="1" thickBot="1">
      <c r="A31" s="414"/>
      <c r="B31" s="414" t="s">
        <v>592</v>
      </c>
      <c r="C31" s="415">
        <v>404599921.60000002</v>
      </c>
      <c r="D31" s="416">
        <v>183069617.50999999</v>
      </c>
      <c r="E31" s="417">
        <v>587669539.11000001</v>
      </c>
    </row>
    <row r="32" spans="1:5" ht="19.5" customHeight="1">
      <c r="A32" s="3" t="s">
        <v>720</v>
      </c>
    </row>
    <row r="34" spans="1:1">
      <c r="A34" s="206" t="s">
        <v>593</v>
      </c>
    </row>
    <row r="35" spans="1:1">
      <c r="A35" s="418"/>
    </row>
    <row r="36" spans="1:1">
      <c r="A36" s="3" t="s">
        <v>594</v>
      </c>
    </row>
    <row r="39" spans="1:1">
      <c r="A39" s="3" t="s">
        <v>719</v>
      </c>
    </row>
  </sheetData>
  <mergeCells count="1">
    <mergeCell ref="A2:D2"/>
  </mergeCells>
  <pageMargins left="0.62" right="0.69" top="0.71" bottom="0.49" header="0.42" footer="0.4921259845"/>
  <pageSetup paperSize="9" scale="81" orientation="portrait" horizontalDpi="1200" verticalDpi="12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0FC5-C0D0-A149-8974-EA7D7A0B58BA}">
  <sheetPr>
    <pageSetUpPr fitToPage="1"/>
  </sheetPr>
  <dimension ref="A1:E39"/>
  <sheetViews>
    <sheetView topLeftCell="A4" zoomScaleNormal="100" workbookViewId="0">
      <selection activeCell="A39" sqref="A39"/>
    </sheetView>
  </sheetViews>
  <sheetFormatPr baseColWidth="10" defaultColWidth="11.3984375" defaultRowHeight="13"/>
  <cols>
    <col min="1" max="1" width="8.796875" style="3" customWidth="1"/>
    <col min="2" max="2" width="48.796875" style="119" customWidth="1"/>
    <col min="3" max="3" width="16.796875" style="3" customWidth="1"/>
    <col min="4" max="4" width="16.796875" style="8" customWidth="1"/>
    <col min="5" max="5" width="18.19921875" style="8" customWidth="1"/>
    <col min="6" max="16384" width="11.3984375" style="3"/>
  </cols>
  <sheetData>
    <row r="1" spans="1:5" s="2" customFormat="1" ht="14" customHeight="1">
      <c r="B1" s="88"/>
      <c r="D1" s="406"/>
      <c r="E1" s="406"/>
    </row>
    <row r="2" spans="1:5" s="2" customFormat="1" ht="28" customHeight="1">
      <c r="A2" s="246" t="s">
        <v>595</v>
      </c>
      <c r="B2" s="88"/>
      <c r="D2" s="406"/>
      <c r="E2" s="246">
        <v>2011</v>
      </c>
    </row>
    <row r="3" spans="1:5" ht="39" customHeight="1">
      <c r="A3" s="92" t="s">
        <v>558</v>
      </c>
      <c r="B3" s="92"/>
      <c r="C3" s="182" t="s">
        <v>559</v>
      </c>
      <c r="D3" s="229" t="s">
        <v>560</v>
      </c>
      <c r="E3" s="407" t="s">
        <v>278</v>
      </c>
    </row>
    <row r="4" spans="1:5" ht="39" customHeight="1">
      <c r="A4" s="408"/>
      <c r="B4" s="231"/>
      <c r="C4" s="189" t="s">
        <v>561</v>
      </c>
      <c r="D4" s="191" t="s">
        <v>561</v>
      </c>
      <c r="E4" s="409" t="s">
        <v>561</v>
      </c>
    </row>
    <row r="5" spans="1:5" ht="30" customHeight="1" thickBot="1">
      <c r="A5" s="99">
        <v>61</v>
      </c>
      <c r="B5" s="99" t="s">
        <v>562</v>
      </c>
      <c r="C5" s="410">
        <v>7035940405.4099998</v>
      </c>
      <c r="D5" s="411">
        <v>365191475.5</v>
      </c>
      <c r="E5" s="412">
        <v>7401131880.9099998</v>
      </c>
    </row>
    <row r="6" spans="1:5" ht="19.5" customHeight="1" thickBot="1">
      <c r="A6" s="103">
        <v>64</v>
      </c>
      <c r="B6" s="103" t="s">
        <v>563</v>
      </c>
      <c r="C6" s="195">
        <v>-35081602.630000003</v>
      </c>
      <c r="D6" s="196">
        <v>-1802890.34</v>
      </c>
      <c r="E6" s="413">
        <v>-36884492.969999999</v>
      </c>
    </row>
    <row r="7" spans="1:5" ht="19.5" customHeight="1" thickBot="1">
      <c r="A7" s="103">
        <v>65</v>
      </c>
      <c r="B7" s="103" t="s">
        <v>564</v>
      </c>
      <c r="C7" s="195">
        <v>2436738.81</v>
      </c>
      <c r="D7" s="196">
        <v>77296.039999999994</v>
      </c>
      <c r="E7" s="413">
        <v>2514034.85</v>
      </c>
    </row>
    <row r="8" spans="1:5" ht="27" customHeight="1" thickBot="1">
      <c r="A8" s="145" t="s">
        <v>565</v>
      </c>
      <c r="B8" s="145" t="s">
        <v>566</v>
      </c>
      <c r="C8" s="154">
        <v>7003295541.6400003</v>
      </c>
      <c r="D8" s="155">
        <v>363465881.19</v>
      </c>
      <c r="E8" s="108">
        <v>7366761422.8299999</v>
      </c>
    </row>
    <row r="9" spans="1:5" ht="19.5" customHeight="1" thickBot="1">
      <c r="A9" s="103">
        <v>66</v>
      </c>
      <c r="B9" s="103" t="s">
        <v>567</v>
      </c>
      <c r="C9" s="195">
        <v>-20839406.57</v>
      </c>
      <c r="D9" s="196">
        <v>-941922.19</v>
      </c>
      <c r="E9" s="413">
        <v>-21781328.760000002</v>
      </c>
    </row>
    <row r="10" spans="1:5" ht="27" customHeight="1" thickBot="1">
      <c r="A10" s="145" t="s">
        <v>568</v>
      </c>
      <c r="B10" s="145" t="s">
        <v>569</v>
      </c>
      <c r="C10" s="154">
        <v>6982456135.0699997</v>
      </c>
      <c r="D10" s="155">
        <v>362523959.00999999</v>
      </c>
      <c r="E10" s="108">
        <v>7344980094.0799999</v>
      </c>
    </row>
    <row r="11" spans="1:5" ht="19.5" customHeight="1" thickBot="1">
      <c r="A11" s="103">
        <v>67</v>
      </c>
      <c r="B11" s="103" t="s">
        <v>570</v>
      </c>
      <c r="C11" s="195">
        <v>847590138.86000001</v>
      </c>
      <c r="D11" s="196">
        <v>43022687.079999998</v>
      </c>
      <c r="E11" s="413">
        <v>890612825.94000006</v>
      </c>
    </row>
    <row r="12" spans="1:5" ht="19.5" customHeight="1" thickBot="1">
      <c r="A12" s="103">
        <v>68</v>
      </c>
      <c r="B12" s="103" t="s">
        <v>571</v>
      </c>
      <c r="C12" s="195">
        <v>-853078162.25999999</v>
      </c>
      <c r="D12" s="196">
        <v>-43110886.780000001</v>
      </c>
      <c r="E12" s="413">
        <v>-896189049.03999996</v>
      </c>
    </row>
    <row r="13" spans="1:5" ht="19.5" customHeight="1" thickBot="1">
      <c r="A13" s="103">
        <v>69</v>
      </c>
      <c r="B13" s="103" t="s">
        <v>572</v>
      </c>
      <c r="C13" s="195">
        <v>23030072.25</v>
      </c>
      <c r="D13" s="196">
        <v>1263377.19</v>
      </c>
      <c r="E13" s="413">
        <v>24293449.440000001</v>
      </c>
    </row>
    <row r="14" spans="1:5" ht="27" customHeight="1" thickBot="1">
      <c r="A14" s="145">
        <v>6</v>
      </c>
      <c r="B14" s="145" t="s">
        <v>573</v>
      </c>
      <c r="C14" s="154">
        <v>6999998183.9200001</v>
      </c>
      <c r="D14" s="155">
        <v>363699136.47000003</v>
      </c>
      <c r="E14" s="108">
        <v>7363697320.3900003</v>
      </c>
    </row>
    <row r="15" spans="1:5" ht="20" customHeight="1" thickBot="1">
      <c r="A15" s="103">
        <v>31</v>
      </c>
      <c r="B15" s="103" t="s">
        <v>574</v>
      </c>
      <c r="C15" s="195">
        <v>10651684332.77</v>
      </c>
      <c r="D15" s="196">
        <v>344045174.44</v>
      </c>
      <c r="E15" s="413">
        <v>10995729507.209999</v>
      </c>
    </row>
    <row r="16" spans="1:5" ht="20" customHeight="1" thickBot="1">
      <c r="A16" s="103">
        <v>32</v>
      </c>
      <c r="B16" s="103" t="s">
        <v>575</v>
      </c>
      <c r="C16" s="195">
        <v>-977546813.49000001</v>
      </c>
      <c r="D16" s="196">
        <v>-28969060.84</v>
      </c>
      <c r="E16" s="413">
        <v>-1006515874.33</v>
      </c>
    </row>
    <row r="17" spans="1:5" ht="27" customHeight="1" thickBot="1">
      <c r="A17" s="145" t="s">
        <v>576</v>
      </c>
      <c r="B17" s="145" t="s">
        <v>213</v>
      </c>
      <c r="C17" s="154">
        <v>9674137519.2399998</v>
      </c>
      <c r="D17" s="155">
        <v>315076113.58999997</v>
      </c>
      <c r="E17" s="108">
        <v>9989213632.8299999</v>
      </c>
    </row>
    <row r="18" spans="1:5" ht="20" customHeight="1" thickBot="1">
      <c r="A18" s="103">
        <v>34</v>
      </c>
      <c r="B18" s="103" t="s">
        <v>577</v>
      </c>
      <c r="C18" s="195">
        <v>23613836.829999998</v>
      </c>
      <c r="D18" s="196">
        <v>2409.35</v>
      </c>
      <c r="E18" s="413">
        <v>23616246.18</v>
      </c>
    </row>
    <row r="19" spans="1:5" ht="20" customHeight="1" thickBot="1">
      <c r="A19" s="103">
        <v>35</v>
      </c>
      <c r="B19" s="103" t="s">
        <v>578</v>
      </c>
      <c r="C19" s="195">
        <v>-10836354.560000001</v>
      </c>
      <c r="D19" s="196">
        <v>5979910.04</v>
      </c>
      <c r="E19" s="413">
        <v>-4856444.5199999996</v>
      </c>
    </row>
    <row r="20" spans="1:5" ht="27" customHeight="1" thickBot="1">
      <c r="A20" s="145" t="s">
        <v>579</v>
      </c>
      <c r="B20" s="145" t="s">
        <v>199</v>
      </c>
      <c r="C20" s="154">
        <v>9686915001.5499992</v>
      </c>
      <c r="D20" s="155">
        <v>321058432.94</v>
      </c>
      <c r="E20" s="108">
        <v>10007973434.49</v>
      </c>
    </row>
    <row r="21" spans="1:5" ht="19.5" customHeight="1" thickBot="1">
      <c r="A21" s="103">
        <v>36</v>
      </c>
      <c r="B21" s="103" t="s">
        <v>580</v>
      </c>
      <c r="C21" s="195">
        <v>-22448100.32</v>
      </c>
      <c r="D21" s="196">
        <v>-608044.96</v>
      </c>
      <c r="E21" s="413">
        <v>-23056145.280000001</v>
      </c>
    </row>
    <row r="22" spans="1:5" ht="19.5" customHeight="1" thickBot="1">
      <c r="A22" s="103">
        <v>37</v>
      </c>
      <c r="B22" s="103" t="s">
        <v>581</v>
      </c>
      <c r="C22" s="195">
        <v>-1545013773.9200001</v>
      </c>
      <c r="D22" s="196">
        <v>-61045096.240000002</v>
      </c>
      <c r="E22" s="413">
        <v>-1606058870.1600001</v>
      </c>
    </row>
    <row r="23" spans="1:5" ht="27" customHeight="1" thickBot="1">
      <c r="A23" s="145">
        <v>3</v>
      </c>
      <c r="B23" s="145" t="s">
        <v>582</v>
      </c>
      <c r="C23" s="154">
        <v>8119453127.2799997</v>
      </c>
      <c r="D23" s="155">
        <v>259405291.71000001</v>
      </c>
      <c r="E23" s="108">
        <v>8378858418.9899998</v>
      </c>
    </row>
    <row r="24" spans="1:5" ht="20" customHeight="1" thickBot="1">
      <c r="A24" s="103" t="s">
        <v>583</v>
      </c>
      <c r="B24" s="103" t="s">
        <v>584</v>
      </c>
      <c r="C24" s="195">
        <v>358224352.10000002</v>
      </c>
      <c r="D24" s="196">
        <v>20669419.579999998</v>
      </c>
      <c r="E24" s="413">
        <v>378893771.68000001</v>
      </c>
    </row>
    <row r="25" spans="1:5" ht="20" customHeight="1" thickBot="1">
      <c r="A25" s="103">
        <v>48</v>
      </c>
      <c r="B25" s="103" t="s">
        <v>585</v>
      </c>
      <c r="C25" s="195">
        <v>31268723.739999998</v>
      </c>
      <c r="D25" s="196">
        <v>1815041.1</v>
      </c>
      <c r="E25" s="413">
        <v>33083764.84</v>
      </c>
    </row>
    <row r="26" spans="1:5" ht="20" customHeight="1" thickBot="1">
      <c r="A26" s="103">
        <v>49</v>
      </c>
      <c r="B26" s="103" t="s">
        <v>586</v>
      </c>
      <c r="C26" s="195">
        <v>6192323.8099999996</v>
      </c>
      <c r="D26" s="196">
        <v>375387.47</v>
      </c>
      <c r="E26" s="413">
        <v>6567711.2800000003</v>
      </c>
    </row>
    <row r="27" spans="1:5" ht="27" customHeight="1" thickBot="1">
      <c r="A27" s="145">
        <v>4</v>
      </c>
      <c r="B27" s="145" t="s">
        <v>587</v>
      </c>
      <c r="C27" s="154">
        <v>395685399.63999999</v>
      </c>
      <c r="D27" s="155">
        <v>22859848.140000001</v>
      </c>
      <c r="E27" s="108">
        <v>418545247.77999997</v>
      </c>
    </row>
    <row r="28" spans="1:5" ht="27" customHeight="1" thickBot="1">
      <c r="A28" s="145" t="s">
        <v>588</v>
      </c>
      <c r="B28" s="145" t="s">
        <v>589</v>
      </c>
      <c r="C28" s="154">
        <v>8515138526.9200001</v>
      </c>
      <c r="D28" s="155">
        <v>282265139.85000002</v>
      </c>
      <c r="E28" s="108">
        <v>8797403666.7700005</v>
      </c>
    </row>
    <row r="29" spans="1:5" ht="27" customHeight="1" thickBot="1">
      <c r="A29" s="145"/>
      <c r="B29" s="145" t="s">
        <v>590</v>
      </c>
      <c r="C29" s="154">
        <v>-1515140343.02</v>
      </c>
      <c r="D29" s="155">
        <v>81433996.640000001</v>
      </c>
      <c r="E29" s="108">
        <v>-1433706346.3800001</v>
      </c>
    </row>
    <row r="30" spans="1:5" ht="27" customHeight="1" thickBot="1">
      <c r="A30" s="145">
        <v>7</v>
      </c>
      <c r="B30" s="145" t="s">
        <v>591</v>
      </c>
      <c r="C30" s="154">
        <v>36099391.229999997</v>
      </c>
      <c r="D30" s="155">
        <v>2145021.62</v>
      </c>
      <c r="E30" s="108">
        <v>38244412.850000001</v>
      </c>
    </row>
    <row r="31" spans="1:5" ht="34.5" customHeight="1" thickBot="1">
      <c r="A31" s="414"/>
      <c r="B31" s="414" t="s">
        <v>592</v>
      </c>
      <c r="C31" s="415">
        <v>-1479040951.75</v>
      </c>
      <c r="D31" s="416">
        <v>83579018.260000005</v>
      </c>
      <c r="E31" s="417">
        <v>-1395461933.49</v>
      </c>
    </row>
    <row r="32" spans="1:5" ht="19.5" customHeight="1">
      <c r="A32" s="3" t="s">
        <v>720</v>
      </c>
    </row>
    <row r="33" spans="1:1" ht="14.25" customHeight="1"/>
    <row r="34" spans="1:1" ht="19.5" customHeight="1">
      <c r="A34" s="206" t="s">
        <v>593</v>
      </c>
    </row>
    <row r="36" spans="1:1">
      <c r="A36" s="3" t="s">
        <v>596</v>
      </c>
    </row>
    <row r="39" spans="1:1">
      <c r="A39" s="3" t="s">
        <v>719</v>
      </c>
    </row>
  </sheetData>
  <pageMargins left="0.64" right="0.7" top="0.94" bottom="0.49" header="0.57999999999999996" footer="0.4921259845"/>
  <pageSetup paperSize="9" scale="81" orientation="portrait" horizontalDpi="1200" verticalDpi="12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C59A-13EA-E844-97A2-F94D9BE94625}">
  <sheetPr>
    <pageSetUpPr fitToPage="1"/>
  </sheetPr>
  <dimension ref="A1:E39"/>
  <sheetViews>
    <sheetView topLeftCell="A12" zoomScale="75" workbookViewId="0">
      <selection activeCell="H4" sqref="H4"/>
    </sheetView>
  </sheetViews>
  <sheetFormatPr baseColWidth="10" defaultColWidth="11.3984375" defaultRowHeight="13"/>
  <cols>
    <col min="1" max="1" width="8.796875" style="3" customWidth="1"/>
    <col min="2" max="2" width="50.19921875" style="119" customWidth="1"/>
    <col min="3" max="3" width="16.796875" style="3" customWidth="1"/>
    <col min="4" max="4" width="16.796875" style="8" customWidth="1"/>
    <col min="5" max="5" width="17.3984375" style="8" customWidth="1"/>
    <col min="6" max="16384" width="11.3984375" style="3"/>
  </cols>
  <sheetData>
    <row r="1" spans="1:5" s="2" customFormat="1" ht="14" customHeight="1">
      <c r="B1" s="88"/>
      <c r="D1" s="406"/>
      <c r="E1" s="406"/>
    </row>
    <row r="2" spans="1:5" s="2" customFormat="1" ht="28" customHeight="1">
      <c r="A2" s="246" t="s">
        <v>597</v>
      </c>
      <c r="B2" s="88"/>
      <c r="D2" s="406"/>
      <c r="E2" s="246">
        <v>2011</v>
      </c>
    </row>
    <row r="3" spans="1:5" ht="39" customHeight="1">
      <c r="A3" s="92" t="s">
        <v>558</v>
      </c>
      <c r="B3" s="92"/>
      <c r="C3" s="182" t="s">
        <v>559</v>
      </c>
      <c r="D3" s="229" t="s">
        <v>560</v>
      </c>
      <c r="E3" s="407" t="s">
        <v>278</v>
      </c>
    </row>
    <row r="4" spans="1:5" ht="39" customHeight="1">
      <c r="A4" s="408"/>
      <c r="B4" s="231"/>
      <c r="C4" s="189" t="s">
        <v>561</v>
      </c>
      <c r="D4" s="191" t="s">
        <v>561</v>
      </c>
      <c r="E4" s="409" t="s">
        <v>561</v>
      </c>
    </row>
    <row r="5" spans="1:5" ht="30" customHeight="1" thickBot="1">
      <c r="A5" s="99">
        <v>61</v>
      </c>
      <c r="B5" s="99" t="s">
        <v>562</v>
      </c>
      <c r="C5" s="410">
        <v>5132115240.3400002</v>
      </c>
      <c r="D5" s="411">
        <v>194916922.28999999</v>
      </c>
      <c r="E5" s="412">
        <v>5327032162.6300001</v>
      </c>
    </row>
    <row r="6" spans="1:5" ht="20" customHeight="1" thickBot="1">
      <c r="A6" s="103">
        <v>64</v>
      </c>
      <c r="B6" s="103" t="s">
        <v>563</v>
      </c>
      <c r="C6" s="195">
        <v>-29102823.890000001</v>
      </c>
      <c r="D6" s="196">
        <v>-1079032.43</v>
      </c>
      <c r="E6" s="413">
        <v>-30181856.32</v>
      </c>
    </row>
    <row r="7" spans="1:5" ht="20" customHeight="1" thickBot="1">
      <c r="A7" s="103">
        <v>65</v>
      </c>
      <c r="B7" s="103" t="s">
        <v>564</v>
      </c>
      <c r="C7" s="195">
        <v>1141305.8700000001</v>
      </c>
      <c r="D7" s="196">
        <v>41543.96</v>
      </c>
      <c r="E7" s="413">
        <v>1182849.83</v>
      </c>
    </row>
    <row r="8" spans="1:5" ht="27" customHeight="1" thickBot="1">
      <c r="A8" s="145" t="s">
        <v>565</v>
      </c>
      <c r="B8" s="145" t="s">
        <v>566</v>
      </c>
      <c r="C8" s="154">
        <v>5104153722.3599997</v>
      </c>
      <c r="D8" s="155">
        <v>193879433.83000001</v>
      </c>
      <c r="E8" s="108">
        <v>5298033156.1899996</v>
      </c>
    </row>
    <row r="9" spans="1:5" ht="20" customHeight="1" thickBot="1">
      <c r="A9" s="103">
        <v>66</v>
      </c>
      <c r="B9" s="103" t="s">
        <v>567</v>
      </c>
      <c r="C9" s="195">
        <v>-12431484.43</v>
      </c>
      <c r="D9" s="196">
        <v>-476518.64</v>
      </c>
      <c r="E9" s="413">
        <v>-12908003.07</v>
      </c>
    </row>
    <row r="10" spans="1:5" ht="27" customHeight="1" thickBot="1">
      <c r="A10" s="145" t="s">
        <v>568</v>
      </c>
      <c r="B10" s="145" t="s">
        <v>569</v>
      </c>
      <c r="C10" s="154">
        <v>5091722237.9399996</v>
      </c>
      <c r="D10" s="155">
        <v>193402915.19</v>
      </c>
      <c r="E10" s="108">
        <v>5285125153.1300001</v>
      </c>
    </row>
    <row r="11" spans="1:5" ht="20" customHeight="1" thickBot="1">
      <c r="A11" s="103">
        <v>67</v>
      </c>
      <c r="B11" s="103" t="s">
        <v>570</v>
      </c>
      <c r="C11" s="195">
        <v>368566463.37</v>
      </c>
      <c r="D11" s="196">
        <v>12879503.48</v>
      </c>
      <c r="E11" s="413">
        <v>381445966.85000002</v>
      </c>
    </row>
    <row r="12" spans="1:5" ht="20" customHeight="1" thickBot="1">
      <c r="A12" s="103">
        <v>68</v>
      </c>
      <c r="B12" s="103" t="s">
        <v>571</v>
      </c>
      <c r="C12" s="195">
        <v>-369226679.76999998</v>
      </c>
      <c r="D12" s="196">
        <v>-12931579.720000001</v>
      </c>
      <c r="E12" s="413">
        <v>-382158259.49000001</v>
      </c>
    </row>
    <row r="13" spans="1:5" ht="20" customHeight="1" thickBot="1">
      <c r="A13" s="103">
        <v>69</v>
      </c>
      <c r="B13" s="103" t="s">
        <v>572</v>
      </c>
      <c r="C13" s="195">
        <v>19004188.789999999</v>
      </c>
      <c r="D13" s="196">
        <v>681966.71</v>
      </c>
      <c r="E13" s="413">
        <v>19686155.5</v>
      </c>
    </row>
    <row r="14" spans="1:5" ht="27" customHeight="1" thickBot="1">
      <c r="A14" s="145">
        <v>6</v>
      </c>
      <c r="B14" s="145" t="s">
        <v>573</v>
      </c>
      <c r="C14" s="154">
        <v>5110066210.3299999</v>
      </c>
      <c r="D14" s="155">
        <v>194032805.66</v>
      </c>
      <c r="E14" s="108">
        <v>5304099015.9899998</v>
      </c>
    </row>
    <row r="15" spans="1:5" ht="20" customHeight="1" thickBot="1">
      <c r="A15" s="103">
        <v>31</v>
      </c>
      <c r="B15" s="103" t="s">
        <v>574</v>
      </c>
      <c r="C15" s="195">
        <v>4586237358.9300003</v>
      </c>
      <c r="D15" s="196">
        <v>139725948.47</v>
      </c>
      <c r="E15" s="413">
        <v>4725963307.3999996</v>
      </c>
    </row>
    <row r="16" spans="1:5" ht="20" customHeight="1" thickBot="1">
      <c r="A16" s="103">
        <v>32</v>
      </c>
      <c r="B16" s="103" t="s">
        <v>575</v>
      </c>
      <c r="C16" s="195">
        <v>-891800517.49000001</v>
      </c>
      <c r="D16" s="196">
        <v>-24614249.98</v>
      </c>
      <c r="E16" s="413">
        <v>-916414767.47000003</v>
      </c>
    </row>
    <row r="17" spans="1:5" ht="27" customHeight="1" thickBot="1">
      <c r="A17" s="145" t="s">
        <v>576</v>
      </c>
      <c r="B17" s="145" t="s">
        <v>213</v>
      </c>
      <c r="C17" s="154">
        <v>3694436841.4299998</v>
      </c>
      <c r="D17" s="155">
        <v>115111698.48999999</v>
      </c>
      <c r="E17" s="108">
        <v>3809548539.9200001</v>
      </c>
    </row>
    <row r="18" spans="1:5" ht="20" customHeight="1" thickBot="1">
      <c r="A18" s="103">
        <v>34</v>
      </c>
      <c r="B18" s="103" t="s">
        <v>577</v>
      </c>
      <c r="C18" s="195">
        <v>8650989.9900000002</v>
      </c>
      <c r="D18" s="196">
        <v>103836.15</v>
      </c>
      <c r="E18" s="413">
        <v>8754826.1400000006</v>
      </c>
    </row>
    <row r="19" spans="1:5" ht="20" customHeight="1" thickBot="1">
      <c r="A19" s="103">
        <v>35</v>
      </c>
      <c r="B19" s="103" t="s">
        <v>578</v>
      </c>
      <c r="C19" s="195">
        <v>16056932.66</v>
      </c>
      <c r="D19" s="196">
        <v>7107508.5700000003</v>
      </c>
      <c r="E19" s="413">
        <v>23164441.23</v>
      </c>
    </row>
    <row r="20" spans="1:5" ht="27" customHeight="1" thickBot="1">
      <c r="A20" s="145" t="s">
        <v>579</v>
      </c>
      <c r="B20" s="145" t="s">
        <v>199</v>
      </c>
      <c r="C20" s="154">
        <v>3719144764.0700002</v>
      </c>
      <c r="D20" s="155">
        <v>122323043.20999999</v>
      </c>
      <c r="E20" s="108">
        <v>3841467807.2800002</v>
      </c>
    </row>
    <row r="21" spans="1:5" ht="20" customHeight="1" thickBot="1">
      <c r="A21" s="103">
        <v>36</v>
      </c>
      <c r="B21" s="103" t="s">
        <v>580</v>
      </c>
      <c r="C21" s="195">
        <v>-8271384.3300000001</v>
      </c>
      <c r="D21" s="196">
        <v>-138287.24</v>
      </c>
      <c r="E21" s="413">
        <v>-8409671.5700000003</v>
      </c>
    </row>
    <row r="22" spans="1:5" ht="20" customHeight="1" thickBot="1">
      <c r="A22" s="103">
        <v>37</v>
      </c>
      <c r="B22" s="103" t="s">
        <v>581</v>
      </c>
      <c r="C22" s="195">
        <v>45386783.960000001</v>
      </c>
      <c r="D22" s="196">
        <v>-10105459.76</v>
      </c>
      <c r="E22" s="413">
        <v>35281324.200000003</v>
      </c>
    </row>
    <row r="23" spans="1:5" ht="27" customHeight="1" thickBot="1">
      <c r="A23" s="145">
        <v>3</v>
      </c>
      <c r="B23" s="145" t="s">
        <v>582</v>
      </c>
      <c r="C23" s="154">
        <v>3756260163.71</v>
      </c>
      <c r="D23" s="155">
        <v>112079296.20999999</v>
      </c>
      <c r="E23" s="108">
        <v>3868339459.9200001</v>
      </c>
    </row>
    <row r="24" spans="1:5" ht="20" customHeight="1" thickBot="1">
      <c r="A24" s="103" t="s">
        <v>583</v>
      </c>
      <c r="B24" s="103" t="s">
        <v>584</v>
      </c>
      <c r="C24" s="195">
        <v>235266279.03</v>
      </c>
      <c r="D24" s="196">
        <v>9855960.9600000009</v>
      </c>
      <c r="E24" s="413">
        <v>245122239.99000001</v>
      </c>
    </row>
    <row r="25" spans="1:5" ht="20" customHeight="1" thickBot="1">
      <c r="A25" s="103">
        <v>48</v>
      </c>
      <c r="B25" s="103" t="s">
        <v>585</v>
      </c>
      <c r="C25" s="195">
        <v>16941797.030000001</v>
      </c>
      <c r="D25" s="196">
        <v>742362.96</v>
      </c>
      <c r="E25" s="413">
        <v>17684159.989999998</v>
      </c>
    </row>
    <row r="26" spans="1:5" ht="20" customHeight="1" thickBot="1">
      <c r="A26" s="103">
        <v>49</v>
      </c>
      <c r="B26" s="103" t="s">
        <v>586</v>
      </c>
      <c r="C26" s="195">
        <v>3450417.87</v>
      </c>
      <c r="D26" s="196">
        <v>169105.41</v>
      </c>
      <c r="E26" s="413">
        <v>3619523.28</v>
      </c>
    </row>
    <row r="27" spans="1:5" ht="27" customHeight="1" thickBot="1">
      <c r="A27" s="145">
        <v>4</v>
      </c>
      <c r="B27" s="145" t="s">
        <v>587</v>
      </c>
      <c r="C27" s="154">
        <v>255658493.93000001</v>
      </c>
      <c r="D27" s="155">
        <v>10767429.33</v>
      </c>
      <c r="E27" s="108">
        <v>266425923.25999999</v>
      </c>
    </row>
    <row r="28" spans="1:5" ht="27" customHeight="1" thickBot="1">
      <c r="A28" s="145" t="s">
        <v>588</v>
      </c>
      <c r="B28" s="145" t="s">
        <v>589</v>
      </c>
      <c r="C28" s="154">
        <v>4011918657.6599998</v>
      </c>
      <c r="D28" s="155">
        <v>122846725.56999999</v>
      </c>
      <c r="E28" s="108">
        <v>4134765383.23</v>
      </c>
    </row>
    <row r="29" spans="1:5" ht="27" customHeight="1" thickBot="1">
      <c r="A29" s="145"/>
      <c r="B29" s="145" t="s">
        <v>590</v>
      </c>
      <c r="C29" s="154">
        <v>1098147552.6700001</v>
      </c>
      <c r="D29" s="155">
        <v>71186080.090000004</v>
      </c>
      <c r="E29" s="108">
        <v>1169333632.76</v>
      </c>
    </row>
    <row r="30" spans="1:5" ht="27" customHeight="1" thickBot="1">
      <c r="A30" s="145">
        <v>7</v>
      </c>
      <c r="B30" s="145" t="s">
        <v>591</v>
      </c>
      <c r="C30" s="154">
        <v>31255416.390000001</v>
      </c>
      <c r="D30" s="155">
        <v>1496489.9</v>
      </c>
      <c r="E30" s="108">
        <v>32751906.289999999</v>
      </c>
    </row>
    <row r="31" spans="1:5" ht="34.5" customHeight="1" thickBot="1">
      <c r="A31" s="414"/>
      <c r="B31" s="414" t="s">
        <v>592</v>
      </c>
      <c r="C31" s="415">
        <v>1129402969.0699999</v>
      </c>
      <c r="D31" s="416">
        <v>72682569.980000004</v>
      </c>
      <c r="E31" s="417">
        <v>1202085539.05</v>
      </c>
    </row>
    <row r="32" spans="1:5" ht="19.5" customHeight="1">
      <c r="A32" s="3" t="s">
        <v>720</v>
      </c>
    </row>
    <row r="34" spans="1:1">
      <c r="A34" s="206" t="s">
        <v>593</v>
      </c>
    </row>
    <row r="36" spans="1:1">
      <c r="A36" s="3" t="s">
        <v>598</v>
      </c>
    </row>
    <row r="39" spans="1:1">
      <c r="A39" s="3" t="s">
        <v>719</v>
      </c>
    </row>
  </sheetData>
  <pageMargins left="0.59055118110236227" right="0.6692913385826772" top="0.84" bottom="0.86614173228346458" header="0.59055118110236227" footer="0.51181102362204722"/>
  <pageSetup paperSize="9" scale="82" orientation="portrait" horizontalDpi="1200" verticalDpi="12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E620-E8B5-0E42-B5A1-4F4B12FDD82F}">
  <sheetPr>
    <pageSetUpPr fitToPage="1"/>
  </sheetPr>
  <dimension ref="A1:E39"/>
  <sheetViews>
    <sheetView zoomScale="75" workbookViewId="0"/>
  </sheetViews>
  <sheetFormatPr baseColWidth="10" defaultColWidth="11.3984375" defaultRowHeight="13"/>
  <cols>
    <col min="1" max="1" width="8.796875" style="3" customWidth="1"/>
    <col min="2" max="2" width="52.19921875" style="119" customWidth="1"/>
    <col min="3" max="3" width="16.796875" style="3" customWidth="1"/>
    <col min="4" max="5" width="16.796875" style="8" customWidth="1"/>
    <col min="6" max="16384" width="11.3984375" style="3"/>
  </cols>
  <sheetData>
    <row r="1" spans="1:5" s="2" customFormat="1" ht="14" customHeight="1">
      <c r="B1" s="88"/>
      <c r="D1" s="406"/>
      <c r="E1" s="406"/>
    </row>
    <row r="2" spans="1:5" s="2" customFormat="1" ht="28" customHeight="1">
      <c r="A2" s="246" t="s">
        <v>599</v>
      </c>
      <c r="B2" s="88"/>
      <c r="D2" s="406"/>
      <c r="E2" s="246">
        <v>2011</v>
      </c>
    </row>
    <row r="3" spans="1:5" ht="39" customHeight="1">
      <c r="A3" s="92" t="s">
        <v>558</v>
      </c>
      <c r="B3" s="92"/>
      <c r="C3" s="182" t="s">
        <v>559</v>
      </c>
      <c r="D3" s="229" t="s">
        <v>560</v>
      </c>
      <c r="E3" s="407" t="s">
        <v>278</v>
      </c>
    </row>
    <row r="4" spans="1:5" ht="39" customHeight="1">
      <c r="A4" s="408"/>
      <c r="B4" s="231"/>
      <c r="C4" s="189" t="s">
        <v>561</v>
      </c>
      <c r="D4" s="191" t="s">
        <v>561</v>
      </c>
      <c r="E4" s="409" t="s">
        <v>561</v>
      </c>
    </row>
    <row r="5" spans="1:5" ht="30" customHeight="1" thickBot="1">
      <c r="A5" s="99">
        <v>61</v>
      </c>
      <c r="B5" s="99" t="s">
        <v>562</v>
      </c>
      <c r="C5" s="410">
        <v>15402986.73</v>
      </c>
      <c r="D5" s="411">
        <v>488768.79</v>
      </c>
      <c r="E5" s="412">
        <v>15891755.52</v>
      </c>
    </row>
    <row r="6" spans="1:5" ht="20" customHeight="1" thickBot="1">
      <c r="A6" s="103">
        <v>64</v>
      </c>
      <c r="B6" s="103" t="s">
        <v>563</v>
      </c>
      <c r="C6" s="195">
        <v>-46038.62</v>
      </c>
      <c r="D6" s="196">
        <v>-1435.41</v>
      </c>
      <c r="E6" s="413">
        <v>-47474.03</v>
      </c>
    </row>
    <row r="7" spans="1:5" ht="20" customHeight="1" thickBot="1">
      <c r="A7" s="103">
        <v>65</v>
      </c>
      <c r="B7" s="103" t="s">
        <v>564</v>
      </c>
      <c r="C7" s="195">
        <v>501.79</v>
      </c>
      <c r="D7" s="196">
        <v>16.39</v>
      </c>
      <c r="E7" s="413">
        <v>518.17999999999995</v>
      </c>
    </row>
    <row r="8" spans="1:5" ht="26.25" customHeight="1" thickBot="1">
      <c r="A8" s="145" t="s">
        <v>565</v>
      </c>
      <c r="B8" s="145" t="s">
        <v>566</v>
      </c>
      <c r="C8" s="154">
        <v>15357449.91</v>
      </c>
      <c r="D8" s="155">
        <v>487349.75</v>
      </c>
      <c r="E8" s="108">
        <v>15844799.66</v>
      </c>
    </row>
    <row r="9" spans="1:5" ht="20" customHeight="1" thickBot="1">
      <c r="A9" s="103">
        <v>66</v>
      </c>
      <c r="B9" s="103" t="s">
        <v>567</v>
      </c>
      <c r="C9" s="195">
        <v>-38.94</v>
      </c>
      <c r="D9" s="196">
        <v>-1.35</v>
      </c>
      <c r="E9" s="413">
        <v>-40.29</v>
      </c>
    </row>
    <row r="10" spans="1:5" ht="27" customHeight="1" thickBot="1">
      <c r="A10" s="145" t="s">
        <v>568</v>
      </c>
      <c r="B10" s="145" t="s">
        <v>569</v>
      </c>
      <c r="C10" s="154">
        <v>15357410.970000001</v>
      </c>
      <c r="D10" s="155">
        <v>487348.4</v>
      </c>
      <c r="E10" s="108">
        <v>15844759.369999999</v>
      </c>
    </row>
    <row r="11" spans="1:5" ht="20" customHeight="1" thickBot="1">
      <c r="A11" s="103">
        <v>67</v>
      </c>
      <c r="B11" s="103" t="s">
        <v>570</v>
      </c>
      <c r="C11" s="195">
        <v>460677.81</v>
      </c>
      <c r="D11" s="196">
        <v>13520.58</v>
      </c>
      <c r="E11" s="413">
        <v>474198.39</v>
      </c>
    </row>
    <row r="12" spans="1:5" ht="20" customHeight="1" thickBot="1">
      <c r="A12" s="103">
        <v>68</v>
      </c>
      <c r="B12" s="103" t="s">
        <v>571</v>
      </c>
      <c r="C12" s="195">
        <v>-464835.14</v>
      </c>
      <c r="D12" s="196">
        <v>-13660.28</v>
      </c>
      <c r="E12" s="413">
        <v>-478495.42</v>
      </c>
    </row>
    <row r="13" spans="1:5" ht="20" customHeight="1" thickBot="1">
      <c r="A13" s="103">
        <v>69</v>
      </c>
      <c r="B13" s="103" t="s">
        <v>572</v>
      </c>
      <c r="C13" s="195">
        <v>33935.599999999999</v>
      </c>
      <c r="D13" s="196">
        <v>1074.6199999999999</v>
      </c>
      <c r="E13" s="413">
        <v>35010.22</v>
      </c>
    </row>
    <row r="14" spans="1:5" ht="27" customHeight="1" thickBot="1">
      <c r="A14" s="145">
        <v>6</v>
      </c>
      <c r="B14" s="145" t="s">
        <v>573</v>
      </c>
      <c r="C14" s="154">
        <v>15387189.24</v>
      </c>
      <c r="D14" s="155">
        <v>488283.31</v>
      </c>
      <c r="E14" s="108">
        <v>15875472.550000001</v>
      </c>
    </row>
    <row r="15" spans="1:5" ht="20" customHeight="1" thickBot="1">
      <c r="A15" s="103">
        <v>31</v>
      </c>
      <c r="B15" s="103" t="s">
        <v>574</v>
      </c>
      <c r="C15" s="195">
        <v>7990721.7300000004</v>
      </c>
      <c r="D15" s="196">
        <v>305089.34999999998</v>
      </c>
      <c r="E15" s="413">
        <v>8295811.0800000001</v>
      </c>
    </row>
    <row r="16" spans="1:5" ht="20" customHeight="1" thickBot="1">
      <c r="A16" s="103">
        <v>32</v>
      </c>
      <c r="B16" s="103" t="s">
        <v>575</v>
      </c>
      <c r="C16" s="195">
        <v>-1173987.3899999999</v>
      </c>
      <c r="D16" s="196">
        <v>-44239.35</v>
      </c>
      <c r="E16" s="413">
        <v>-1218226.74</v>
      </c>
    </row>
    <row r="17" spans="1:5" ht="27" customHeight="1" thickBot="1">
      <c r="A17" s="145" t="s">
        <v>576</v>
      </c>
      <c r="B17" s="145" t="s">
        <v>213</v>
      </c>
      <c r="C17" s="154">
        <v>6816734.3399999999</v>
      </c>
      <c r="D17" s="155">
        <v>260850</v>
      </c>
      <c r="E17" s="108">
        <v>7077584.3399999999</v>
      </c>
    </row>
    <row r="18" spans="1:5" ht="20" customHeight="1" thickBot="1">
      <c r="A18" s="103">
        <v>34</v>
      </c>
      <c r="B18" s="103" t="s">
        <v>577</v>
      </c>
      <c r="C18" s="195">
        <v>8453.24</v>
      </c>
      <c r="D18" s="196">
        <v>315.44</v>
      </c>
      <c r="E18" s="413">
        <v>8768.68</v>
      </c>
    </row>
    <row r="19" spans="1:5" ht="20" customHeight="1" thickBot="1">
      <c r="A19" s="103">
        <v>35</v>
      </c>
      <c r="B19" s="103" t="s">
        <v>578</v>
      </c>
      <c r="C19" s="195">
        <v>199435.81</v>
      </c>
      <c r="D19" s="196">
        <v>7022.49</v>
      </c>
      <c r="E19" s="413">
        <v>206458.3</v>
      </c>
    </row>
    <row r="20" spans="1:5" ht="27" customHeight="1" thickBot="1">
      <c r="A20" s="145" t="s">
        <v>579</v>
      </c>
      <c r="B20" s="145" t="s">
        <v>199</v>
      </c>
      <c r="C20" s="154">
        <v>7024623.4000000004</v>
      </c>
      <c r="D20" s="155">
        <v>268187.93</v>
      </c>
      <c r="E20" s="108">
        <v>7292811.3300000001</v>
      </c>
    </row>
    <row r="21" spans="1:5" ht="20" customHeight="1" thickBot="1">
      <c r="A21" s="103">
        <v>36</v>
      </c>
      <c r="B21" s="103" t="s">
        <v>580</v>
      </c>
      <c r="C21" s="195">
        <v>0</v>
      </c>
      <c r="D21" s="196">
        <v>0</v>
      </c>
      <c r="E21" s="413">
        <v>0</v>
      </c>
    </row>
    <row r="22" spans="1:5" ht="20" customHeight="1" thickBot="1">
      <c r="A22" s="103">
        <v>37</v>
      </c>
      <c r="B22" s="103" t="s">
        <v>581</v>
      </c>
      <c r="C22" s="195">
        <v>1220316.2</v>
      </c>
      <c r="D22" s="196">
        <v>51076</v>
      </c>
      <c r="E22" s="413">
        <v>1271392.2</v>
      </c>
    </row>
    <row r="23" spans="1:5" ht="26.25" customHeight="1" thickBot="1">
      <c r="A23" s="145">
        <v>3</v>
      </c>
      <c r="B23" s="145" t="s">
        <v>582</v>
      </c>
      <c r="C23" s="154">
        <v>8244939.5999999996</v>
      </c>
      <c r="D23" s="155">
        <v>319263.92</v>
      </c>
      <c r="E23" s="108">
        <v>8564203.5199999996</v>
      </c>
    </row>
    <row r="24" spans="1:5" ht="20" customHeight="1" thickBot="1">
      <c r="A24" s="103" t="s">
        <v>583</v>
      </c>
      <c r="B24" s="103" t="s">
        <v>584</v>
      </c>
      <c r="C24" s="195">
        <v>684051.85</v>
      </c>
      <c r="D24" s="196">
        <v>21201.96</v>
      </c>
      <c r="E24" s="413">
        <v>705253.81</v>
      </c>
    </row>
    <row r="25" spans="1:5" ht="20" customHeight="1" thickBot="1">
      <c r="A25" s="103">
        <v>48</v>
      </c>
      <c r="B25" s="103" t="s">
        <v>585</v>
      </c>
      <c r="C25" s="195">
        <v>86409.99</v>
      </c>
      <c r="D25" s="196">
        <v>2661.51</v>
      </c>
      <c r="E25" s="413">
        <v>89071.5</v>
      </c>
    </row>
    <row r="26" spans="1:5" ht="20" customHeight="1" thickBot="1">
      <c r="A26" s="103">
        <v>49</v>
      </c>
      <c r="B26" s="103" t="s">
        <v>586</v>
      </c>
      <c r="C26" s="195">
        <v>51071.34</v>
      </c>
      <c r="D26" s="196">
        <v>1608.5</v>
      </c>
      <c r="E26" s="413">
        <v>52679.839999999997</v>
      </c>
    </row>
    <row r="27" spans="1:5" ht="27" customHeight="1" thickBot="1">
      <c r="A27" s="145">
        <v>4</v>
      </c>
      <c r="B27" s="145" t="s">
        <v>587</v>
      </c>
      <c r="C27" s="154">
        <v>821533.18</v>
      </c>
      <c r="D27" s="155">
        <v>25471.97</v>
      </c>
      <c r="E27" s="108">
        <v>847005.15</v>
      </c>
    </row>
    <row r="28" spans="1:5" ht="27" customHeight="1" thickBot="1">
      <c r="A28" s="145" t="s">
        <v>588</v>
      </c>
      <c r="B28" s="145" t="s">
        <v>589</v>
      </c>
      <c r="C28" s="154">
        <v>9066472.7899999991</v>
      </c>
      <c r="D28" s="155">
        <v>344735.89</v>
      </c>
      <c r="E28" s="108">
        <v>9411208.6799999997</v>
      </c>
    </row>
    <row r="29" spans="1:5" ht="27" customHeight="1" thickBot="1">
      <c r="A29" s="145"/>
      <c r="B29" s="145" t="s">
        <v>590</v>
      </c>
      <c r="C29" s="154">
        <v>6320716.4500000002</v>
      </c>
      <c r="D29" s="155">
        <v>143547.42000000001</v>
      </c>
      <c r="E29" s="108">
        <v>6464263.8700000001</v>
      </c>
    </row>
    <row r="30" spans="1:5" ht="27" customHeight="1" thickBot="1">
      <c r="A30" s="145">
        <v>7</v>
      </c>
      <c r="B30" s="145" t="s">
        <v>591</v>
      </c>
      <c r="C30" s="154">
        <v>62690.41</v>
      </c>
      <c r="D30" s="155">
        <v>2195.06</v>
      </c>
      <c r="E30" s="108">
        <v>64885.47</v>
      </c>
    </row>
    <row r="31" spans="1:5" ht="34.5" customHeight="1" thickBot="1">
      <c r="A31" s="414"/>
      <c r="B31" s="414" t="s">
        <v>592</v>
      </c>
      <c r="C31" s="415">
        <v>6383406.8600000003</v>
      </c>
      <c r="D31" s="416">
        <v>145742.49</v>
      </c>
      <c r="E31" s="417">
        <v>6529149.3499999996</v>
      </c>
    </row>
    <row r="32" spans="1:5" ht="20.25" customHeight="1">
      <c r="A32" s="3" t="s">
        <v>720</v>
      </c>
    </row>
    <row r="34" spans="1:1">
      <c r="A34" s="206" t="s">
        <v>593</v>
      </c>
    </row>
    <row r="36" spans="1:1">
      <c r="A36" s="3" t="s">
        <v>600</v>
      </c>
    </row>
    <row r="39" spans="1:1">
      <c r="A39" s="3" t="s">
        <v>719</v>
      </c>
    </row>
  </sheetData>
  <pageMargins left="0.62992125984251968" right="0.70866141732283472" top="0.70866141732283472" bottom="0.6692913385826772" header="0.51181102362204722" footer="0.38"/>
  <pageSetup paperSize="9" scale="80" orientation="portrait" horizontalDpi="1200" verticalDpi="12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35B4-D48E-754A-B2FE-863918B01CFF}">
  <sheetPr>
    <pageSetUpPr fitToPage="1"/>
  </sheetPr>
  <dimension ref="A1:E39"/>
  <sheetViews>
    <sheetView topLeftCell="A12" zoomScale="75" workbookViewId="0">
      <selection activeCell="A34" sqref="A34"/>
    </sheetView>
  </sheetViews>
  <sheetFormatPr baseColWidth="10" defaultColWidth="11.3984375" defaultRowHeight="13"/>
  <cols>
    <col min="1" max="1" width="8.796875" style="3" customWidth="1"/>
    <col min="2" max="2" width="48.796875" style="119" customWidth="1"/>
    <col min="3" max="3" width="16.796875" style="3" customWidth="1"/>
    <col min="4" max="5" width="16.796875" style="8" customWidth="1"/>
    <col min="6" max="16384" width="11.3984375" style="3"/>
  </cols>
  <sheetData>
    <row r="1" spans="1:5" s="2" customFormat="1" ht="14" customHeight="1">
      <c r="B1" s="88"/>
      <c r="D1" s="406"/>
      <c r="E1" s="406"/>
    </row>
    <row r="2" spans="1:5" s="2" customFormat="1" ht="42" customHeight="1">
      <c r="A2" s="1843" t="s">
        <v>601</v>
      </c>
      <c r="B2" s="1844"/>
      <c r="C2" s="1844"/>
      <c r="D2" s="1844"/>
      <c r="E2" s="246">
        <v>2011</v>
      </c>
    </row>
    <row r="3" spans="1:5" ht="39" customHeight="1">
      <c r="A3" s="92" t="s">
        <v>558</v>
      </c>
      <c r="B3" s="92"/>
      <c r="C3" s="182" t="s">
        <v>559</v>
      </c>
      <c r="D3" s="229" t="s">
        <v>560</v>
      </c>
      <c r="E3" s="407" t="s">
        <v>278</v>
      </c>
    </row>
    <row r="4" spans="1:5" ht="39" customHeight="1">
      <c r="A4" s="408"/>
      <c r="B4" s="231"/>
      <c r="C4" s="189" t="s">
        <v>561</v>
      </c>
      <c r="D4" s="191" t="s">
        <v>561</v>
      </c>
      <c r="E4" s="409" t="s">
        <v>561</v>
      </c>
    </row>
    <row r="5" spans="1:5" ht="30" customHeight="1" thickBot="1">
      <c r="A5" s="99">
        <v>61</v>
      </c>
      <c r="B5" s="99" t="s">
        <v>562</v>
      </c>
      <c r="C5" s="410">
        <v>10542076637.25</v>
      </c>
      <c r="D5" s="411">
        <v>345056819.39999998</v>
      </c>
      <c r="E5" s="412">
        <v>10887133456.65</v>
      </c>
    </row>
    <row r="6" spans="1:5" ht="20" customHeight="1" thickBot="1">
      <c r="A6" s="103">
        <v>64</v>
      </c>
      <c r="B6" s="103" t="s">
        <v>563</v>
      </c>
      <c r="C6" s="195">
        <v>-53999581.57</v>
      </c>
      <c r="D6" s="196">
        <v>-1813051.64</v>
      </c>
      <c r="E6" s="413">
        <v>-55812633.210000001</v>
      </c>
    </row>
    <row r="7" spans="1:5" ht="20" customHeight="1" thickBot="1">
      <c r="A7" s="103">
        <v>65</v>
      </c>
      <c r="B7" s="103" t="s">
        <v>564</v>
      </c>
      <c r="C7" s="195">
        <v>1717152.87</v>
      </c>
      <c r="D7" s="196">
        <v>54560.15</v>
      </c>
      <c r="E7" s="413">
        <v>1771713.02</v>
      </c>
    </row>
    <row r="8" spans="1:5" ht="27" customHeight="1" thickBot="1">
      <c r="A8" s="145" t="s">
        <v>565</v>
      </c>
      <c r="B8" s="145" t="s">
        <v>566</v>
      </c>
      <c r="C8" s="154">
        <v>10489794208.57</v>
      </c>
      <c r="D8" s="155">
        <v>343298327.93000001</v>
      </c>
      <c r="E8" s="108">
        <v>10833092536.5</v>
      </c>
    </row>
    <row r="9" spans="1:5" ht="20" customHeight="1" thickBot="1">
      <c r="A9" s="103">
        <v>66</v>
      </c>
      <c r="B9" s="103" t="s">
        <v>567</v>
      </c>
      <c r="C9" s="195">
        <v>-20486794.989999998</v>
      </c>
      <c r="D9" s="196">
        <v>-580363.78</v>
      </c>
      <c r="E9" s="413">
        <v>-21067158.77</v>
      </c>
    </row>
    <row r="10" spans="1:5" ht="30" customHeight="1" thickBot="1">
      <c r="A10" s="145" t="s">
        <v>568</v>
      </c>
      <c r="B10" s="145" t="s">
        <v>569</v>
      </c>
      <c r="C10" s="154">
        <v>10469307413.6</v>
      </c>
      <c r="D10" s="155">
        <v>342717964.14999998</v>
      </c>
      <c r="E10" s="108">
        <v>10812025377.75</v>
      </c>
    </row>
    <row r="11" spans="1:5" ht="20" customHeight="1" thickBot="1">
      <c r="A11" s="103">
        <v>67</v>
      </c>
      <c r="B11" s="103" t="s">
        <v>570</v>
      </c>
      <c r="C11" s="195">
        <v>799894419.08000004</v>
      </c>
      <c r="D11" s="196">
        <v>24871450.18</v>
      </c>
      <c r="E11" s="413">
        <v>824765869.25999999</v>
      </c>
    </row>
    <row r="12" spans="1:5" ht="20" customHeight="1" thickBot="1">
      <c r="A12" s="103">
        <v>68</v>
      </c>
      <c r="B12" s="103" t="s">
        <v>571</v>
      </c>
      <c r="C12" s="195">
        <v>-800490314.79999995</v>
      </c>
      <c r="D12" s="196">
        <v>-24976441.329999998</v>
      </c>
      <c r="E12" s="413">
        <v>-825466756.13</v>
      </c>
    </row>
    <row r="13" spans="1:5" ht="20" customHeight="1" thickBot="1">
      <c r="A13" s="103">
        <v>69</v>
      </c>
      <c r="B13" s="103" t="s">
        <v>572</v>
      </c>
      <c r="C13" s="195">
        <v>31042380.399999999</v>
      </c>
      <c r="D13" s="196">
        <v>1080653.2</v>
      </c>
      <c r="E13" s="413">
        <v>32123033.600000001</v>
      </c>
    </row>
    <row r="14" spans="1:5" ht="27" customHeight="1" thickBot="1">
      <c r="A14" s="145">
        <v>6</v>
      </c>
      <c r="B14" s="145" t="s">
        <v>573</v>
      </c>
      <c r="C14" s="154">
        <v>10499753898.25</v>
      </c>
      <c r="D14" s="155">
        <v>343693626.17000002</v>
      </c>
      <c r="E14" s="108">
        <v>10843447524.42</v>
      </c>
    </row>
    <row r="15" spans="1:5" ht="20" customHeight="1" thickBot="1">
      <c r="A15" s="103">
        <v>31</v>
      </c>
      <c r="B15" s="103" t="s">
        <v>574</v>
      </c>
      <c r="C15" s="195">
        <v>8914366709.9300003</v>
      </c>
      <c r="D15" s="196">
        <v>287154759.44</v>
      </c>
      <c r="E15" s="413">
        <v>9201521469.3700008</v>
      </c>
    </row>
    <row r="16" spans="1:5" ht="20" customHeight="1" thickBot="1">
      <c r="A16" s="103">
        <v>32</v>
      </c>
      <c r="B16" s="103" t="s">
        <v>575</v>
      </c>
      <c r="C16" s="195">
        <v>-1605494295.3800001</v>
      </c>
      <c r="D16" s="196">
        <v>-45461093.100000001</v>
      </c>
      <c r="E16" s="413">
        <v>-1650955388.48</v>
      </c>
    </row>
    <row r="17" spans="1:5" ht="27" customHeight="1" thickBot="1">
      <c r="A17" s="145" t="s">
        <v>576</v>
      </c>
      <c r="B17" s="145" t="s">
        <v>213</v>
      </c>
      <c r="C17" s="154">
        <v>7308872414.5699997</v>
      </c>
      <c r="D17" s="155">
        <v>241693666.28999999</v>
      </c>
      <c r="E17" s="108">
        <v>7550566080.8599997</v>
      </c>
    </row>
    <row r="18" spans="1:5" ht="20" customHeight="1" thickBot="1">
      <c r="A18" s="103">
        <v>34</v>
      </c>
      <c r="B18" s="103" t="s">
        <v>577</v>
      </c>
      <c r="C18" s="195">
        <v>42743310.909999996</v>
      </c>
      <c r="D18" s="196">
        <v>611866.97</v>
      </c>
      <c r="E18" s="413">
        <v>43355177.880000003</v>
      </c>
    </row>
    <row r="19" spans="1:5" ht="20" customHeight="1" thickBot="1">
      <c r="A19" s="103">
        <v>35</v>
      </c>
      <c r="B19" s="103" t="s">
        <v>578</v>
      </c>
      <c r="C19" s="195">
        <v>358376864.10000002</v>
      </c>
      <c r="D19" s="196">
        <v>28731227.649999999</v>
      </c>
      <c r="E19" s="413">
        <v>387108091.75</v>
      </c>
    </row>
    <row r="20" spans="1:5" ht="27" customHeight="1" thickBot="1">
      <c r="A20" s="145" t="s">
        <v>579</v>
      </c>
      <c r="B20" s="145" t="s">
        <v>199</v>
      </c>
      <c r="C20" s="154">
        <v>7709992589.5699997</v>
      </c>
      <c r="D20" s="155">
        <v>271036760.93000001</v>
      </c>
      <c r="E20" s="108">
        <v>7981029350.5</v>
      </c>
    </row>
    <row r="21" spans="1:5" ht="20" customHeight="1" thickBot="1">
      <c r="A21" s="103">
        <v>36</v>
      </c>
      <c r="B21" s="103" t="s">
        <v>580</v>
      </c>
      <c r="C21" s="195">
        <v>-24116856.440000001</v>
      </c>
      <c r="D21" s="196">
        <v>-724880.42</v>
      </c>
      <c r="E21" s="413">
        <v>-24841736.859999999</v>
      </c>
    </row>
    <row r="22" spans="1:5" ht="20" customHeight="1" thickBot="1">
      <c r="A22" s="103">
        <v>37</v>
      </c>
      <c r="B22" s="103" t="s">
        <v>581</v>
      </c>
      <c r="C22" s="195">
        <v>1546483502.23</v>
      </c>
      <c r="D22" s="196">
        <v>26636502.75</v>
      </c>
      <c r="E22" s="413">
        <v>1573120004.98</v>
      </c>
    </row>
    <row r="23" spans="1:5" ht="27" customHeight="1" thickBot="1">
      <c r="A23" s="145">
        <v>3</v>
      </c>
      <c r="B23" s="145" t="s">
        <v>582</v>
      </c>
      <c r="C23" s="154">
        <v>9232359235.3500004</v>
      </c>
      <c r="D23" s="155">
        <v>296948383.25999999</v>
      </c>
      <c r="E23" s="108">
        <v>9529307618.6100006</v>
      </c>
    </row>
    <row r="24" spans="1:5" ht="20" customHeight="1" thickBot="1">
      <c r="A24" s="103" t="s">
        <v>583</v>
      </c>
      <c r="B24" s="103" t="s">
        <v>584</v>
      </c>
      <c r="C24" s="195">
        <v>520771577.05000001</v>
      </c>
      <c r="D24" s="196">
        <v>20154766.460000001</v>
      </c>
      <c r="E24" s="413">
        <v>540926343.50999999</v>
      </c>
    </row>
    <row r="25" spans="1:5" ht="20" customHeight="1" thickBot="1">
      <c r="A25" s="103">
        <v>48</v>
      </c>
      <c r="B25" s="103" t="s">
        <v>585</v>
      </c>
      <c r="C25" s="195">
        <v>36715905.57</v>
      </c>
      <c r="D25" s="196">
        <v>1438542.7</v>
      </c>
      <c r="E25" s="413">
        <v>38154448.270000003</v>
      </c>
    </row>
    <row r="26" spans="1:5" ht="20" customHeight="1" thickBot="1">
      <c r="A26" s="103">
        <v>49</v>
      </c>
      <c r="B26" s="103" t="s">
        <v>586</v>
      </c>
      <c r="C26" s="195">
        <v>4863470.78</v>
      </c>
      <c r="D26" s="196">
        <v>207934.34</v>
      </c>
      <c r="E26" s="413">
        <v>5071405.12</v>
      </c>
    </row>
    <row r="27" spans="1:5" ht="27" customHeight="1" thickBot="1">
      <c r="A27" s="145">
        <v>4</v>
      </c>
      <c r="B27" s="145" t="s">
        <v>587</v>
      </c>
      <c r="C27" s="154">
        <v>562350953.40999997</v>
      </c>
      <c r="D27" s="155">
        <v>21801243.52</v>
      </c>
      <c r="E27" s="108">
        <v>584152196.92999995</v>
      </c>
    </row>
    <row r="28" spans="1:5" ht="27" customHeight="1" thickBot="1">
      <c r="A28" s="145" t="s">
        <v>588</v>
      </c>
      <c r="B28" s="145" t="s">
        <v>589</v>
      </c>
      <c r="C28" s="154">
        <v>9794710188.75</v>
      </c>
      <c r="D28" s="155">
        <v>318749626.77999997</v>
      </c>
      <c r="E28" s="108">
        <v>10113459815.530001</v>
      </c>
    </row>
    <row r="29" spans="1:5" ht="27" customHeight="1" thickBot="1">
      <c r="A29" s="145"/>
      <c r="B29" s="145" t="s">
        <v>590</v>
      </c>
      <c r="C29" s="154">
        <v>705043709.5</v>
      </c>
      <c r="D29" s="155">
        <v>24943999.41</v>
      </c>
      <c r="E29" s="108">
        <v>729987708.90999997</v>
      </c>
    </row>
    <row r="30" spans="1:5" ht="27" customHeight="1" thickBot="1">
      <c r="A30" s="145">
        <v>7</v>
      </c>
      <c r="B30" s="145" t="s">
        <v>591</v>
      </c>
      <c r="C30" s="154">
        <v>42810787.920000002</v>
      </c>
      <c r="D30" s="155">
        <v>1718287.41</v>
      </c>
      <c r="E30" s="108">
        <v>44529075.329999998</v>
      </c>
    </row>
    <row r="31" spans="1:5" ht="34.5" customHeight="1" thickBot="1">
      <c r="A31" s="414"/>
      <c r="B31" s="414" t="s">
        <v>592</v>
      </c>
      <c r="C31" s="415">
        <v>747854497.41999996</v>
      </c>
      <c r="D31" s="416">
        <v>26662286.780000001</v>
      </c>
      <c r="E31" s="417">
        <v>774516784.20000005</v>
      </c>
    </row>
    <row r="32" spans="1:5" ht="18.75" customHeight="1">
      <c r="A32" s="3" t="s">
        <v>720</v>
      </c>
    </row>
    <row r="34" spans="1:1">
      <c r="A34" s="206" t="s">
        <v>593</v>
      </c>
    </row>
    <row r="36" spans="1:1">
      <c r="A36" s="3" t="s">
        <v>602</v>
      </c>
    </row>
    <row r="39" spans="1:1">
      <c r="A39" s="3" t="s">
        <v>719</v>
      </c>
    </row>
  </sheetData>
  <mergeCells count="1">
    <mergeCell ref="A2:D2"/>
  </mergeCells>
  <pageMargins left="0.64" right="0.56000000000000005" top="0.96" bottom="0.49" header="0.53" footer="0.4921259845"/>
  <pageSetup paperSize="9" scale="84" orientation="portrait" horizontalDpi="1200" verticalDpi="1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AAE08-2B55-D64D-8D8D-A349BB4DA644}">
  <sheetPr>
    <pageSetUpPr fitToPage="1"/>
  </sheetPr>
  <dimension ref="A1:E48"/>
  <sheetViews>
    <sheetView zoomScaleNormal="100" workbookViewId="0">
      <selection activeCell="A4" sqref="A4"/>
    </sheetView>
  </sheetViews>
  <sheetFormatPr baseColWidth="10" defaultColWidth="11.3984375" defaultRowHeight="13"/>
  <cols>
    <col min="1" max="1" width="8.796875" style="3" customWidth="1"/>
    <col min="2" max="2" width="52.796875" style="119" customWidth="1"/>
    <col min="3" max="3" width="16.796875" style="3" customWidth="1"/>
    <col min="4" max="4" width="16.796875" style="8" customWidth="1"/>
    <col min="5" max="5" width="16.796875" style="434" customWidth="1"/>
    <col min="6" max="16384" width="11.3984375" style="3"/>
  </cols>
  <sheetData>
    <row r="1" spans="1:5" s="2" customFormat="1" ht="41.5" customHeight="1">
      <c r="A1" s="1845" t="s">
        <v>603</v>
      </c>
      <c r="B1" s="1846"/>
      <c r="C1" s="1846"/>
      <c r="D1" s="1846"/>
      <c r="E1" s="246">
        <v>2011</v>
      </c>
    </row>
    <row r="2" spans="1:5" s="2" customFormat="1" ht="10.5" customHeight="1">
      <c r="A2" s="90"/>
      <c r="B2" s="90"/>
      <c r="C2" s="90"/>
      <c r="D2" s="90"/>
      <c r="E2" s="90"/>
    </row>
    <row r="3" spans="1:5" ht="39" customHeight="1">
      <c r="A3" s="419" t="s">
        <v>558</v>
      </c>
      <c r="B3" s="94"/>
      <c r="C3" s="182" t="s">
        <v>559</v>
      </c>
      <c r="D3" s="229" t="s">
        <v>560</v>
      </c>
      <c r="E3" s="407" t="s">
        <v>278</v>
      </c>
    </row>
    <row r="4" spans="1:5" ht="25.5" customHeight="1">
      <c r="A4" s="408"/>
      <c r="B4" s="231"/>
      <c r="C4" s="189" t="s">
        <v>561</v>
      </c>
      <c r="D4" s="191" t="s">
        <v>561</v>
      </c>
      <c r="E4" s="409" t="s">
        <v>561</v>
      </c>
    </row>
    <row r="5" spans="1:5" ht="30" customHeight="1" thickBot="1">
      <c r="A5" s="99">
        <v>61.1</v>
      </c>
      <c r="B5" s="99" t="s">
        <v>604</v>
      </c>
      <c r="C5" s="100">
        <v>137832202.88</v>
      </c>
      <c r="D5" s="193">
        <v>3147681.45</v>
      </c>
      <c r="E5" s="420">
        <v>140979884.33000001</v>
      </c>
    </row>
    <row r="6" spans="1:5" ht="22.5" customHeight="1" thickBot="1">
      <c r="A6" s="421">
        <v>61.2</v>
      </c>
      <c r="B6" s="421" t="s">
        <v>605</v>
      </c>
      <c r="C6" s="100">
        <v>6938004.9800000004</v>
      </c>
      <c r="D6" s="193">
        <v>439442.41</v>
      </c>
      <c r="E6" s="420">
        <v>7377447.3899999997</v>
      </c>
    </row>
    <row r="7" spans="1:5" ht="20" customHeight="1" thickBot="1">
      <c r="A7" s="103">
        <v>64</v>
      </c>
      <c r="B7" s="103" t="s">
        <v>563</v>
      </c>
      <c r="C7" s="100">
        <v>-926957.7</v>
      </c>
      <c r="D7" s="193">
        <v>-30539.73</v>
      </c>
      <c r="E7" s="420">
        <v>-957497.43</v>
      </c>
    </row>
    <row r="8" spans="1:5" ht="20" customHeight="1" thickBot="1">
      <c r="A8" s="103">
        <v>65</v>
      </c>
      <c r="B8" s="103" t="s">
        <v>564</v>
      </c>
      <c r="C8" s="100">
        <v>67475.320000000007</v>
      </c>
      <c r="D8" s="193">
        <v>2555.4299999999998</v>
      </c>
      <c r="E8" s="420">
        <v>70030.75</v>
      </c>
    </row>
    <row r="9" spans="1:5" ht="27" customHeight="1" thickBot="1">
      <c r="A9" s="145" t="s">
        <v>565</v>
      </c>
      <c r="B9" s="145" t="s">
        <v>566</v>
      </c>
      <c r="C9" s="100">
        <v>143910725.5</v>
      </c>
      <c r="D9" s="193">
        <v>3559139.52</v>
      </c>
      <c r="E9" s="420">
        <v>147469865.02000001</v>
      </c>
    </row>
    <row r="10" spans="1:5" ht="20" customHeight="1" thickBot="1">
      <c r="A10" s="103">
        <v>66</v>
      </c>
      <c r="B10" s="103" t="s">
        <v>567</v>
      </c>
      <c r="C10" s="100">
        <v>-50849.16</v>
      </c>
      <c r="D10" s="193">
        <v>-852.34</v>
      </c>
      <c r="E10" s="420">
        <v>-51701.5</v>
      </c>
    </row>
    <row r="11" spans="1:5" ht="27" customHeight="1" thickBot="1">
      <c r="A11" s="145" t="s">
        <v>568</v>
      </c>
      <c r="B11" s="145" t="s">
        <v>569</v>
      </c>
      <c r="C11" s="100">
        <v>143859876.34</v>
      </c>
      <c r="D11" s="193">
        <v>3558287.18</v>
      </c>
      <c r="E11" s="420">
        <v>147418163.52000001</v>
      </c>
    </row>
    <row r="12" spans="1:5" ht="21" customHeight="1" thickBot="1">
      <c r="A12" s="103">
        <v>67</v>
      </c>
      <c r="B12" s="103" t="s">
        <v>570</v>
      </c>
      <c r="C12" s="100">
        <v>1738177.8</v>
      </c>
      <c r="D12" s="193">
        <v>47736.49</v>
      </c>
      <c r="E12" s="420">
        <v>1785914.29</v>
      </c>
    </row>
    <row r="13" spans="1:5" ht="21" customHeight="1" thickBot="1">
      <c r="A13" s="103">
        <v>68</v>
      </c>
      <c r="B13" s="103" t="s">
        <v>571</v>
      </c>
      <c r="C13" s="100">
        <v>-1742937.33</v>
      </c>
      <c r="D13" s="193">
        <v>-47801.62</v>
      </c>
      <c r="E13" s="420">
        <v>-1790738.95</v>
      </c>
    </row>
    <row r="14" spans="1:5" ht="21" customHeight="1" thickBot="1">
      <c r="A14" s="103">
        <v>69</v>
      </c>
      <c r="B14" s="103" t="s">
        <v>572</v>
      </c>
      <c r="C14" s="100">
        <v>48451.519999999997</v>
      </c>
      <c r="D14" s="193">
        <v>1016.22</v>
      </c>
      <c r="E14" s="420">
        <v>49467.74</v>
      </c>
    </row>
    <row r="15" spans="1:5" ht="27" customHeight="1" thickBot="1">
      <c r="A15" s="145">
        <v>6</v>
      </c>
      <c r="B15" s="145" t="s">
        <v>573</v>
      </c>
      <c r="C15" s="100">
        <v>143903568.31999999</v>
      </c>
      <c r="D15" s="193">
        <v>3559238.27</v>
      </c>
      <c r="E15" s="420">
        <v>147462806.59</v>
      </c>
    </row>
    <row r="16" spans="1:5" ht="20" customHeight="1" thickBot="1">
      <c r="A16" s="103">
        <v>31.1</v>
      </c>
      <c r="B16" s="103" t="s">
        <v>606</v>
      </c>
      <c r="C16" s="100">
        <v>84464805.75</v>
      </c>
      <c r="D16" s="193">
        <v>1007361.96</v>
      </c>
      <c r="E16" s="420">
        <v>85472167.709999993</v>
      </c>
    </row>
    <row r="17" spans="1:5" ht="20" customHeight="1" thickBot="1">
      <c r="A17" s="103">
        <v>31.2</v>
      </c>
      <c r="B17" s="103" t="s">
        <v>607</v>
      </c>
      <c r="C17" s="100">
        <v>7322595.7599999998</v>
      </c>
      <c r="D17" s="193">
        <v>178060.37</v>
      </c>
      <c r="E17" s="420">
        <v>7500656.1299999999</v>
      </c>
    </row>
    <row r="18" spans="1:5" ht="20" customHeight="1" thickBot="1">
      <c r="A18" s="103">
        <v>32</v>
      </c>
      <c r="B18" s="103" t="s">
        <v>575</v>
      </c>
      <c r="C18" s="100">
        <v>-5192835.03</v>
      </c>
      <c r="D18" s="193">
        <v>-89030.36</v>
      </c>
      <c r="E18" s="420">
        <v>-5281865.3899999997</v>
      </c>
    </row>
    <row r="19" spans="1:5" ht="27" customHeight="1" thickBot="1">
      <c r="A19" s="145" t="s">
        <v>576</v>
      </c>
      <c r="B19" s="145" t="s">
        <v>213</v>
      </c>
      <c r="C19" s="100">
        <v>86594566.469999999</v>
      </c>
      <c r="D19" s="193">
        <v>1096391.97</v>
      </c>
      <c r="E19" s="420">
        <v>87690958.439999998</v>
      </c>
    </row>
    <row r="20" spans="1:5" ht="20" customHeight="1" thickBot="1">
      <c r="A20" s="103">
        <v>34</v>
      </c>
      <c r="B20" s="103" t="s">
        <v>577</v>
      </c>
      <c r="C20" s="100">
        <v>160644.85</v>
      </c>
      <c r="D20" s="193">
        <v>2682.7</v>
      </c>
      <c r="E20" s="420">
        <v>163327.54999999999</v>
      </c>
    </row>
    <row r="21" spans="1:5" ht="20" customHeight="1" thickBot="1">
      <c r="A21" s="103">
        <v>35</v>
      </c>
      <c r="B21" s="103" t="s">
        <v>578</v>
      </c>
      <c r="C21" s="100">
        <v>8623197.0399999991</v>
      </c>
      <c r="D21" s="193">
        <v>117190.2</v>
      </c>
      <c r="E21" s="420">
        <v>8740387.2400000002</v>
      </c>
    </row>
    <row r="22" spans="1:5" ht="20" customHeight="1" thickBot="1">
      <c r="A22" s="103">
        <v>35.1</v>
      </c>
      <c r="B22" s="103" t="s">
        <v>608</v>
      </c>
      <c r="C22" s="100">
        <v>640713.68999999994</v>
      </c>
      <c r="D22" s="193">
        <v>1355.11</v>
      </c>
      <c r="E22" s="420">
        <v>642068.80000000005</v>
      </c>
    </row>
    <row r="23" spans="1:5" ht="27" customHeight="1" thickBot="1">
      <c r="A23" s="145" t="s">
        <v>579</v>
      </c>
      <c r="B23" s="145" t="s">
        <v>199</v>
      </c>
      <c r="C23" s="100">
        <v>96019122.060000002</v>
      </c>
      <c r="D23" s="193">
        <v>1217619.96</v>
      </c>
      <c r="E23" s="420">
        <v>97236742.019999996</v>
      </c>
    </row>
    <row r="24" spans="1:5" ht="20" customHeight="1" thickBot="1">
      <c r="A24" s="103">
        <v>36</v>
      </c>
      <c r="B24" s="103" t="s">
        <v>580</v>
      </c>
      <c r="C24" s="100">
        <v>-18627.29</v>
      </c>
      <c r="D24" s="193">
        <v>-242.88</v>
      </c>
      <c r="E24" s="420">
        <v>-18870.169999999998</v>
      </c>
    </row>
    <row r="25" spans="1:5" ht="20" customHeight="1" thickBot="1">
      <c r="A25" s="103">
        <v>37</v>
      </c>
      <c r="B25" s="103" t="s">
        <v>581</v>
      </c>
      <c r="C25" s="100">
        <v>25938893.379999999</v>
      </c>
      <c r="D25" s="193">
        <v>384413.79</v>
      </c>
      <c r="E25" s="420">
        <v>26323307.170000002</v>
      </c>
    </row>
    <row r="26" spans="1:5" ht="27" customHeight="1" thickBot="1">
      <c r="A26" s="145">
        <v>3</v>
      </c>
      <c r="B26" s="145" t="s">
        <v>582</v>
      </c>
      <c r="C26" s="100">
        <v>121939388.14</v>
      </c>
      <c r="D26" s="193">
        <v>1601790.88</v>
      </c>
      <c r="E26" s="420">
        <v>123541179.02</v>
      </c>
    </row>
    <row r="27" spans="1:5" ht="20" customHeight="1" thickBot="1">
      <c r="A27" s="103" t="s">
        <v>583</v>
      </c>
      <c r="B27" s="103" t="s">
        <v>584</v>
      </c>
      <c r="C27" s="100">
        <v>9030554.3800000008</v>
      </c>
      <c r="D27" s="193">
        <v>193569.13</v>
      </c>
      <c r="E27" s="420">
        <v>9224123.5099999998</v>
      </c>
    </row>
    <row r="28" spans="1:5" ht="20" customHeight="1" thickBot="1">
      <c r="A28" s="103">
        <v>48</v>
      </c>
      <c r="B28" s="103" t="s">
        <v>585</v>
      </c>
      <c r="C28" s="100">
        <v>676635.94</v>
      </c>
      <c r="D28" s="193">
        <v>10001.77</v>
      </c>
      <c r="E28" s="420">
        <v>686637.71</v>
      </c>
    </row>
    <row r="29" spans="1:5" ht="20" customHeight="1" thickBot="1">
      <c r="A29" s="103">
        <v>49</v>
      </c>
      <c r="B29" s="103" t="s">
        <v>586</v>
      </c>
      <c r="C29" s="100">
        <v>370270.33</v>
      </c>
      <c r="D29" s="193">
        <v>3482.31</v>
      </c>
      <c r="E29" s="420">
        <v>373752.64</v>
      </c>
    </row>
    <row r="30" spans="1:5" ht="27" customHeight="1" thickBot="1">
      <c r="A30" s="145">
        <v>4</v>
      </c>
      <c r="B30" s="145" t="s">
        <v>587</v>
      </c>
      <c r="C30" s="100">
        <v>10077460.67</v>
      </c>
      <c r="D30" s="193">
        <v>207053.21</v>
      </c>
      <c r="E30" s="420">
        <v>10284513.880000001</v>
      </c>
    </row>
    <row r="31" spans="1:5" ht="27" customHeight="1" thickBot="1">
      <c r="A31" s="145" t="s">
        <v>588</v>
      </c>
      <c r="B31" s="145" t="s">
        <v>589</v>
      </c>
      <c r="C31" s="100">
        <v>132016848.81999999</v>
      </c>
      <c r="D31" s="193">
        <v>1808844.1</v>
      </c>
      <c r="E31" s="420">
        <v>133825692.92</v>
      </c>
    </row>
    <row r="32" spans="1:5" ht="27" customHeight="1" thickBot="1">
      <c r="A32" s="145"/>
      <c r="B32" s="145" t="s">
        <v>590</v>
      </c>
      <c r="C32" s="195">
        <v>11886719.5</v>
      </c>
      <c r="D32" s="196">
        <v>1750394.18</v>
      </c>
      <c r="E32" s="413">
        <v>13637113.68</v>
      </c>
    </row>
    <row r="33" spans="1:5" ht="27" customHeight="1" thickBot="1">
      <c r="A33" s="145">
        <v>7</v>
      </c>
      <c r="B33" s="145" t="s">
        <v>591</v>
      </c>
      <c r="C33" s="195">
        <v>736807.38</v>
      </c>
      <c r="D33" s="196">
        <v>18318.82</v>
      </c>
      <c r="E33" s="413">
        <v>755126.2</v>
      </c>
    </row>
    <row r="34" spans="1:5" ht="27.75" customHeight="1" thickBot="1">
      <c r="A34" s="422"/>
      <c r="B34" s="422" t="s">
        <v>592</v>
      </c>
      <c r="C34" s="423">
        <v>12623526.869999999</v>
      </c>
      <c r="D34" s="424">
        <v>1768713.01</v>
      </c>
      <c r="E34" s="425">
        <v>14392239.880000001</v>
      </c>
    </row>
    <row r="35" spans="1:5" ht="22.5" customHeight="1">
      <c r="A35" s="426"/>
      <c r="B35" s="426"/>
      <c r="C35" s="427"/>
      <c r="D35" s="427"/>
      <c r="E35" s="428"/>
    </row>
    <row r="36" spans="1:5" ht="24" customHeight="1">
      <c r="A36" s="429" t="s">
        <v>609</v>
      </c>
      <c r="B36" s="430"/>
      <c r="C36" s="430"/>
      <c r="D36" s="430"/>
      <c r="E36" s="430"/>
    </row>
    <row r="37" spans="1:5" ht="21" customHeight="1" thickBot="1">
      <c r="A37" s="222"/>
      <c r="B37" s="222" t="s">
        <v>610</v>
      </c>
      <c r="C37" s="142" t="s">
        <v>30</v>
      </c>
      <c r="D37" s="141" t="s">
        <v>30</v>
      </c>
      <c r="E37" s="431">
        <v>52068279.530000001</v>
      </c>
    </row>
    <row r="38" spans="1:5" ht="21" customHeight="1" thickBot="1">
      <c r="A38" s="145"/>
      <c r="B38" s="145" t="s">
        <v>611</v>
      </c>
      <c r="C38" s="154" t="s">
        <v>30</v>
      </c>
      <c r="D38" s="155" t="s">
        <v>30</v>
      </c>
      <c r="E38" s="108">
        <v>-3198884.83</v>
      </c>
    </row>
    <row r="39" spans="1:5" ht="21" customHeight="1" thickBot="1">
      <c r="A39" s="145"/>
      <c r="B39" s="145" t="s">
        <v>612</v>
      </c>
      <c r="C39" s="154" t="s">
        <v>30</v>
      </c>
      <c r="D39" s="155" t="s">
        <v>30</v>
      </c>
      <c r="E39" s="108">
        <v>48869394.689999998</v>
      </c>
    </row>
    <row r="40" spans="1:5" ht="15.75" customHeight="1">
      <c r="A40" s="112" t="s">
        <v>720</v>
      </c>
      <c r="B40" s="114"/>
      <c r="C40" s="112"/>
      <c r="D40" s="432"/>
      <c r="E40" s="433"/>
    </row>
    <row r="42" spans="1:5">
      <c r="A42" s="3" t="s">
        <v>613</v>
      </c>
    </row>
    <row r="43" spans="1:5">
      <c r="A43" s="435" t="s">
        <v>614</v>
      </c>
    </row>
    <row r="45" spans="1:5">
      <c r="A45" s="3" t="s">
        <v>615</v>
      </c>
    </row>
    <row r="48" spans="1:5">
      <c r="A48" s="3" t="s">
        <v>719</v>
      </c>
    </row>
  </sheetData>
  <mergeCells count="1">
    <mergeCell ref="A1:D1"/>
  </mergeCells>
  <pageMargins left="0.47244094488188981" right="0.59055118110236227" top="0.5" bottom="0.3" header="0.26" footer="0.19"/>
  <pageSetup paperSize="9" scale="79" orientation="portrait" horizontalDpi="1200" verticalDpi="12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9E72-65F4-FD4E-9F15-4947F58D8970}">
  <sheetPr>
    <pageSetUpPr fitToPage="1"/>
  </sheetPr>
  <dimension ref="A1:J28"/>
  <sheetViews>
    <sheetView topLeftCell="A3" zoomScaleNormal="100" workbookViewId="0">
      <selection activeCell="A3" sqref="A3"/>
    </sheetView>
  </sheetViews>
  <sheetFormatPr baseColWidth="10" defaultColWidth="11.3984375" defaultRowHeight="13"/>
  <cols>
    <col min="1" max="1" width="14.3984375" style="3" customWidth="1"/>
    <col min="2" max="2" width="17.3984375" style="3" customWidth="1"/>
    <col min="3" max="5" width="15.3984375" style="3" customWidth="1"/>
    <col min="6" max="6" width="16.3984375" style="3" customWidth="1"/>
    <col min="7" max="16384" width="11.3984375" style="3"/>
  </cols>
  <sheetData>
    <row r="1" spans="1:10" s="2" customFormat="1" ht="14" customHeight="1"/>
    <row r="2" spans="1:10" s="2" customFormat="1" ht="26.25" customHeight="1">
      <c r="A2" s="1843" t="s">
        <v>465</v>
      </c>
      <c r="B2" s="1847"/>
      <c r="C2" s="1847"/>
      <c r="D2" s="1847"/>
      <c r="E2" s="1847"/>
      <c r="F2" s="1847"/>
    </row>
    <row r="3" spans="1:10" ht="24" customHeight="1">
      <c r="A3" s="92" t="s">
        <v>398</v>
      </c>
      <c r="B3" s="182" t="s">
        <v>399</v>
      </c>
      <c r="C3" s="183" t="s">
        <v>400</v>
      </c>
      <c r="D3" s="182" t="s">
        <v>401</v>
      </c>
      <c r="E3" s="183" t="s">
        <v>402</v>
      </c>
      <c r="F3" s="182" t="s">
        <v>278</v>
      </c>
    </row>
    <row r="4" spans="1:10" ht="15" customHeight="1">
      <c r="A4" s="184"/>
      <c r="B4" s="185" t="s">
        <v>403</v>
      </c>
      <c r="C4" s="186" t="s">
        <v>404</v>
      </c>
      <c r="D4" s="185" t="s">
        <v>405</v>
      </c>
      <c r="E4" s="187" t="s">
        <v>406</v>
      </c>
      <c r="F4" s="185"/>
    </row>
    <row r="5" spans="1:10" ht="15" customHeight="1">
      <c r="A5" s="184"/>
      <c r="B5" s="185" t="s">
        <v>407</v>
      </c>
      <c r="C5" s="186" t="s">
        <v>408</v>
      </c>
      <c r="D5" s="185"/>
      <c r="E5" s="187" t="s">
        <v>466</v>
      </c>
      <c r="F5" s="185"/>
    </row>
    <row r="6" spans="1:10" ht="21.75" customHeight="1">
      <c r="A6" s="188"/>
      <c r="B6" s="189"/>
      <c r="C6" s="190"/>
      <c r="D6" s="189"/>
      <c r="E6" s="191" t="s">
        <v>410</v>
      </c>
      <c r="F6" s="189"/>
    </row>
    <row r="7" spans="1:10" ht="1.5" customHeight="1" thickBot="1">
      <c r="A7" s="192">
        <v>1996</v>
      </c>
      <c r="B7" s="311">
        <v>-991.77532199999996</v>
      </c>
      <c r="C7" s="312">
        <v>663.77988200000004</v>
      </c>
      <c r="D7" s="311">
        <v>3.1671990000000001</v>
      </c>
      <c r="E7" s="312">
        <v>4.8958959999999996</v>
      </c>
      <c r="F7" s="311">
        <v>-319.932346</v>
      </c>
      <c r="G7" s="8"/>
    </row>
    <row r="8" spans="1:10" ht="0.75" hidden="1" customHeight="1" thickBot="1">
      <c r="A8" s="194">
        <v>1997</v>
      </c>
      <c r="B8" s="313">
        <v>-876.45968600000003</v>
      </c>
      <c r="C8" s="314">
        <v>838.25617299999999</v>
      </c>
      <c r="D8" s="313">
        <v>-2.0302950000000002</v>
      </c>
      <c r="E8" s="314">
        <v>110.40569600000001</v>
      </c>
      <c r="F8" s="313">
        <v>70.171887999999996</v>
      </c>
      <c r="G8" s="8"/>
      <c r="H8" s="9"/>
      <c r="I8" s="9"/>
      <c r="J8" s="9"/>
    </row>
    <row r="9" spans="1:10" ht="25.5" hidden="1" customHeight="1" thickBot="1">
      <c r="A9" s="194">
        <v>1998</v>
      </c>
      <c r="B9" s="313">
        <v>-430.86645099999998</v>
      </c>
      <c r="C9" s="314">
        <v>357.97673800000001</v>
      </c>
      <c r="D9" s="313">
        <v>4.5447670000000002</v>
      </c>
      <c r="E9" s="314">
        <v>68.311649000000003</v>
      </c>
      <c r="F9" s="313">
        <v>-3.3297E-2</v>
      </c>
      <c r="G9" s="8"/>
    </row>
    <row r="10" spans="1:10" ht="20" hidden="1" customHeight="1" thickBot="1">
      <c r="A10" s="194">
        <v>1999</v>
      </c>
      <c r="B10" s="313">
        <v>-927.49870799999997</v>
      </c>
      <c r="C10" s="314">
        <v>825.43840799999998</v>
      </c>
      <c r="D10" s="313">
        <v>3.6142530000000002</v>
      </c>
      <c r="E10" s="314">
        <v>49.059277000000002</v>
      </c>
      <c r="F10" s="313">
        <v>-49.386769999999999</v>
      </c>
      <c r="G10" s="8"/>
    </row>
    <row r="11" spans="1:10" ht="0.5" customHeight="1" thickBot="1">
      <c r="A11" s="194">
        <v>2000</v>
      </c>
      <c r="B11" s="313">
        <v>-1105.229685</v>
      </c>
      <c r="C11" s="314">
        <v>733.25541792999991</v>
      </c>
      <c r="D11" s="313">
        <v>3.8776509400000001</v>
      </c>
      <c r="E11" s="314">
        <v>62.142502969999995</v>
      </c>
      <c r="F11" s="313">
        <v>-305.95411339999998</v>
      </c>
      <c r="G11" s="8"/>
    </row>
    <row r="12" spans="1:10" ht="19.5" customHeight="1" thickBot="1">
      <c r="A12" s="194">
        <v>2001</v>
      </c>
      <c r="B12" s="313">
        <v>-1433.3465880000001</v>
      </c>
      <c r="C12" s="314">
        <v>618.03701349999994</v>
      </c>
      <c r="D12" s="313">
        <v>2.4723382099999998</v>
      </c>
      <c r="E12" s="314">
        <v>23.119861409999999</v>
      </c>
      <c r="F12" s="313">
        <v>-789.71737487999997</v>
      </c>
      <c r="G12" s="8"/>
    </row>
    <row r="13" spans="1:10" ht="19.5" customHeight="1" thickBot="1">
      <c r="A13" s="194">
        <v>2002</v>
      </c>
      <c r="B13" s="313">
        <v>-1276.900302</v>
      </c>
      <c r="C13" s="314">
        <v>976.64273475999994</v>
      </c>
      <c r="D13" s="313">
        <v>4.2638926399999999</v>
      </c>
      <c r="E13" s="314">
        <v>72.321311690000002</v>
      </c>
      <c r="F13" s="313">
        <v>-223.67236291000003</v>
      </c>
      <c r="G13" s="8"/>
    </row>
    <row r="14" spans="1:10" ht="19.5" customHeight="1" thickBot="1">
      <c r="A14" s="194">
        <v>2003</v>
      </c>
      <c r="B14" s="313">
        <v>-1199.9593440000001</v>
      </c>
      <c r="C14" s="314">
        <v>1406.6882224999999</v>
      </c>
      <c r="D14" s="313">
        <v>4.8424903200000005</v>
      </c>
      <c r="E14" s="314">
        <v>188.15856750999998</v>
      </c>
      <c r="F14" s="313">
        <v>399.72993632999999</v>
      </c>
      <c r="G14" s="8"/>
    </row>
    <row r="15" spans="1:10" ht="19.5" customHeight="1" thickBot="1">
      <c r="A15" s="194">
        <v>2004</v>
      </c>
      <c r="B15" s="313">
        <v>-1391.6407119999999</v>
      </c>
      <c r="C15" s="314">
        <v>1634.9812055999998</v>
      </c>
      <c r="D15" s="313">
        <v>5.2363249600000001</v>
      </c>
      <c r="E15" s="314">
        <v>265.5648372</v>
      </c>
      <c r="F15" s="313">
        <v>514.14165575999982</v>
      </c>
      <c r="G15" s="8"/>
    </row>
    <row r="16" spans="1:10" ht="19.5" customHeight="1" thickBot="1">
      <c r="A16" s="194">
        <v>2005</v>
      </c>
      <c r="B16" s="313">
        <v>-1649.4161382499999</v>
      </c>
      <c r="C16" s="314">
        <v>1546.15646917</v>
      </c>
      <c r="D16" s="313">
        <v>5.0852622199999997</v>
      </c>
      <c r="E16" s="314">
        <v>269.59908074000003</v>
      </c>
      <c r="F16" s="313">
        <v>171.42467388000009</v>
      </c>
      <c r="G16" s="8"/>
    </row>
    <row r="17" spans="1:7" ht="19.5" customHeight="1" thickBot="1">
      <c r="A17" s="194">
        <v>2006</v>
      </c>
      <c r="B17" s="313">
        <v>-1546.9894788199999</v>
      </c>
      <c r="C17" s="314">
        <v>1652.4787121400002</v>
      </c>
      <c r="D17" s="313">
        <v>4.8317589400000003</v>
      </c>
      <c r="E17" s="314">
        <v>380.62896021</v>
      </c>
      <c r="F17" s="313">
        <v>490.94995247000014</v>
      </c>
      <c r="G17" s="8"/>
    </row>
    <row r="18" spans="1:7" ht="19.5" customHeight="1" thickBot="1">
      <c r="A18" s="194">
        <v>2007</v>
      </c>
      <c r="B18" s="313">
        <v>-1647.7206760699999</v>
      </c>
      <c r="C18" s="314">
        <v>1490.2231348800001</v>
      </c>
      <c r="D18" s="313">
        <v>5.3827035700000003</v>
      </c>
      <c r="E18" s="314">
        <v>330.77491456000001</v>
      </c>
      <c r="F18" s="313">
        <v>178.66007694000018</v>
      </c>
      <c r="G18" s="8"/>
    </row>
    <row r="19" spans="1:7" ht="19.5" customHeight="1" thickBot="1">
      <c r="A19" s="194">
        <v>2008</v>
      </c>
      <c r="B19" s="313">
        <v>-2065.22871609</v>
      </c>
      <c r="C19" s="314">
        <v>1210.1395178499999</v>
      </c>
      <c r="D19" s="313">
        <v>3.7607259900000001</v>
      </c>
      <c r="E19" s="314">
        <v>96.009766569999996</v>
      </c>
      <c r="F19" s="313">
        <v>-755.31870568000011</v>
      </c>
      <c r="G19" s="8"/>
    </row>
    <row r="20" spans="1:7" ht="19.5" customHeight="1" thickBot="1">
      <c r="A20" s="194">
        <v>2009</v>
      </c>
      <c r="B20" s="313">
        <v>-1681.9109433599999</v>
      </c>
      <c r="C20" s="314">
        <v>1084.05465501</v>
      </c>
      <c r="D20" s="313">
        <v>4.3658856799999999</v>
      </c>
      <c r="E20" s="314">
        <v>121.88118064</v>
      </c>
      <c r="F20" s="313">
        <v>-471.60922202999984</v>
      </c>
      <c r="G20" s="8"/>
    </row>
    <row r="21" spans="1:7" ht="19.5" customHeight="1" thickBot="1">
      <c r="A21" s="194">
        <v>2010</v>
      </c>
      <c r="B21" s="313">
        <v>-1450.2067990799999</v>
      </c>
      <c r="C21" s="314">
        <v>1231.1412968599998</v>
      </c>
      <c r="D21" s="313">
        <v>6.3382554500000001</v>
      </c>
      <c r="E21" s="314">
        <v>437.23905256</v>
      </c>
      <c r="F21" s="313">
        <v>224.5118057899999</v>
      </c>
      <c r="G21" s="8"/>
    </row>
    <row r="22" spans="1:7" ht="30" customHeight="1" thickBot="1">
      <c r="A22" s="198">
        <v>2011</v>
      </c>
      <c r="B22" s="315">
        <v>-1395.4619334900001</v>
      </c>
      <c r="C22" s="316">
        <v>1202.0855390499999</v>
      </c>
      <c r="D22" s="315">
        <v>6.52914935</v>
      </c>
      <c r="E22" s="316">
        <v>774.51678420000007</v>
      </c>
      <c r="F22" s="315">
        <v>587.66953910999985</v>
      </c>
      <c r="G22" s="317"/>
    </row>
    <row r="23" spans="1:7" ht="20" customHeight="1">
      <c r="A23" s="112" t="s">
        <v>720</v>
      </c>
      <c r="B23" s="112"/>
      <c r="C23" s="112"/>
      <c r="D23" s="112"/>
      <c r="E23" s="112"/>
      <c r="F23" s="112"/>
    </row>
    <row r="24" spans="1:7" ht="12" customHeight="1">
      <c r="A24" s="115"/>
      <c r="B24" s="115"/>
      <c r="C24" s="115"/>
      <c r="D24" s="115"/>
      <c r="E24" s="115"/>
      <c r="F24" s="115"/>
    </row>
    <row r="25" spans="1:7">
      <c r="A25" s="3" t="s">
        <v>467</v>
      </c>
    </row>
    <row r="28" spans="1:7">
      <c r="A28" s="3" t="s">
        <v>719</v>
      </c>
    </row>
  </sheetData>
  <mergeCells count="1">
    <mergeCell ref="A2:F2"/>
  </mergeCells>
  <pageMargins left="0.6" right="0.65" top="1.01" bottom="0.49" header="0.53" footer="0.4921259845"/>
  <pageSetup paperSize="9" scale="85"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569C-4332-D74C-A8B7-554331C5F1BF}">
  <sheetPr>
    <pageSetUpPr fitToPage="1"/>
  </sheetPr>
  <dimension ref="A1:J28"/>
  <sheetViews>
    <sheetView zoomScaleNormal="100" workbookViewId="0">
      <selection activeCell="D5" sqref="D5"/>
    </sheetView>
  </sheetViews>
  <sheetFormatPr baseColWidth="10" defaultColWidth="11.3984375" defaultRowHeight="13"/>
  <cols>
    <col min="1" max="1" width="14.3984375" style="3" customWidth="1"/>
    <col min="2" max="6" width="15.3984375" style="3" customWidth="1"/>
    <col min="7" max="7" width="16.19921875" style="3" customWidth="1"/>
    <col min="8" max="16384" width="11.3984375" style="3"/>
  </cols>
  <sheetData>
    <row r="1" spans="1:10" s="2" customFormat="1" ht="14" customHeight="1"/>
    <row r="2" spans="1:10" s="2" customFormat="1" ht="39" customHeight="1">
      <c r="A2" s="1843" t="s">
        <v>1586</v>
      </c>
      <c r="B2" s="1847"/>
      <c r="C2" s="1847"/>
      <c r="D2" s="1847"/>
      <c r="E2" s="1847"/>
      <c r="F2" s="1847"/>
    </row>
    <row r="3" spans="1:10" ht="24" customHeight="1">
      <c r="A3" s="92" t="s">
        <v>469</v>
      </c>
      <c r="B3" s="182" t="s">
        <v>399</v>
      </c>
      <c r="C3" s="183" t="s">
        <v>400</v>
      </c>
      <c r="D3" s="182" t="s">
        <v>401</v>
      </c>
      <c r="E3" s="183" t="s">
        <v>402</v>
      </c>
      <c r="F3" s="182" t="s">
        <v>701</v>
      </c>
    </row>
    <row r="4" spans="1:10" ht="15" customHeight="1">
      <c r="A4" s="184"/>
      <c r="B4" s="185" t="s">
        <v>403</v>
      </c>
      <c r="C4" s="186" t="s">
        <v>404</v>
      </c>
      <c r="D4" s="185" t="s">
        <v>405</v>
      </c>
      <c r="E4" s="187" t="s">
        <v>406</v>
      </c>
      <c r="F4" s="185" t="s">
        <v>471</v>
      </c>
    </row>
    <row r="5" spans="1:10" ht="15" customHeight="1">
      <c r="A5" s="184"/>
      <c r="B5" s="185" t="s">
        <v>407</v>
      </c>
      <c r="C5" s="186" t="s">
        <v>408</v>
      </c>
      <c r="D5" s="185"/>
      <c r="E5" s="187" t="s">
        <v>409</v>
      </c>
      <c r="F5" s="185" t="s">
        <v>1584</v>
      </c>
    </row>
    <row r="6" spans="1:10" ht="24" customHeight="1">
      <c r="A6" s="188"/>
      <c r="B6" s="189"/>
      <c r="C6" s="190"/>
      <c r="D6" s="189"/>
      <c r="E6" s="191" t="s">
        <v>410</v>
      </c>
      <c r="F6" s="189"/>
    </row>
    <row r="7" spans="1:10" ht="1.5" customHeight="1" thickBot="1">
      <c r="A7" s="192">
        <v>1996</v>
      </c>
      <c r="B7" s="100">
        <v>-209.25119249563258</v>
      </c>
      <c r="C7" s="193">
        <v>287.88798918153714</v>
      </c>
      <c r="D7" s="100">
        <v>113.8133893919793</v>
      </c>
      <c r="E7" s="193">
        <v>40.26296485139558</v>
      </c>
      <c r="F7" s="100">
        <v>-44.467447531910054</v>
      </c>
    </row>
    <row r="8" spans="1:10" ht="0.75" hidden="1" customHeight="1" thickBot="1">
      <c r="A8" s="194">
        <v>1997</v>
      </c>
      <c r="B8" s="195">
        <v>-214.61582270081155</v>
      </c>
      <c r="C8" s="196">
        <v>306.33942450638875</v>
      </c>
      <c r="D8" s="195">
        <v>-176.63955107012353</v>
      </c>
      <c r="E8" s="196">
        <v>288.19554520703849</v>
      </c>
      <c r="F8" s="195">
        <v>9.7260962701001628</v>
      </c>
      <c r="H8" s="9"/>
      <c r="I8" s="9"/>
      <c r="J8" s="9"/>
    </row>
    <row r="9" spans="1:10" ht="19.5" hidden="1" customHeight="1" thickBot="1">
      <c r="A9" s="194">
        <v>1998</v>
      </c>
      <c r="B9" s="195">
        <v>-107.28033046607707</v>
      </c>
      <c r="C9" s="196">
        <v>131.29687859897859</v>
      </c>
      <c r="D9" s="195">
        <v>384.2379945891106</v>
      </c>
      <c r="E9" s="196">
        <v>138.27149421099506</v>
      </c>
      <c r="F9" s="195">
        <v>-4.5935747895146139E-3</v>
      </c>
    </row>
    <row r="10" spans="1:10" ht="20" hidden="1" customHeight="1" thickBot="1">
      <c r="A10" s="194">
        <v>1999</v>
      </c>
      <c r="B10" s="195">
        <v>-231.94750851767455</v>
      </c>
      <c r="C10" s="196">
        <v>303.95700464199626</v>
      </c>
      <c r="D10" s="195">
        <v>352.33505556638721</v>
      </c>
      <c r="E10" s="196">
        <v>90.53364520474635</v>
      </c>
      <c r="F10" s="195">
        <v>-6.7964685777290796</v>
      </c>
    </row>
    <row r="11" spans="1:10" ht="20" hidden="1" customHeight="1" thickBot="1">
      <c r="A11" s="194">
        <v>2000</v>
      </c>
      <c r="B11" s="195">
        <v>-281.80831964955939</v>
      </c>
      <c r="C11" s="196">
        <v>265.81296038591444</v>
      </c>
      <c r="D11" s="195">
        <v>395.23503618387525</v>
      </c>
      <c r="E11" s="196">
        <v>107.54256442516194</v>
      </c>
      <c r="F11" s="195">
        <v>-42.095410127886048</v>
      </c>
    </row>
    <row r="12" spans="1:10" ht="20" customHeight="1" thickBot="1">
      <c r="A12" s="194">
        <v>2001</v>
      </c>
      <c r="B12" s="195">
        <v>-369.21073383560986</v>
      </c>
      <c r="C12" s="196">
        <v>218.09355776804139</v>
      </c>
      <c r="D12" s="195">
        <v>264.67596724119471</v>
      </c>
      <c r="E12" s="196">
        <v>38.795684474417683</v>
      </c>
      <c r="F12" s="195">
        <v>-107.86592232759077</v>
      </c>
    </row>
    <row r="13" spans="1:10" ht="20" customHeight="1" thickBot="1">
      <c r="A13" s="194">
        <v>2002</v>
      </c>
      <c r="B13" s="195">
        <v>-334.90929649130862</v>
      </c>
      <c r="C13" s="196">
        <v>327.64230472151957</v>
      </c>
      <c r="D13" s="195">
        <v>482.61376796830785</v>
      </c>
      <c r="E13" s="196">
        <v>129.83261678350553</v>
      </c>
      <c r="F13" s="195">
        <v>-30.392888912290669</v>
      </c>
    </row>
    <row r="14" spans="1:10" ht="20" customHeight="1" thickBot="1">
      <c r="A14" s="194">
        <v>2003</v>
      </c>
      <c r="B14" s="195">
        <v>-326.58442193959615</v>
      </c>
      <c r="C14" s="196">
        <v>452.73392575127201</v>
      </c>
      <c r="D14" s="195">
        <v>582.24002885655887</v>
      </c>
      <c r="E14" s="196">
        <v>311.77683579562023</v>
      </c>
      <c r="F14" s="195">
        <v>54.067330132819563</v>
      </c>
    </row>
    <row r="15" spans="1:10" ht="20" customHeight="1" thickBot="1">
      <c r="A15" s="194">
        <v>2004</v>
      </c>
      <c r="B15" s="195">
        <v>-382.39377988050956</v>
      </c>
      <c r="C15" s="196">
        <v>540.52128193947215</v>
      </c>
      <c r="D15" s="195">
        <v>646.61953074833286</v>
      </c>
      <c r="E15" s="196">
        <v>355.14430610645576</v>
      </c>
      <c r="F15" s="195">
        <v>69.291571070195104</v>
      </c>
    </row>
    <row r="16" spans="1:10" ht="20" customHeight="1" thickBot="1">
      <c r="A16" s="194">
        <v>2005</v>
      </c>
      <c r="B16" s="195">
        <v>-457.46233703722402</v>
      </c>
      <c r="C16" s="196">
        <v>526.06943385550483</v>
      </c>
      <c r="D16" s="195">
        <v>659.48154843729731</v>
      </c>
      <c r="E16" s="196">
        <v>297.53361969202518</v>
      </c>
      <c r="F16" s="195">
        <v>22.983877251046639</v>
      </c>
    </row>
    <row r="17" spans="1:6" ht="20" customHeight="1" thickBot="1">
      <c r="A17" s="194">
        <v>2006</v>
      </c>
      <c r="B17" s="195">
        <v>-460.949938416431</v>
      </c>
      <c r="C17" s="196">
        <v>592.83257515796822</v>
      </c>
      <c r="D17" s="195">
        <v>669.21868975069253</v>
      </c>
      <c r="E17" s="196">
        <v>280.53307562761364</v>
      </c>
      <c r="F17" s="195">
        <v>65.394207090333808</v>
      </c>
    </row>
    <row r="18" spans="1:6" ht="20" customHeight="1" thickBot="1">
      <c r="A18" s="194">
        <v>2007</v>
      </c>
      <c r="B18" s="195">
        <v>-523.18043356720625</v>
      </c>
      <c r="C18" s="196">
        <v>577.6616172956227</v>
      </c>
      <c r="D18" s="195">
        <v>779.76293930175291</v>
      </c>
      <c r="E18" s="196">
        <v>179.66674102290708</v>
      </c>
      <c r="F18" s="195">
        <v>23.57885238636468</v>
      </c>
    </row>
    <row r="19" spans="1:6" ht="20" customHeight="1" thickBot="1">
      <c r="A19" s="194">
        <v>2008</v>
      </c>
      <c r="B19" s="195">
        <v>-695.79333085705503</v>
      </c>
      <c r="C19" s="196">
        <v>505.40006483827597</v>
      </c>
      <c r="D19" s="195">
        <v>573.54369223730373</v>
      </c>
      <c r="E19" s="196">
        <v>41.734830202162946</v>
      </c>
      <c r="F19" s="195">
        <v>-98.482009802061683</v>
      </c>
    </row>
    <row r="20" spans="1:6" ht="20" customHeight="1" thickBot="1">
      <c r="A20" s="194">
        <v>2009</v>
      </c>
      <c r="B20" s="195">
        <v>-617.40706927192127</v>
      </c>
      <c r="C20" s="196">
        <v>501.83068232343282</v>
      </c>
      <c r="D20" s="195">
        <v>710.13104749512036</v>
      </c>
      <c r="E20" s="196">
        <v>42.639330908197657</v>
      </c>
      <c r="F20" s="195">
        <v>-60.861268998486345</v>
      </c>
    </row>
    <row r="21" spans="1:6" ht="20" customHeight="1" thickBot="1">
      <c r="A21" s="194">
        <v>2010</v>
      </c>
      <c r="B21" s="195">
        <v>-605.39071524853591</v>
      </c>
      <c r="C21" s="196">
        <v>703.46750642247537</v>
      </c>
      <c r="D21" s="195">
        <v>1118.2525494001411</v>
      </c>
      <c r="E21" s="196">
        <v>119.09418401622064</v>
      </c>
      <c r="F21" s="195">
        <v>28.700286181136185</v>
      </c>
    </row>
    <row r="22" spans="1:6" s="110" customFormat="1" ht="24.5" customHeight="1" thickBot="1">
      <c r="A22" s="198">
        <v>2011</v>
      </c>
      <c r="B22" s="199">
        <v>-644.45246992511591</v>
      </c>
      <c r="C22" s="200">
        <v>785.63523045511965</v>
      </c>
      <c r="D22" s="199">
        <v>1243.4106551133116</v>
      </c>
      <c r="E22" s="200">
        <v>184.13071637706312</v>
      </c>
      <c r="F22" s="199">
        <v>74.322514170985116</v>
      </c>
    </row>
    <row r="23" spans="1:6" ht="20" customHeight="1">
      <c r="A23" s="112" t="s">
        <v>720</v>
      </c>
      <c r="B23" s="112"/>
      <c r="C23" s="112"/>
      <c r="D23" s="112"/>
      <c r="E23" s="112"/>
      <c r="F23" s="112"/>
    </row>
    <row r="25" spans="1:6">
      <c r="A25" s="3" t="s">
        <v>1587</v>
      </c>
    </row>
    <row r="28" spans="1:6">
      <c r="A28" s="3" t="s">
        <v>719</v>
      </c>
    </row>
  </sheetData>
  <mergeCells count="1">
    <mergeCell ref="A2:F2"/>
  </mergeCells>
  <pageMargins left="0.57999999999999996" right="0.72" top="1.1000000000000001" bottom="0.49" header="0.57999999999999996" footer="0.4921259845"/>
  <pageSetup paperSize="9" scale="83"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00C2-413A-8046-97F6-22DEB7E63ABE}">
  <sheetPr>
    <pageSetUpPr fitToPage="1"/>
  </sheetPr>
  <dimension ref="A1:J28"/>
  <sheetViews>
    <sheetView topLeftCell="A3" zoomScaleNormal="100" workbookViewId="0">
      <selection activeCell="I15" sqref="I15"/>
    </sheetView>
  </sheetViews>
  <sheetFormatPr baseColWidth="10" defaultColWidth="11.3984375" defaultRowHeight="13"/>
  <cols>
    <col min="1" max="1" width="14.3984375" style="3" customWidth="1"/>
    <col min="2" max="7" width="15.3984375" style="3" customWidth="1"/>
    <col min="8" max="8" width="17.59765625" style="3" customWidth="1"/>
    <col min="9" max="16384" width="11.3984375" style="3"/>
  </cols>
  <sheetData>
    <row r="1" spans="1:10" s="2" customFormat="1" ht="14" customHeight="1"/>
    <row r="2" spans="1:10" s="2" customFormat="1" ht="24.5" customHeight="1">
      <c r="A2" s="180" t="s">
        <v>468</v>
      </c>
      <c r="H2" s="318"/>
    </row>
    <row r="3" spans="1:10" ht="24" customHeight="1">
      <c r="A3" s="92" t="s">
        <v>469</v>
      </c>
      <c r="B3" s="182" t="s">
        <v>399</v>
      </c>
      <c r="C3" s="183" t="s">
        <v>400</v>
      </c>
      <c r="D3" s="182" t="s">
        <v>401</v>
      </c>
      <c r="E3" s="183" t="s">
        <v>402</v>
      </c>
      <c r="F3" s="182" t="s">
        <v>278</v>
      </c>
      <c r="G3" s="183" t="s">
        <v>470</v>
      </c>
      <c r="H3" s="185" t="s">
        <v>471</v>
      </c>
    </row>
    <row r="4" spans="1:10" ht="15" customHeight="1">
      <c r="A4" s="184"/>
      <c r="B4" s="185" t="s">
        <v>403</v>
      </c>
      <c r="C4" s="186" t="s">
        <v>404</v>
      </c>
      <c r="D4" s="185" t="s">
        <v>472</v>
      </c>
      <c r="E4" s="186" t="s">
        <v>406</v>
      </c>
      <c r="F4" s="185"/>
      <c r="G4" s="186" t="s">
        <v>471</v>
      </c>
      <c r="H4" s="319" t="s">
        <v>473</v>
      </c>
    </row>
    <row r="5" spans="1:10" ht="15" customHeight="1">
      <c r="A5" s="184"/>
      <c r="B5" s="185" t="s">
        <v>407</v>
      </c>
      <c r="C5" s="186" t="s">
        <v>408</v>
      </c>
      <c r="D5" s="185" t="s">
        <v>474</v>
      </c>
      <c r="E5" s="186" t="s">
        <v>466</v>
      </c>
      <c r="F5" s="185"/>
      <c r="G5" s="320" t="s">
        <v>473</v>
      </c>
      <c r="H5" s="321" t="s">
        <v>475</v>
      </c>
    </row>
    <row r="6" spans="1:10" ht="20.25" customHeight="1">
      <c r="A6" s="188"/>
      <c r="B6" s="189"/>
      <c r="C6" s="190"/>
      <c r="D6" s="189"/>
      <c r="E6" s="190" t="s">
        <v>410</v>
      </c>
      <c r="F6" s="189"/>
      <c r="G6" s="190" t="s">
        <v>476</v>
      </c>
      <c r="H6" s="189"/>
    </row>
    <row r="7" spans="1:10" ht="1.25" customHeight="1" thickBot="1">
      <c r="A7" s="322">
        <v>1996</v>
      </c>
      <c r="B7" s="311">
        <v>649.20907799999998</v>
      </c>
      <c r="C7" s="312">
        <v>296.20469200000002</v>
      </c>
      <c r="D7" s="323">
        <v>2.7034440000000002</v>
      </c>
      <c r="E7" s="312">
        <v>11.710364999999999</v>
      </c>
      <c r="F7" s="311">
        <v>959.82757900000001</v>
      </c>
      <c r="G7" s="248">
        <v>8.160992566527614E-2</v>
      </c>
      <c r="H7" s="311">
        <v>11761.162275000001</v>
      </c>
    </row>
    <row r="8" spans="1:10" ht="20.25" hidden="1" customHeight="1" thickBot="1">
      <c r="A8" s="324">
        <v>1997</v>
      </c>
      <c r="B8" s="313">
        <v>500.88918699999999</v>
      </c>
      <c r="C8" s="314">
        <v>356.20229</v>
      </c>
      <c r="D8" s="325">
        <v>0.94700200000000001</v>
      </c>
      <c r="E8" s="314">
        <v>35.169956999999997</v>
      </c>
      <c r="F8" s="313">
        <v>893.208437</v>
      </c>
      <c r="G8" s="277">
        <v>7.2355407590263501E-2</v>
      </c>
      <c r="H8" s="313">
        <v>12344.736444</v>
      </c>
      <c r="I8" s="9"/>
      <c r="J8" s="9"/>
    </row>
    <row r="9" spans="1:10" ht="20.25" hidden="1" customHeight="1" thickBot="1">
      <c r="A9" s="324">
        <v>1998</v>
      </c>
      <c r="B9" s="313">
        <v>457.36546700000002</v>
      </c>
      <c r="C9" s="314">
        <v>348.23780499999998</v>
      </c>
      <c r="D9" s="325">
        <v>0.77532999999999996</v>
      </c>
      <c r="E9" s="314">
        <v>48.566195999999998</v>
      </c>
      <c r="F9" s="313">
        <v>854.94479699999999</v>
      </c>
      <c r="G9" s="277">
        <v>6.5539994260804965E-2</v>
      </c>
      <c r="H9" s="313">
        <v>13044.627279</v>
      </c>
    </row>
    <row r="10" spans="1:10" ht="20" hidden="1" customHeight="1" thickBot="1">
      <c r="A10" s="324">
        <v>1999</v>
      </c>
      <c r="B10" s="313">
        <v>466.63042200000001</v>
      </c>
      <c r="C10" s="314">
        <v>332.81061399999999</v>
      </c>
      <c r="D10" s="325">
        <v>0.65314099999999997</v>
      </c>
      <c r="E10" s="314">
        <v>54.148946000000002</v>
      </c>
      <c r="F10" s="313">
        <v>854.24312299999997</v>
      </c>
      <c r="G10" s="277">
        <v>6.3520258007815578E-2</v>
      </c>
      <c r="H10" s="313">
        <v>13448.357260999999</v>
      </c>
    </row>
    <row r="11" spans="1:10" ht="0.5" customHeight="1" thickBot="1">
      <c r="A11" s="324">
        <v>2000</v>
      </c>
      <c r="B11" s="313">
        <v>463.03968730999998</v>
      </c>
      <c r="C11" s="314">
        <v>338.66405874999998</v>
      </c>
      <c r="D11" s="325">
        <v>0.69213239999999998</v>
      </c>
      <c r="E11" s="314">
        <v>60.882478249999998</v>
      </c>
      <c r="F11" s="313">
        <v>863.27835670999991</v>
      </c>
      <c r="G11" s="277">
        <v>6.0778319554744782E-2</v>
      </c>
      <c r="H11" s="313">
        <v>14203.722035000001</v>
      </c>
    </row>
    <row r="12" spans="1:10" ht="20" customHeight="1" thickBot="1">
      <c r="A12" s="324">
        <v>2001</v>
      </c>
      <c r="B12" s="313">
        <v>473.4058023</v>
      </c>
      <c r="C12" s="314">
        <v>367.78467855999997</v>
      </c>
      <c r="D12" s="325">
        <v>0.74993127000000004</v>
      </c>
      <c r="E12" s="314">
        <v>66.915939469999998</v>
      </c>
      <c r="F12" s="313">
        <v>908.85635160000004</v>
      </c>
      <c r="G12" s="277">
        <v>6.0883052653460515E-2</v>
      </c>
      <c r="H12" s="313">
        <v>14927.903775999999</v>
      </c>
    </row>
    <row r="13" spans="1:10" ht="20" customHeight="1" thickBot="1">
      <c r="A13" s="324">
        <v>2002</v>
      </c>
      <c r="B13" s="313">
        <v>472.86005104000003</v>
      </c>
      <c r="C13" s="314">
        <v>381.94053387999998</v>
      </c>
      <c r="D13" s="325">
        <v>0.68625539000000002</v>
      </c>
      <c r="E13" s="314">
        <v>68.086548329999999</v>
      </c>
      <c r="F13" s="313">
        <v>923.57338864000008</v>
      </c>
      <c r="G13" s="277">
        <v>5.9305732530714958E-2</v>
      </c>
      <c r="H13" s="313">
        <v>15573.087949999999</v>
      </c>
    </row>
    <row r="14" spans="1:10" ht="20" customHeight="1" thickBot="1">
      <c r="A14" s="324">
        <v>2003</v>
      </c>
      <c r="B14" s="313">
        <v>470.97029786000002</v>
      </c>
      <c r="C14" s="314">
        <v>408.59478426000004</v>
      </c>
      <c r="D14" s="325">
        <v>0.69236929000000003</v>
      </c>
      <c r="E14" s="314">
        <v>68.876407299999997</v>
      </c>
      <c r="F14" s="313">
        <v>949.13385871000003</v>
      </c>
      <c r="G14" s="277">
        <v>5.7102364889053812E-2</v>
      </c>
      <c r="H14" s="313">
        <v>16621.620847999999</v>
      </c>
    </row>
    <row r="15" spans="1:10" ht="20" customHeight="1" thickBot="1">
      <c r="A15" s="324">
        <v>2004</v>
      </c>
      <c r="B15" s="313">
        <v>484.89785329</v>
      </c>
      <c r="C15" s="314">
        <v>415.93059272000005</v>
      </c>
      <c r="D15" s="325">
        <v>0.72310930000000007</v>
      </c>
      <c r="E15" s="314">
        <v>85.829196190000005</v>
      </c>
      <c r="F15" s="313">
        <v>987.38075149999997</v>
      </c>
      <c r="G15" s="277">
        <v>5.6068315584587115E-2</v>
      </c>
      <c r="H15" s="313">
        <v>17610.315936999999</v>
      </c>
    </row>
    <row r="16" spans="1:10" ht="20" customHeight="1" thickBot="1">
      <c r="A16" s="324">
        <v>2005</v>
      </c>
      <c r="B16" s="313">
        <v>499.70172670000005</v>
      </c>
      <c r="C16" s="314">
        <v>398.93824144999996</v>
      </c>
      <c r="D16" s="325">
        <v>0.73337903999999998</v>
      </c>
      <c r="E16" s="314">
        <v>99.764105649999991</v>
      </c>
      <c r="F16" s="313">
        <v>999.13745284000004</v>
      </c>
      <c r="G16" s="277">
        <v>5.3974609336098663E-2</v>
      </c>
      <c r="H16" s="313">
        <v>18511.249365759999</v>
      </c>
    </row>
    <row r="17" spans="1:9" ht="20" customHeight="1" thickBot="1">
      <c r="A17" s="324">
        <v>2006</v>
      </c>
      <c r="B17" s="313">
        <v>508.33811201999998</v>
      </c>
      <c r="C17" s="314">
        <v>413.42068921999999</v>
      </c>
      <c r="D17" s="325">
        <v>0.82242013000000003</v>
      </c>
      <c r="E17" s="314">
        <v>155.37155938000001</v>
      </c>
      <c r="F17" s="313">
        <v>1077.9527807500001</v>
      </c>
      <c r="G17" s="277">
        <v>5.6978300934543424E-2</v>
      </c>
      <c r="H17" s="313">
        <v>18918.654348580003</v>
      </c>
    </row>
    <row r="18" spans="1:9" ht="20" customHeight="1" thickBot="1">
      <c r="A18" s="324">
        <v>2007</v>
      </c>
      <c r="B18" s="313">
        <v>481.02098633999998</v>
      </c>
      <c r="C18" s="314">
        <v>375.93586996999994</v>
      </c>
      <c r="D18" s="325">
        <v>0.73084894999999994</v>
      </c>
      <c r="E18" s="314">
        <v>214.01462028999998</v>
      </c>
      <c r="F18" s="313">
        <v>1071.7023255499998</v>
      </c>
      <c r="G18" s="277">
        <v>5.4317232192756151E-2</v>
      </c>
      <c r="H18" s="313">
        <v>19730.429594549998</v>
      </c>
    </row>
    <row r="19" spans="1:9" ht="20" customHeight="1" thickBot="1">
      <c r="A19" s="324">
        <v>2008</v>
      </c>
      <c r="B19" s="313">
        <v>494.93695520999995</v>
      </c>
      <c r="C19" s="314">
        <v>380.25120643000002</v>
      </c>
      <c r="D19" s="325">
        <v>1.0176752199999999</v>
      </c>
      <c r="E19" s="314">
        <v>292.41166817999999</v>
      </c>
      <c r="F19" s="313">
        <v>1168.61750504</v>
      </c>
      <c r="G19" s="277">
        <v>5.6945041751302432E-2</v>
      </c>
      <c r="H19" s="313">
        <v>20521.848243500001</v>
      </c>
    </row>
    <row r="20" spans="1:9" ht="20" customHeight="1" thickBot="1">
      <c r="A20" s="324">
        <v>2009</v>
      </c>
      <c r="B20" s="313">
        <v>471.00206706</v>
      </c>
      <c r="C20" s="314">
        <v>343.37352005000002</v>
      </c>
      <c r="D20" s="325">
        <v>0.93321898000000003</v>
      </c>
      <c r="E20" s="314">
        <v>318.95528353000003</v>
      </c>
      <c r="F20" s="313">
        <v>1134.26408962</v>
      </c>
      <c r="G20" s="277">
        <v>5.3220919384584751E-2</v>
      </c>
      <c r="H20" s="313">
        <v>21312.37308066</v>
      </c>
    </row>
    <row r="21" spans="1:9" ht="20" customHeight="1" thickBot="1">
      <c r="A21" s="324">
        <v>2010</v>
      </c>
      <c r="B21" s="313">
        <v>455.71942082999999</v>
      </c>
      <c r="C21" s="314">
        <v>304.80923538000002</v>
      </c>
      <c r="D21" s="325">
        <v>0.89981051000000001</v>
      </c>
      <c r="E21" s="314">
        <v>464.01499822000005</v>
      </c>
      <c r="F21" s="313">
        <v>1225.44346494</v>
      </c>
      <c r="G21" s="277">
        <v>5.5200957332831042E-2</v>
      </c>
      <c r="H21" s="313">
        <v>22199.677761949999</v>
      </c>
    </row>
    <row r="22" spans="1:9" ht="27" customHeight="1" thickBot="1">
      <c r="A22" s="326">
        <v>2011</v>
      </c>
      <c r="B22" s="315">
        <v>411.97753652</v>
      </c>
      <c r="C22" s="316">
        <v>262.80639998000004</v>
      </c>
      <c r="D22" s="327">
        <v>0.79432531000000006</v>
      </c>
      <c r="E22" s="316">
        <v>579.08079178000003</v>
      </c>
      <c r="F22" s="315">
        <v>1254.65905359</v>
      </c>
      <c r="G22" s="284">
        <v>5.4420163641072827E-2</v>
      </c>
      <c r="H22" s="328">
        <v>23055.040074209999</v>
      </c>
      <c r="I22" s="8"/>
    </row>
    <row r="23" spans="1:9" ht="20" customHeight="1">
      <c r="A23" s="112" t="s">
        <v>720</v>
      </c>
      <c r="B23" s="112"/>
      <c r="C23" s="112"/>
      <c r="D23" s="112"/>
      <c r="E23" s="112"/>
      <c r="F23" s="112"/>
      <c r="G23" s="112"/>
    </row>
    <row r="24" spans="1:9">
      <c r="F24" s="329"/>
    </row>
    <row r="25" spans="1:9">
      <c r="A25" s="3" t="s">
        <v>477</v>
      </c>
    </row>
    <row r="28" spans="1:9">
      <c r="A28" s="3" t="s">
        <v>719</v>
      </c>
    </row>
  </sheetData>
  <pageMargins left="0.48" right="0.56000000000000005" top="0.94" bottom="0.49" header="0.57999999999999996" footer="0.4921259845"/>
  <pageSetup paperSize="9" scale="74" orientation="portrait" horizontalDpi="1200"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F654-BC4A-914D-BA53-5D7391B923AF}">
  <sheetPr>
    <pageSetUpPr fitToPage="1"/>
  </sheetPr>
  <dimension ref="A1:J28"/>
  <sheetViews>
    <sheetView zoomScaleNormal="100" workbookViewId="0">
      <selection activeCell="D6" sqref="D6"/>
    </sheetView>
  </sheetViews>
  <sheetFormatPr baseColWidth="10" defaultColWidth="11.3984375" defaultRowHeight="13"/>
  <cols>
    <col min="1" max="1" width="19.59765625" style="3" customWidth="1"/>
    <col min="2" max="7" width="14.796875" style="3" customWidth="1"/>
    <col min="8" max="8" width="15.3984375" style="3" customWidth="1"/>
    <col min="9" max="16384" width="11.3984375" style="3"/>
  </cols>
  <sheetData>
    <row r="1" spans="1:10" s="2" customFormat="1" ht="14" customHeight="1"/>
    <row r="2" spans="1:10" s="2" customFormat="1" ht="39" customHeight="1">
      <c r="A2" s="1843" t="s">
        <v>1583</v>
      </c>
      <c r="B2" s="1847"/>
      <c r="C2" s="1847"/>
      <c r="D2" s="1847"/>
      <c r="E2" s="1847"/>
      <c r="F2" s="1847"/>
      <c r="G2" s="1847"/>
    </row>
    <row r="3" spans="1:10" ht="24" customHeight="1">
      <c r="A3" s="92" t="s">
        <v>469</v>
      </c>
      <c r="B3" s="182" t="s">
        <v>399</v>
      </c>
      <c r="C3" s="183" t="s">
        <v>400</v>
      </c>
      <c r="D3" s="182" t="s">
        <v>401</v>
      </c>
      <c r="E3" s="183" t="s">
        <v>402</v>
      </c>
      <c r="F3" s="182" t="s">
        <v>701</v>
      </c>
      <c r="G3" s="94" t="s">
        <v>279</v>
      </c>
    </row>
    <row r="4" spans="1:10" ht="15" customHeight="1">
      <c r="A4" s="184"/>
      <c r="B4" s="185" t="s">
        <v>403</v>
      </c>
      <c r="C4" s="186" t="s">
        <v>404</v>
      </c>
      <c r="D4" s="185" t="s">
        <v>405</v>
      </c>
      <c r="E4" s="187" t="s">
        <v>406</v>
      </c>
      <c r="F4" s="185" t="s">
        <v>471</v>
      </c>
      <c r="G4" s="95" t="s">
        <v>282</v>
      </c>
    </row>
    <row r="5" spans="1:10" ht="15" customHeight="1">
      <c r="A5" s="184"/>
      <c r="B5" s="185" t="s">
        <v>407</v>
      </c>
      <c r="C5" s="186" t="s">
        <v>408</v>
      </c>
      <c r="D5" s="185"/>
      <c r="E5" s="187" t="s">
        <v>466</v>
      </c>
      <c r="F5" s="185" t="s">
        <v>1584</v>
      </c>
      <c r="G5" s="95" t="s">
        <v>283</v>
      </c>
    </row>
    <row r="6" spans="1:10" ht="24" customHeight="1">
      <c r="A6" s="188"/>
      <c r="B6" s="189"/>
      <c r="C6" s="190"/>
      <c r="D6" s="189"/>
      <c r="E6" s="191" t="s">
        <v>410</v>
      </c>
      <c r="F6" s="189"/>
      <c r="G6" s="97"/>
    </row>
    <row r="7" spans="1:10" ht="1.5" customHeight="1" thickBot="1">
      <c r="A7" s="192">
        <v>1996</v>
      </c>
      <c r="B7" s="100">
        <v>136.97434362103451</v>
      </c>
      <c r="C7" s="193">
        <v>128.46694435673865</v>
      </c>
      <c r="D7" s="100">
        <v>97.148339801638642</v>
      </c>
      <c r="E7" s="193">
        <v>96.303927696179215</v>
      </c>
      <c r="F7" s="100">
        <v>133.40658749416588</v>
      </c>
      <c r="G7" s="101">
        <v>0.15128629508664851</v>
      </c>
    </row>
    <row r="8" spans="1:10" ht="0.75" hidden="1" customHeight="1" thickBot="1">
      <c r="A8" s="194">
        <v>1997</v>
      </c>
      <c r="B8" s="195">
        <v>122.6511004066257</v>
      </c>
      <c r="C8" s="196">
        <v>130.17357705334524</v>
      </c>
      <c r="D8" s="195">
        <v>82.390986601705237</v>
      </c>
      <c r="E8" s="196">
        <v>91.805271826945415</v>
      </c>
      <c r="F8" s="195">
        <v>123.8021591713151</v>
      </c>
      <c r="G8" s="197">
        <v>-7.1993658658503643E-2</v>
      </c>
      <c r="H8" s="9"/>
      <c r="I8" s="9"/>
      <c r="J8" s="9"/>
    </row>
    <row r="9" spans="1:10" ht="19.5" hidden="1" customHeight="1" thickBot="1">
      <c r="A9" s="194">
        <v>1998</v>
      </c>
      <c r="B9" s="195">
        <v>113.87825236718575</v>
      </c>
      <c r="C9" s="196">
        <v>127.72488252200283</v>
      </c>
      <c r="D9" s="195">
        <v>65.550388907676705</v>
      </c>
      <c r="E9" s="196">
        <v>98.304177799368475</v>
      </c>
      <c r="F9" s="195">
        <v>117.94614727831004</v>
      </c>
      <c r="G9" s="197">
        <v>-4.7301371253966752E-2</v>
      </c>
    </row>
    <row r="10" spans="1:10" ht="0.5" customHeight="1" thickBot="1">
      <c r="A10" s="194">
        <v>1999</v>
      </c>
      <c r="B10" s="195">
        <v>116.69424749371302</v>
      </c>
      <c r="C10" s="196">
        <v>122.55319883843305</v>
      </c>
      <c r="D10" s="195">
        <v>63.671378436342366</v>
      </c>
      <c r="E10" s="196">
        <v>99.926084629721899</v>
      </c>
      <c r="F10" s="195">
        <v>117.55853932562621</v>
      </c>
      <c r="G10" s="197">
        <v>-3.2863129625523811E-3</v>
      </c>
    </row>
    <row r="11" spans="1:10" ht="20" hidden="1" customHeight="1" thickBot="1">
      <c r="A11" s="194">
        <v>2000</v>
      </c>
      <c r="B11" s="195">
        <v>118.06454168111537</v>
      </c>
      <c r="C11" s="196">
        <v>122.76935680445337</v>
      </c>
      <c r="D11" s="195">
        <v>70.546570176332693</v>
      </c>
      <c r="E11" s="196">
        <v>105.36199101482934</v>
      </c>
      <c r="F11" s="195">
        <v>118.77616573412266</v>
      </c>
      <c r="G11" s="197">
        <v>1.0357617706730186E-2</v>
      </c>
    </row>
    <row r="12" spans="1:10" ht="20" customHeight="1" thickBot="1">
      <c r="A12" s="194">
        <v>2001</v>
      </c>
      <c r="B12" s="195">
        <v>121.94294466707073</v>
      </c>
      <c r="C12" s="196">
        <v>129.78424801045657</v>
      </c>
      <c r="D12" s="195">
        <v>80.283831495557223</v>
      </c>
      <c r="E12" s="196">
        <v>112.28655864106896</v>
      </c>
      <c r="F12" s="195">
        <v>124.13887771371346</v>
      </c>
      <c r="G12" s="197">
        <v>4.514973139977501E-2</v>
      </c>
    </row>
    <row r="13" spans="1:10" ht="20" customHeight="1" thickBot="1">
      <c r="A13" s="194">
        <v>2002</v>
      </c>
      <c r="B13" s="195">
        <v>124.02317297960094</v>
      </c>
      <c r="C13" s="196">
        <v>128.13270639622655</v>
      </c>
      <c r="D13" s="195">
        <v>77.674633842671199</v>
      </c>
      <c r="E13" s="196">
        <v>122.23028773775435</v>
      </c>
      <c r="F13" s="195">
        <v>125.49634223061366</v>
      </c>
      <c r="G13" s="197">
        <v>1.0935047439616501E-2</v>
      </c>
    </row>
    <row r="14" spans="1:10" ht="20" customHeight="1" thickBot="1">
      <c r="A14" s="194">
        <v>2003</v>
      </c>
      <c r="B14" s="195">
        <v>128.18064482468625</v>
      </c>
      <c r="C14" s="196">
        <v>131.50371046027854</v>
      </c>
      <c r="D14" s="195">
        <v>83.247479860526639</v>
      </c>
      <c r="E14" s="196">
        <v>114.12750752273389</v>
      </c>
      <c r="F14" s="195">
        <v>128.37951080237647</v>
      </c>
      <c r="G14" s="197">
        <v>2.2974124349095865E-2</v>
      </c>
    </row>
    <row r="15" spans="1:10" ht="20" customHeight="1" thickBot="1">
      <c r="A15" s="194">
        <v>2004</v>
      </c>
      <c r="B15" s="195">
        <v>133.23979485267307</v>
      </c>
      <c r="C15" s="196">
        <v>137.50576239336979</v>
      </c>
      <c r="D15" s="195">
        <v>89.294801185477908</v>
      </c>
      <c r="E15" s="196">
        <v>114.78082206198195</v>
      </c>
      <c r="F15" s="195">
        <v>133.07064842814813</v>
      </c>
      <c r="G15" s="197">
        <v>3.6541170755768453E-2</v>
      </c>
    </row>
    <row r="16" spans="1:10" ht="20" customHeight="1" thickBot="1">
      <c r="A16" s="194">
        <v>2005</v>
      </c>
      <c r="B16" s="195">
        <v>138.59129568130271</v>
      </c>
      <c r="C16" s="196">
        <v>135.73607782113612</v>
      </c>
      <c r="D16" s="195">
        <v>95.10816236545196</v>
      </c>
      <c r="E16" s="196">
        <v>110.10117463274447</v>
      </c>
      <c r="F16" s="195">
        <v>133.96001901729241</v>
      </c>
      <c r="G16" s="197">
        <v>6.6834467228473445E-3</v>
      </c>
    </row>
    <row r="17" spans="1:7" ht="20" customHeight="1" thickBot="1">
      <c r="A17" s="194">
        <v>2006</v>
      </c>
      <c r="B17" s="195">
        <v>151.46736589900746</v>
      </c>
      <c r="C17" s="196">
        <v>148.31613261539576</v>
      </c>
      <c r="D17" s="195">
        <v>113.9086052631579</v>
      </c>
      <c r="E17" s="196">
        <v>114.51273017660594</v>
      </c>
      <c r="F17" s="195">
        <v>143.58259334442883</v>
      </c>
      <c r="G17" s="197">
        <v>7.1831688273306951E-2</v>
      </c>
    </row>
    <row r="18" spans="1:7" ht="20" customHeight="1" thickBot="1">
      <c r="A18" s="194">
        <v>2007</v>
      </c>
      <c r="B18" s="195">
        <v>152.73266388118995</v>
      </c>
      <c r="C18" s="196">
        <v>145.72564172666276</v>
      </c>
      <c r="D18" s="195">
        <v>105.8741054613936</v>
      </c>
      <c r="E18" s="196">
        <v>116.24614705110733</v>
      </c>
      <c r="F18" s="195">
        <v>141.43904653502142</v>
      </c>
      <c r="G18" s="197">
        <v>-1.4929015833175735E-2</v>
      </c>
    </row>
    <row r="19" spans="1:7" ht="20" customHeight="1" thickBot="1">
      <c r="A19" s="194">
        <v>2008</v>
      </c>
      <c r="B19" s="195">
        <v>166.74852036814676</v>
      </c>
      <c r="C19" s="196">
        <v>158.8072958116353</v>
      </c>
      <c r="D19" s="195">
        <v>155.20439530272989</v>
      </c>
      <c r="E19" s="196">
        <v>127.10947809383383</v>
      </c>
      <c r="F19" s="195">
        <v>152.36985357406002</v>
      </c>
      <c r="G19" s="197">
        <v>7.7282810559190507E-2</v>
      </c>
    </row>
    <row r="20" spans="1:7" ht="20" customHeight="1" thickBot="1">
      <c r="A20" s="194">
        <v>2009</v>
      </c>
      <c r="B20" s="195">
        <v>172.89857527390382</v>
      </c>
      <c r="C20" s="196">
        <v>158.95450202822192</v>
      </c>
      <c r="D20" s="195">
        <v>151.79228692257647</v>
      </c>
      <c r="E20" s="196">
        <v>111.58441203096042</v>
      </c>
      <c r="F20" s="195">
        <v>146.37701861838218</v>
      </c>
      <c r="G20" s="197">
        <v>-3.9330844094858874E-2</v>
      </c>
    </row>
    <row r="21" spans="1:7" ht="20" customHeight="1" thickBot="1">
      <c r="A21" s="194">
        <v>2010</v>
      </c>
      <c r="B21" s="195">
        <v>190.24066519612489</v>
      </c>
      <c r="C21" s="196">
        <v>174.16635547373184</v>
      </c>
      <c r="D21" s="195">
        <v>158.75273641496119</v>
      </c>
      <c r="E21" s="196">
        <v>126.38735552267656</v>
      </c>
      <c r="F21" s="195">
        <v>156.65358005929718</v>
      </c>
      <c r="G21" s="197">
        <v>7.0206112529910936E-2</v>
      </c>
    </row>
    <row r="22" spans="1:7" ht="26.25" customHeight="1" thickBot="1">
      <c r="A22" s="198">
        <v>2011</v>
      </c>
      <c r="B22" s="199">
        <v>190.25953671124003</v>
      </c>
      <c r="C22" s="200">
        <v>171.75979571016177</v>
      </c>
      <c r="D22" s="199">
        <v>151.27124547705202</v>
      </c>
      <c r="E22" s="200">
        <v>137.66849628802186</v>
      </c>
      <c r="F22" s="199">
        <v>158.67661854895482</v>
      </c>
      <c r="G22" s="109">
        <v>1.2914090369922304E-2</v>
      </c>
    </row>
    <row r="23" spans="1:7" ht="20.25" customHeight="1">
      <c r="A23" s="112" t="s">
        <v>720</v>
      </c>
      <c r="B23" s="112"/>
      <c r="C23" s="112"/>
      <c r="D23" s="112"/>
      <c r="E23" s="112"/>
      <c r="F23" s="112"/>
      <c r="G23" s="112"/>
    </row>
    <row r="25" spans="1:7">
      <c r="A25" s="3" t="s">
        <v>1585</v>
      </c>
    </row>
    <row r="28" spans="1:7">
      <c r="A28" s="3" t="s">
        <v>719</v>
      </c>
    </row>
  </sheetData>
  <mergeCells count="1">
    <mergeCell ref="A2:G2"/>
  </mergeCells>
  <pageMargins left="0.55000000000000004" right="0.55000000000000004" top="1.0900000000000001" bottom="0.49" header="0.53" footer="0.4921259845"/>
  <pageSetup paperSize="9" scale="74"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5B3E-2EE7-724C-B9CD-D548F7AAFBF5}">
  <sheetPr>
    <pageSetUpPr fitToPage="1"/>
  </sheetPr>
  <dimension ref="A1:K32"/>
  <sheetViews>
    <sheetView zoomScaleNormal="100" workbookViewId="0">
      <selection activeCell="I16" sqref="I16"/>
    </sheetView>
  </sheetViews>
  <sheetFormatPr baseColWidth="10" defaultColWidth="11.3984375" defaultRowHeight="13"/>
  <cols>
    <col min="1" max="1" width="17.796875" style="3" customWidth="1"/>
    <col min="2" max="2" width="17.3984375" style="3" customWidth="1"/>
    <col min="3" max="5" width="15.3984375" style="3" customWidth="1"/>
    <col min="6" max="6" width="16.19921875" style="227" customWidth="1"/>
    <col min="7" max="7" width="18.3984375" style="3" customWidth="1"/>
    <col min="8" max="16384" width="11.3984375" style="3"/>
  </cols>
  <sheetData>
    <row r="1" spans="1:11" s="2" customFormat="1" ht="14" customHeight="1">
      <c r="F1" s="209"/>
    </row>
    <row r="2" spans="1:11" s="2" customFormat="1" ht="24" customHeight="1">
      <c r="A2" s="180" t="s">
        <v>1572</v>
      </c>
      <c r="F2" s="207"/>
      <c r="G2" s="938"/>
    </row>
    <row r="3" spans="1:11" ht="24" customHeight="1">
      <c r="A3" s="92" t="s">
        <v>469</v>
      </c>
      <c r="B3" s="182" t="s">
        <v>1560</v>
      </c>
      <c r="C3" s="94" t="s">
        <v>279</v>
      </c>
      <c r="D3" s="182" t="s">
        <v>1573</v>
      </c>
      <c r="E3" s="467" t="s">
        <v>1574</v>
      </c>
      <c r="F3" s="933" t="s">
        <v>1574</v>
      </c>
      <c r="G3" s="934"/>
    </row>
    <row r="4" spans="1:11" ht="15" customHeight="1">
      <c r="A4" s="184"/>
      <c r="B4" s="96" t="s">
        <v>898</v>
      </c>
      <c r="C4" s="95" t="s">
        <v>282</v>
      </c>
      <c r="D4" s="96" t="s">
        <v>1575</v>
      </c>
      <c r="E4" s="939" t="s">
        <v>1576</v>
      </c>
      <c r="F4" s="896" t="s">
        <v>1576</v>
      </c>
      <c r="G4" s="934"/>
    </row>
    <row r="5" spans="1:11" ht="15" customHeight="1">
      <c r="A5" s="184"/>
      <c r="B5" s="321" t="s">
        <v>1045</v>
      </c>
      <c r="C5" s="95" t="s">
        <v>283</v>
      </c>
      <c r="D5" s="185" t="s">
        <v>1577</v>
      </c>
      <c r="E5" s="939" t="s">
        <v>1578</v>
      </c>
      <c r="F5" s="896" t="s">
        <v>1579</v>
      </c>
      <c r="G5" s="934"/>
    </row>
    <row r="6" spans="1:11" ht="22.5" customHeight="1">
      <c r="A6" s="188"/>
      <c r="B6" s="189"/>
      <c r="C6" s="97"/>
      <c r="D6" s="189"/>
      <c r="E6" s="190"/>
      <c r="F6" s="897"/>
      <c r="G6" s="935"/>
    </row>
    <row r="7" spans="1:11" ht="1.5" customHeight="1" thickBot="1">
      <c r="A7" s="192">
        <v>1996</v>
      </c>
      <c r="B7" s="100">
        <v>2856.0771495999998</v>
      </c>
      <c r="C7" s="101" t="s">
        <v>1415</v>
      </c>
      <c r="D7" s="100">
        <v>394.88575237875602</v>
      </c>
      <c r="E7" s="248">
        <v>0.25659604678130066</v>
      </c>
      <c r="F7" s="247">
        <v>0.16889043725722225</v>
      </c>
      <c r="G7" s="936"/>
    </row>
    <row r="8" spans="1:11" ht="0.75" hidden="1" customHeight="1" thickBot="1">
      <c r="A8" s="194">
        <v>1997</v>
      </c>
      <c r="B8" s="195">
        <v>2991.8799653000001</v>
      </c>
      <c r="C8" s="197">
        <v>4.7548721055738929E-2</v>
      </c>
      <c r="D8" s="195">
        <v>413.44461478530076</v>
      </c>
      <c r="E8" s="250">
        <v>0.24848089473110047</v>
      </c>
      <c r="F8" s="249">
        <v>0.17196051689003333</v>
      </c>
      <c r="G8" s="936"/>
      <c r="I8" s="9"/>
      <c r="J8" s="9"/>
      <c r="K8" s="9"/>
    </row>
    <row r="9" spans="1:11" ht="22.5" hidden="1" customHeight="1" thickBot="1">
      <c r="A9" s="194">
        <v>1998</v>
      </c>
      <c r="B9" s="195">
        <v>2985.5309591999999</v>
      </c>
      <c r="C9" s="197">
        <v>-2.1220791521171876E-3</v>
      </c>
      <c r="D9" s="195">
        <v>411.98967338686089</v>
      </c>
      <c r="E9" s="250">
        <v>0.23492819435144413</v>
      </c>
      <c r="F9" s="249">
        <v>0.16909401257090675</v>
      </c>
      <c r="G9" s="936"/>
    </row>
    <row r="10" spans="1:11" ht="0.5" hidden="1" customHeight="1" thickBot="1">
      <c r="A10" s="194">
        <v>1999</v>
      </c>
      <c r="B10" s="195">
        <v>3077.4121471999997</v>
      </c>
      <c r="C10" s="197">
        <v>3.0775493289347849E-2</v>
      </c>
      <c r="D10" s="195">
        <v>423.27251702147385</v>
      </c>
      <c r="E10" s="250">
        <v>0.23610935015841622</v>
      </c>
      <c r="F10" s="249">
        <v>0.17151239307717711</v>
      </c>
      <c r="G10" s="936"/>
    </row>
    <row r="11" spans="1:11" ht="20" hidden="1" customHeight="1" thickBot="1">
      <c r="A11" s="194">
        <v>2000</v>
      </c>
      <c r="B11" s="195">
        <v>2832.1064589000002</v>
      </c>
      <c r="C11" s="197">
        <v>-7.9711678698347957E-2</v>
      </c>
      <c r="D11" s="195">
        <v>389.82276793217119</v>
      </c>
      <c r="E11" s="250">
        <v>0.21069626660407667</v>
      </c>
      <c r="F11" s="249">
        <v>0.16991133453450352</v>
      </c>
      <c r="G11" s="936"/>
    </row>
    <row r="12" spans="1:11" ht="20" customHeight="1" thickBot="1">
      <c r="A12" s="194">
        <v>2001</v>
      </c>
      <c r="B12" s="195">
        <v>2102.6392701999998</v>
      </c>
      <c r="C12" s="197">
        <v>-0.25757053955638659</v>
      </c>
      <c r="D12" s="195">
        <v>287.99008361810974</v>
      </c>
      <c r="E12" s="250">
        <v>0.15021735666544661</v>
      </c>
      <c r="F12" s="249">
        <v>0.16939255966928513</v>
      </c>
      <c r="G12" s="936"/>
    </row>
    <row r="13" spans="1:11" ht="20" customHeight="1" thickBot="1">
      <c r="A13" s="194">
        <v>2002</v>
      </c>
      <c r="B13" s="195">
        <v>1965.5320859999999</v>
      </c>
      <c r="C13" s="197">
        <v>-6.5207183249725215E-2</v>
      </c>
      <c r="D13" s="195">
        <v>267.61478124431557</v>
      </c>
      <c r="E13" s="250">
        <v>0.12800562007019203</v>
      </c>
      <c r="F13" s="249">
        <v>0.16961724397646502</v>
      </c>
      <c r="G13" s="936"/>
    </row>
    <row r="14" spans="1:11" ht="20" customHeight="1" thickBot="1">
      <c r="A14" s="194">
        <v>2003</v>
      </c>
      <c r="B14" s="195">
        <v>2393.7060728000001</v>
      </c>
      <c r="C14" s="197">
        <v>0.2178412603130612</v>
      </c>
      <c r="D14" s="195">
        <v>324.68015590359045</v>
      </c>
      <c r="E14" s="250">
        <v>0.14231214354211111</v>
      </c>
      <c r="F14" s="249">
        <v>0.170648522304884</v>
      </c>
      <c r="G14" s="936"/>
    </row>
    <row r="15" spans="1:11" ht="20" customHeight="1" thickBot="1">
      <c r="A15" s="194">
        <v>2004</v>
      </c>
      <c r="B15" s="195">
        <v>2968.4810149999998</v>
      </c>
      <c r="C15" s="197">
        <v>0.24011926473815798</v>
      </c>
      <c r="D15" s="195">
        <v>402.03849991887398</v>
      </c>
      <c r="E15" s="250">
        <v>0.16464390527007836</v>
      </c>
      <c r="F15" s="249">
        <v>0.16498531532934302</v>
      </c>
      <c r="G15" s="936"/>
    </row>
    <row r="16" spans="1:11" ht="20" customHeight="1" thickBot="1">
      <c r="A16" s="194">
        <v>2005</v>
      </c>
      <c r="B16" s="195">
        <v>3184.4883300000001</v>
      </c>
      <c r="C16" s="197">
        <v>7.2766951820980502E-2</v>
      </c>
      <c r="D16" s="195">
        <v>428.26064350549666</v>
      </c>
      <c r="E16" s="250">
        <v>0.17216782468933323</v>
      </c>
      <c r="F16" s="249">
        <v>0.16198747607257327</v>
      </c>
      <c r="G16" s="936"/>
    </row>
    <row r="17" spans="1:7" ht="20" customHeight="1" thickBot="1">
      <c r="A17" s="194">
        <v>2006</v>
      </c>
      <c r="B17" s="195">
        <v>3749.0085764</v>
      </c>
      <c r="C17" s="197">
        <v>0.17727188417738679</v>
      </c>
      <c r="D17" s="195">
        <v>501.3096435628392</v>
      </c>
      <c r="E17" s="250">
        <v>0.19410142905887745</v>
      </c>
      <c r="F17" s="249">
        <v>0.16226794774511255</v>
      </c>
      <c r="G17" s="936"/>
    </row>
    <row r="18" spans="1:7" ht="20" customHeight="1" thickBot="1">
      <c r="A18" s="194">
        <v>2007</v>
      </c>
      <c r="B18" s="195">
        <v>3970.4438487200005</v>
      </c>
      <c r="C18" s="197">
        <v>5.9065021540344008E-2</v>
      </c>
      <c r="D18" s="195">
        <v>526.75277940082935</v>
      </c>
      <c r="E18" s="250">
        <v>0.20165652481540366</v>
      </c>
      <c r="F18" s="249">
        <v>0.14404868700935056</v>
      </c>
      <c r="G18" s="936"/>
    </row>
    <row r="19" spans="1:7" ht="20" customHeight="1" thickBot="1">
      <c r="A19" s="194">
        <v>2008</v>
      </c>
      <c r="B19" s="195">
        <v>3251.9246672899999</v>
      </c>
      <c r="C19" s="197">
        <v>-0.18096696712173332</v>
      </c>
      <c r="D19" s="195">
        <v>427.01052060248747</v>
      </c>
      <c r="E19" s="250">
        <v>0.16513713887296896</v>
      </c>
      <c r="F19" s="249">
        <v>0.12504203657801569</v>
      </c>
      <c r="G19" s="936"/>
    </row>
    <row r="20" spans="1:7" ht="20" customHeight="1" thickBot="1">
      <c r="A20" s="194">
        <v>2009</v>
      </c>
      <c r="B20" s="195">
        <v>2863.0083966900002</v>
      </c>
      <c r="C20" s="197">
        <v>-0.11959571957861626</v>
      </c>
      <c r="D20" s="195">
        <v>371.39247578148081</v>
      </c>
      <c r="E20" s="250">
        <v>0.14226293301594328</v>
      </c>
      <c r="F20" s="249">
        <v>0.11570685531661619</v>
      </c>
      <c r="G20" s="936"/>
    </row>
    <row r="21" spans="1:7" ht="20" customHeight="1" thickBot="1">
      <c r="A21" s="194">
        <v>2010</v>
      </c>
      <c r="B21" s="195">
        <v>3115.7425221299982</v>
      </c>
      <c r="C21" s="197">
        <v>8.8275719251187157E-2</v>
      </c>
      <c r="D21" s="195">
        <v>400.498474410467</v>
      </c>
      <c r="E21" s="250">
        <v>0.14129428895428542</v>
      </c>
      <c r="F21" s="249">
        <v>0.11794364414276826</v>
      </c>
      <c r="G21" s="936"/>
    </row>
    <row r="22" spans="1:7" ht="30" customHeight="1" thickBot="1">
      <c r="A22" s="198">
        <v>2011</v>
      </c>
      <c r="B22" s="199">
        <v>3710.7086986599998</v>
      </c>
      <c r="C22" s="109">
        <v>0.19095485981404781</v>
      </c>
      <c r="D22" s="199">
        <v>471.93399801474044</v>
      </c>
      <c r="E22" s="940">
        <v>0.15702589734700953</v>
      </c>
      <c r="F22" s="251">
        <v>0.10795280327500194</v>
      </c>
      <c r="G22" s="937"/>
    </row>
    <row r="23" spans="1:7" ht="20" customHeight="1">
      <c r="A23" s="112" t="s">
        <v>720</v>
      </c>
      <c r="B23" s="112"/>
      <c r="C23" s="112"/>
      <c r="D23" s="112"/>
      <c r="E23" s="112"/>
      <c r="F23" s="901"/>
      <c r="G23" s="115"/>
    </row>
    <row r="24" spans="1:7" ht="14.25" customHeight="1">
      <c r="A24" s="115"/>
      <c r="B24" s="115"/>
      <c r="C24" s="115"/>
      <c r="D24" s="115"/>
      <c r="E24" s="115"/>
      <c r="F24" s="902"/>
      <c r="G24" s="115"/>
    </row>
    <row r="25" spans="1:7" ht="12.75" customHeight="1">
      <c r="A25" s="115" t="s">
        <v>1569</v>
      </c>
      <c r="B25" s="115"/>
      <c r="C25" s="115"/>
      <c r="D25" s="115"/>
      <c r="E25" s="115"/>
      <c r="F25" s="902"/>
      <c r="G25" s="115"/>
    </row>
    <row r="26" spans="1:7">
      <c r="A26" s="3" t="s">
        <v>1580</v>
      </c>
    </row>
    <row r="27" spans="1:7">
      <c r="A27" s="115" t="s">
        <v>1581</v>
      </c>
    </row>
    <row r="29" spans="1:7">
      <c r="A29" s="3" t="s">
        <v>1582</v>
      </c>
    </row>
    <row r="32" spans="1:7">
      <c r="A32" s="3" t="s">
        <v>719</v>
      </c>
    </row>
  </sheetData>
  <pageMargins left="0.57999999999999996" right="0.69" top="0.94" bottom="0.49" header="0.53" footer="0.4921259845"/>
  <pageSetup paperSize="9" scale="77" orientation="portrait" horizontalDpi="4294967292" verticalDpi="429496729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6AE7-0A6F-A44C-ACAD-499FB2C725C8}">
  <sheetPr>
    <pageSetUpPr fitToPage="1"/>
  </sheetPr>
  <dimension ref="A1:K31"/>
  <sheetViews>
    <sheetView zoomScaleNormal="100" workbookViewId="0">
      <selection activeCell="A21" sqref="A21:IV21"/>
    </sheetView>
  </sheetViews>
  <sheetFormatPr baseColWidth="10" defaultColWidth="11.3984375" defaultRowHeight="13"/>
  <cols>
    <col min="1" max="1" width="17.59765625" style="3" customWidth="1"/>
    <col min="2" max="2" width="16.796875" style="3" customWidth="1"/>
    <col min="3" max="3" width="15.3984375" style="3" customWidth="1"/>
    <col min="4" max="4" width="16.59765625" style="3" customWidth="1"/>
    <col min="5" max="5" width="15.3984375" style="3" customWidth="1"/>
    <col min="6" max="6" width="17.3984375" style="227" customWidth="1"/>
    <col min="7" max="7" width="15.3984375" style="3" customWidth="1"/>
    <col min="8" max="16384" width="11.3984375" style="3"/>
  </cols>
  <sheetData>
    <row r="1" spans="1:11" s="2" customFormat="1" ht="14" customHeight="1">
      <c r="F1" s="209"/>
    </row>
    <row r="2" spans="1:11" s="2" customFormat="1" ht="24" customHeight="1">
      <c r="A2" s="1843" t="s">
        <v>1559</v>
      </c>
      <c r="B2" s="1847"/>
      <c r="C2" s="1847"/>
      <c r="D2" s="1847"/>
      <c r="E2" s="1847"/>
      <c r="F2" s="1847"/>
      <c r="G2" s="207"/>
    </row>
    <row r="3" spans="1:11" ht="24" customHeight="1">
      <c r="A3" s="92" t="s">
        <v>469</v>
      </c>
      <c r="B3" s="182" t="s">
        <v>1560</v>
      </c>
      <c r="C3" s="94" t="s">
        <v>279</v>
      </c>
      <c r="D3" s="182" t="s">
        <v>1561</v>
      </c>
      <c r="E3" s="94" t="s">
        <v>279</v>
      </c>
      <c r="F3" s="933" t="s">
        <v>1562</v>
      </c>
      <c r="G3" s="934"/>
    </row>
    <row r="4" spans="1:11" ht="15" customHeight="1">
      <c r="A4" s="184"/>
      <c r="B4" s="96" t="s">
        <v>1563</v>
      </c>
      <c r="C4" s="95" t="s">
        <v>282</v>
      </c>
      <c r="D4" s="96" t="s">
        <v>1564</v>
      </c>
      <c r="E4" s="95" t="s">
        <v>282</v>
      </c>
      <c r="F4" s="896" t="s">
        <v>1044</v>
      </c>
      <c r="G4" s="934"/>
    </row>
    <row r="5" spans="1:11" ht="15" customHeight="1">
      <c r="A5" s="184"/>
      <c r="B5" s="185" t="s">
        <v>1565</v>
      </c>
      <c r="C5" s="95" t="s">
        <v>283</v>
      </c>
      <c r="D5" s="185" t="s">
        <v>1054</v>
      </c>
      <c r="E5" s="95" t="s">
        <v>283</v>
      </c>
      <c r="F5" s="896" t="s">
        <v>1566</v>
      </c>
      <c r="G5" s="934"/>
    </row>
    <row r="6" spans="1:11" ht="24" customHeight="1">
      <c r="A6" s="188"/>
      <c r="B6" s="189" t="s">
        <v>1045</v>
      </c>
      <c r="C6" s="97"/>
      <c r="D6" s="189" t="s">
        <v>1567</v>
      </c>
      <c r="E6" s="97"/>
      <c r="F6" s="897" t="s">
        <v>1568</v>
      </c>
      <c r="G6" s="935"/>
    </row>
    <row r="7" spans="1:11" ht="2.25" customHeight="1" thickBot="1">
      <c r="A7" s="192">
        <v>1996</v>
      </c>
      <c r="B7" s="100">
        <v>3454.5367919999999</v>
      </c>
      <c r="C7" s="101" t="s">
        <v>1415</v>
      </c>
      <c r="D7" s="100">
        <v>477.62973077565988</v>
      </c>
      <c r="E7" s="101" t="s">
        <v>1415</v>
      </c>
      <c r="F7" s="247">
        <v>0.3204435263250443</v>
      </c>
      <c r="G7" s="936"/>
    </row>
    <row r="8" spans="1:11" ht="0.75" hidden="1" customHeight="1" thickBot="1">
      <c r="A8" s="194">
        <v>1997</v>
      </c>
      <c r="B8" s="195">
        <v>3507.8977540000001</v>
      </c>
      <c r="C8" s="197">
        <v>1.5446632996809664E-2</v>
      </c>
      <c r="D8" s="195">
        <v>484.75254775428522</v>
      </c>
      <c r="E8" s="197">
        <v>1.4912842563334664E-2</v>
      </c>
      <c r="F8" s="249">
        <v>0.30878035637656381</v>
      </c>
      <c r="G8" s="936"/>
      <c r="I8" s="9"/>
      <c r="J8" s="9"/>
      <c r="K8" s="9"/>
    </row>
    <row r="9" spans="1:11" ht="19.5" hidden="1" customHeight="1" thickBot="1">
      <c r="A9" s="194">
        <v>1998</v>
      </c>
      <c r="B9" s="195">
        <v>3693.9578390000001</v>
      </c>
      <c r="C9" s="197">
        <v>5.3040338700818382E-2</v>
      </c>
      <c r="D9" s="195">
        <v>509.74935597525797</v>
      </c>
      <c r="E9" s="197">
        <v>5.1566120357232882E-2</v>
      </c>
      <c r="F9" s="249">
        <v>0.30971755221728081</v>
      </c>
      <c r="G9" s="936"/>
    </row>
    <row r="10" spans="1:11" ht="20" hidden="1" customHeight="1" thickBot="1">
      <c r="A10" s="194">
        <v>1999</v>
      </c>
      <c r="B10" s="195">
        <v>3810.0183766999999</v>
      </c>
      <c r="C10" s="197">
        <v>3.1419020670636219E-2</v>
      </c>
      <c r="D10" s="195">
        <v>524.03642778331459</v>
      </c>
      <c r="E10" s="197">
        <v>2.8027640723002865E-2</v>
      </c>
      <c r="F10" s="249">
        <v>0.30650294561819263</v>
      </c>
      <c r="G10" s="936"/>
    </row>
    <row r="11" spans="1:11" ht="20" hidden="1" customHeight="1" thickBot="1">
      <c r="A11" s="194">
        <v>2000</v>
      </c>
      <c r="B11" s="195">
        <v>3956.2184863000002</v>
      </c>
      <c r="C11" s="197">
        <v>3.8372547096906594E-2</v>
      </c>
      <c r="D11" s="195">
        <v>544.55016542757153</v>
      </c>
      <c r="E11" s="197">
        <v>3.9145632930577913E-2</v>
      </c>
      <c r="F11" s="249">
        <v>0.29993370263899466</v>
      </c>
      <c r="G11" s="936"/>
    </row>
    <row r="12" spans="1:11" ht="20" customHeight="1" thickBot="1">
      <c r="A12" s="194">
        <v>2001</v>
      </c>
      <c r="B12" s="195">
        <v>3996.3588403000003</v>
      </c>
      <c r="C12" s="197">
        <v>1.0146141862235935E-2</v>
      </c>
      <c r="D12" s="195">
        <v>547.35962635511339</v>
      </c>
      <c r="E12" s="197">
        <v>5.1592325297264803E-3</v>
      </c>
      <c r="F12" s="249">
        <v>0.28573440049664334</v>
      </c>
      <c r="G12" s="936"/>
    </row>
    <row r="13" spans="1:11" ht="20" customHeight="1" thickBot="1">
      <c r="A13" s="194">
        <v>2002</v>
      </c>
      <c r="B13" s="195">
        <v>4018.0238040999998</v>
      </c>
      <c r="C13" s="197">
        <v>5.4211757917047021E-3</v>
      </c>
      <c r="D13" s="195">
        <v>547.06945209780417</v>
      </c>
      <c r="E13" s="197">
        <v>-5.3013456480431012E-4</v>
      </c>
      <c r="F13" s="249">
        <v>0.27534370592196139</v>
      </c>
      <c r="G13" s="936"/>
    </row>
    <row r="14" spans="1:11" ht="20" customHeight="1" thickBot="1">
      <c r="A14" s="194">
        <v>2003</v>
      </c>
      <c r="B14" s="195">
        <v>4264.2535405999997</v>
      </c>
      <c r="C14" s="197">
        <v>6.1281303572354805E-2</v>
      </c>
      <c r="D14" s="195">
        <v>578.39954541909435</v>
      </c>
      <c r="E14" s="197">
        <v>5.7268950406847131E-2</v>
      </c>
      <c r="F14" s="249">
        <v>0.27806202962780097</v>
      </c>
      <c r="G14" s="936"/>
    </row>
    <row r="15" spans="1:11" ht="20" customHeight="1" thickBot="1">
      <c r="A15" s="194">
        <v>2004</v>
      </c>
      <c r="B15" s="195">
        <v>4487.9860973999994</v>
      </c>
      <c r="C15" s="197">
        <v>5.2466992093654796E-2</v>
      </c>
      <c r="D15" s="195">
        <v>607.83383459013214</v>
      </c>
      <c r="E15" s="197">
        <v>5.0889198313097593E-2</v>
      </c>
      <c r="F15" s="249">
        <v>0.27520979583864619</v>
      </c>
      <c r="G15" s="936"/>
    </row>
    <row r="16" spans="1:11" ht="20" customHeight="1" thickBot="1">
      <c r="A16" s="194">
        <v>2005</v>
      </c>
      <c r="B16" s="195">
        <v>4710.4063185000005</v>
      </c>
      <c r="C16" s="197">
        <v>4.9559026314465314E-2</v>
      </c>
      <c r="D16" s="195">
        <v>633.47119917588623</v>
      </c>
      <c r="E16" s="197">
        <v>4.2178245314431359E-2</v>
      </c>
      <c r="F16" s="249">
        <v>0.27145060304290114</v>
      </c>
      <c r="G16" s="936"/>
    </row>
    <row r="17" spans="1:7" ht="20" customHeight="1" thickBot="1">
      <c r="A17" s="194">
        <v>2006</v>
      </c>
      <c r="B17" s="195">
        <v>4989.9724866999995</v>
      </c>
      <c r="C17" s="197">
        <v>5.9350754329198757E-2</v>
      </c>
      <c r="D17" s="195">
        <v>667.24876129732593</v>
      </c>
      <c r="E17" s="197">
        <v>5.3321385668965833E-2</v>
      </c>
      <c r="F17" s="249">
        <v>0.28410364747524469</v>
      </c>
      <c r="G17" s="936"/>
    </row>
    <row r="18" spans="1:7" ht="20" customHeight="1" thickBot="1">
      <c r="A18" s="194">
        <v>2007</v>
      </c>
      <c r="B18" s="195">
        <v>5234.0909351299997</v>
      </c>
      <c r="C18" s="197">
        <v>4.8921802491027788E-2</v>
      </c>
      <c r="D18" s="195">
        <v>694.39892686185294</v>
      </c>
      <c r="E18" s="197">
        <v>4.0689720445099345E-2</v>
      </c>
      <c r="F18" s="249">
        <v>0.28409673931984064</v>
      </c>
      <c r="G18" s="936"/>
    </row>
    <row r="19" spans="1:7" ht="20" customHeight="1" thickBot="1">
      <c r="A19" s="194">
        <v>2008</v>
      </c>
      <c r="B19" s="195">
        <v>5191.0501722600002</v>
      </c>
      <c r="C19" s="197">
        <v>-8.2231591700327455E-3</v>
      </c>
      <c r="D19" s="195">
        <v>681.6372651023346</v>
      </c>
      <c r="E19" s="197">
        <v>-1.8377997525415551E-2</v>
      </c>
      <c r="F19" s="249">
        <v>0.2671467252402307</v>
      </c>
      <c r="G19" s="936"/>
    </row>
    <row r="20" spans="1:7" ht="20" customHeight="1" thickBot="1">
      <c r="A20" s="194">
        <v>2009</v>
      </c>
      <c r="B20" s="195">
        <v>5095.2223594300003</v>
      </c>
      <c r="C20" s="197">
        <v>-1.8460197773099121E-2</v>
      </c>
      <c r="D20" s="195">
        <v>660.95763076127741</v>
      </c>
      <c r="E20" s="197">
        <v>-3.0338180436705636E-2</v>
      </c>
      <c r="F20" s="249">
        <v>0.25131991260496045</v>
      </c>
      <c r="G20" s="936"/>
    </row>
    <row r="21" spans="1:7" ht="20" customHeight="1" thickBot="1">
      <c r="A21" s="194">
        <v>2010</v>
      </c>
      <c r="B21" s="195">
        <v>5227.2935513399998</v>
      </c>
      <c r="C21" s="197">
        <v>2.5920594351602391E-2</v>
      </c>
      <c r="D21" s="195">
        <v>671.91787438718086</v>
      </c>
      <c r="E21" s="197">
        <v>1.6582369452758511E-2</v>
      </c>
      <c r="F21" s="249">
        <v>0.25030439071727145</v>
      </c>
      <c r="G21" s="936"/>
    </row>
    <row r="22" spans="1:7" ht="30" customHeight="1" thickBot="1">
      <c r="A22" s="198">
        <v>2011</v>
      </c>
      <c r="B22" s="199">
        <v>5648.6367269299999</v>
      </c>
      <c r="C22" s="109">
        <v>8.0604460310439219E-2</v>
      </c>
      <c r="D22" s="199">
        <v>718.40285248896862</v>
      </c>
      <c r="E22" s="109">
        <v>6.9182529403886139E-2</v>
      </c>
      <c r="F22" s="251">
        <v>0.26449379028433989</v>
      </c>
      <c r="G22" s="937"/>
    </row>
    <row r="23" spans="1:7" ht="20" customHeight="1">
      <c r="A23" s="112" t="s">
        <v>720</v>
      </c>
      <c r="B23" s="112"/>
      <c r="C23" s="112"/>
      <c r="D23" s="112"/>
      <c r="E23" s="112"/>
      <c r="F23" s="901"/>
      <c r="G23" s="115"/>
    </row>
    <row r="24" spans="1:7" ht="12.75" customHeight="1">
      <c r="A24" s="115"/>
      <c r="B24" s="115"/>
      <c r="C24" s="115"/>
      <c r="D24" s="115"/>
      <c r="E24" s="115"/>
      <c r="F24" s="902"/>
      <c r="G24" s="115"/>
    </row>
    <row r="25" spans="1:7" ht="12.75" customHeight="1">
      <c r="A25" s="3" t="s">
        <v>1569</v>
      </c>
      <c r="B25" s="115"/>
      <c r="C25" s="115"/>
      <c r="D25" s="115"/>
      <c r="E25" s="115"/>
      <c r="F25" s="902"/>
      <c r="G25" s="115"/>
    </row>
    <row r="26" spans="1:7" ht="12.75" customHeight="1">
      <c r="A26" s="3" t="s">
        <v>1570</v>
      </c>
    </row>
    <row r="28" spans="1:7">
      <c r="A28" s="3" t="s">
        <v>1571</v>
      </c>
    </row>
    <row r="31" spans="1:7">
      <c r="A31" s="3" t="s">
        <v>719</v>
      </c>
    </row>
  </sheetData>
  <mergeCells count="1">
    <mergeCell ref="A2:F2"/>
  </mergeCells>
  <pageMargins left="0.62" right="0.78740157480314965" top="0.99" bottom="0.49" header="0.6" footer="0.4921259845"/>
  <pageSetup paperSize="9" scale="76" orientation="portrait" horizontalDpi="4294967292" verticalDpi="429496729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BED7-61E8-3943-B44E-4B3412F09121}">
  <sheetPr>
    <pageSetUpPr fitToPage="1"/>
  </sheetPr>
  <dimension ref="A1:B31"/>
  <sheetViews>
    <sheetView topLeftCell="A5" zoomScale="115" zoomScaleNormal="115" workbookViewId="0">
      <selection activeCell="H12" sqref="H12"/>
    </sheetView>
  </sheetViews>
  <sheetFormatPr baseColWidth="10" defaultColWidth="11.59765625" defaultRowHeight="13"/>
  <cols>
    <col min="1" max="1" width="5.59765625" style="541" customWidth="1"/>
    <col min="2" max="7" width="11.59765625" style="541"/>
    <col min="8" max="8" width="12" style="541" customWidth="1"/>
    <col min="9" max="16384" width="11.59765625" style="541"/>
  </cols>
  <sheetData>
    <row r="1" spans="1:2" ht="16">
      <c r="A1" s="540" t="s">
        <v>756</v>
      </c>
    </row>
    <row r="2" spans="1:2" ht="16">
      <c r="A2" s="540"/>
    </row>
    <row r="3" spans="1:2" s="552" customFormat="1">
      <c r="A3" s="546">
        <v>2.0099999999999998</v>
      </c>
      <c r="B3" s="551" t="s">
        <v>757</v>
      </c>
    </row>
    <row r="4" spans="1:2" s="552" customFormat="1">
      <c r="A4" s="546">
        <v>2.02</v>
      </c>
      <c r="B4" s="551" t="s">
        <v>758</v>
      </c>
    </row>
    <row r="5" spans="1:2" s="552" customFormat="1">
      <c r="A5" s="546">
        <v>2.0299999999999998</v>
      </c>
      <c r="B5" s="553" t="s">
        <v>759</v>
      </c>
    </row>
    <row r="6" spans="1:2" s="552" customFormat="1">
      <c r="A6" s="546">
        <v>2.04</v>
      </c>
      <c r="B6" s="553" t="s">
        <v>760</v>
      </c>
    </row>
    <row r="7" spans="1:2" s="552" customFormat="1">
      <c r="A7" s="546">
        <v>2.0499999999999998</v>
      </c>
      <c r="B7" s="553" t="s">
        <v>761</v>
      </c>
    </row>
    <row r="8" spans="1:2" s="552" customFormat="1">
      <c r="A8" s="546">
        <v>2.06</v>
      </c>
      <c r="B8" s="553" t="s">
        <v>762</v>
      </c>
    </row>
    <row r="9" spans="1:2" s="552" customFormat="1">
      <c r="A9" s="546">
        <v>2.0699999999999998</v>
      </c>
      <c r="B9" s="553" t="s">
        <v>763</v>
      </c>
    </row>
    <row r="10" spans="1:2" s="552" customFormat="1">
      <c r="A10" s="546">
        <v>2.08</v>
      </c>
      <c r="B10" s="553" t="s">
        <v>764</v>
      </c>
    </row>
    <row r="11" spans="1:2" s="552" customFormat="1">
      <c r="A11" s="546">
        <v>2.09</v>
      </c>
      <c r="B11" s="553" t="s">
        <v>765</v>
      </c>
    </row>
    <row r="12" spans="1:2">
      <c r="A12" s="554">
        <v>2.1</v>
      </c>
      <c r="B12" s="551" t="s">
        <v>766</v>
      </c>
    </row>
    <row r="13" spans="1:2">
      <c r="A13" s="554">
        <v>2.11</v>
      </c>
      <c r="B13" s="551" t="s">
        <v>767</v>
      </c>
    </row>
    <row r="14" spans="1:2">
      <c r="A14" s="546">
        <v>2.12</v>
      </c>
      <c r="B14" s="553" t="s">
        <v>768</v>
      </c>
    </row>
    <row r="15" spans="1:2">
      <c r="A15" s="546">
        <v>2.13</v>
      </c>
      <c r="B15" s="551" t="s">
        <v>769</v>
      </c>
    </row>
    <row r="16" spans="1:2">
      <c r="A16" s="546">
        <v>2.14</v>
      </c>
      <c r="B16" s="551" t="s">
        <v>770</v>
      </c>
    </row>
    <row r="17" spans="1:2">
      <c r="A17" s="546">
        <v>2.15</v>
      </c>
      <c r="B17" s="551" t="s">
        <v>771</v>
      </c>
    </row>
    <row r="18" spans="1:2">
      <c r="A18" s="546">
        <v>2.16</v>
      </c>
      <c r="B18" s="551" t="s">
        <v>772</v>
      </c>
    </row>
    <row r="19" spans="1:2">
      <c r="A19" s="546">
        <v>2.17</v>
      </c>
      <c r="B19" s="551" t="s">
        <v>773</v>
      </c>
    </row>
    <row r="20" spans="1:2">
      <c r="A20" s="546">
        <v>2.1800000000000002</v>
      </c>
      <c r="B20" s="551" t="s">
        <v>774</v>
      </c>
    </row>
    <row r="21" spans="1:2">
      <c r="A21" s="546">
        <v>2.19</v>
      </c>
      <c r="B21" s="551" t="s">
        <v>775</v>
      </c>
    </row>
    <row r="22" spans="1:2">
      <c r="A22" s="550" t="s">
        <v>41</v>
      </c>
      <c r="B22" s="551" t="s">
        <v>776</v>
      </c>
    </row>
    <row r="23" spans="1:2">
      <c r="A23" s="546">
        <v>2.21</v>
      </c>
      <c r="B23" s="551" t="s">
        <v>777</v>
      </c>
    </row>
    <row r="24" spans="1:2">
      <c r="A24" s="546">
        <v>2.2200000000000002</v>
      </c>
      <c r="B24" s="551" t="s">
        <v>778</v>
      </c>
    </row>
    <row r="25" spans="1:2">
      <c r="A25" s="546">
        <v>2.23</v>
      </c>
      <c r="B25" s="551" t="s">
        <v>779</v>
      </c>
    </row>
    <row r="26" spans="1:2">
      <c r="A26" s="546">
        <v>2.2400000000000002</v>
      </c>
      <c r="B26" s="551" t="s">
        <v>780</v>
      </c>
    </row>
    <row r="27" spans="1:2">
      <c r="A27" s="546">
        <v>2.25</v>
      </c>
      <c r="B27" s="553" t="s">
        <v>781</v>
      </c>
    </row>
    <row r="28" spans="1:2">
      <c r="A28" s="546">
        <v>2.2599999999999998</v>
      </c>
      <c r="B28" s="553" t="s">
        <v>782</v>
      </c>
    </row>
    <row r="29" spans="1:2">
      <c r="A29" s="546"/>
    </row>
    <row r="31" spans="1:2">
      <c r="A31" s="548" t="s">
        <v>719</v>
      </c>
    </row>
  </sheetData>
  <pageMargins left="0.46" right="0.35" top="0.88" bottom="0.984251969" header="0.4921259845" footer="0.492125984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0EB5-B38E-924C-B75E-E2DB3B451A5A}">
  <sheetPr>
    <pageSetUpPr fitToPage="1"/>
  </sheetPr>
  <dimension ref="A1:J28"/>
  <sheetViews>
    <sheetView topLeftCell="A3" zoomScaleNormal="100" workbookViewId="0">
      <selection activeCell="D5" sqref="D5"/>
    </sheetView>
  </sheetViews>
  <sheetFormatPr baseColWidth="10" defaultColWidth="11.3984375" defaultRowHeight="13"/>
  <cols>
    <col min="1" max="1" width="20.796875" style="3" customWidth="1"/>
    <col min="2" max="7" width="16" style="3" customWidth="1"/>
    <col min="8" max="16384" width="11.3984375" style="3"/>
  </cols>
  <sheetData>
    <row r="1" spans="1:10" s="2" customFormat="1" ht="14" customHeight="1">
      <c r="A1" s="121"/>
      <c r="B1" s="121"/>
      <c r="C1" s="121"/>
      <c r="D1" s="121"/>
      <c r="E1" s="121"/>
      <c r="F1" s="121"/>
      <c r="G1" s="121"/>
    </row>
    <row r="2" spans="1:10" s="2" customFormat="1" ht="23.5" customHeight="1">
      <c r="A2" s="1848" t="s">
        <v>1608</v>
      </c>
      <c r="B2" s="1847"/>
      <c r="C2" s="1847"/>
      <c r="D2" s="1847"/>
      <c r="E2" s="1847"/>
      <c r="F2" s="1847"/>
      <c r="G2" s="1847"/>
    </row>
    <row r="3" spans="1:10" ht="24" customHeight="1">
      <c r="A3" s="92" t="s">
        <v>469</v>
      </c>
      <c r="B3" s="182" t="s">
        <v>399</v>
      </c>
      <c r="C3" s="183" t="s">
        <v>400</v>
      </c>
      <c r="D3" s="182" t="s">
        <v>401</v>
      </c>
      <c r="E3" s="183" t="s">
        <v>402</v>
      </c>
      <c r="F3" s="182" t="s">
        <v>278</v>
      </c>
      <c r="G3" s="94" t="s">
        <v>279</v>
      </c>
    </row>
    <row r="4" spans="1:10" ht="15" customHeight="1">
      <c r="A4" s="184"/>
      <c r="B4" s="185" t="s">
        <v>403</v>
      </c>
      <c r="C4" s="186" t="s">
        <v>404</v>
      </c>
      <c r="D4" s="185" t="s">
        <v>405</v>
      </c>
      <c r="E4" s="187" t="s">
        <v>406</v>
      </c>
      <c r="F4" s="185"/>
      <c r="G4" s="95" t="s">
        <v>282</v>
      </c>
    </row>
    <row r="5" spans="1:10" ht="15" customHeight="1">
      <c r="A5" s="184"/>
      <c r="B5" s="185" t="s">
        <v>407</v>
      </c>
      <c r="C5" s="186" t="s">
        <v>408</v>
      </c>
      <c r="D5" s="185"/>
      <c r="E5" s="187" t="s">
        <v>409</v>
      </c>
      <c r="F5" s="185"/>
      <c r="G5" s="95" t="s">
        <v>283</v>
      </c>
    </row>
    <row r="6" spans="1:10" ht="24" customHeight="1">
      <c r="A6" s="188"/>
      <c r="B6" s="189"/>
      <c r="C6" s="190"/>
      <c r="D6" s="189"/>
      <c r="E6" s="191" t="s">
        <v>410</v>
      </c>
      <c r="F6" s="189"/>
      <c r="G6" s="97"/>
    </row>
    <row r="7" spans="1:10" ht="1.5" customHeight="1" thickBot="1">
      <c r="A7" s="192">
        <v>1996</v>
      </c>
      <c r="B7" s="311">
        <v>1089.2648005000001</v>
      </c>
      <c r="C7" s="312">
        <v>580.10166180000022</v>
      </c>
      <c r="D7" s="311">
        <v>4.3753463500000001</v>
      </c>
      <c r="E7" s="312">
        <v>4.7899289500000002</v>
      </c>
      <c r="F7" s="311">
        <v>1678.5317376000003</v>
      </c>
      <c r="G7" s="101" t="s">
        <v>30</v>
      </c>
    </row>
    <row r="8" spans="1:10" ht="0.75" hidden="1" customHeight="1" thickBot="1">
      <c r="A8" s="194">
        <v>1997</v>
      </c>
      <c r="B8" s="313">
        <v>879.95045900000002</v>
      </c>
      <c r="C8" s="314">
        <v>850.70337900000004</v>
      </c>
      <c r="D8" s="313">
        <v>1.7040200000000001</v>
      </c>
      <c r="E8" s="314">
        <v>45.624484000000002</v>
      </c>
      <c r="F8" s="313">
        <v>1777.9823429999999</v>
      </c>
      <c r="G8" s="197">
        <v>5.9248570147500512E-2</v>
      </c>
      <c r="H8" s="9"/>
      <c r="I8" s="9"/>
      <c r="J8" s="9"/>
    </row>
    <row r="9" spans="1:10" ht="19.5" hidden="1" customHeight="1" thickBot="1">
      <c r="A9" s="194">
        <v>1998</v>
      </c>
      <c r="B9" s="313">
        <v>1013.8999679999999</v>
      </c>
      <c r="C9" s="314">
        <v>981.74108000000001</v>
      </c>
      <c r="D9" s="313">
        <v>1.2942830000000001</v>
      </c>
      <c r="E9" s="314">
        <v>100.29746900000001</v>
      </c>
      <c r="F9" s="313">
        <v>2097.2328000000002</v>
      </c>
      <c r="G9" s="197">
        <v>0.17955772072591403</v>
      </c>
    </row>
    <row r="10" spans="1:10" ht="20" hidden="1" customHeight="1" thickBot="1">
      <c r="A10" s="194">
        <v>1999</v>
      </c>
      <c r="B10" s="313">
        <v>1011.36115</v>
      </c>
      <c r="C10" s="314">
        <v>1055.56864</v>
      </c>
      <c r="D10" s="313">
        <v>0.79245500000000002</v>
      </c>
      <c r="E10" s="314">
        <v>122.17894</v>
      </c>
      <c r="F10" s="313">
        <v>2189.9011839999998</v>
      </c>
      <c r="G10" s="197">
        <v>4.4186026463061134E-2</v>
      </c>
    </row>
    <row r="11" spans="1:10" ht="20" hidden="1" customHeight="1" thickBot="1">
      <c r="A11" s="194">
        <v>2000</v>
      </c>
      <c r="B11" s="313">
        <v>1054.450601</v>
      </c>
      <c r="C11" s="314">
        <v>1090.7209829999999</v>
      </c>
      <c r="D11" s="313">
        <v>1.2512209999999999</v>
      </c>
      <c r="E11" s="314">
        <v>141.59474</v>
      </c>
      <c r="F11" s="313">
        <v>2288.0175450000002</v>
      </c>
      <c r="G11" s="197">
        <v>4.4804012946732197E-2</v>
      </c>
    </row>
    <row r="12" spans="1:10" ht="20" customHeight="1" thickBot="1">
      <c r="A12" s="194">
        <v>2001</v>
      </c>
      <c r="B12" s="313">
        <v>1083.514122</v>
      </c>
      <c r="C12" s="314">
        <v>1158.4133609999999</v>
      </c>
      <c r="D12" s="313">
        <v>1.2681009299999999</v>
      </c>
      <c r="E12" s="314">
        <v>156.9939449</v>
      </c>
      <c r="F12" s="313">
        <v>2400.1895288299997</v>
      </c>
      <c r="G12" s="197">
        <v>4.9025840765569706E-2</v>
      </c>
    </row>
    <row r="13" spans="1:10" ht="20" customHeight="1" thickBot="1">
      <c r="A13" s="194">
        <v>2002</v>
      </c>
      <c r="B13" s="313">
        <v>1089.8289460000001</v>
      </c>
      <c r="C13" s="314">
        <v>1244.155033</v>
      </c>
      <c r="D13" s="313">
        <v>1.2603006499999998</v>
      </c>
      <c r="E13" s="314">
        <v>167.5860868</v>
      </c>
      <c r="F13" s="313">
        <v>2502.8303664500004</v>
      </c>
      <c r="G13" s="197">
        <v>4.2763638615669786E-2</v>
      </c>
    </row>
    <row r="14" spans="1:10" ht="20" customHeight="1" thickBot="1">
      <c r="A14" s="194">
        <v>2003</v>
      </c>
      <c r="B14" s="313">
        <v>1079.925866</v>
      </c>
      <c r="C14" s="314">
        <v>1341.49136</v>
      </c>
      <c r="D14" s="313">
        <v>1.2206523200000001</v>
      </c>
      <c r="E14" s="314">
        <v>165.86177330000001</v>
      </c>
      <c r="F14" s="313">
        <v>2588.4996516200003</v>
      </c>
      <c r="G14" s="197">
        <v>3.4228961865886642E-2</v>
      </c>
    </row>
    <row r="15" spans="1:10" ht="20" customHeight="1" thickBot="1">
      <c r="A15" s="194">
        <v>2004</v>
      </c>
      <c r="B15" s="313">
        <v>1255.4702629999999</v>
      </c>
      <c r="C15" s="314">
        <v>1341.301393</v>
      </c>
      <c r="D15" s="313">
        <v>1.3776067599999999</v>
      </c>
      <c r="E15" s="314">
        <v>234.16313299999999</v>
      </c>
      <c r="F15" s="313">
        <v>2832.3123957600001</v>
      </c>
      <c r="G15" s="197">
        <v>9.4190757950232129E-2</v>
      </c>
    </row>
    <row r="16" spans="1:10" ht="20" customHeight="1" thickBot="1">
      <c r="A16" s="194">
        <v>2005</v>
      </c>
      <c r="B16" s="313">
        <v>1328.0246323900001</v>
      </c>
      <c r="C16" s="314">
        <v>1371.8229592</v>
      </c>
      <c r="D16" s="313">
        <v>1.4003180399999999</v>
      </c>
      <c r="E16" s="314">
        <v>293.73870004000003</v>
      </c>
      <c r="F16" s="313">
        <v>2994.9866096700002</v>
      </c>
      <c r="G16" s="197">
        <v>5.7435124089251222E-2</v>
      </c>
    </row>
    <row r="17" spans="1:7" ht="20" customHeight="1" thickBot="1">
      <c r="A17" s="194">
        <v>2006</v>
      </c>
      <c r="B17" s="313">
        <v>1275.3436029700001</v>
      </c>
      <c r="C17" s="314">
        <v>1332.0194115899999</v>
      </c>
      <c r="D17" s="313">
        <v>1.24792378</v>
      </c>
      <c r="E17" s="314">
        <v>430.10038037999999</v>
      </c>
      <c r="F17" s="313">
        <v>3038.7113187199998</v>
      </c>
      <c r="G17" s="197">
        <v>1.4599300347061472E-2</v>
      </c>
    </row>
    <row r="18" spans="1:7" ht="20" customHeight="1" thickBot="1">
      <c r="A18" s="194">
        <v>2007</v>
      </c>
      <c r="B18" s="313">
        <v>1254.93473436</v>
      </c>
      <c r="C18" s="314">
        <v>1283.5501741300002</v>
      </c>
      <c r="D18" s="313">
        <v>1.3477021599999999</v>
      </c>
      <c r="E18" s="314">
        <v>615.23426004999999</v>
      </c>
      <c r="F18" s="313">
        <v>3155.0668707000004</v>
      </c>
      <c r="G18" s="197">
        <v>3.8291084534154862E-2</v>
      </c>
    </row>
    <row r="19" spans="1:7" ht="20" customHeight="1" thickBot="1">
      <c r="A19" s="194">
        <v>2008</v>
      </c>
      <c r="B19" s="313">
        <v>1219.7052699400001</v>
      </c>
      <c r="C19" s="314">
        <v>1260.4115306800002</v>
      </c>
      <c r="D19" s="313">
        <v>1.4081255100000001</v>
      </c>
      <c r="E19" s="314">
        <v>808.9293028300001</v>
      </c>
      <c r="F19" s="313">
        <v>3290.4542289600004</v>
      </c>
      <c r="G19" s="197">
        <v>4.2911089941482627E-2</v>
      </c>
    </row>
    <row r="20" spans="1:7" ht="20" customHeight="1" thickBot="1">
      <c r="A20" s="194">
        <v>2009</v>
      </c>
      <c r="B20" s="313">
        <v>1153.6249357700001</v>
      </c>
      <c r="C20" s="314">
        <v>1187.9370805399999</v>
      </c>
      <c r="D20" s="313">
        <v>1.3760763200000001</v>
      </c>
      <c r="E20" s="314">
        <v>1039.5337555199999</v>
      </c>
      <c r="F20" s="313">
        <v>3382.4718481499999</v>
      </c>
      <c r="G20" s="197">
        <v>2.7965020263808205E-2</v>
      </c>
    </row>
    <row r="21" spans="1:7" ht="20" customHeight="1" thickBot="1">
      <c r="A21" s="194">
        <v>2010</v>
      </c>
      <c r="B21" s="313">
        <v>1051.15195066</v>
      </c>
      <c r="C21" s="314">
        <v>1011.90131852</v>
      </c>
      <c r="D21" s="313">
        <v>1.2471693700000002</v>
      </c>
      <c r="E21" s="314">
        <v>1344.41420606</v>
      </c>
      <c r="F21" s="313">
        <v>3408.7146446099996</v>
      </c>
      <c r="G21" s="197">
        <v>7.7584670732302463E-3</v>
      </c>
    </row>
    <row r="22" spans="1:7" ht="26.5" customHeight="1" thickBot="1">
      <c r="A22" s="198">
        <v>2011</v>
      </c>
      <c r="B22" s="315">
        <v>1006.5158743300001</v>
      </c>
      <c r="C22" s="316">
        <v>916.41476747000002</v>
      </c>
      <c r="D22" s="315">
        <v>1.21822674</v>
      </c>
      <c r="E22" s="316">
        <v>1650.95538848</v>
      </c>
      <c r="F22" s="315">
        <v>3575.1042570200002</v>
      </c>
      <c r="G22" s="109">
        <v>4.8813007176503609E-2</v>
      </c>
    </row>
    <row r="23" spans="1:7" ht="20" customHeight="1">
      <c r="A23" s="296" t="s">
        <v>720</v>
      </c>
      <c r="B23" s="296"/>
      <c r="C23" s="296"/>
      <c r="D23" s="296"/>
      <c r="E23" s="296"/>
      <c r="F23" s="296"/>
      <c r="G23" s="296"/>
    </row>
    <row r="25" spans="1:7">
      <c r="A25" s="3" t="s">
        <v>1609</v>
      </c>
    </row>
    <row r="28" spans="1:7">
      <c r="A28" s="3" t="s">
        <v>719</v>
      </c>
    </row>
  </sheetData>
  <mergeCells count="1">
    <mergeCell ref="A2:G2"/>
  </mergeCells>
  <pageMargins left="0.53" right="0.6" top="0.97" bottom="0.49" header="0.63" footer="0.4921259845"/>
  <pageSetup paperSize="9" scale="72"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2A73-0C27-ED4C-AE49-6F58398220E9}">
  <sheetPr>
    <pageSetUpPr fitToPage="1"/>
  </sheetPr>
  <dimension ref="A1:J60"/>
  <sheetViews>
    <sheetView zoomScaleNormal="100" workbookViewId="0">
      <selection activeCell="E6" sqref="E6"/>
    </sheetView>
  </sheetViews>
  <sheetFormatPr baseColWidth="10" defaultColWidth="11.3984375" defaultRowHeight="13"/>
  <cols>
    <col min="1" max="1" width="21.796875" style="3" customWidth="1"/>
    <col min="2" max="3" width="15.796875" style="3" customWidth="1"/>
    <col min="4" max="4" width="19.3984375" style="3" customWidth="1"/>
    <col min="5" max="5" width="16.3984375" style="3" customWidth="1"/>
    <col min="6" max="6" width="20.3984375" style="3" customWidth="1"/>
    <col min="7" max="7" width="16.3984375" style="3" customWidth="1"/>
    <col min="8" max="8" width="13" style="3" customWidth="1"/>
    <col min="9" max="10" width="13.3984375" style="3" customWidth="1"/>
    <col min="11" max="16384" width="11.3984375" style="3"/>
  </cols>
  <sheetData>
    <row r="1" spans="1:10" s="2" customFormat="1" ht="14" customHeight="1"/>
    <row r="2" spans="1:10" s="2" customFormat="1" ht="23.5" customHeight="1">
      <c r="A2" s="1843" t="s">
        <v>1610</v>
      </c>
      <c r="B2" s="1847"/>
      <c r="C2" s="1847"/>
      <c r="D2" s="1847"/>
      <c r="E2" s="1847"/>
      <c r="F2" s="1847"/>
      <c r="G2" s="1847"/>
    </row>
    <row r="3" spans="1:10" ht="24" customHeight="1">
      <c r="A3" s="92" t="s">
        <v>1611</v>
      </c>
      <c r="B3" s="182" t="s">
        <v>399</v>
      </c>
      <c r="C3" s="183" t="s">
        <v>400</v>
      </c>
      <c r="D3" s="182" t="s">
        <v>401</v>
      </c>
      <c r="E3" s="183" t="s">
        <v>402</v>
      </c>
      <c r="F3" s="182" t="s">
        <v>683</v>
      </c>
      <c r="G3" s="94" t="s">
        <v>279</v>
      </c>
    </row>
    <row r="4" spans="1:10" ht="15" customHeight="1">
      <c r="A4" s="184"/>
      <c r="B4" s="185" t="s">
        <v>403</v>
      </c>
      <c r="C4" s="186" t="s">
        <v>404</v>
      </c>
      <c r="D4" s="185" t="s">
        <v>405</v>
      </c>
      <c r="E4" s="187" t="s">
        <v>406</v>
      </c>
      <c r="F4" s="185"/>
      <c r="G4" s="95" t="s">
        <v>282</v>
      </c>
    </row>
    <row r="5" spans="1:10" ht="15" customHeight="1">
      <c r="A5" s="184"/>
      <c r="B5" s="185" t="s">
        <v>407</v>
      </c>
      <c r="C5" s="186" t="s">
        <v>408</v>
      </c>
      <c r="D5" s="185"/>
      <c r="E5" s="187" t="s">
        <v>409</v>
      </c>
      <c r="F5" s="185"/>
      <c r="G5" s="95" t="s">
        <v>283</v>
      </c>
    </row>
    <row r="6" spans="1:10" ht="24" customHeight="1">
      <c r="A6" s="408" t="s">
        <v>721</v>
      </c>
      <c r="B6" s="189"/>
      <c r="C6" s="190"/>
      <c r="D6" s="189"/>
      <c r="E6" s="191" t="s">
        <v>410</v>
      </c>
      <c r="F6" s="189"/>
      <c r="G6" s="522"/>
    </row>
    <row r="7" spans="1:10" ht="1.5" customHeight="1" thickBot="1">
      <c r="A7" s="192">
        <v>1996</v>
      </c>
      <c r="B7" s="100">
        <v>228.61851592074831</v>
      </c>
      <c r="C7" s="193">
        <v>250.28080917066114</v>
      </c>
      <c r="D7" s="100">
        <v>156.40767594799246</v>
      </c>
      <c r="E7" s="193">
        <v>39.181749983856008</v>
      </c>
      <c r="F7" s="100">
        <v>232.07567799264095</v>
      </c>
      <c r="G7" s="101" t="s">
        <v>30</v>
      </c>
    </row>
    <row r="8" spans="1:10" ht="0.75" hidden="1" customHeight="1" thickBot="1">
      <c r="A8" s="194">
        <v>1997</v>
      </c>
      <c r="B8" s="195">
        <v>214.82091350284739</v>
      </c>
      <c r="C8" s="196">
        <v>309.95377266694288</v>
      </c>
      <c r="D8" s="195">
        <v>147.80819168288531</v>
      </c>
      <c r="E8" s="196">
        <v>118.73527169724866</v>
      </c>
      <c r="F8" s="195">
        <v>245.69341951346181</v>
      </c>
      <c r="G8" s="197">
        <v>5.8678021060236452E-2</v>
      </c>
      <c r="H8" s="9"/>
      <c r="I8" s="9"/>
      <c r="J8" s="9"/>
    </row>
    <row r="9" spans="1:10" ht="19.5" hidden="1" customHeight="1" thickBot="1">
      <c r="A9" s="194">
        <v>1998</v>
      </c>
      <c r="B9" s="195">
        <v>252.5128510168046</v>
      </c>
      <c r="C9" s="196">
        <v>360.17625657491357</v>
      </c>
      <c r="D9" s="195">
        <v>109.45734992662796</v>
      </c>
      <c r="E9" s="196">
        <v>203.07165413877752</v>
      </c>
      <c r="F9" s="195">
        <v>289.40816378154983</v>
      </c>
      <c r="G9" s="197">
        <v>0.17792395235759595</v>
      </c>
    </row>
    <row r="10" spans="1:10" ht="20" hidden="1" customHeight="1" thickBot="1">
      <c r="A10" s="194">
        <v>1999</v>
      </c>
      <c r="B10" s="195">
        <v>252.78194503280005</v>
      </c>
      <c r="C10" s="196">
        <v>388.48632413108436</v>
      </c>
      <c r="D10" s="195">
        <v>77.211639339766236</v>
      </c>
      <c r="E10" s="196">
        <v>225.34003908380205</v>
      </c>
      <c r="F10" s="195">
        <v>301.19915324099151</v>
      </c>
      <c r="G10" s="197">
        <v>4.0741730659476838E-2</v>
      </c>
    </row>
    <row r="11" spans="1:10" ht="20" hidden="1" customHeight="1" thickBot="1">
      <c r="A11" s="194">
        <v>2000</v>
      </c>
      <c r="B11" s="195">
        <v>268.97415894253976</v>
      </c>
      <c r="C11" s="196">
        <v>395.55641048968283</v>
      </c>
      <c r="D11" s="195">
        <v>127.58078154223918</v>
      </c>
      <c r="E11" s="196">
        <v>245.13884972744927</v>
      </c>
      <c r="F11" s="195">
        <v>314.93035979343995</v>
      </c>
      <c r="G11" s="197">
        <v>4.5588463329649498E-2</v>
      </c>
    </row>
    <row r="12" spans="1:10" ht="23" customHeight="1" thickBot="1">
      <c r="A12" s="194">
        <v>2001</v>
      </c>
      <c r="B12" s="195">
        <v>279.87221622151498</v>
      </c>
      <c r="C12" s="196">
        <v>409.91519673787701</v>
      </c>
      <c r="D12" s="195">
        <v>136.13273133558098</v>
      </c>
      <c r="E12" s="196">
        <v>264.16982213438177</v>
      </c>
      <c r="F12" s="195">
        <v>328.74580078618828</v>
      </c>
      <c r="G12" s="197">
        <v>4.3868241225805571E-2</v>
      </c>
    </row>
    <row r="13" spans="1:10" ht="23" customHeight="1" thickBot="1">
      <c r="A13" s="194">
        <v>2002</v>
      </c>
      <c r="B13" s="195">
        <v>286.4170414821387</v>
      </c>
      <c r="C13" s="196">
        <v>418.22409665521263</v>
      </c>
      <c r="D13" s="195">
        <v>142.93477715564441</v>
      </c>
      <c r="E13" s="196">
        <v>301.45728171382285</v>
      </c>
      <c r="F13" s="195">
        <v>340.77001631259407</v>
      </c>
      <c r="G13" s="197">
        <v>3.6576027732217797E-2</v>
      </c>
    </row>
    <row r="14" spans="1:10" ht="23" customHeight="1" thickBot="1">
      <c r="A14" s="194">
        <v>2003</v>
      </c>
      <c r="B14" s="195">
        <v>294.74032000405879</v>
      </c>
      <c r="C14" s="196">
        <v>432.96196147343414</v>
      </c>
      <c r="D14" s="195">
        <v>147.17768028203764</v>
      </c>
      <c r="E14" s="196">
        <v>275.60229235265177</v>
      </c>
      <c r="F14" s="195">
        <v>351.10178312798706</v>
      </c>
      <c r="G14" s="197">
        <v>3.0318884645988087E-2</v>
      </c>
    </row>
    <row r="15" spans="1:10" ht="23" customHeight="1" thickBot="1">
      <c r="A15" s="194">
        <v>2004</v>
      </c>
      <c r="B15" s="195">
        <v>346.67767559714537</v>
      </c>
      <c r="C15" s="196">
        <v>445.61742079017637</v>
      </c>
      <c r="D15" s="195">
        <v>170.9555657016069</v>
      </c>
      <c r="E15" s="196">
        <v>314.69406860308436</v>
      </c>
      <c r="F15" s="195">
        <v>383.59639867630506</v>
      </c>
      <c r="G15" s="197">
        <v>9.2550414466202602E-2</v>
      </c>
    </row>
    <row r="16" spans="1:10" ht="23" customHeight="1" thickBot="1">
      <c r="A16" s="194">
        <v>2005</v>
      </c>
      <c r="B16" s="195">
        <v>369.44498634392721</v>
      </c>
      <c r="C16" s="196">
        <v>468.17286197785694</v>
      </c>
      <c r="D16" s="195">
        <v>182.15224262282666</v>
      </c>
      <c r="E16" s="196">
        <v>325.16017542364909</v>
      </c>
      <c r="F16" s="195">
        <v>402.77581823634506</v>
      </c>
      <c r="G16" s="197">
        <v>4.9998956262945482E-2</v>
      </c>
    </row>
    <row r="17" spans="1:7" ht="23" customHeight="1" thickBot="1">
      <c r="A17" s="194">
        <v>2006</v>
      </c>
      <c r="B17" s="195">
        <v>381.48826099648591</v>
      </c>
      <c r="C17" s="196">
        <v>479.72716225398437</v>
      </c>
      <c r="D17" s="195">
        <v>173.51556238627722</v>
      </c>
      <c r="E17" s="196">
        <v>318.22891670236891</v>
      </c>
      <c r="F17" s="195">
        <v>406.33016890579557</v>
      </c>
      <c r="G17" s="197">
        <v>8.8246376979981278E-3</v>
      </c>
    </row>
    <row r="18" spans="1:7" ht="23" customHeight="1" thickBot="1">
      <c r="A18" s="194">
        <v>2007</v>
      </c>
      <c r="B18" s="195">
        <v>400.55455286147281</v>
      </c>
      <c r="C18" s="196">
        <v>500.15854269388518</v>
      </c>
      <c r="D18" s="195">
        <v>196.2585932147031</v>
      </c>
      <c r="E18" s="196">
        <v>335.92959502889681</v>
      </c>
      <c r="F18" s="195">
        <v>418.57794913092192</v>
      </c>
      <c r="G18" s="197">
        <v>3.014243381954218E-2</v>
      </c>
    </row>
    <row r="19" spans="1:7" ht="23" customHeight="1" thickBot="1">
      <c r="A19" s="194">
        <v>2008</v>
      </c>
      <c r="B19" s="195">
        <v>413.84569612436934</v>
      </c>
      <c r="C19" s="196">
        <v>530.13155278898682</v>
      </c>
      <c r="D19" s="195">
        <v>216.27564645013524</v>
      </c>
      <c r="E19" s="196">
        <v>354.13205606736216</v>
      </c>
      <c r="F19" s="195">
        <v>432.06984081146493</v>
      </c>
      <c r="G19" s="197">
        <v>3.223268619036368E-2</v>
      </c>
    </row>
    <row r="20" spans="1:7" ht="23" customHeight="1" thickBot="1">
      <c r="A20" s="194">
        <v>2009</v>
      </c>
      <c r="B20" s="195">
        <v>419.73019788908238</v>
      </c>
      <c r="C20" s="196">
        <v>544.40918884592361</v>
      </c>
      <c r="D20" s="195">
        <v>223.50620861263292</v>
      </c>
      <c r="E20" s="196">
        <v>374.97265629912067</v>
      </c>
      <c r="F20" s="195">
        <v>438.77782718478119</v>
      </c>
      <c r="G20" s="197">
        <v>1.5525236292165401E-2</v>
      </c>
    </row>
    <row r="21" spans="1:7" ht="23" customHeight="1" thickBot="1">
      <c r="A21" s="194">
        <v>2010</v>
      </c>
      <c r="B21" s="195">
        <v>435.70361068231057</v>
      </c>
      <c r="C21" s="196">
        <v>572.69650597987197</v>
      </c>
      <c r="D21" s="195">
        <v>219.33149556032734</v>
      </c>
      <c r="E21" s="196">
        <v>374.02084561196324</v>
      </c>
      <c r="F21" s="195">
        <v>438.15718058625299</v>
      </c>
      <c r="G21" s="197">
        <v>-1.4144894296740373E-3</v>
      </c>
    </row>
    <row r="22" spans="1:7" ht="26.5" customHeight="1" thickBot="1">
      <c r="A22" s="198">
        <v>2011</v>
      </c>
      <c r="B22" s="199">
        <v>461.61305816298312</v>
      </c>
      <c r="C22" s="200">
        <v>594.28475480059626</v>
      </c>
      <c r="D22" s="199">
        <v>231.45610961860717</v>
      </c>
      <c r="E22" s="200">
        <v>399.26485796677258</v>
      </c>
      <c r="F22" s="199">
        <v>454.68758890719317</v>
      </c>
      <c r="G22" s="929">
        <v>3.7727119520950314E-2</v>
      </c>
    </row>
    <row r="23" spans="1:7" ht="17.25" customHeight="1">
      <c r="A23" s="112" t="s">
        <v>720</v>
      </c>
      <c r="B23" s="112"/>
      <c r="C23" s="112"/>
      <c r="D23" s="112"/>
      <c r="E23" s="112"/>
      <c r="F23" s="112"/>
      <c r="G23" s="796"/>
    </row>
    <row r="24" spans="1:7">
      <c r="G24" s="797"/>
    </row>
    <row r="25" spans="1:7">
      <c r="A25" s="3" t="s">
        <v>1612</v>
      </c>
      <c r="G25" s="797"/>
    </row>
    <row r="26" spans="1:7">
      <c r="G26" s="797"/>
    </row>
    <row r="27" spans="1:7">
      <c r="G27" s="797"/>
    </row>
    <row r="28" spans="1:7" ht="21" customHeight="1">
      <c r="A28" s="952" t="s">
        <v>1613</v>
      </c>
      <c r="G28" s="797"/>
    </row>
    <row r="29" spans="1:7" ht="8.5" customHeight="1">
      <c r="G29" s="797"/>
    </row>
    <row r="30" spans="1:7" ht="18" customHeight="1">
      <c r="A30" s="92" t="s">
        <v>469</v>
      </c>
      <c r="B30" s="182" t="s">
        <v>349</v>
      </c>
      <c r="C30" s="94" t="s">
        <v>279</v>
      </c>
      <c r="D30" s="182" t="s">
        <v>459</v>
      </c>
      <c r="E30" s="94" t="s">
        <v>279</v>
      </c>
      <c r="F30" s="182" t="s">
        <v>1597</v>
      </c>
      <c r="G30" s="94" t="s">
        <v>279</v>
      </c>
    </row>
    <row r="31" spans="1:7" ht="18" customHeight="1">
      <c r="A31" s="953"/>
      <c r="B31" s="185" t="s">
        <v>460</v>
      </c>
      <c r="C31" s="95" t="s">
        <v>282</v>
      </c>
      <c r="D31" s="185" t="s">
        <v>461</v>
      </c>
      <c r="E31" s="95" t="s">
        <v>282</v>
      </c>
      <c r="F31" s="185" t="s">
        <v>1598</v>
      </c>
      <c r="G31" s="95" t="s">
        <v>282</v>
      </c>
    </row>
    <row r="32" spans="1:7" ht="18" customHeight="1">
      <c r="A32" s="184"/>
      <c r="B32" s="185"/>
      <c r="C32" s="784" t="s">
        <v>283</v>
      </c>
      <c r="D32" s="185"/>
      <c r="E32" s="784" t="s">
        <v>283</v>
      </c>
      <c r="F32" s="185"/>
      <c r="G32" s="784" t="s">
        <v>283</v>
      </c>
    </row>
    <row r="33" spans="1:7" ht="18" customHeight="1">
      <c r="A33" s="188"/>
      <c r="B33" s="189"/>
      <c r="C33" s="190"/>
      <c r="D33" s="189"/>
      <c r="E33" s="191"/>
      <c r="F33" s="189"/>
      <c r="G33" s="474"/>
    </row>
    <row r="34" spans="1:7" ht="1.25" customHeight="1" thickBot="1">
      <c r="A34" s="192">
        <v>1996</v>
      </c>
      <c r="B34" s="100" t="s">
        <v>30</v>
      </c>
      <c r="C34" s="954" t="s">
        <v>30</v>
      </c>
      <c r="D34" s="100" t="s">
        <v>30</v>
      </c>
      <c r="E34" s="954" t="s">
        <v>30</v>
      </c>
      <c r="F34" s="100" t="s">
        <v>30</v>
      </c>
      <c r="G34" s="101" t="s">
        <v>30</v>
      </c>
    </row>
    <row r="35" spans="1:7" ht="0.75" customHeight="1" thickBot="1">
      <c r="A35" s="192">
        <v>1997</v>
      </c>
      <c r="B35" s="100">
        <v>63.73</v>
      </c>
      <c r="C35" s="197" t="s">
        <v>30</v>
      </c>
      <c r="D35" s="100">
        <v>181.03</v>
      </c>
      <c r="E35" s="197" t="s">
        <v>30</v>
      </c>
      <c r="F35" s="100">
        <v>315.33</v>
      </c>
      <c r="G35" s="197" t="s">
        <v>30</v>
      </c>
    </row>
    <row r="36" spans="1:7" ht="18" hidden="1" customHeight="1" thickBot="1">
      <c r="A36" s="192">
        <v>1998</v>
      </c>
      <c r="B36" s="195">
        <v>67.75</v>
      </c>
      <c r="C36" s="197">
        <v>6.3078612898164188E-2</v>
      </c>
      <c r="D36" s="195">
        <v>220.5</v>
      </c>
      <c r="E36" s="197">
        <v>0.21803016074683756</v>
      </c>
      <c r="F36" s="195">
        <v>369.64</v>
      </c>
      <c r="G36" s="197">
        <v>0.17223226461167673</v>
      </c>
    </row>
    <row r="37" spans="1:7" ht="18" hidden="1" customHeight="1" thickBot="1">
      <c r="A37" s="192">
        <v>1999</v>
      </c>
      <c r="B37" s="195">
        <v>68.52</v>
      </c>
      <c r="C37" s="197">
        <v>1.1365313653136422E-2</v>
      </c>
      <c r="D37" s="195">
        <v>233.83</v>
      </c>
      <c r="E37" s="197">
        <v>6.0453514739229108E-2</v>
      </c>
      <c r="F37" s="195">
        <v>384.99</v>
      </c>
      <c r="G37" s="197">
        <v>4.1526891029109558E-2</v>
      </c>
    </row>
    <row r="38" spans="1:7" ht="23" hidden="1" customHeight="1" thickBot="1">
      <c r="A38" s="192">
        <v>2000</v>
      </c>
      <c r="B38" s="195">
        <v>71.95</v>
      </c>
      <c r="C38" s="197">
        <v>5.0058377116170671E-2</v>
      </c>
      <c r="D38" s="195">
        <v>241.33</v>
      </c>
      <c r="E38" s="197">
        <v>3.2074584099559544E-2</v>
      </c>
      <c r="F38" s="195">
        <v>405.65</v>
      </c>
      <c r="G38" s="197">
        <v>5.3663731525493974E-2</v>
      </c>
    </row>
    <row r="39" spans="1:7" ht="23" customHeight="1" thickBot="1">
      <c r="A39" s="192">
        <v>2001</v>
      </c>
      <c r="B39" s="195">
        <v>75.150000000000006</v>
      </c>
      <c r="C39" s="197">
        <v>4.4475330090340659E-2</v>
      </c>
      <c r="D39" s="195">
        <v>252.17</v>
      </c>
      <c r="E39" s="197">
        <v>4.4917747482699832E-2</v>
      </c>
      <c r="F39" s="195">
        <v>422.68</v>
      </c>
      <c r="G39" s="197">
        <v>4.1982004190805E-2</v>
      </c>
    </row>
    <row r="40" spans="1:7" ht="23" customHeight="1" thickBot="1">
      <c r="A40" s="192">
        <v>2002</v>
      </c>
      <c r="B40" s="195">
        <v>75.16</v>
      </c>
      <c r="C40" s="197">
        <v>1.3306719893524388E-4</v>
      </c>
      <c r="D40" s="195">
        <v>258.77</v>
      </c>
      <c r="E40" s="197">
        <v>2.6172819923067747E-2</v>
      </c>
      <c r="F40" s="195">
        <v>434.56</v>
      </c>
      <c r="G40" s="197">
        <v>2.8106368884262212E-2</v>
      </c>
    </row>
    <row r="41" spans="1:7" ht="23" customHeight="1" thickBot="1">
      <c r="A41" s="192">
        <v>2003</v>
      </c>
      <c r="B41" s="195">
        <v>77.430000000000007</v>
      </c>
      <c r="C41" s="197">
        <v>3.0202235231506336E-2</v>
      </c>
      <c r="D41" s="195">
        <v>267.27999999999997</v>
      </c>
      <c r="E41" s="197">
        <v>3.2886346949028145E-2</v>
      </c>
      <c r="F41" s="195">
        <v>445.21</v>
      </c>
      <c r="G41" s="197">
        <v>2.4507547864506485E-2</v>
      </c>
    </row>
    <row r="42" spans="1:7" ht="23" customHeight="1" thickBot="1">
      <c r="A42" s="192">
        <v>2004</v>
      </c>
      <c r="B42" s="195">
        <v>80.83</v>
      </c>
      <c r="C42" s="197">
        <v>4.391062895518516E-2</v>
      </c>
      <c r="D42" s="195">
        <v>289.83</v>
      </c>
      <c r="E42" s="197">
        <v>8.4368452559114182E-2</v>
      </c>
      <c r="F42" s="195">
        <v>485.65</v>
      </c>
      <c r="G42" s="197">
        <v>9.0833539228678539E-2</v>
      </c>
    </row>
    <row r="43" spans="1:7" ht="23" customHeight="1" thickBot="1">
      <c r="A43" s="192">
        <v>2005</v>
      </c>
      <c r="B43" s="195">
        <v>88.02</v>
      </c>
      <c r="C43" s="197">
        <v>8.8952121736978862E-2</v>
      </c>
      <c r="D43" s="195">
        <v>302.69</v>
      </c>
      <c r="E43" s="197">
        <v>4.4370838077493646E-2</v>
      </c>
      <c r="F43" s="195">
        <v>505.01</v>
      </c>
      <c r="G43" s="197">
        <v>3.9864099660249286E-2</v>
      </c>
    </row>
    <row r="44" spans="1:7" ht="23" customHeight="1" thickBot="1">
      <c r="A44" s="192">
        <v>2006</v>
      </c>
      <c r="B44" s="195">
        <v>89.58</v>
      </c>
      <c r="C44" s="197">
        <v>1.7723244717109843E-2</v>
      </c>
      <c r="D44" s="195">
        <v>304.13</v>
      </c>
      <c r="E44" s="197">
        <v>4.7573424956226518E-3</v>
      </c>
      <c r="F44" s="195">
        <v>510.09</v>
      </c>
      <c r="G44" s="197">
        <v>1.0059206748381122E-2</v>
      </c>
    </row>
    <row r="45" spans="1:7" ht="23" customHeight="1" thickBot="1">
      <c r="A45" s="192">
        <v>2007</v>
      </c>
      <c r="B45" s="195">
        <v>92.79</v>
      </c>
      <c r="C45" s="197">
        <v>3.5833891493637138E-2</v>
      </c>
      <c r="D45" s="195">
        <v>309.54000000000002</v>
      </c>
      <c r="E45" s="197">
        <v>1.7788445730444247E-2</v>
      </c>
      <c r="F45" s="195">
        <v>522.22</v>
      </c>
      <c r="G45" s="197">
        <v>2.3780117234213582E-2</v>
      </c>
    </row>
    <row r="46" spans="1:7" ht="23" customHeight="1" thickBot="1">
      <c r="A46" s="192">
        <v>2008</v>
      </c>
      <c r="B46" s="195">
        <v>95.087019294832501</v>
      </c>
      <c r="C46" s="197">
        <v>2.4755030658826227E-2</v>
      </c>
      <c r="D46" s="195">
        <v>320.79966291492889</v>
      </c>
      <c r="E46" s="197">
        <v>3.6375469777504943E-2</v>
      </c>
      <c r="F46" s="195">
        <v>538.06114670750605</v>
      </c>
      <c r="G46" s="197">
        <v>3.0334239798372353E-2</v>
      </c>
    </row>
    <row r="47" spans="1:7" ht="23" customHeight="1" thickBot="1">
      <c r="A47" s="192">
        <v>2009</v>
      </c>
      <c r="B47" s="195">
        <v>95.725122980230481</v>
      </c>
      <c r="C47" s="197">
        <v>6.7107339164711455E-3</v>
      </c>
      <c r="D47" s="195">
        <v>334.16938022804311</v>
      </c>
      <c r="E47" s="197">
        <v>4.1676219954943194E-2</v>
      </c>
      <c r="F47" s="195">
        <v>544.22522061426776</v>
      </c>
      <c r="G47" s="197">
        <v>1.1456084395762067E-2</v>
      </c>
    </row>
    <row r="48" spans="1:7" ht="23" customHeight="1" thickBot="1">
      <c r="A48" s="192">
        <v>2010</v>
      </c>
      <c r="B48" s="195">
        <v>93.937047957694219</v>
      </c>
      <c r="C48" s="197">
        <v>-1.8679265869478656E-2</v>
      </c>
      <c r="D48" s="195">
        <v>331.62812709047785</v>
      </c>
      <c r="E48" s="197">
        <v>-7.6046857908736998E-3</v>
      </c>
      <c r="F48" s="195">
        <v>542.78191935372695</v>
      </c>
      <c r="G48" s="197">
        <v>-2.6520293545230222E-3</v>
      </c>
    </row>
    <row r="49" spans="1:7" ht="23" customHeight="1" thickBot="1">
      <c r="A49" s="955">
        <v>2011</v>
      </c>
      <c r="B49" s="969">
        <v>94.253152352868312</v>
      </c>
      <c r="C49" s="929">
        <v>3.3650663081987719E-3</v>
      </c>
      <c r="D49" s="224">
        <v>340.38460160443998</v>
      </c>
      <c r="E49" s="929">
        <v>2.6404498890931327E-2</v>
      </c>
      <c r="F49" s="224">
        <v>563.24138007099987</v>
      </c>
      <c r="G49" s="929">
        <v>3.769370347050871E-2</v>
      </c>
    </row>
    <row r="50" spans="1:7" ht="15" customHeight="1">
      <c r="A50" s="172" t="s">
        <v>720</v>
      </c>
    </row>
    <row r="52" spans="1:7">
      <c r="A52" s="115" t="s">
        <v>1614</v>
      </c>
    </row>
    <row r="54" spans="1:7">
      <c r="G54" s="797"/>
    </row>
    <row r="55" spans="1:7">
      <c r="A55" s="173" t="s">
        <v>1615</v>
      </c>
    </row>
    <row r="56" spans="1:7">
      <c r="A56" s="3" t="s">
        <v>1616</v>
      </c>
    </row>
    <row r="57" spans="1:7">
      <c r="A57" s="3" t="s">
        <v>1617</v>
      </c>
    </row>
    <row r="60" spans="1:7">
      <c r="A60" s="3" t="s">
        <v>719</v>
      </c>
    </row>
  </sheetData>
  <mergeCells count="1">
    <mergeCell ref="A2:G2"/>
  </mergeCells>
  <pageMargins left="0.32" right="0.23" top="0.39370078740157483" bottom="0.31496062992125984" header="0.23622047244094491" footer="0.19685039370078741"/>
  <pageSetup paperSize="9" scale="71" orientation="portrait" horizontalDpi="1200" verticalDpi="12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A53A5-4FB9-4843-9C3D-90ECA91CE8AE}">
  <sheetPr>
    <pageSetUpPr fitToPage="1"/>
  </sheetPr>
  <dimension ref="A1:Q43"/>
  <sheetViews>
    <sheetView topLeftCell="A21" zoomScaleNormal="100" workbookViewId="0">
      <selection activeCell="A37" sqref="A37"/>
    </sheetView>
  </sheetViews>
  <sheetFormatPr baseColWidth="10" defaultColWidth="11.3984375" defaultRowHeight="13"/>
  <cols>
    <col min="1" max="1" width="13.3984375" style="3" customWidth="1"/>
    <col min="2" max="7" width="10.796875" style="3" customWidth="1"/>
    <col min="8" max="11" width="10.3984375" style="3" customWidth="1"/>
    <col min="12" max="13" width="11.3984375" style="3"/>
    <col min="14" max="14" width="11.59765625" style="3" customWidth="1"/>
    <col min="15" max="16384" width="11.3984375" style="3"/>
  </cols>
  <sheetData>
    <row r="1" spans="1:17" s="2" customFormat="1" ht="14" customHeight="1"/>
    <row r="2" spans="1:17" s="2" customFormat="1" ht="27.5" customHeight="1">
      <c r="A2" s="181" t="s">
        <v>711</v>
      </c>
      <c r="B2" s="436"/>
      <c r="C2" s="436"/>
      <c r="D2" s="436"/>
      <c r="E2" s="436"/>
      <c r="F2" s="436"/>
      <c r="G2" s="436"/>
      <c r="H2" s="436"/>
      <c r="I2" s="181"/>
      <c r="J2" s="181"/>
      <c r="K2" s="181"/>
      <c r="L2" s="181"/>
      <c r="M2" s="181"/>
      <c r="N2" s="181"/>
      <c r="O2" s="181"/>
      <c r="P2" s="181"/>
      <c r="Q2" s="181"/>
    </row>
    <row r="3" spans="1:17" ht="24" customHeight="1">
      <c r="A3" s="530" t="s">
        <v>191</v>
      </c>
      <c r="B3" s="186">
        <v>1996</v>
      </c>
      <c r="C3" s="185">
        <v>1997</v>
      </c>
      <c r="D3" s="186">
        <v>1998</v>
      </c>
      <c r="E3" s="538">
        <v>1999</v>
      </c>
      <c r="F3" s="539">
        <v>2000</v>
      </c>
      <c r="G3" s="185">
        <v>2001</v>
      </c>
      <c r="H3" s="186">
        <v>2002</v>
      </c>
      <c r="I3" s="185">
        <v>2003</v>
      </c>
      <c r="J3" s="186">
        <v>2004</v>
      </c>
      <c r="K3" s="185">
        <v>2005</v>
      </c>
      <c r="L3" s="186">
        <v>2006</v>
      </c>
      <c r="M3" s="185">
        <v>2007</v>
      </c>
      <c r="N3" s="186">
        <v>2008</v>
      </c>
      <c r="O3" s="185">
        <v>2009</v>
      </c>
      <c r="P3" s="186">
        <v>2010</v>
      </c>
      <c r="Q3" s="185">
        <v>2011</v>
      </c>
    </row>
    <row r="4" spans="1:17" ht="15" customHeight="1">
      <c r="A4" s="531"/>
      <c r="B4" s="186"/>
      <c r="C4" s="185"/>
      <c r="D4" s="186"/>
      <c r="E4" s="96"/>
      <c r="F4" s="187"/>
      <c r="G4" s="185"/>
      <c r="H4" s="186"/>
      <c r="I4" s="185"/>
      <c r="J4" s="186"/>
      <c r="K4" s="185"/>
      <c r="L4" s="186"/>
      <c r="M4" s="185"/>
      <c r="N4" s="186"/>
      <c r="O4" s="185"/>
      <c r="P4" s="186"/>
      <c r="Q4" s="185"/>
    </row>
    <row r="5" spans="1:17" ht="16" customHeight="1">
      <c r="A5" s="532"/>
      <c r="B5" s="190"/>
      <c r="C5" s="189"/>
      <c r="D5" s="190"/>
      <c r="E5" s="98"/>
      <c r="F5" s="191"/>
      <c r="G5" s="189"/>
      <c r="H5" s="190"/>
      <c r="I5" s="189"/>
      <c r="J5" s="190"/>
      <c r="K5" s="189"/>
      <c r="L5" s="190"/>
      <c r="M5" s="189"/>
      <c r="N5" s="190"/>
      <c r="O5" s="189"/>
      <c r="P5" s="190"/>
      <c r="Q5" s="189"/>
    </row>
    <row r="6" spans="1:17" ht="30" customHeight="1" thickBot="1">
      <c r="A6" s="533" t="s">
        <v>362</v>
      </c>
      <c r="B6" s="411">
        <v>1531.4368043385546</v>
      </c>
      <c r="C6" s="410">
        <v>1592.1404612983295</v>
      </c>
      <c r="D6" s="411">
        <v>1716.0245551444925</v>
      </c>
      <c r="E6" s="410">
        <v>1773.1739518220609</v>
      </c>
      <c r="F6" s="411">
        <v>1834.7116093744457</v>
      </c>
      <c r="G6" s="410">
        <v>1932.4611205334261</v>
      </c>
      <c r="H6" s="193">
        <v>2000.5046781814647</v>
      </c>
      <c r="I6" s="100">
        <v>2034.9237040545336</v>
      </c>
      <c r="J6" s="193">
        <v>2196.6080176712967</v>
      </c>
      <c r="K6" s="100">
        <v>2276.3332940228111</v>
      </c>
      <c r="L6" s="193">
        <v>2275.0555158102898</v>
      </c>
      <c r="M6" s="100">
        <v>2377.7251299329969</v>
      </c>
      <c r="N6" s="193">
        <v>2490.7057595098518</v>
      </c>
      <c r="O6" s="100">
        <v>2595.1602371058643</v>
      </c>
      <c r="P6" s="193">
        <v>2658.1695727129568</v>
      </c>
      <c r="Q6" s="100">
        <v>2660.7115895562274</v>
      </c>
    </row>
    <row r="7" spans="1:17" ht="20" customHeight="1" thickBot="1">
      <c r="A7" s="534" t="s">
        <v>363</v>
      </c>
      <c r="B7" s="196">
        <v>1429.5179276925787</v>
      </c>
      <c r="C7" s="195">
        <v>1560.9828221225171</v>
      </c>
      <c r="D7" s="196">
        <v>1549.4957062423252</v>
      </c>
      <c r="E7" s="195">
        <v>1630.1556937084752</v>
      </c>
      <c r="F7" s="196">
        <v>1781.6542916392134</v>
      </c>
      <c r="G7" s="195">
        <v>1847.9692160332511</v>
      </c>
      <c r="H7" s="193">
        <v>1922.939690101945</v>
      </c>
      <c r="I7" s="100">
        <v>2056.6964015673011</v>
      </c>
      <c r="J7" s="193">
        <v>2341.8816259440355</v>
      </c>
      <c r="K7" s="100">
        <v>2485.1444407832573</v>
      </c>
      <c r="L7" s="193">
        <v>2547.105985823775</v>
      </c>
      <c r="M7" s="100">
        <v>2678.4157621860086</v>
      </c>
      <c r="N7" s="193">
        <v>2798.8865785595031</v>
      </c>
      <c r="O7" s="100">
        <v>2847.3804001022049</v>
      </c>
      <c r="P7" s="193">
        <v>2892.7488001419242</v>
      </c>
      <c r="Q7" s="100">
        <v>2988.005313494667</v>
      </c>
    </row>
    <row r="8" spans="1:17" ht="20" customHeight="1" thickBot="1">
      <c r="A8" s="534" t="s">
        <v>364</v>
      </c>
      <c r="B8" s="196">
        <v>1133.4959137144647</v>
      </c>
      <c r="C8" s="195">
        <v>1164.2366846696132</v>
      </c>
      <c r="D8" s="196">
        <v>1255.3914661537981</v>
      </c>
      <c r="E8" s="195">
        <v>1318.1977597711782</v>
      </c>
      <c r="F8" s="196">
        <v>1420.093796759051</v>
      </c>
      <c r="G8" s="195">
        <v>1529.4853321539028</v>
      </c>
      <c r="H8" s="193">
        <v>1576.1526530652723</v>
      </c>
      <c r="I8" s="100">
        <v>1674.3818428454581</v>
      </c>
      <c r="J8" s="193">
        <v>1805.4006977487363</v>
      </c>
      <c r="K8" s="100">
        <v>1947.7473971890336</v>
      </c>
      <c r="L8" s="193">
        <v>1934.0866644296423</v>
      </c>
      <c r="M8" s="100">
        <v>2024.2185351854032</v>
      </c>
      <c r="N8" s="193">
        <v>2117.1685537566664</v>
      </c>
      <c r="O8" s="100">
        <v>2239.5335043069604</v>
      </c>
      <c r="P8" s="193">
        <v>2291.8030558776159</v>
      </c>
      <c r="Q8" s="100">
        <v>2306.388892515361</v>
      </c>
    </row>
    <row r="9" spans="1:17" ht="20" customHeight="1" thickBot="1">
      <c r="A9" s="534" t="s">
        <v>365</v>
      </c>
      <c r="B9" s="196">
        <v>1170.5713898768597</v>
      </c>
      <c r="C9" s="195">
        <v>1188.7947173285502</v>
      </c>
      <c r="D9" s="196">
        <v>1184.7634491989279</v>
      </c>
      <c r="E9" s="195">
        <v>1276.0434772253018</v>
      </c>
      <c r="F9" s="196">
        <v>1372.3320896788282</v>
      </c>
      <c r="G9" s="195">
        <v>1524.2356863549176</v>
      </c>
      <c r="H9" s="193">
        <v>1447.1828874585042</v>
      </c>
      <c r="I9" s="100">
        <v>1570.7474754638181</v>
      </c>
      <c r="J9" s="193">
        <v>1666.6492681434515</v>
      </c>
      <c r="K9" s="100">
        <v>1860.0091614818257</v>
      </c>
      <c r="L9" s="193">
        <v>1869.5080282563245</v>
      </c>
      <c r="M9" s="100">
        <v>2009.4927026379683</v>
      </c>
      <c r="N9" s="193">
        <v>2068.8412540501618</v>
      </c>
      <c r="O9" s="100">
        <v>2163.02623550206</v>
      </c>
      <c r="P9" s="193">
        <v>2174.6586066543464</v>
      </c>
      <c r="Q9" s="100">
        <v>2159.5054345717153</v>
      </c>
    </row>
    <row r="10" spans="1:17" ht="20" customHeight="1" thickBot="1">
      <c r="A10" s="534" t="s">
        <v>366</v>
      </c>
      <c r="B10" s="196">
        <v>1183.904502547374</v>
      </c>
      <c r="C10" s="195">
        <v>1177.3390952712084</v>
      </c>
      <c r="D10" s="196">
        <v>1210.2794637805375</v>
      </c>
      <c r="E10" s="195">
        <v>1328.6042502309097</v>
      </c>
      <c r="F10" s="196">
        <v>1401.49371094512</v>
      </c>
      <c r="G10" s="195">
        <v>1562.5834963549732</v>
      </c>
      <c r="H10" s="193">
        <v>1546.5923642876348</v>
      </c>
      <c r="I10" s="100">
        <v>1661.3339067844468</v>
      </c>
      <c r="J10" s="193">
        <v>1779.1950576893307</v>
      </c>
      <c r="K10" s="100">
        <v>1883.5767671342526</v>
      </c>
      <c r="L10" s="193">
        <v>1924.2853426193594</v>
      </c>
      <c r="M10" s="100">
        <v>2012.3715910012818</v>
      </c>
      <c r="N10" s="193">
        <v>2081.1379398518775</v>
      </c>
      <c r="O10" s="100">
        <v>2224.6461416556958</v>
      </c>
      <c r="P10" s="193">
        <v>2225.2091375768055</v>
      </c>
      <c r="Q10" s="100">
        <v>2268.4311930371427</v>
      </c>
    </row>
    <row r="11" spans="1:17" ht="20" customHeight="1" thickBot="1">
      <c r="A11" s="534" t="s">
        <v>367</v>
      </c>
      <c r="B11" s="196">
        <v>1133.7894159595787</v>
      </c>
      <c r="C11" s="195">
        <v>1137.0381481642287</v>
      </c>
      <c r="D11" s="196">
        <v>1204.9714456028103</v>
      </c>
      <c r="E11" s="195">
        <v>1277.9778714096794</v>
      </c>
      <c r="F11" s="196">
        <v>1369.3814863200012</v>
      </c>
      <c r="G11" s="195">
        <v>1410.6232418448128</v>
      </c>
      <c r="H11" s="193">
        <v>1421.5873003326212</v>
      </c>
      <c r="I11" s="100">
        <v>1531.0057506857099</v>
      </c>
      <c r="J11" s="193">
        <v>1618.0639843081201</v>
      </c>
      <c r="K11" s="100">
        <v>1769.3426699028305</v>
      </c>
      <c r="L11" s="193">
        <v>1824.6505680668256</v>
      </c>
      <c r="M11" s="100">
        <v>1975.9418241624771</v>
      </c>
      <c r="N11" s="193">
        <v>2028.3068967183267</v>
      </c>
      <c r="O11" s="100">
        <v>2058.8767642458251</v>
      </c>
      <c r="P11" s="193">
        <v>2033.766976369847</v>
      </c>
      <c r="Q11" s="100">
        <v>2101.0595424357598</v>
      </c>
    </row>
    <row r="12" spans="1:17" ht="20" customHeight="1" thickBot="1">
      <c r="A12" s="534" t="s">
        <v>368</v>
      </c>
      <c r="B12" s="196">
        <v>1084.0519649237353</v>
      </c>
      <c r="C12" s="195">
        <v>1048.6278972234743</v>
      </c>
      <c r="D12" s="196">
        <v>1090.0190923265952</v>
      </c>
      <c r="E12" s="195">
        <v>1162.2748100441377</v>
      </c>
      <c r="F12" s="196">
        <v>1285.619302307706</v>
      </c>
      <c r="G12" s="195">
        <v>1333.9556699963334</v>
      </c>
      <c r="H12" s="193">
        <v>1388.3951215522666</v>
      </c>
      <c r="I12" s="100">
        <v>1470.2141545515597</v>
      </c>
      <c r="J12" s="193">
        <v>1489.3604369062462</v>
      </c>
      <c r="K12" s="100">
        <v>1586.5911426422597</v>
      </c>
      <c r="L12" s="193">
        <v>1696.2506591330434</v>
      </c>
      <c r="M12" s="100">
        <v>1847.7498182499899</v>
      </c>
      <c r="N12" s="193">
        <v>1912.6361784172177</v>
      </c>
      <c r="O12" s="100">
        <v>1987.0067973913037</v>
      </c>
      <c r="P12" s="193">
        <v>2022.6549757315913</v>
      </c>
      <c r="Q12" s="100">
        <v>2027.1509724747493</v>
      </c>
    </row>
    <row r="13" spans="1:17" ht="20" customHeight="1" thickBot="1">
      <c r="A13" s="534" t="s">
        <v>369</v>
      </c>
      <c r="B13" s="196">
        <v>1203.4670187360268</v>
      </c>
      <c r="C13" s="195">
        <v>1262.1814850826552</v>
      </c>
      <c r="D13" s="196">
        <v>1295.9536270179703</v>
      </c>
      <c r="E13" s="195">
        <v>1417.7423234774992</v>
      </c>
      <c r="F13" s="196">
        <v>1519.2532199850962</v>
      </c>
      <c r="G13" s="195">
        <v>1646.5068743383752</v>
      </c>
      <c r="H13" s="193">
        <v>1683.4135242730229</v>
      </c>
      <c r="I13" s="100">
        <v>1718.6463437398302</v>
      </c>
      <c r="J13" s="193">
        <v>1844.6230302894276</v>
      </c>
      <c r="K13" s="100">
        <v>1974.6194053054242</v>
      </c>
      <c r="L13" s="193">
        <v>1962.9238127623209</v>
      </c>
      <c r="M13" s="100">
        <v>2030.5993941412801</v>
      </c>
      <c r="N13" s="193">
        <v>2180.6976400750987</v>
      </c>
      <c r="O13" s="100">
        <v>2247.2239645196319</v>
      </c>
      <c r="P13" s="193">
        <v>2348.5362628836929</v>
      </c>
      <c r="Q13" s="100">
        <v>2320.9659389464027</v>
      </c>
    </row>
    <row r="14" spans="1:17" ht="20" customHeight="1" thickBot="1">
      <c r="A14" s="534" t="s">
        <v>370</v>
      </c>
      <c r="B14" s="196">
        <v>1094.0639115654201</v>
      </c>
      <c r="C14" s="195">
        <v>1161.1799024238769</v>
      </c>
      <c r="D14" s="196">
        <v>1242.798626689103</v>
      </c>
      <c r="E14" s="195">
        <v>1321.3699370390195</v>
      </c>
      <c r="F14" s="196">
        <v>1410.2859117015253</v>
      </c>
      <c r="G14" s="195">
        <v>1564.7256669968224</v>
      </c>
      <c r="H14" s="193">
        <v>1656.1215954686197</v>
      </c>
      <c r="I14" s="100">
        <v>1696.8018273040691</v>
      </c>
      <c r="J14" s="193">
        <v>1771.3567195235237</v>
      </c>
      <c r="K14" s="100">
        <v>1868.8308402935636</v>
      </c>
      <c r="L14" s="193">
        <v>1882.3434464219522</v>
      </c>
      <c r="M14" s="100">
        <v>1989.6316671374429</v>
      </c>
      <c r="N14" s="193">
        <v>2067.1180660524301</v>
      </c>
      <c r="O14" s="100">
        <v>2181.154562467118</v>
      </c>
      <c r="P14" s="193">
        <v>2224.593910365787</v>
      </c>
      <c r="Q14" s="100">
        <v>2199.877229776308</v>
      </c>
    </row>
    <row r="15" spans="1:17" ht="20" customHeight="1" thickBot="1">
      <c r="A15" s="534" t="s">
        <v>371</v>
      </c>
      <c r="B15" s="196">
        <v>1427.9019124955446</v>
      </c>
      <c r="C15" s="195">
        <v>1443.573073884357</v>
      </c>
      <c r="D15" s="196">
        <v>1581.4626164183628</v>
      </c>
      <c r="E15" s="195">
        <v>1644.3563810475111</v>
      </c>
      <c r="F15" s="196">
        <v>1680.4040099177951</v>
      </c>
      <c r="G15" s="195">
        <v>1802.6509633245694</v>
      </c>
      <c r="H15" s="193">
        <v>1872.05548578351</v>
      </c>
      <c r="I15" s="100">
        <v>1920.7924785796415</v>
      </c>
      <c r="J15" s="193">
        <v>2003.6490356385605</v>
      </c>
      <c r="K15" s="100">
        <v>2136.675674591248</v>
      </c>
      <c r="L15" s="193">
        <v>2199.1855706445126</v>
      </c>
      <c r="M15" s="100">
        <v>2287.1500697004531</v>
      </c>
      <c r="N15" s="193">
        <v>2361.1948283509614</v>
      </c>
      <c r="O15" s="100">
        <v>2443.415487617106</v>
      </c>
      <c r="P15" s="193">
        <v>2480.6567752780611</v>
      </c>
      <c r="Q15" s="100">
        <v>2526.5040794693264</v>
      </c>
    </row>
    <row r="16" spans="1:17" ht="20" customHeight="1" thickBot="1">
      <c r="A16" s="534" t="s">
        <v>372</v>
      </c>
      <c r="B16" s="196">
        <v>1431.8919903527553</v>
      </c>
      <c r="C16" s="195">
        <v>1457.8482686616719</v>
      </c>
      <c r="D16" s="196">
        <v>1515.3951924182315</v>
      </c>
      <c r="E16" s="195">
        <v>1590.0159505008266</v>
      </c>
      <c r="F16" s="196">
        <v>1677.7139003459774</v>
      </c>
      <c r="G16" s="195">
        <v>1720.8346090900102</v>
      </c>
      <c r="H16" s="193">
        <v>1808.6814390145466</v>
      </c>
      <c r="I16" s="100">
        <v>1956.7024643352372</v>
      </c>
      <c r="J16" s="193">
        <v>2064.430553915814</v>
      </c>
      <c r="K16" s="100">
        <v>2177.3620068910054</v>
      </c>
      <c r="L16" s="193">
        <v>2247.2996222450583</v>
      </c>
      <c r="M16" s="100">
        <v>2362.7306711772153</v>
      </c>
      <c r="N16" s="193">
        <v>2479.7218561845107</v>
      </c>
      <c r="O16" s="100">
        <v>2523.1512987399551</v>
      </c>
      <c r="P16" s="193">
        <v>2535.0844626187836</v>
      </c>
      <c r="Q16" s="100">
        <v>2557.8603879584407</v>
      </c>
    </row>
    <row r="17" spans="1:17" ht="20" customHeight="1" thickBot="1">
      <c r="A17" s="534" t="s">
        <v>373</v>
      </c>
      <c r="B17" s="196">
        <v>2180.6017798482239</v>
      </c>
      <c r="C17" s="195">
        <v>2280.4789547108621</v>
      </c>
      <c r="D17" s="196">
        <v>2427.4331336155037</v>
      </c>
      <c r="E17" s="195">
        <v>2536.1203989117002</v>
      </c>
      <c r="F17" s="196">
        <v>2665.407573760051</v>
      </c>
      <c r="G17" s="195">
        <v>2813.4091035230354</v>
      </c>
      <c r="H17" s="193">
        <v>2896.8369473907801</v>
      </c>
      <c r="I17" s="100">
        <v>3004.8119413329973</v>
      </c>
      <c r="J17" s="193">
        <v>3087.9425345584004</v>
      </c>
      <c r="K17" s="100">
        <v>3367.6417484198873</v>
      </c>
      <c r="L17" s="193">
        <v>3420.2923870264158</v>
      </c>
      <c r="M17" s="100">
        <v>3563.1516131085218</v>
      </c>
      <c r="N17" s="193">
        <v>3736.2508968110014</v>
      </c>
      <c r="O17" s="100">
        <v>3773.6015111169786</v>
      </c>
      <c r="P17" s="193">
        <v>3765.5756161655959</v>
      </c>
      <c r="Q17" s="100">
        <v>3794.5561698916395</v>
      </c>
    </row>
    <row r="18" spans="1:17" ht="20" customHeight="1" thickBot="1">
      <c r="A18" s="534" t="s">
        <v>374</v>
      </c>
      <c r="B18" s="196">
        <v>1576.5959329930722</v>
      </c>
      <c r="C18" s="195">
        <v>1631.3844050196694</v>
      </c>
      <c r="D18" s="196">
        <v>1672.2843199240745</v>
      </c>
      <c r="E18" s="195">
        <v>1798.9493024475437</v>
      </c>
      <c r="F18" s="196">
        <v>1916.5475181932675</v>
      </c>
      <c r="G18" s="195">
        <v>2022.2270471181564</v>
      </c>
      <c r="H18" s="193">
        <v>2085.5586454253635</v>
      </c>
      <c r="I18" s="100">
        <v>2153.1393034951911</v>
      </c>
      <c r="J18" s="193">
        <v>2231.2058003509765</v>
      </c>
      <c r="K18" s="100">
        <v>2409.918131194413</v>
      </c>
      <c r="L18" s="193">
        <v>2414.7492919502483</v>
      </c>
      <c r="M18" s="100">
        <v>2553.1528418238199</v>
      </c>
      <c r="N18" s="193">
        <v>2741.6151255799837</v>
      </c>
      <c r="O18" s="100">
        <v>2841.1033072223063</v>
      </c>
      <c r="P18" s="193">
        <v>2900.7793797217996</v>
      </c>
      <c r="Q18" s="100">
        <v>2914.9276757131242</v>
      </c>
    </row>
    <row r="19" spans="1:17" ht="20" customHeight="1" thickBot="1">
      <c r="A19" s="534" t="s">
        <v>375</v>
      </c>
      <c r="B19" s="196">
        <v>1380.5502099272192</v>
      </c>
      <c r="C19" s="195">
        <v>1468.4771008262453</v>
      </c>
      <c r="D19" s="196">
        <v>1477.0084639083805</v>
      </c>
      <c r="E19" s="195">
        <v>1693.5570065888753</v>
      </c>
      <c r="F19" s="196">
        <v>1790.1012541841883</v>
      </c>
      <c r="G19" s="195">
        <v>1892.2705076175041</v>
      </c>
      <c r="H19" s="193">
        <v>1900.4769588270376</v>
      </c>
      <c r="I19" s="100">
        <v>1937.2498637296981</v>
      </c>
      <c r="J19" s="193">
        <v>2128.7910176856135</v>
      </c>
      <c r="K19" s="100">
        <v>2201.8604898626745</v>
      </c>
      <c r="L19" s="193">
        <v>2223.1704350966802</v>
      </c>
      <c r="M19" s="100">
        <v>2318.9744060617741</v>
      </c>
      <c r="N19" s="193">
        <v>2414.8750908522229</v>
      </c>
      <c r="O19" s="100">
        <v>2489.3090827995265</v>
      </c>
      <c r="P19" s="193">
        <v>2594.3235905194601</v>
      </c>
      <c r="Q19" s="100">
        <v>2592.3361211672668</v>
      </c>
    </row>
    <row r="20" spans="1:17" ht="20" customHeight="1" thickBot="1">
      <c r="A20" s="534" t="s">
        <v>376</v>
      </c>
      <c r="B20" s="196">
        <v>1084.0818240518406</v>
      </c>
      <c r="C20" s="195">
        <v>1180.45390669277</v>
      </c>
      <c r="D20" s="196">
        <v>1150.476854810451</v>
      </c>
      <c r="E20" s="195">
        <v>1273.353236043673</v>
      </c>
      <c r="F20" s="196">
        <v>1341.6471591825518</v>
      </c>
      <c r="G20" s="195">
        <v>1392.3756242443965</v>
      </c>
      <c r="H20" s="193">
        <v>1434.6176045226941</v>
      </c>
      <c r="I20" s="100">
        <v>1579.3450512080924</v>
      </c>
      <c r="J20" s="193">
        <v>1671.1285070870231</v>
      </c>
      <c r="K20" s="100">
        <v>1764.1241839787133</v>
      </c>
      <c r="L20" s="193">
        <v>1752.9128718806344</v>
      </c>
      <c r="M20" s="100">
        <v>1850.9489980496937</v>
      </c>
      <c r="N20" s="193">
        <v>1948.0697136338156</v>
      </c>
      <c r="O20" s="100">
        <v>2059.6722283954427</v>
      </c>
      <c r="P20" s="193">
        <v>2127.1393635695599</v>
      </c>
      <c r="Q20" s="100">
        <v>2155.6545024088141</v>
      </c>
    </row>
    <row r="21" spans="1:17" ht="20" customHeight="1" thickBot="1">
      <c r="A21" s="534" t="s">
        <v>377</v>
      </c>
      <c r="B21" s="196">
        <v>954.5730845024259</v>
      </c>
      <c r="C21" s="195">
        <v>975.48326612041524</v>
      </c>
      <c r="D21" s="196">
        <v>986.54224550184404</v>
      </c>
      <c r="E21" s="195">
        <v>1121.6595682884724</v>
      </c>
      <c r="F21" s="196">
        <v>1184.612154774358</v>
      </c>
      <c r="G21" s="195">
        <v>1231.7855632121377</v>
      </c>
      <c r="H21" s="193">
        <v>1356.8761363743531</v>
      </c>
      <c r="I21" s="100">
        <v>1409.1399647307283</v>
      </c>
      <c r="J21" s="193">
        <v>1461.518086780929</v>
      </c>
      <c r="K21" s="100">
        <v>1564.8157857562708</v>
      </c>
      <c r="L21" s="193">
        <v>1540.8129025893111</v>
      </c>
      <c r="M21" s="100">
        <v>1560.342952187144</v>
      </c>
      <c r="N21" s="193">
        <v>1781.6266974463535</v>
      </c>
      <c r="O21" s="100">
        <v>1740.1560081825285</v>
      </c>
      <c r="P21" s="193">
        <v>1777.8068734259887</v>
      </c>
      <c r="Q21" s="100">
        <v>1894.5928128026669</v>
      </c>
    </row>
    <row r="22" spans="1:17" ht="20" customHeight="1" thickBot="1">
      <c r="A22" s="534" t="s">
        <v>378</v>
      </c>
      <c r="B22" s="196">
        <v>1138.5080596692771</v>
      </c>
      <c r="C22" s="195">
        <v>1224.9103826817075</v>
      </c>
      <c r="D22" s="196">
        <v>1256.3508095278153</v>
      </c>
      <c r="E22" s="195">
        <v>1352.2406840417314</v>
      </c>
      <c r="F22" s="196">
        <v>1406.9954574849744</v>
      </c>
      <c r="G22" s="195">
        <v>1473.1303047318702</v>
      </c>
      <c r="H22" s="193">
        <v>1564.7730716018234</v>
      </c>
      <c r="I22" s="100">
        <v>1712.4385679183324</v>
      </c>
      <c r="J22" s="193">
        <v>1813.0412462234362</v>
      </c>
      <c r="K22" s="100">
        <v>1888.2455140450277</v>
      </c>
      <c r="L22" s="193">
        <v>1888.2284705256739</v>
      </c>
      <c r="M22" s="100">
        <v>1976.1784544310754</v>
      </c>
      <c r="N22" s="193">
        <v>2073.0018942345587</v>
      </c>
      <c r="O22" s="100">
        <v>2188.1389100107331</v>
      </c>
      <c r="P22" s="193">
        <v>2238.4001883806627</v>
      </c>
      <c r="Q22" s="100">
        <v>2254.3801142763896</v>
      </c>
    </row>
    <row r="23" spans="1:17" ht="20" customHeight="1" thickBot="1">
      <c r="A23" s="534" t="s">
        <v>379</v>
      </c>
      <c r="B23" s="196">
        <v>1104.4916088981208</v>
      </c>
      <c r="C23" s="195">
        <v>1061.5019562532173</v>
      </c>
      <c r="D23" s="196">
        <v>1158.6719421376101</v>
      </c>
      <c r="E23" s="195">
        <v>1353.8739751619062</v>
      </c>
      <c r="F23" s="196">
        <v>1489.2693401125439</v>
      </c>
      <c r="G23" s="195">
        <v>1551.2354164333785</v>
      </c>
      <c r="H23" s="193">
        <v>1608.7833104527003</v>
      </c>
      <c r="I23" s="100">
        <v>1718.3818274144037</v>
      </c>
      <c r="J23" s="193">
        <v>1843.7705637644858</v>
      </c>
      <c r="K23" s="100">
        <v>1921.1971300570419</v>
      </c>
      <c r="L23" s="193">
        <v>1957.5211782069607</v>
      </c>
      <c r="M23" s="100">
        <v>2126.0191035073431</v>
      </c>
      <c r="N23" s="193">
        <v>2198.8899922488613</v>
      </c>
      <c r="O23" s="100">
        <v>2293.471184708183</v>
      </c>
      <c r="P23" s="193">
        <v>2324.1735380507153</v>
      </c>
      <c r="Q23" s="100">
        <v>2332.1200997547285</v>
      </c>
    </row>
    <row r="24" spans="1:17" ht="20" customHeight="1" thickBot="1">
      <c r="A24" s="534" t="s">
        <v>380</v>
      </c>
      <c r="B24" s="196">
        <v>1228.596407039445</v>
      </c>
      <c r="C24" s="195">
        <v>1278.9323442787233</v>
      </c>
      <c r="D24" s="196">
        <v>1393.7234109066944</v>
      </c>
      <c r="E24" s="195">
        <v>1477.742640114355</v>
      </c>
      <c r="F24" s="196">
        <v>1577.6759415994654</v>
      </c>
      <c r="G24" s="195">
        <v>1636.1657378612056</v>
      </c>
      <c r="H24" s="193">
        <v>1712.7233845247633</v>
      </c>
      <c r="I24" s="100">
        <v>1804.5198720520671</v>
      </c>
      <c r="J24" s="193">
        <v>1892.7897057709893</v>
      </c>
      <c r="K24" s="100">
        <v>2025.9039271516788</v>
      </c>
      <c r="L24" s="193">
        <v>2085.8067572550881</v>
      </c>
      <c r="M24" s="100">
        <v>2159.1798098364375</v>
      </c>
      <c r="N24" s="193">
        <v>2283.5779240587103</v>
      </c>
      <c r="O24" s="100">
        <v>2360.210714916836</v>
      </c>
      <c r="P24" s="193">
        <v>2427.3223725664839</v>
      </c>
      <c r="Q24" s="100">
        <v>2453.7381351624349</v>
      </c>
    </row>
    <row r="25" spans="1:17" ht="20" customHeight="1" thickBot="1">
      <c r="A25" s="534" t="s">
        <v>381</v>
      </c>
      <c r="B25" s="196">
        <v>1164.7847345516263</v>
      </c>
      <c r="C25" s="195">
        <v>1368.261088527636</v>
      </c>
      <c r="D25" s="196">
        <v>1418.0873330003469</v>
      </c>
      <c r="E25" s="195">
        <v>1501.7362997740595</v>
      </c>
      <c r="F25" s="196">
        <v>1593.8394113823024</v>
      </c>
      <c r="G25" s="195">
        <v>1664.6342055410319</v>
      </c>
      <c r="H25" s="193">
        <v>1769.1114412104155</v>
      </c>
      <c r="I25" s="100">
        <v>1872.8260455234893</v>
      </c>
      <c r="J25" s="193">
        <v>1887.2865497552884</v>
      </c>
      <c r="K25" s="100">
        <v>1959.3771181296381</v>
      </c>
      <c r="L25" s="193">
        <v>1949.5365546751752</v>
      </c>
      <c r="M25" s="100">
        <v>2050.2224657798888</v>
      </c>
      <c r="N25" s="193">
        <v>2170.2155949635535</v>
      </c>
      <c r="O25" s="100">
        <v>2232.1540949027544</v>
      </c>
      <c r="P25" s="193">
        <v>2264.2043659244682</v>
      </c>
      <c r="Q25" s="100">
        <v>2303.3959576575207</v>
      </c>
    </row>
    <row r="26" spans="1:17" ht="20" customHeight="1" thickBot="1">
      <c r="A26" s="534" t="s">
        <v>382</v>
      </c>
      <c r="B26" s="196">
        <v>1896.8026629309772</v>
      </c>
      <c r="C26" s="195">
        <v>1910.5277918899142</v>
      </c>
      <c r="D26" s="196">
        <v>1976.5817892979815</v>
      </c>
      <c r="E26" s="195">
        <v>2018.8657382981467</v>
      </c>
      <c r="F26" s="196">
        <v>2166.1043519788736</v>
      </c>
      <c r="G26" s="195">
        <v>2308.4148834211696</v>
      </c>
      <c r="H26" s="193">
        <v>2463.4536075157698</v>
      </c>
      <c r="I26" s="100">
        <v>2597.5405820613723</v>
      </c>
      <c r="J26" s="193">
        <v>2604.5346697995269</v>
      </c>
      <c r="K26" s="100">
        <v>2798.603658570345</v>
      </c>
      <c r="L26" s="193">
        <v>2776.2294514760056</v>
      </c>
      <c r="M26" s="100">
        <v>2861.8480046404452</v>
      </c>
      <c r="N26" s="193">
        <v>2865.4649561210445</v>
      </c>
      <c r="O26" s="100">
        <v>2992.7155287390519</v>
      </c>
      <c r="P26" s="193">
        <v>3063.7613533942704</v>
      </c>
      <c r="Q26" s="100">
        <v>3108.3734318370643</v>
      </c>
    </row>
    <row r="27" spans="1:17" ht="20" customHeight="1" thickBot="1">
      <c r="A27" s="534" t="s">
        <v>383</v>
      </c>
      <c r="B27" s="196">
        <v>1898.0743294611764</v>
      </c>
      <c r="C27" s="195">
        <v>1997.7023437083599</v>
      </c>
      <c r="D27" s="196">
        <v>2019.0638919104133</v>
      </c>
      <c r="E27" s="195">
        <v>2066.9063099211612</v>
      </c>
      <c r="F27" s="196">
        <v>2201.824731855736</v>
      </c>
      <c r="G27" s="195">
        <v>2334.2006121970758</v>
      </c>
      <c r="H27" s="193">
        <v>2410.3960323458523</v>
      </c>
      <c r="I27" s="100">
        <v>2514.3354036211631</v>
      </c>
      <c r="J27" s="193">
        <v>2628.6473220914554</v>
      </c>
      <c r="K27" s="100">
        <v>2755.905041303417</v>
      </c>
      <c r="L27" s="193">
        <v>2732.9908696229272</v>
      </c>
      <c r="M27" s="100">
        <v>2780.9536745674886</v>
      </c>
      <c r="N27" s="193">
        <v>2870.6569703095656</v>
      </c>
      <c r="O27" s="100">
        <v>2928.8429319040929</v>
      </c>
      <c r="P27" s="193">
        <v>3000.5752805927932</v>
      </c>
      <c r="Q27" s="100">
        <v>3025.9720874333657</v>
      </c>
    </row>
    <row r="28" spans="1:17" ht="20" customHeight="1" thickBot="1">
      <c r="A28" s="534" t="s">
        <v>384</v>
      </c>
      <c r="B28" s="196">
        <v>1306.6403819606062</v>
      </c>
      <c r="C28" s="195">
        <v>1361.8453098306245</v>
      </c>
      <c r="D28" s="196">
        <v>1376.5124556178826</v>
      </c>
      <c r="E28" s="195">
        <v>1433.5893239917536</v>
      </c>
      <c r="F28" s="196">
        <v>1556.3534596161526</v>
      </c>
      <c r="G28" s="195">
        <v>1655.5190584508061</v>
      </c>
      <c r="H28" s="193">
        <v>1739.1566608782025</v>
      </c>
      <c r="I28" s="100">
        <v>1851.6117360307155</v>
      </c>
      <c r="J28" s="193">
        <v>1873.4360325028056</v>
      </c>
      <c r="K28" s="100">
        <v>2018.8565154122919</v>
      </c>
      <c r="L28" s="193">
        <v>2132.729717003032</v>
      </c>
      <c r="M28" s="100">
        <v>2217.8401524334809</v>
      </c>
      <c r="N28" s="193">
        <v>2292.7037323562349</v>
      </c>
      <c r="O28" s="100">
        <v>2375.5839560085515</v>
      </c>
      <c r="P28" s="193">
        <v>2458.3602175078854</v>
      </c>
      <c r="Q28" s="100">
        <v>2461.0699079555598</v>
      </c>
    </row>
    <row r="29" spans="1:17" ht="20" customHeight="1" thickBot="1">
      <c r="A29" s="534" t="s">
        <v>385</v>
      </c>
      <c r="B29" s="196">
        <v>1818.9238081131236</v>
      </c>
      <c r="C29" s="195">
        <v>1961.3289326189874</v>
      </c>
      <c r="D29" s="196">
        <v>2021.7607577514182</v>
      </c>
      <c r="E29" s="195">
        <v>1881.74532998874</v>
      </c>
      <c r="F29" s="196">
        <v>2227.1122818687704</v>
      </c>
      <c r="G29" s="195">
        <v>2315.8636954302247</v>
      </c>
      <c r="H29" s="193">
        <v>2387.3652927304915</v>
      </c>
      <c r="I29" s="100">
        <v>2560.0461906563714</v>
      </c>
      <c r="J29" s="193">
        <v>2680.8592129585641</v>
      </c>
      <c r="K29" s="100">
        <v>2675.4198363193022</v>
      </c>
      <c r="L29" s="193">
        <v>2564.8291244355028</v>
      </c>
      <c r="M29" s="100">
        <v>2599.2291895795956</v>
      </c>
      <c r="N29" s="193">
        <v>2706.8139221823776</v>
      </c>
      <c r="O29" s="100">
        <v>2706.1362717380475</v>
      </c>
      <c r="P29" s="193">
        <v>2762.9302320989705</v>
      </c>
      <c r="Q29" s="100">
        <v>2811.7523926176791</v>
      </c>
    </row>
    <row r="30" spans="1:17" ht="20" customHeight="1" thickBot="1">
      <c r="A30" s="534" t="s">
        <v>386</v>
      </c>
      <c r="B30" s="196">
        <v>2070.7055924720303</v>
      </c>
      <c r="C30" s="195">
        <v>2259.3214815363717</v>
      </c>
      <c r="D30" s="196">
        <v>2522.6730551616743</v>
      </c>
      <c r="E30" s="195">
        <v>2517.2153807728232</v>
      </c>
      <c r="F30" s="196">
        <v>2598.3424238217312</v>
      </c>
      <c r="G30" s="195">
        <v>2805.0849410640894</v>
      </c>
      <c r="H30" s="193">
        <v>2847.3501428386908</v>
      </c>
      <c r="I30" s="100">
        <v>2892.7584851537499</v>
      </c>
      <c r="J30" s="193">
        <v>3010.3792503012851</v>
      </c>
      <c r="K30" s="100">
        <v>3233.3383857545473</v>
      </c>
      <c r="L30" s="193">
        <v>3167.5185727633507</v>
      </c>
      <c r="M30" s="100">
        <v>3215.8719312559856</v>
      </c>
      <c r="N30" s="193">
        <v>3398.0746224899831</v>
      </c>
      <c r="O30" s="100">
        <v>3397.4995519788049</v>
      </c>
      <c r="P30" s="193">
        <v>3462.626766805437</v>
      </c>
      <c r="Q30" s="100">
        <v>3546.9238264659521</v>
      </c>
    </row>
    <row r="31" spans="1:17" ht="20" customHeight="1" thickBot="1">
      <c r="A31" s="534" t="s">
        <v>387</v>
      </c>
      <c r="B31" s="196">
        <v>1717.0496844759566</v>
      </c>
      <c r="C31" s="195">
        <v>1845.0558806075642</v>
      </c>
      <c r="D31" s="196">
        <v>1848.3342486228491</v>
      </c>
      <c r="E31" s="195">
        <v>2074.061466642424</v>
      </c>
      <c r="F31" s="196">
        <v>2087.6961782399458</v>
      </c>
      <c r="G31" s="195">
        <v>2167.5827623087298</v>
      </c>
      <c r="H31" s="193">
        <v>2229.0850697777792</v>
      </c>
      <c r="I31" s="100">
        <v>2132.4432120453034</v>
      </c>
      <c r="J31" s="193">
        <v>2309.4576105953747</v>
      </c>
      <c r="K31" s="100">
        <v>2497.2469193750835</v>
      </c>
      <c r="L31" s="193">
        <v>2409.1473481488047</v>
      </c>
      <c r="M31" s="100">
        <v>2547.3958354148162</v>
      </c>
      <c r="N31" s="193">
        <v>2662.5536009307011</v>
      </c>
      <c r="O31" s="100">
        <v>2721.44023616817</v>
      </c>
      <c r="P31" s="193">
        <v>2854.251260616285</v>
      </c>
      <c r="Q31" s="100">
        <v>2846.9898661415164</v>
      </c>
    </row>
    <row r="32" spans="1:17" ht="30" customHeight="1" thickBot="1">
      <c r="A32" s="535" t="s">
        <v>444</v>
      </c>
      <c r="B32" s="200">
        <v>1490.5270087783661</v>
      </c>
      <c r="C32" s="199">
        <v>1569.89438526044</v>
      </c>
      <c r="D32" s="200">
        <v>1645.8523332821831</v>
      </c>
      <c r="E32" s="199">
        <v>1709.7272154599079</v>
      </c>
      <c r="F32" s="200">
        <v>1815.5684429134135</v>
      </c>
      <c r="G32" s="199">
        <v>1915.651858294355</v>
      </c>
      <c r="H32" s="536">
        <v>1986.8602051130679</v>
      </c>
      <c r="I32" s="224">
        <v>2080.1097731368104</v>
      </c>
      <c r="J32" s="225">
        <v>2208.6199103577751</v>
      </c>
      <c r="K32" s="224">
        <v>2333.6518395021967</v>
      </c>
      <c r="L32" s="225">
        <v>2348.6110145248435</v>
      </c>
      <c r="M32" s="224">
        <v>2444.23328932606</v>
      </c>
      <c r="N32" s="225">
        <v>2551.5456227393033</v>
      </c>
      <c r="O32" s="224">
        <v>2629.9453998465406</v>
      </c>
      <c r="P32" s="225">
        <v>2684.4030022827769</v>
      </c>
      <c r="Q32" s="224">
        <v>2716.1426118234731</v>
      </c>
    </row>
    <row r="33" spans="1:8" ht="20" customHeight="1">
      <c r="A33" s="112" t="s">
        <v>720</v>
      </c>
      <c r="B33" s="201"/>
      <c r="C33" s="201"/>
      <c r="D33" s="201"/>
      <c r="E33" s="201"/>
      <c r="F33" s="537"/>
      <c r="G33" s="201"/>
      <c r="H33" s="202"/>
    </row>
    <row r="34" spans="1:8" ht="15.75" customHeight="1">
      <c r="A34" s="115"/>
      <c r="B34" s="203"/>
      <c r="C34" s="203"/>
      <c r="D34" s="203"/>
      <c r="E34" s="203"/>
      <c r="F34" s="203"/>
      <c r="G34" s="203"/>
      <c r="H34" s="204"/>
    </row>
    <row r="35" spans="1:8" ht="14.25" customHeight="1">
      <c r="A35" s="172" t="s">
        <v>708</v>
      </c>
      <c r="B35" s="203"/>
      <c r="C35" s="203"/>
      <c r="D35" s="203"/>
      <c r="E35" s="203"/>
      <c r="F35" s="203"/>
      <c r="G35" s="203"/>
      <c r="H35" s="204"/>
    </row>
    <row r="36" spans="1:8" ht="14.25" customHeight="1">
      <c r="A36" s="172" t="s">
        <v>712</v>
      </c>
      <c r="B36" s="203"/>
      <c r="C36" s="203"/>
      <c r="D36" s="203"/>
      <c r="E36" s="203"/>
      <c r="F36" s="203"/>
      <c r="G36" s="203"/>
      <c r="H36" s="204"/>
    </row>
    <row r="37" spans="1:8" ht="13.5" customHeight="1">
      <c r="A37" s="115"/>
      <c r="B37" s="203"/>
      <c r="C37" s="203"/>
      <c r="D37" s="203"/>
      <c r="E37" s="203"/>
      <c r="F37" s="203"/>
      <c r="G37" s="203"/>
      <c r="H37" s="204"/>
    </row>
    <row r="38" spans="1:8" ht="12.75" customHeight="1">
      <c r="A38" s="115" t="s">
        <v>710</v>
      </c>
      <c r="B38" s="203"/>
      <c r="C38" s="203"/>
      <c r="D38" s="203"/>
      <c r="E38" s="203"/>
      <c r="F38" s="203"/>
      <c r="G38" s="203"/>
      <c r="H38" s="204"/>
    </row>
    <row r="39" spans="1:8" ht="12.75" customHeight="1">
      <c r="A39" s="115" t="s">
        <v>713</v>
      </c>
      <c r="B39" s="203"/>
      <c r="C39" s="203"/>
      <c r="D39" s="203"/>
      <c r="E39" s="203"/>
      <c r="F39" s="203"/>
      <c r="G39" s="203"/>
      <c r="H39" s="204"/>
    </row>
    <row r="40" spans="1:8" ht="12.75" customHeight="1">
      <c r="A40" s="3" t="s">
        <v>714</v>
      </c>
      <c r="B40" s="203"/>
      <c r="C40" s="203"/>
      <c r="D40" s="203"/>
      <c r="E40" s="203"/>
      <c r="F40" s="203"/>
      <c r="G40" s="203"/>
      <c r="H40" s="204"/>
    </row>
    <row r="42" spans="1:8">
      <c r="A42" s="115"/>
    </row>
    <row r="43" spans="1:8">
      <c r="A43" s="115" t="s">
        <v>719</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244E-6E32-F041-8E2D-AE8D85719BF7}">
  <sheetPr>
    <pageSetUpPr fitToPage="1"/>
  </sheetPr>
  <dimension ref="A1:G44"/>
  <sheetViews>
    <sheetView zoomScaleNormal="100" workbookViewId="0">
      <selection activeCell="C4" sqref="C4"/>
    </sheetView>
  </sheetViews>
  <sheetFormatPr baseColWidth="10" defaultColWidth="11.3984375" defaultRowHeight="13"/>
  <cols>
    <col min="1" max="1" width="21.3984375" style="3" customWidth="1"/>
    <col min="2" max="5" width="19.796875" style="3" customWidth="1"/>
    <col min="6" max="6" width="11.3984375" style="3"/>
    <col min="7" max="7" width="14.59765625" style="3" customWidth="1"/>
    <col min="8" max="16384" width="11.3984375" style="3"/>
  </cols>
  <sheetData>
    <row r="1" spans="1:7" s="2" customFormat="1" ht="14" customHeight="1"/>
    <row r="2" spans="1:7" s="2" customFormat="1" ht="28" customHeight="1">
      <c r="A2" s="180" t="s">
        <v>715</v>
      </c>
      <c r="E2" s="180">
        <v>2011</v>
      </c>
    </row>
    <row r="3" spans="1:7" ht="27" customHeight="1">
      <c r="A3" s="92" t="s">
        <v>191</v>
      </c>
      <c r="B3" s="182" t="s">
        <v>349</v>
      </c>
      <c r="C3" s="183" t="s">
        <v>459</v>
      </c>
      <c r="D3" s="182" t="s">
        <v>348</v>
      </c>
      <c r="E3" s="183" t="s">
        <v>278</v>
      </c>
    </row>
    <row r="4" spans="1:7" ht="21.75" customHeight="1">
      <c r="A4" s="95"/>
      <c r="B4" s="185"/>
      <c r="C4" s="186"/>
      <c r="D4" s="211"/>
      <c r="E4" s="186"/>
    </row>
    <row r="5" spans="1:7" ht="21.75" customHeight="1">
      <c r="A5" s="95"/>
      <c r="B5" s="185" t="s">
        <v>460</v>
      </c>
      <c r="C5" s="186" t="s">
        <v>461</v>
      </c>
      <c r="D5" s="185" t="s">
        <v>462</v>
      </c>
      <c r="E5" s="186"/>
    </row>
    <row r="6" spans="1:7" ht="24" customHeight="1">
      <c r="A6" s="97"/>
      <c r="B6" s="213"/>
      <c r="C6" s="97"/>
      <c r="D6" s="213"/>
      <c r="E6" s="190"/>
    </row>
    <row r="7" spans="1:7" ht="30" customHeight="1" thickBot="1">
      <c r="A7" s="99" t="s">
        <v>362</v>
      </c>
      <c r="B7" s="215">
        <v>256987605.91</v>
      </c>
      <c r="C7" s="216">
        <v>149104226.13999999</v>
      </c>
      <c r="D7" s="215">
        <v>3888707097.4899998</v>
      </c>
      <c r="E7" s="216">
        <v>4294798929.54</v>
      </c>
      <c r="G7" s="306"/>
    </row>
    <row r="8" spans="1:7" ht="20" customHeight="1" thickBot="1">
      <c r="A8" s="103" t="s">
        <v>363</v>
      </c>
      <c r="B8" s="215">
        <v>155000754.68000001</v>
      </c>
      <c r="C8" s="216">
        <v>106486547.27</v>
      </c>
      <c r="D8" s="215">
        <v>3121876477.8000002</v>
      </c>
      <c r="E8" s="216">
        <v>3383363779.75</v>
      </c>
      <c r="G8" s="306"/>
    </row>
    <row r="9" spans="1:7" ht="20" customHeight="1" thickBot="1">
      <c r="A9" s="103" t="s">
        <v>364</v>
      </c>
      <c r="B9" s="215">
        <v>59951557.030000001</v>
      </c>
      <c r="C9" s="216">
        <v>39556779.829999998</v>
      </c>
      <c r="D9" s="215">
        <v>929512509.34000003</v>
      </c>
      <c r="E9" s="216">
        <v>1029020846.2</v>
      </c>
      <c r="G9" s="306"/>
    </row>
    <row r="10" spans="1:7" ht="20" customHeight="1" thickBot="1">
      <c r="A10" s="103" t="s">
        <v>365</v>
      </c>
      <c r="B10" s="215">
        <v>5290365.3099999996</v>
      </c>
      <c r="C10" s="216">
        <v>3458517.54</v>
      </c>
      <c r="D10" s="215">
        <v>82180357.709999993</v>
      </c>
      <c r="E10" s="216">
        <v>90929240.559999987</v>
      </c>
      <c r="G10" s="306"/>
    </row>
    <row r="11" spans="1:7" ht="20" customHeight="1" thickBot="1">
      <c r="A11" s="103" t="s">
        <v>366</v>
      </c>
      <c r="B11" s="215">
        <v>26630206.890000001</v>
      </c>
      <c r="C11" s="216">
        <v>15209842.029999999</v>
      </c>
      <c r="D11" s="215">
        <v>357346404.67000002</v>
      </c>
      <c r="E11" s="216">
        <v>399186453.59000003</v>
      </c>
      <c r="G11" s="306"/>
    </row>
    <row r="12" spans="1:7" ht="20" customHeight="1" thickBot="1">
      <c r="A12" s="103" t="s">
        <v>367</v>
      </c>
      <c r="B12" s="215">
        <v>5599297.8099999996</v>
      </c>
      <c r="C12" s="216">
        <v>3370792.81</v>
      </c>
      <c r="D12" s="215">
        <v>81238479.260000005</v>
      </c>
      <c r="E12" s="216">
        <v>90208569.88000001</v>
      </c>
      <c r="G12" s="306"/>
    </row>
    <row r="13" spans="1:7" ht="20" customHeight="1" thickBot="1">
      <c r="A13" s="103" t="s">
        <v>368</v>
      </c>
      <c r="B13" s="215">
        <v>5193043.34</v>
      </c>
      <c r="C13" s="216">
        <v>3475896.94</v>
      </c>
      <c r="D13" s="215">
        <v>90213567.260000005</v>
      </c>
      <c r="E13" s="216">
        <v>98882507.540000007</v>
      </c>
      <c r="G13" s="306"/>
    </row>
    <row r="14" spans="1:7" ht="20" customHeight="1" thickBot="1">
      <c r="A14" s="103" t="s">
        <v>369</v>
      </c>
      <c r="B14" s="215">
        <v>6041226.9000000004</v>
      </c>
      <c r="C14" s="216">
        <v>4683427.1100000003</v>
      </c>
      <c r="D14" s="215">
        <v>96921852.079999998</v>
      </c>
      <c r="E14" s="216">
        <v>107646506.09</v>
      </c>
      <c r="G14" s="306"/>
    </row>
    <row r="15" spans="1:7" ht="20" customHeight="1" thickBot="1">
      <c r="A15" s="103" t="s">
        <v>370</v>
      </c>
      <c r="B15" s="215">
        <v>17941441.23</v>
      </c>
      <c r="C15" s="216">
        <v>10473367.039999999</v>
      </c>
      <c r="D15" s="215">
        <v>269507134.02999997</v>
      </c>
      <c r="E15" s="216">
        <v>297921942.29999995</v>
      </c>
      <c r="G15" s="306"/>
    </row>
    <row r="16" spans="1:7" ht="20" customHeight="1" thickBot="1">
      <c r="A16" s="103" t="s">
        <v>371</v>
      </c>
      <c r="B16" s="215">
        <v>55057709.560000002</v>
      </c>
      <c r="C16" s="216">
        <v>33335183.98</v>
      </c>
      <c r="D16" s="215">
        <v>745959585.92999995</v>
      </c>
      <c r="E16" s="216">
        <v>834352479.46999991</v>
      </c>
      <c r="G16" s="306"/>
    </row>
    <row r="17" spans="1:7" ht="20" customHeight="1" thickBot="1">
      <c r="A17" s="103" t="s">
        <v>372</v>
      </c>
      <c r="B17" s="215">
        <v>43877854.520000003</v>
      </c>
      <c r="C17" s="216">
        <v>27619289.399999999</v>
      </c>
      <c r="D17" s="215">
        <v>703700694.74000001</v>
      </c>
      <c r="E17" s="216">
        <v>775197838.65999997</v>
      </c>
      <c r="G17" s="306"/>
    </row>
    <row r="18" spans="1:7" ht="20" customHeight="1" thickBot="1">
      <c r="A18" s="103" t="s">
        <v>373</v>
      </c>
      <c r="B18" s="215">
        <v>38137331.549999997</v>
      </c>
      <c r="C18" s="216">
        <v>22171225.609999999</v>
      </c>
      <c r="D18" s="215">
        <v>720188550.35000002</v>
      </c>
      <c r="E18" s="216">
        <v>780497107.50999999</v>
      </c>
      <c r="G18" s="306"/>
    </row>
    <row r="19" spans="1:7" ht="20" customHeight="1" thickBot="1">
      <c r="A19" s="103" t="s">
        <v>374</v>
      </c>
      <c r="B19" s="215">
        <v>55202132.060000002</v>
      </c>
      <c r="C19" s="216">
        <v>32674229.02</v>
      </c>
      <c r="D19" s="215">
        <v>848604482.50999999</v>
      </c>
      <c r="E19" s="216">
        <v>936480843.59000003</v>
      </c>
      <c r="G19" s="306"/>
    </row>
    <row r="20" spans="1:7" ht="20" customHeight="1" thickBot="1">
      <c r="A20" s="103" t="s">
        <v>375</v>
      </c>
      <c r="B20" s="215">
        <v>11056264.5</v>
      </c>
      <c r="C20" s="216">
        <v>8132114.6200000001</v>
      </c>
      <c r="D20" s="215">
        <v>213806211.94</v>
      </c>
      <c r="E20" s="216">
        <v>232994591.06</v>
      </c>
      <c r="G20" s="306"/>
    </row>
    <row r="21" spans="1:7" ht="20" customHeight="1" thickBot="1">
      <c r="A21" s="103" t="s">
        <v>376</v>
      </c>
      <c r="B21" s="215">
        <v>8192845.2400000002</v>
      </c>
      <c r="C21" s="216">
        <v>5235344.0199999996</v>
      </c>
      <c r="D21" s="215">
        <v>124165493.48999999</v>
      </c>
      <c r="E21" s="216">
        <v>137593682.75</v>
      </c>
      <c r="G21" s="306"/>
    </row>
    <row r="22" spans="1:7" ht="20" customHeight="1" thickBot="1">
      <c r="A22" s="103" t="s">
        <v>377</v>
      </c>
      <c r="B22" s="215">
        <v>2269982.87</v>
      </c>
      <c r="C22" s="503">
        <v>1513410.76</v>
      </c>
      <c r="D22" s="502">
        <v>31973390.969999999</v>
      </c>
      <c r="E22" s="503">
        <v>35756784.600000001</v>
      </c>
      <c r="G22" s="306"/>
    </row>
    <row r="23" spans="1:7" ht="20" customHeight="1" thickBot="1">
      <c r="A23" s="103" t="s">
        <v>378</v>
      </c>
      <c r="B23" s="215">
        <v>80898429.390000001</v>
      </c>
      <c r="C23" s="511">
        <v>53195020.450000003</v>
      </c>
      <c r="D23" s="510">
        <v>1156759119.3</v>
      </c>
      <c r="E23" s="511">
        <v>1290852569.1399999</v>
      </c>
      <c r="G23" s="306"/>
    </row>
    <row r="24" spans="1:7" ht="20" customHeight="1" thickBot="1">
      <c r="A24" s="103" t="s">
        <v>379</v>
      </c>
      <c r="B24" s="215">
        <v>30457132.550000001</v>
      </c>
      <c r="C24" s="216">
        <v>21041054.68</v>
      </c>
      <c r="D24" s="215">
        <v>489939351.13999999</v>
      </c>
      <c r="E24" s="216">
        <v>541437538.37</v>
      </c>
      <c r="G24" s="306"/>
    </row>
    <row r="25" spans="1:7" ht="20" customHeight="1" thickBot="1">
      <c r="A25" s="103" t="s">
        <v>380</v>
      </c>
      <c r="B25" s="215">
        <v>116001677.48</v>
      </c>
      <c r="C25" s="216">
        <v>68684447.200000003</v>
      </c>
      <c r="D25" s="215">
        <v>1595896338.3800001</v>
      </c>
      <c r="E25" s="216">
        <v>1780582463.0600002</v>
      </c>
      <c r="G25" s="306"/>
    </row>
    <row r="26" spans="1:7" ht="20" customHeight="1" thickBot="1">
      <c r="A26" s="103" t="s">
        <v>381</v>
      </c>
      <c r="B26" s="215">
        <v>44018110.079999998</v>
      </c>
      <c r="C26" s="216">
        <v>27521905.579999998</v>
      </c>
      <c r="D26" s="215">
        <v>610448445.76999998</v>
      </c>
      <c r="E26" s="216">
        <v>681988461.42999995</v>
      </c>
      <c r="G26" s="306"/>
    </row>
    <row r="27" spans="1:7" ht="20" customHeight="1" thickBot="1">
      <c r="A27" s="103" t="s">
        <v>382</v>
      </c>
      <c r="B27" s="215">
        <v>58855510.350000001</v>
      </c>
      <c r="C27" s="216">
        <v>29153790.550000001</v>
      </c>
      <c r="D27" s="215">
        <v>1116735062.49</v>
      </c>
      <c r="E27" s="216">
        <v>1204744363.3900001</v>
      </c>
      <c r="G27" s="306"/>
    </row>
    <row r="28" spans="1:7" ht="20" customHeight="1" thickBot="1">
      <c r="A28" s="103" t="s">
        <v>383</v>
      </c>
      <c r="B28" s="215">
        <v>170845747.84999999</v>
      </c>
      <c r="C28" s="216">
        <v>84116530.879999995</v>
      </c>
      <c r="D28" s="215">
        <v>2216009293.5500002</v>
      </c>
      <c r="E28" s="216">
        <v>2470971572.2800002</v>
      </c>
      <c r="G28" s="306"/>
    </row>
    <row r="29" spans="1:7" ht="20" customHeight="1" thickBot="1">
      <c r="A29" s="103" t="s">
        <v>384</v>
      </c>
      <c r="B29" s="215">
        <v>55495229.439999998</v>
      </c>
      <c r="C29" s="216">
        <v>33312475.41</v>
      </c>
      <c r="D29" s="215">
        <v>828884884.33000004</v>
      </c>
      <c r="E29" s="216">
        <v>917692589.18000007</v>
      </c>
      <c r="G29" s="306"/>
    </row>
    <row r="30" spans="1:7" ht="20" customHeight="1" thickBot="1">
      <c r="A30" s="103" t="s">
        <v>385</v>
      </c>
      <c r="B30" s="215">
        <v>34393890.299999997</v>
      </c>
      <c r="C30" s="216">
        <v>17511261.02</v>
      </c>
      <c r="D30" s="215">
        <v>508502007.79000002</v>
      </c>
      <c r="E30" s="216">
        <v>560407159.11000001</v>
      </c>
      <c r="G30" s="306"/>
    </row>
    <row r="31" spans="1:7" ht="20" customHeight="1" thickBot="1">
      <c r="A31" s="103" t="s">
        <v>386</v>
      </c>
      <c r="B31" s="215">
        <v>119473954.59999999</v>
      </c>
      <c r="C31" s="216">
        <v>61856513.710000001</v>
      </c>
      <c r="D31" s="215">
        <v>1539041696.54</v>
      </c>
      <c r="E31" s="216">
        <v>1720372164.8499999</v>
      </c>
      <c r="G31" s="306"/>
    </row>
    <row r="32" spans="1:7" ht="20" customHeight="1" thickBot="1">
      <c r="A32" s="145" t="s">
        <v>387</v>
      </c>
      <c r="B32" s="215">
        <v>14173538.33</v>
      </c>
      <c r="C32" s="216">
        <v>7277281.7300000004</v>
      </c>
      <c r="D32" s="215">
        <v>211951015.81</v>
      </c>
      <c r="E32" s="216">
        <v>233401835.87</v>
      </c>
      <c r="G32" s="306"/>
    </row>
    <row r="33" spans="1:7" ht="20" customHeight="1" thickBot="1">
      <c r="A33" s="222" t="s">
        <v>443</v>
      </c>
      <c r="B33" s="215">
        <v>331062.95</v>
      </c>
      <c r="C33" s="216">
        <v>108875.33</v>
      </c>
      <c r="D33" s="215">
        <v>3787337.32</v>
      </c>
      <c r="E33" s="216">
        <v>4227275.5999999996</v>
      </c>
      <c r="G33" s="306"/>
    </row>
    <row r="34" spans="1:7" ht="0.5" customHeight="1" thickBot="1">
      <c r="A34" s="145" t="s">
        <v>309</v>
      </c>
      <c r="B34" s="215">
        <v>0</v>
      </c>
      <c r="C34" s="216">
        <v>0</v>
      </c>
      <c r="D34" s="215">
        <v>0</v>
      </c>
      <c r="E34" s="216">
        <v>0</v>
      </c>
      <c r="G34" s="306"/>
    </row>
    <row r="35" spans="1:7" ht="30" customHeight="1" thickBot="1">
      <c r="A35" s="107" t="s">
        <v>444</v>
      </c>
      <c r="B35" s="307">
        <v>1477373902.76</v>
      </c>
      <c r="C35" s="308">
        <v>870279350.63999999</v>
      </c>
      <c r="D35" s="307">
        <v>22583856841.91</v>
      </c>
      <c r="E35" s="308">
        <v>24931510095.310001</v>
      </c>
      <c r="G35" s="306"/>
    </row>
    <row r="36" spans="1:7" ht="20" customHeight="1">
      <c r="A36" s="112" t="s">
        <v>720</v>
      </c>
      <c r="B36" s="112"/>
      <c r="C36" s="112"/>
      <c r="D36" s="112"/>
      <c r="E36" s="112"/>
    </row>
    <row r="37" spans="1:7" ht="13.5" customHeight="1">
      <c r="A37" s="115"/>
      <c r="B37" s="115"/>
      <c r="C37" s="115"/>
      <c r="D37" s="115"/>
      <c r="E37" s="115"/>
    </row>
    <row r="38" spans="1:7" ht="13.5" customHeight="1">
      <c r="A38" s="115" t="s">
        <v>716</v>
      </c>
      <c r="B38" s="115"/>
      <c r="C38" s="115"/>
      <c r="D38" s="115"/>
      <c r="E38" s="115"/>
    </row>
    <row r="39" spans="1:7" ht="12.75" customHeight="1">
      <c r="A39" s="115"/>
      <c r="B39" s="115"/>
      <c r="C39" s="115"/>
      <c r="D39" s="115"/>
      <c r="E39" s="115"/>
    </row>
    <row r="40" spans="1:7" ht="12" customHeight="1">
      <c r="A40" s="115" t="s">
        <v>666</v>
      </c>
    </row>
    <row r="41" spans="1:7" ht="14.25" customHeight="1">
      <c r="A41" s="115" t="s">
        <v>686</v>
      </c>
    </row>
    <row r="42" spans="1:7" ht="14.25" customHeight="1">
      <c r="A42" s="115"/>
    </row>
    <row r="43" spans="1:7" ht="12" customHeight="1"/>
    <row r="44" spans="1:7">
      <c r="A44" s="115" t="s">
        <v>719</v>
      </c>
    </row>
  </sheetData>
  <pageMargins left="0.56000000000000005" right="1.03" top="0.81" bottom="0.49" header="0.44" footer="0.4921259845"/>
  <pageSetup paperSize="9" scale="85"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F57D-0D6E-F74A-ABEA-F9EFBE9DD119}">
  <sheetPr>
    <pageSetUpPr fitToPage="1"/>
  </sheetPr>
  <dimension ref="A1:H44"/>
  <sheetViews>
    <sheetView zoomScaleNormal="100" workbookViewId="0">
      <selection activeCell="A3" sqref="A3"/>
    </sheetView>
  </sheetViews>
  <sheetFormatPr baseColWidth="10" defaultColWidth="11.3984375" defaultRowHeight="13"/>
  <cols>
    <col min="1" max="1" width="20.59765625" style="3" customWidth="1"/>
    <col min="2" max="5" width="18.59765625" style="8" customWidth="1"/>
    <col min="6" max="6" width="18.19921875" style="396" customWidth="1"/>
    <col min="7" max="7" width="11.3984375" style="3"/>
    <col min="8" max="8" width="0" style="3" hidden="1" customWidth="1"/>
    <col min="9" max="16384" width="11.3984375" style="3"/>
  </cols>
  <sheetData>
    <row r="1" spans="1:8" s="2" customFormat="1" ht="14" customHeight="1">
      <c r="B1" s="406"/>
      <c r="C1" s="406"/>
      <c r="D1" s="406"/>
      <c r="E1" s="406"/>
      <c r="F1" s="514"/>
    </row>
    <row r="2" spans="1:8" s="2" customFormat="1" ht="31.5" customHeight="1">
      <c r="A2" s="1843" t="s">
        <v>717</v>
      </c>
      <c r="B2" s="1847"/>
      <c r="C2" s="1847"/>
      <c r="D2" s="1847"/>
      <c r="E2" s="1847"/>
      <c r="F2" s="515">
        <v>2011</v>
      </c>
      <c r="G2" s="515"/>
    </row>
    <row r="3" spans="1:8" ht="27" customHeight="1">
      <c r="A3" s="92" t="s">
        <v>191</v>
      </c>
      <c r="B3" s="182" t="s">
        <v>349</v>
      </c>
      <c r="C3" s="183" t="s">
        <v>459</v>
      </c>
      <c r="D3" s="182" t="s">
        <v>348</v>
      </c>
      <c r="E3" s="183" t="s">
        <v>683</v>
      </c>
      <c r="F3" s="304" t="s">
        <v>279</v>
      </c>
    </row>
    <row r="4" spans="1:8" ht="20.25" customHeight="1">
      <c r="A4" s="95"/>
      <c r="B4" s="185"/>
      <c r="C4" s="186"/>
      <c r="D4" s="211"/>
      <c r="E4" s="186"/>
      <c r="F4" s="211" t="s">
        <v>282</v>
      </c>
    </row>
    <row r="5" spans="1:8" ht="20.25" customHeight="1">
      <c r="A5" s="95"/>
      <c r="B5" s="185" t="s">
        <v>460</v>
      </c>
      <c r="C5" s="186" t="s">
        <v>461</v>
      </c>
      <c r="D5" s="185" t="s">
        <v>462</v>
      </c>
      <c r="E5" s="186"/>
      <c r="F5" s="211" t="s">
        <v>283</v>
      </c>
    </row>
    <row r="6" spans="1:8" ht="24" customHeight="1">
      <c r="A6" s="97"/>
      <c r="B6" s="521"/>
      <c r="C6" s="522"/>
      <c r="D6" s="521"/>
      <c r="E6" s="191"/>
      <c r="F6" s="213"/>
    </row>
    <row r="7" spans="1:8" ht="30" customHeight="1" thickBot="1">
      <c r="A7" s="99" t="s">
        <v>362</v>
      </c>
      <c r="B7" s="230">
        <v>1018.6923034996424</v>
      </c>
      <c r="C7" s="233">
        <v>1422.738031257365</v>
      </c>
      <c r="D7" s="230">
        <v>3823.7709399209461</v>
      </c>
      <c r="E7" s="233">
        <v>3125.6378415801637</v>
      </c>
      <c r="F7" s="523">
        <v>5.5920058856475351E-3</v>
      </c>
      <c r="H7" s="306">
        <v>172.8785586534616</v>
      </c>
    </row>
    <row r="8" spans="1:8" ht="20" customHeight="1" thickBot="1">
      <c r="A8" s="103" t="s">
        <v>363</v>
      </c>
      <c r="B8" s="230">
        <v>873.61050631569412</v>
      </c>
      <c r="C8" s="233">
        <v>1304.6670622818922</v>
      </c>
      <c r="D8" s="230">
        <v>4321.696202194501</v>
      </c>
      <c r="E8" s="233">
        <v>3447.4233523177322</v>
      </c>
      <c r="F8" s="220">
        <v>3.3852396721184348E-2</v>
      </c>
      <c r="H8" s="306">
        <v>161.49387493756916</v>
      </c>
    </row>
    <row r="9" spans="1:8" ht="20" customHeight="1" thickBot="1">
      <c r="A9" s="103" t="s">
        <v>364</v>
      </c>
      <c r="B9" s="230">
        <v>796.15630539417407</v>
      </c>
      <c r="C9" s="233">
        <v>1111.7594668853642</v>
      </c>
      <c r="D9" s="230">
        <v>3447.0625260542688</v>
      </c>
      <c r="E9" s="233">
        <v>2704.1415946049869</v>
      </c>
      <c r="F9" s="220">
        <v>1.2152811556286874E-2</v>
      </c>
      <c r="H9" s="306">
        <v>129.41591119853354</v>
      </c>
    </row>
    <row r="10" spans="1:8" ht="20" customHeight="1" thickBot="1">
      <c r="A10" s="103" t="s">
        <v>365</v>
      </c>
      <c r="B10" s="230">
        <v>753.29566308223309</v>
      </c>
      <c r="C10" s="233">
        <v>1057.6635616337815</v>
      </c>
      <c r="D10" s="230">
        <v>3252.073700818436</v>
      </c>
      <c r="E10" s="233">
        <v>2556.8452366022493</v>
      </c>
      <c r="F10" s="220">
        <v>-1.65546885929077E-3</v>
      </c>
      <c r="H10" s="306">
        <v>126.90557061409594</v>
      </c>
    </row>
    <row r="11" spans="1:8" ht="20" customHeight="1" thickBot="1">
      <c r="A11" s="103" t="s">
        <v>366</v>
      </c>
      <c r="B11" s="230">
        <v>920.01420915149652</v>
      </c>
      <c r="C11" s="233">
        <v>1200.6733652989951</v>
      </c>
      <c r="D11" s="230">
        <v>3378.4146550077812</v>
      </c>
      <c r="E11" s="233">
        <v>2708.4309327014175</v>
      </c>
      <c r="F11" s="220">
        <v>2.4766920970595078E-2</v>
      </c>
      <c r="H11" s="306">
        <v>131.64111605385247</v>
      </c>
    </row>
    <row r="12" spans="1:8" ht="20" customHeight="1" thickBot="1">
      <c r="A12" s="103" t="s">
        <v>367</v>
      </c>
      <c r="B12" s="230">
        <v>778.51607489707692</v>
      </c>
      <c r="C12" s="233">
        <v>979.2980375067184</v>
      </c>
      <c r="D12" s="230">
        <v>3187.8892183835246</v>
      </c>
      <c r="E12" s="233">
        <v>2497.6229119350396</v>
      </c>
      <c r="F12" s="220">
        <v>3.6940034091317388E-2</v>
      </c>
      <c r="H12" s="306">
        <v>125.19129183854066</v>
      </c>
    </row>
    <row r="13" spans="1:8" ht="20" customHeight="1" thickBot="1">
      <c r="A13" s="103" t="s">
        <v>368</v>
      </c>
      <c r="B13" s="230">
        <v>695.88520469011723</v>
      </c>
      <c r="C13" s="233">
        <v>967.17380984843635</v>
      </c>
      <c r="D13" s="230">
        <v>3023.1040753155771</v>
      </c>
      <c r="E13" s="233">
        <v>2417.800003031954</v>
      </c>
      <c r="F13" s="220">
        <v>4.8366701148941805E-3</v>
      </c>
      <c r="H13" s="306">
        <v>117.8833340734285</v>
      </c>
    </row>
    <row r="14" spans="1:8" ht="20" customHeight="1" thickBot="1">
      <c r="A14" s="103" t="s">
        <v>369</v>
      </c>
      <c r="B14" s="230">
        <v>833.80631190168617</v>
      </c>
      <c r="C14" s="233">
        <v>1249.1237487897968</v>
      </c>
      <c r="D14" s="230">
        <v>3436.741585870624</v>
      </c>
      <c r="E14" s="233">
        <v>2746.3379549335937</v>
      </c>
      <c r="F14" s="220">
        <v>-6.544383294374896E-3</v>
      </c>
      <c r="H14" s="306">
        <v>140.25371771237261</v>
      </c>
    </row>
    <row r="15" spans="1:8" ht="20" customHeight="1" thickBot="1">
      <c r="A15" s="103" t="s">
        <v>370</v>
      </c>
      <c r="B15" s="230">
        <v>823.70506335913365</v>
      </c>
      <c r="C15" s="233">
        <v>1183.7255634168946</v>
      </c>
      <c r="D15" s="230">
        <v>3236.4544340893985</v>
      </c>
      <c r="E15" s="233">
        <v>2615.6089723441887</v>
      </c>
      <c r="F15" s="220">
        <v>-2.8026529579510085E-3</v>
      </c>
      <c r="H15" s="306">
        <v>131.3336445580656</v>
      </c>
    </row>
    <row r="16" spans="1:8" ht="20" customHeight="1" thickBot="1">
      <c r="A16" s="103" t="s">
        <v>371</v>
      </c>
      <c r="B16" s="230">
        <v>884.6391203499885</v>
      </c>
      <c r="C16" s="233">
        <v>1315.5666961205698</v>
      </c>
      <c r="D16" s="230">
        <v>3842.7137680972774</v>
      </c>
      <c r="E16" s="233">
        <v>2961.8515277070114</v>
      </c>
      <c r="F16" s="220">
        <v>2.0966132131178906E-2</v>
      </c>
      <c r="H16" s="306">
        <v>163.19734143075968</v>
      </c>
    </row>
    <row r="17" spans="1:8" ht="20" customHeight="1" thickBot="1">
      <c r="A17" s="103" t="s">
        <v>372</v>
      </c>
      <c r="B17" s="230">
        <v>929.10455435950917</v>
      </c>
      <c r="C17" s="233">
        <v>1210.4162194687442</v>
      </c>
      <c r="D17" s="230">
        <v>3745.9404986391769</v>
      </c>
      <c r="E17" s="233">
        <v>3005.7982702807999</v>
      </c>
      <c r="F17" s="220">
        <v>1.2762691877920644E-2</v>
      </c>
      <c r="H17" s="306">
        <v>156.59253023292777</v>
      </c>
    </row>
    <row r="18" spans="1:8" ht="20" customHeight="1" thickBot="1">
      <c r="A18" s="103" t="s">
        <v>373</v>
      </c>
      <c r="B18" s="230">
        <v>1361.6949736229012</v>
      </c>
      <c r="C18" s="233">
        <v>1677.0515787769773</v>
      </c>
      <c r="D18" s="230">
        <v>5191.0269945623813</v>
      </c>
      <c r="E18" s="233">
        <v>4336.9424320852031</v>
      </c>
      <c r="F18" s="220">
        <v>1.9949922638332653E-2</v>
      </c>
      <c r="H18" s="306">
        <v>239.48436004651805</v>
      </c>
    </row>
    <row r="19" spans="1:8" ht="20" customHeight="1" thickBot="1">
      <c r="A19" s="103" t="s">
        <v>374</v>
      </c>
      <c r="B19" s="230">
        <v>1121.0416686466911</v>
      </c>
      <c r="C19" s="233">
        <v>1513.479854609865</v>
      </c>
      <c r="D19" s="230">
        <v>4200.3165342513066</v>
      </c>
      <c r="E19" s="233">
        <v>3432.0414896310281</v>
      </c>
      <c r="F19" s="220">
        <v>1.1573505863567505E-2</v>
      </c>
      <c r="H19" s="306">
        <v>177.06647582891381</v>
      </c>
    </row>
    <row r="20" spans="1:8" ht="20" customHeight="1" thickBot="1">
      <c r="A20" s="103" t="s">
        <v>375</v>
      </c>
      <c r="B20" s="230">
        <v>811.3593833933619</v>
      </c>
      <c r="C20" s="233">
        <v>1197.8615879543843</v>
      </c>
      <c r="D20" s="230">
        <v>3804.6707460995249</v>
      </c>
      <c r="E20" s="233">
        <v>3041.2502447088523</v>
      </c>
      <c r="F20" s="220">
        <v>2.9610556640554272E-3</v>
      </c>
      <c r="H20" s="306">
        <v>165.60622548393192</v>
      </c>
    </row>
    <row r="21" spans="1:8" ht="20" customHeight="1" thickBot="1">
      <c r="A21" s="103" t="s">
        <v>376</v>
      </c>
      <c r="B21" s="230">
        <v>784.43295235961466</v>
      </c>
      <c r="C21" s="233">
        <v>1051.6497904873629</v>
      </c>
      <c r="D21" s="230">
        <v>3229.0566217177739</v>
      </c>
      <c r="E21" s="233">
        <v>2553.9406970387963</v>
      </c>
      <c r="F21" s="220">
        <v>1.8298243631244913E-2</v>
      </c>
      <c r="H21" s="306">
        <v>125.02923450612184</v>
      </c>
    </row>
    <row r="22" spans="1:8" ht="20" customHeight="1" thickBot="1">
      <c r="A22" s="103" t="s">
        <v>377</v>
      </c>
      <c r="B22" s="230">
        <v>667.69111552320032</v>
      </c>
      <c r="C22" s="233">
        <v>932.77621912134509</v>
      </c>
      <c r="D22" s="230">
        <v>2975.9603802719498</v>
      </c>
      <c r="E22" s="233">
        <v>2267.9551239400512</v>
      </c>
      <c r="F22" s="220">
        <v>6.6819413184184731E-2</v>
      </c>
      <c r="H22" s="306">
        <v>109.87124540182084</v>
      </c>
    </row>
    <row r="23" spans="1:8" ht="20" customHeight="1" thickBot="1">
      <c r="A23" s="103" t="s">
        <v>378</v>
      </c>
      <c r="B23" s="230">
        <v>843.56743764387988</v>
      </c>
      <c r="C23" s="233">
        <v>1139.4139276404426</v>
      </c>
      <c r="D23" s="230">
        <v>3411.2109106105236</v>
      </c>
      <c r="E23" s="233">
        <v>2679.8308983877241</v>
      </c>
      <c r="F23" s="220">
        <v>1.361676218282481E-2</v>
      </c>
      <c r="H23" s="306">
        <v>134.24530167185685</v>
      </c>
    </row>
    <row r="24" spans="1:8" ht="20" customHeight="1" thickBot="1">
      <c r="A24" s="103" t="s">
        <v>379</v>
      </c>
      <c r="B24" s="230">
        <v>896.62924422876733</v>
      </c>
      <c r="C24" s="233">
        <v>1137.1994020273994</v>
      </c>
      <c r="D24" s="230">
        <v>3382.4153873110308</v>
      </c>
      <c r="E24" s="233">
        <v>2743.9571289717915</v>
      </c>
      <c r="F24" s="220">
        <v>9.8308351019406829E-3</v>
      </c>
      <c r="H24" s="306">
        <v>132.91701511018809</v>
      </c>
    </row>
    <row r="25" spans="1:8" ht="20" customHeight="1" thickBot="1">
      <c r="A25" s="103" t="s">
        <v>380</v>
      </c>
      <c r="B25" s="230">
        <v>973.11300371396635</v>
      </c>
      <c r="C25" s="233">
        <v>1274.5985905351779</v>
      </c>
      <c r="D25" s="230">
        <v>3593.3321669556158</v>
      </c>
      <c r="E25" s="233">
        <v>2884.8375522189335</v>
      </c>
      <c r="F25" s="220">
        <v>1.5027080160308178E-2</v>
      </c>
      <c r="H25" s="306">
        <v>145.05617363699608</v>
      </c>
    </row>
    <row r="26" spans="1:8" ht="20" customHeight="1" thickBot="1">
      <c r="A26" s="103" t="s">
        <v>381</v>
      </c>
      <c r="B26" s="230">
        <v>881.03460721222439</v>
      </c>
      <c r="C26" s="233">
        <v>1150.6905371036464</v>
      </c>
      <c r="D26" s="230">
        <v>3456.7127004347785</v>
      </c>
      <c r="E26" s="233">
        <v>2722.7529519413197</v>
      </c>
      <c r="F26" s="220">
        <v>2.1254526072698249E-2</v>
      </c>
      <c r="H26" s="306">
        <v>145.7338374894791</v>
      </c>
    </row>
    <row r="27" spans="1:8" ht="20" customHeight="1" thickBot="1">
      <c r="A27" s="103" t="s">
        <v>382</v>
      </c>
      <c r="B27" s="230">
        <v>998.4823191868619</v>
      </c>
      <c r="C27" s="233">
        <v>1218.4107198680024</v>
      </c>
      <c r="D27" s="230">
        <v>4450.7478950281402</v>
      </c>
      <c r="E27" s="233">
        <v>3609.3718437959019</v>
      </c>
      <c r="F27" s="220">
        <v>1.666692536374164E-2</v>
      </c>
      <c r="H27" s="306">
        <v>199.67764846714121</v>
      </c>
    </row>
    <row r="28" spans="1:8" ht="20" customHeight="1" thickBot="1">
      <c r="A28" s="103" t="s">
        <v>383</v>
      </c>
      <c r="B28" s="230">
        <v>1155.358096211907</v>
      </c>
      <c r="C28" s="233">
        <v>1413.1066660663682</v>
      </c>
      <c r="D28" s="230">
        <v>4453.4388262352031</v>
      </c>
      <c r="E28" s="233">
        <v>3504.9561831890187</v>
      </c>
      <c r="F28" s="220">
        <v>9.5372148994647098E-3</v>
      </c>
      <c r="H28" s="306">
        <v>203.24357993536964</v>
      </c>
    </row>
    <row r="29" spans="1:8" ht="20" customHeight="1" thickBot="1">
      <c r="A29" s="103" t="s">
        <v>384</v>
      </c>
      <c r="B29" s="230">
        <v>910.56199040037484</v>
      </c>
      <c r="C29" s="233">
        <v>1152.7729520940948</v>
      </c>
      <c r="D29" s="230">
        <v>3621.3716127608823</v>
      </c>
      <c r="E29" s="233">
        <v>2879.208823232093</v>
      </c>
      <c r="F29" s="220">
        <v>6.2976350577577979E-3</v>
      </c>
      <c r="H29" s="306">
        <v>144.85185631308477</v>
      </c>
    </row>
    <row r="30" spans="1:8" ht="20" customHeight="1" thickBot="1">
      <c r="A30" s="103" t="s">
        <v>385</v>
      </c>
      <c r="B30" s="230">
        <v>974.13358366971443</v>
      </c>
      <c r="C30" s="233">
        <v>1166.5821285293064</v>
      </c>
      <c r="D30" s="230">
        <v>4137.4453746675918</v>
      </c>
      <c r="E30" s="233">
        <v>3235.2275940259201</v>
      </c>
      <c r="F30" s="220">
        <v>1.6989546080774999E-2</v>
      </c>
      <c r="H30" s="306">
        <v>184.5803903521614</v>
      </c>
    </row>
    <row r="31" spans="1:8" ht="20" customHeight="1" thickBot="1">
      <c r="A31" s="103" t="s">
        <v>386</v>
      </c>
      <c r="B31" s="230">
        <v>1360.4775463158549</v>
      </c>
      <c r="C31" s="233">
        <v>1822.1018658302476</v>
      </c>
      <c r="D31" s="230">
        <v>5114.5109184206431</v>
      </c>
      <c r="E31" s="233">
        <v>4070.1311814047353</v>
      </c>
      <c r="F31" s="220">
        <v>2.5179519498355316E-2</v>
      </c>
      <c r="H31" s="306">
        <v>244.01642882305748</v>
      </c>
    </row>
    <row r="32" spans="1:8" ht="20" customHeight="1" thickBot="1">
      <c r="A32" s="145" t="s">
        <v>387</v>
      </c>
      <c r="B32" s="230">
        <v>955.58342985665104</v>
      </c>
      <c r="C32" s="233">
        <v>1138.7406785548865</v>
      </c>
      <c r="D32" s="230">
        <v>4269.3850364562841</v>
      </c>
      <c r="E32" s="233">
        <v>3293.5016910460072</v>
      </c>
      <c r="F32" s="220">
        <v>2.9624457086601403E-3</v>
      </c>
      <c r="H32" s="306">
        <v>200.58331332206401</v>
      </c>
    </row>
    <row r="33" spans="1:8" ht="20" customHeight="1" thickBot="1">
      <c r="A33" s="222" t="s">
        <v>443</v>
      </c>
      <c r="B33" s="230">
        <v>929.61264145115547</v>
      </c>
      <c r="C33" s="233">
        <v>286.25037465492306</v>
      </c>
      <c r="D33" s="230">
        <v>1149.9185746773258</v>
      </c>
      <c r="E33" s="233">
        <v>1048.9413504580598</v>
      </c>
      <c r="F33" s="220">
        <v>-9.9717412033156802E-2</v>
      </c>
      <c r="H33" s="306">
        <v>244.01642882305748</v>
      </c>
    </row>
    <row r="34" spans="1:8" ht="0.5" customHeight="1" thickBot="1">
      <c r="A34" s="145" t="s">
        <v>309</v>
      </c>
      <c r="B34" s="100" t="s">
        <v>30</v>
      </c>
      <c r="C34" s="193" t="s">
        <v>30</v>
      </c>
      <c r="D34" s="100" t="s">
        <v>30</v>
      </c>
      <c r="E34" s="193" t="s">
        <v>30</v>
      </c>
      <c r="F34" s="220" t="s">
        <v>30</v>
      </c>
      <c r="H34" s="306">
        <v>200.58331332206401</v>
      </c>
    </row>
    <row r="35" spans="1:8" s="482" customFormat="1" ht="30" customHeight="1" thickBot="1">
      <c r="A35" s="107" t="s">
        <v>444</v>
      </c>
      <c r="B35" s="524">
        <v>982.33143426752792</v>
      </c>
      <c r="C35" s="525">
        <v>1308.6865414297763</v>
      </c>
      <c r="D35" s="524">
        <v>3966.3792574707609</v>
      </c>
      <c r="E35" s="525">
        <v>3170.8302163416588</v>
      </c>
      <c r="F35" s="526">
        <v>1.5458477420010325E-2</v>
      </c>
      <c r="H35" s="527">
        <v>167.9825427102873</v>
      </c>
    </row>
    <row r="36" spans="1:8" ht="20" customHeight="1">
      <c r="A36" s="112" t="s">
        <v>720</v>
      </c>
      <c r="B36" s="432"/>
      <c r="C36" s="432"/>
      <c r="D36" s="432"/>
      <c r="E36" s="432"/>
      <c r="F36" s="528"/>
    </row>
    <row r="37" spans="1:8" ht="14.25" customHeight="1">
      <c r="A37" s="115"/>
      <c r="B37" s="529"/>
      <c r="C37" s="529"/>
      <c r="D37" s="529"/>
      <c r="E37" s="529"/>
      <c r="F37" s="516"/>
    </row>
    <row r="38" spans="1:8" ht="20" customHeight="1">
      <c r="A38" s="115" t="s">
        <v>718</v>
      </c>
      <c r="B38" s="529"/>
      <c r="C38" s="529"/>
      <c r="D38" s="529"/>
      <c r="E38" s="529"/>
      <c r="F38" s="516"/>
    </row>
    <row r="39" spans="1:8" ht="9.75" customHeight="1">
      <c r="A39" s="115"/>
      <c r="B39" s="529"/>
      <c r="C39" s="529"/>
      <c r="D39" s="529"/>
      <c r="E39" s="529"/>
      <c r="F39" s="516"/>
    </row>
    <row r="40" spans="1:8" ht="15.75" customHeight="1">
      <c r="A40" s="115" t="s">
        <v>666</v>
      </c>
    </row>
    <row r="41" spans="1:8" ht="15.75" customHeight="1">
      <c r="A41" s="115" t="s">
        <v>686</v>
      </c>
    </row>
    <row r="42" spans="1:8" ht="12" customHeight="1">
      <c r="A42" s="115"/>
    </row>
    <row r="43" spans="1:8" ht="12" customHeight="1"/>
    <row r="44" spans="1:8">
      <c r="A44" s="115" t="s">
        <v>719</v>
      </c>
    </row>
  </sheetData>
  <mergeCells count="1">
    <mergeCell ref="A2:E2"/>
  </mergeCells>
  <pageMargins left="0.55000000000000004" right="0.78740157480314965" top="1.1000000000000001" bottom="0.49" header="0.92" footer="0.4921259845"/>
  <pageSetup paperSize="9" scale="79"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5691-2AA3-DD48-9140-4784816F949B}">
  <sheetPr>
    <pageSetUpPr fitToPage="1"/>
  </sheetPr>
  <dimension ref="A1:J50"/>
  <sheetViews>
    <sheetView topLeftCell="A22" zoomScaleNormal="100" workbookViewId="0">
      <selection activeCell="K7" sqref="K7"/>
    </sheetView>
  </sheetViews>
  <sheetFormatPr baseColWidth="10" defaultColWidth="11.3984375" defaultRowHeight="13"/>
  <cols>
    <col min="1" max="1" width="21.19921875" style="3" customWidth="1"/>
    <col min="2" max="2" width="14.796875" style="118" customWidth="1"/>
    <col min="3" max="3" width="14.796875" style="119" customWidth="1"/>
    <col min="4" max="4" width="16" style="118" customWidth="1"/>
    <col min="5" max="5" width="15.796875" style="119" customWidth="1"/>
    <col min="6" max="6" width="16" style="118" customWidth="1"/>
    <col min="7" max="7" width="14" style="3" customWidth="1"/>
    <col min="8" max="8" width="13.59765625" style="3" customWidth="1"/>
    <col min="9" max="9" width="7.796875" style="3" customWidth="1"/>
    <col min="10" max="10" width="9" style="3" customWidth="1"/>
    <col min="11" max="16384" width="11.3984375" style="3"/>
  </cols>
  <sheetData>
    <row r="1" spans="1:10" s="2" customFormat="1" ht="15.5" customHeight="1">
      <c r="A1" s="86"/>
      <c r="B1" s="87"/>
      <c r="C1" s="88"/>
      <c r="D1" s="89"/>
      <c r="E1" s="88"/>
      <c r="F1" s="89"/>
    </row>
    <row r="2" spans="1:10" s="2" customFormat="1" ht="23.5" customHeight="1">
      <c r="A2" s="941" t="s">
        <v>1618</v>
      </c>
      <c r="B2" s="436"/>
      <c r="C2" s="436"/>
      <c r="D2" s="436"/>
      <c r="E2" s="436"/>
      <c r="F2" s="91"/>
      <c r="H2" s="91">
        <v>2011</v>
      </c>
    </row>
    <row r="3" spans="1:10" ht="27" customHeight="1">
      <c r="A3" s="92" t="s">
        <v>275</v>
      </c>
      <c r="B3" s="1849" t="s">
        <v>276</v>
      </c>
      <c r="C3" s="1850"/>
      <c r="D3" s="1851" t="s">
        <v>277</v>
      </c>
      <c r="E3" s="1850"/>
      <c r="F3" s="1849" t="s">
        <v>683</v>
      </c>
      <c r="G3" s="1850"/>
      <c r="H3" s="1850"/>
    </row>
    <row r="4" spans="1:10" ht="15" customHeight="1">
      <c r="A4" s="95"/>
      <c r="B4" s="96" t="s">
        <v>1045</v>
      </c>
      <c r="C4" s="942" t="s">
        <v>1589</v>
      </c>
      <c r="D4" s="96" t="s">
        <v>1045</v>
      </c>
      <c r="E4" s="942" t="s">
        <v>1589</v>
      </c>
      <c r="F4" s="96" t="s">
        <v>1045</v>
      </c>
      <c r="G4" s="942" t="s">
        <v>281</v>
      </c>
      <c r="H4" s="96" t="s">
        <v>1589</v>
      </c>
    </row>
    <row r="5" spans="1:10" ht="15" customHeight="1">
      <c r="A5" s="95"/>
      <c r="B5" s="96"/>
      <c r="C5" s="942" t="s">
        <v>1590</v>
      </c>
      <c r="D5" s="96"/>
      <c r="E5" s="942" t="s">
        <v>1590</v>
      </c>
      <c r="F5" s="96"/>
      <c r="G5" s="942"/>
      <c r="H5" s="96" t="s">
        <v>1590</v>
      </c>
    </row>
    <row r="6" spans="1:10" ht="19.5" customHeight="1">
      <c r="A6" s="97"/>
      <c r="B6" s="98"/>
      <c r="C6" s="943"/>
      <c r="D6" s="98"/>
      <c r="E6" s="943"/>
      <c r="F6" s="98"/>
      <c r="G6" s="944"/>
      <c r="H6" s="98"/>
    </row>
    <row r="7" spans="1:10" ht="30" customHeight="1" thickBot="1">
      <c r="A7" s="99" t="s">
        <v>284</v>
      </c>
      <c r="B7" s="311">
        <v>276.46294047000004</v>
      </c>
      <c r="C7" s="945">
        <v>1226.9506635808161</v>
      </c>
      <c r="D7" s="311">
        <v>227.68633696999999</v>
      </c>
      <c r="E7" s="945">
        <v>1063.1324580509076</v>
      </c>
      <c r="F7" s="311">
        <v>504.14927743999999</v>
      </c>
      <c r="G7" s="946">
        <v>2.0221369484339259E-2</v>
      </c>
      <c r="H7" s="100">
        <v>1147.1214490152192</v>
      </c>
      <c r="I7" s="102"/>
      <c r="J7" s="102"/>
    </row>
    <row r="8" spans="1:10" ht="20" customHeight="1" thickBot="1">
      <c r="A8" s="103" t="s">
        <v>285</v>
      </c>
      <c r="B8" s="311">
        <v>174.36739131000002</v>
      </c>
      <c r="C8" s="945">
        <v>884.38814894035409</v>
      </c>
      <c r="D8" s="311">
        <v>128.75475523</v>
      </c>
      <c r="E8" s="945">
        <v>688.09993540917537</v>
      </c>
      <c r="F8" s="311">
        <v>303.12214655000002</v>
      </c>
      <c r="G8" s="946">
        <v>1.2158194405035273E-2</v>
      </c>
      <c r="H8" s="100">
        <v>788.80960685333082</v>
      </c>
      <c r="I8" s="102"/>
      <c r="J8" s="102"/>
    </row>
    <row r="9" spans="1:10" ht="20" customHeight="1" thickBot="1">
      <c r="A9" s="103" t="s">
        <v>286</v>
      </c>
      <c r="B9" s="311">
        <v>192.03410206999999</v>
      </c>
      <c r="C9" s="945">
        <v>896.71576435879626</v>
      </c>
      <c r="D9" s="311">
        <v>175.97308403</v>
      </c>
      <c r="E9" s="945">
        <v>865.31161431214196</v>
      </c>
      <c r="F9" s="311">
        <v>368.00718612999998</v>
      </c>
      <c r="G9" s="946">
        <v>1.4760725873523409E-2</v>
      </c>
      <c r="H9" s="100">
        <v>881.41941904864416</v>
      </c>
      <c r="I9" s="102"/>
      <c r="J9" s="102"/>
    </row>
    <row r="10" spans="1:10" ht="20" customHeight="1" thickBot="1">
      <c r="A10" s="103" t="s">
        <v>287</v>
      </c>
      <c r="B10" s="311">
        <v>133.01155901000001</v>
      </c>
      <c r="C10" s="945">
        <v>985.39934735190263</v>
      </c>
      <c r="D10" s="311">
        <v>169.08373365</v>
      </c>
      <c r="E10" s="945">
        <v>1324.2888753967081</v>
      </c>
      <c r="F10" s="311">
        <v>302.09529266000004</v>
      </c>
      <c r="G10" s="946">
        <v>1.2117007413710879E-2</v>
      </c>
      <c r="H10" s="100">
        <v>1150.1326124708071</v>
      </c>
      <c r="I10" s="102"/>
      <c r="J10" s="102"/>
    </row>
    <row r="11" spans="1:10" ht="20" customHeight="1" thickBot="1">
      <c r="A11" s="104" t="s">
        <v>288</v>
      </c>
      <c r="B11" s="947">
        <v>775.87599289000002</v>
      </c>
      <c r="C11" s="948">
        <v>1005.5131180366241</v>
      </c>
      <c r="D11" s="947">
        <v>701.49790990999998</v>
      </c>
      <c r="E11" s="948">
        <v>957.90571488252226</v>
      </c>
      <c r="F11" s="947">
        <v>1477.3739027700001</v>
      </c>
      <c r="G11" s="949">
        <v>5.9257297176207722E-2</v>
      </c>
      <c r="H11" s="105">
        <v>982.3314146791032</v>
      </c>
      <c r="I11" s="102"/>
      <c r="J11" s="102"/>
    </row>
    <row r="12" spans="1:10" ht="20" customHeight="1" thickBot="1">
      <c r="A12" s="103" t="s">
        <v>289</v>
      </c>
      <c r="B12" s="311">
        <v>88.090022109999992</v>
      </c>
      <c r="C12" s="945">
        <v>935.80343426707566</v>
      </c>
      <c r="D12" s="311">
        <v>128.09542471</v>
      </c>
      <c r="E12" s="945">
        <v>1408.0546981186683</v>
      </c>
      <c r="F12" s="311">
        <v>216.18544677</v>
      </c>
      <c r="G12" s="946">
        <v>8.6711733843422949E-3</v>
      </c>
      <c r="H12" s="100">
        <v>1167.8984093903193</v>
      </c>
      <c r="I12" s="102"/>
      <c r="J12" s="102"/>
    </row>
    <row r="13" spans="1:10" ht="20" customHeight="1" thickBot="1">
      <c r="A13" s="103" t="s">
        <v>290</v>
      </c>
      <c r="B13" s="311">
        <v>238.17990612</v>
      </c>
      <c r="C13" s="945">
        <v>979.29035719730598</v>
      </c>
      <c r="D13" s="311">
        <v>416.03493800000001</v>
      </c>
      <c r="E13" s="945">
        <v>1757.8048027898076</v>
      </c>
      <c r="F13" s="311">
        <v>654.21484411999995</v>
      </c>
      <c r="G13" s="946">
        <v>2.6240482089482636E-2</v>
      </c>
      <c r="H13" s="100">
        <v>1363.2442111362732</v>
      </c>
      <c r="I13" s="102"/>
      <c r="J13" s="102"/>
    </row>
    <row r="14" spans="1:10" ht="20" customHeight="1" thickBot="1">
      <c r="A14" s="104" t="s">
        <v>291</v>
      </c>
      <c r="B14" s="947">
        <v>326.26992824000001</v>
      </c>
      <c r="C14" s="948">
        <v>967.15581824225194</v>
      </c>
      <c r="D14" s="947">
        <v>544.13036271999999</v>
      </c>
      <c r="E14" s="948">
        <v>1660.6959906241989</v>
      </c>
      <c r="F14" s="947">
        <v>870.40029098000002</v>
      </c>
      <c r="G14" s="949">
        <v>3.4911655477434821E-2</v>
      </c>
      <c r="H14" s="105">
        <v>1308.8688783896707</v>
      </c>
      <c r="I14" s="102"/>
      <c r="J14" s="102"/>
    </row>
    <row r="15" spans="1:10" ht="20" customHeight="1" thickBot="1">
      <c r="A15" s="103" t="s">
        <v>292</v>
      </c>
      <c r="B15" s="311">
        <v>280.32666867</v>
      </c>
      <c r="C15" s="945">
        <v>1055.9004820520022</v>
      </c>
      <c r="D15" s="311">
        <v>599.87901820000002</v>
      </c>
      <c r="E15" s="945">
        <v>2314.6829429412051</v>
      </c>
      <c r="F15" s="311">
        <v>880.20568688000003</v>
      </c>
      <c r="G15" s="946">
        <v>3.5304948778262221E-2</v>
      </c>
      <c r="H15" s="100">
        <v>1677.7060041835641</v>
      </c>
      <c r="I15" s="102"/>
      <c r="J15" s="102"/>
    </row>
    <row r="16" spans="1:10" ht="20" customHeight="1" thickBot="1">
      <c r="A16" s="103" t="s">
        <v>293</v>
      </c>
      <c r="B16" s="311">
        <v>325.69532982999999</v>
      </c>
      <c r="C16" s="945">
        <v>1204.5933271599968</v>
      </c>
      <c r="D16" s="311">
        <v>731.08021035000002</v>
      </c>
      <c r="E16" s="945">
        <v>2737.3636147762027</v>
      </c>
      <c r="F16" s="311">
        <v>1056.7755401699999</v>
      </c>
      <c r="G16" s="946">
        <v>4.2387145268363499E-2</v>
      </c>
      <c r="H16" s="100">
        <v>1966.2681572730905</v>
      </c>
      <c r="I16" s="102"/>
      <c r="J16" s="102"/>
    </row>
    <row r="17" spans="1:10" ht="20" customHeight="1" thickBot="1">
      <c r="A17" s="103" t="s">
        <v>294</v>
      </c>
      <c r="B17" s="311">
        <v>415.15167958999996</v>
      </c>
      <c r="C17" s="945">
        <v>1477.5916808383558</v>
      </c>
      <c r="D17" s="311">
        <v>742.43056837999995</v>
      </c>
      <c r="E17" s="945">
        <v>2665.1489454302709</v>
      </c>
      <c r="F17" s="311">
        <v>1157.5822479600001</v>
      </c>
      <c r="G17" s="946">
        <v>4.6430490713729164E-2</v>
      </c>
      <c r="H17" s="100">
        <v>2068.8285433659903</v>
      </c>
      <c r="I17" s="102"/>
      <c r="J17" s="102"/>
    </row>
    <row r="18" spans="1:10" ht="20" customHeight="1" thickBot="1">
      <c r="A18" s="103" t="s">
        <v>295</v>
      </c>
      <c r="B18" s="311">
        <v>559.23326805999989</v>
      </c>
      <c r="C18" s="945">
        <v>1759.3490470476436</v>
      </c>
      <c r="D18" s="311">
        <v>805.76108999999997</v>
      </c>
      <c r="E18" s="945">
        <v>2559.5805122082925</v>
      </c>
      <c r="F18" s="311">
        <v>1364.9943580499998</v>
      </c>
      <c r="G18" s="946">
        <v>5.4749766573755548E-2</v>
      </c>
      <c r="H18" s="100">
        <v>2157.5284889774493</v>
      </c>
      <c r="I18" s="102"/>
      <c r="J18" s="102"/>
    </row>
    <row r="19" spans="1:10" ht="20" customHeight="1" thickBot="1">
      <c r="A19" s="103" t="s">
        <v>296</v>
      </c>
      <c r="B19" s="311">
        <v>705.59392605999994</v>
      </c>
      <c r="C19" s="945">
        <v>2149.1116382341456</v>
      </c>
      <c r="D19" s="311">
        <v>922.46359560000008</v>
      </c>
      <c r="E19" s="945">
        <v>2885.6523818160626</v>
      </c>
      <c r="F19" s="311">
        <v>1628.05752164</v>
      </c>
      <c r="G19" s="946">
        <v>6.5301199783546593E-2</v>
      </c>
      <c r="H19" s="100">
        <v>2512.4680628674464</v>
      </c>
      <c r="I19" s="102"/>
      <c r="J19" s="102"/>
    </row>
    <row r="20" spans="1:10" ht="20" customHeight="1" thickBot="1">
      <c r="A20" s="103" t="s">
        <v>297</v>
      </c>
      <c r="B20" s="311">
        <v>781.03214362000006</v>
      </c>
      <c r="C20" s="945">
        <v>2744.3841831450027</v>
      </c>
      <c r="D20" s="311">
        <v>930.59549613000002</v>
      </c>
      <c r="E20" s="945">
        <v>3352.0984617230001</v>
      </c>
      <c r="F20" s="311">
        <v>1711.6276397199999</v>
      </c>
      <c r="G20" s="946">
        <v>6.8653187599787502E-2</v>
      </c>
      <c r="H20" s="100">
        <v>3044.4708611882093</v>
      </c>
      <c r="I20" s="102"/>
      <c r="J20" s="102"/>
    </row>
    <row r="21" spans="1:10" ht="20" customHeight="1" thickBot="1">
      <c r="A21" s="103" t="s">
        <v>298</v>
      </c>
      <c r="B21" s="311">
        <v>863.32897783999999</v>
      </c>
      <c r="C21" s="945">
        <v>3584.6067208061272</v>
      </c>
      <c r="D21" s="311">
        <v>930.84257703999992</v>
      </c>
      <c r="E21" s="945">
        <v>3862.1836780164917</v>
      </c>
      <c r="F21" s="311">
        <v>1794.1715549</v>
      </c>
      <c r="G21" s="946">
        <v>7.1964014535837992E-2</v>
      </c>
      <c r="H21" s="100">
        <v>3723.444495402287</v>
      </c>
      <c r="I21" s="102"/>
      <c r="J21" s="102"/>
    </row>
    <row r="22" spans="1:10" ht="20" customHeight="1" thickBot="1">
      <c r="A22" s="103" t="s">
        <v>299</v>
      </c>
      <c r="B22" s="311">
        <v>1028.2001765699999</v>
      </c>
      <c r="C22" s="945">
        <v>4602.6719153620625</v>
      </c>
      <c r="D22" s="311">
        <v>1058.1603193799999</v>
      </c>
      <c r="E22" s="945">
        <v>4594.9631261441973</v>
      </c>
      <c r="F22" s="311">
        <v>2086.3604959300001</v>
      </c>
      <c r="G22" s="946">
        <v>8.3683679326012422E-2</v>
      </c>
      <c r="H22" s="100">
        <v>4598.7592459205744</v>
      </c>
      <c r="I22" s="102"/>
      <c r="J22" s="102"/>
    </row>
    <row r="23" spans="1:10" ht="20" customHeight="1" thickBot="1">
      <c r="A23" s="103" t="s">
        <v>300</v>
      </c>
      <c r="B23" s="311">
        <v>1099.37120506</v>
      </c>
      <c r="C23" s="945">
        <v>5830.0392716513088</v>
      </c>
      <c r="D23" s="311">
        <v>1144.60597693</v>
      </c>
      <c r="E23" s="945">
        <v>5641.5709594874133</v>
      </c>
      <c r="F23" s="311">
        <v>2243.9771820100004</v>
      </c>
      <c r="G23" s="946">
        <v>9.0005666461063144E-2</v>
      </c>
      <c r="H23" s="100">
        <v>5732.3584733869111</v>
      </c>
      <c r="I23" s="102"/>
      <c r="J23" s="102"/>
    </row>
    <row r="24" spans="1:10" ht="20" customHeight="1" thickBot="1">
      <c r="A24" s="103" t="s">
        <v>301</v>
      </c>
      <c r="B24" s="311">
        <v>984.32545836999998</v>
      </c>
      <c r="C24" s="945">
        <v>7231.2147250112084</v>
      </c>
      <c r="D24" s="311">
        <v>1109.6681881</v>
      </c>
      <c r="E24" s="945">
        <v>6849.9655769639485</v>
      </c>
      <c r="F24" s="311">
        <v>2093.9936464799998</v>
      </c>
      <c r="G24" s="946">
        <v>8.3989844115903448E-2</v>
      </c>
      <c r="H24" s="100">
        <v>7024.0460475583031</v>
      </c>
      <c r="I24" s="102"/>
      <c r="J24" s="102"/>
    </row>
    <row r="25" spans="1:10" ht="20" customHeight="1" thickBot="1">
      <c r="A25" s="103" t="s">
        <v>302</v>
      </c>
      <c r="B25" s="311">
        <v>951.52161222000007</v>
      </c>
      <c r="C25" s="945">
        <v>8850.8130258684359</v>
      </c>
      <c r="D25" s="311">
        <v>1215.4074393800001</v>
      </c>
      <c r="E25" s="945">
        <v>8491.7790061926589</v>
      </c>
      <c r="F25" s="311">
        <v>2166.9290515300004</v>
      </c>
      <c r="G25" s="946">
        <v>8.691527481669728E-2</v>
      </c>
      <c r="H25" s="100">
        <v>8645.7842722409223</v>
      </c>
      <c r="I25" s="102"/>
      <c r="J25" s="102"/>
    </row>
    <row r="26" spans="1:10" ht="20" customHeight="1" thickBot="1">
      <c r="A26" s="103" t="s">
        <v>303</v>
      </c>
      <c r="B26" s="311">
        <v>738.31633526999997</v>
      </c>
      <c r="C26" s="945">
        <v>10319.244262694219</v>
      </c>
      <c r="D26" s="311">
        <v>1235.0720248599998</v>
      </c>
      <c r="E26" s="945">
        <v>10608.500072709081</v>
      </c>
      <c r="F26" s="311">
        <v>1973.38836014</v>
      </c>
      <c r="G26" s="946">
        <v>7.9152379963957076E-2</v>
      </c>
      <c r="H26" s="100">
        <v>10498.401211531371</v>
      </c>
      <c r="I26" s="102"/>
      <c r="J26" s="102"/>
    </row>
    <row r="27" spans="1:10" ht="20" customHeight="1" thickBot="1">
      <c r="A27" s="103" t="s">
        <v>304</v>
      </c>
      <c r="B27" s="311">
        <v>452.82521808999996</v>
      </c>
      <c r="C27" s="945">
        <v>12154.476132869371</v>
      </c>
      <c r="D27" s="311">
        <v>1055.03097321</v>
      </c>
      <c r="E27" s="945">
        <v>13757.07586106987</v>
      </c>
      <c r="F27" s="311">
        <v>1507.85619129</v>
      </c>
      <c r="G27" s="946">
        <v>6.0479938259858805E-2</v>
      </c>
      <c r="H27" s="100">
        <v>13233.086285932835</v>
      </c>
      <c r="I27" s="102"/>
      <c r="J27" s="102"/>
    </row>
    <row r="28" spans="1:10" ht="20" customHeight="1" thickBot="1">
      <c r="A28" s="103" t="s">
        <v>305</v>
      </c>
      <c r="B28" s="311">
        <v>167.19489929</v>
      </c>
      <c r="C28" s="945">
        <v>14756.440631757323</v>
      </c>
      <c r="D28" s="311">
        <v>520.91500856999994</v>
      </c>
      <c r="E28" s="945">
        <v>17551.044763140162</v>
      </c>
      <c r="F28" s="311">
        <v>688.10990784000001</v>
      </c>
      <c r="G28" s="946">
        <v>2.7600009193553345E-2</v>
      </c>
      <c r="H28" s="100">
        <v>16778.957374844216</v>
      </c>
      <c r="I28" s="102"/>
      <c r="J28" s="102"/>
    </row>
    <row r="29" spans="1:10" ht="20" customHeight="1" thickBot="1">
      <c r="A29" s="103" t="s">
        <v>306</v>
      </c>
      <c r="B29" s="311">
        <v>38.448857930000003</v>
      </c>
      <c r="C29" s="945">
        <v>18064.337228204695</v>
      </c>
      <c r="D29" s="311">
        <v>164.49765937000001</v>
      </c>
      <c r="E29" s="945">
        <v>22114.388722711195</v>
      </c>
      <c r="F29" s="311">
        <v>202.94651730000001</v>
      </c>
      <c r="G29" s="946">
        <v>8.140161447264118E-3</v>
      </c>
      <c r="H29" s="100">
        <v>21213.492964253684</v>
      </c>
      <c r="I29" s="102"/>
      <c r="J29" s="102"/>
    </row>
    <row r="30" spans="1:10" ht="20" customHeight="1" thickBot="1">
      <c r="A30" s="103" t="s">
        <v>307</v>
      </c>
      <c r="B30" s="311">
        <v>3.4697464500000001</v>
      </c>
      <c r="C30" s="945">
        <v>20368.338420898152</v>
      </c>
      <c r="D30" s="311">
        <v>23.290253280000002</v>
      </c>
      <c r="E30" s="945">
        <v>25600.999494361029</v>
      </c>
      <c r="F30" s="311">
        <v>26.759999760000003</v>
      </c>
      <c r="G30" s="946">
        <v>1.0733405099686776E-3</v>
      </c>
      <c r="H30" s="100">
        <v>24775.712912812825</v>
      </c>
      <c r="I30" s="102"/>
      <c r="J30" s="102"/>
    </row>
    <row r="31" spans="1:10" ht="20" customHeight="1" thickBot="1">
      <c r="A31" s="104" t="s">
        <v>308</v>
      </c>
      <c r="B31" s="947">
        <v>9394.0355028899994</v>
      </c>
      <c r="C31" s="948">
        <v>3395.6752111217115</v>
      </c>
      <c r="D31" s="947">
        <v>13189.70039871</v>
      </c>
      <c r="E31" s="948">
        <v>4505.6769945790447</v>
      </c>
      <c r="F31" s="947">
        <v>22583.735901599997</v>
      </c>
      <c r="G31" s="949">
        <v>0.9058310473475607</v>
      </c>
      <c r="H31" s="105">
        <v>3966.3578496643149</v>
      </c>
      <c r="I31" s="102"/>
      <c r="J31" s="102"/>
    </row>
    <row r="32" spans="1:10" ht="0.5" customHeight="1" thickBot="1">
      <c r="A32" s="103" t="s">
        <v>309</v>
      </c>
      <c r="B32" s="311">
        <v>0</v>
      </c>
      <c r="C32" s="945" t="s">
        <v>30</v>
      </c>
      <c r="D32" s="311">
        <v>0</v>
      </c>
      <c r="E32" s="945" t="s">
        <v>30</v>
      </c>
      <c r="F32" s="311" t="s">
        <v>30</v>
      </c>
      <c r="G32" s="946" t="s">
        <v>30</v>
      </c>
      <c r="H32" s="100" t="s">
        <v>30</v>
      </c>
      <c r="I32" s="102"/>
      <c r="J32" s="102"/>
    </row>
    <row r="33" spans="1:10" s="110" customFormat="1" ht="24.75" customHeight="1" thickBot="1">
      <c r="A33" s="107" t="s">
        <v>278</v>
      </c>
      <c r="B33" s="858">
        <v>10496.181424</v>
      </c>
      <c r="C33" s="950">
        <v>2708.3827914076296</v>
      </c>
      <c r="D33" s="858">
        <v>14435.32867132</v>
      </c>
      <c r="E33" s="950">
        <v>3620.30120057665</v>
      </c>
      <c r="F33" s="858">
        <v>24931.510095319998</v>
      </c>
      <c r="G33" s="951">
        <v>1</v>
      </c>
      <c r="H33" s="224">
        <v>3170.8302082775031</v>
      </c>
      <c r="I33" s="111"/>
      <c r="J33" s="111"/>
    </row>
    <row r="34" spans="1:10" ht="20" customHeight="1">
      <c r="A34" s="112" t="s">
        <v>720</v>
      </c>
      <c r="B34" s="113"/>
      <c r="C34" s="114"/>
      <c r="D34" s="113"/>
      <c r="E34" s="114"/>
      <c r="F34" s="113"/>
    </row>
    <row r="35" spans="1:10" ht="12.75" customHeight="1">
      <c r="A35" s="115"/>
      <c r="B35" s="116"/>
      <c r="C35" s="117"/>
      <c r="D35" s="116"/>
      <c r="E35" s="117"/>
      <c r="F35" s="116"/>
    </row>
    <row r="36" spans="1:10" ht="16.5" customHeight="1">
      <c r="A36" s="115" t="s">
        <v>1619</v>
      </c>
      <c r="B36" s="116"/>
      <c r="C36" s="117"/>
      <c r="D36" s="116"/>
      <c r="E36" s="117"/>
      <c r="F36" s="116"/>
    </row>
    <row r="37" spans="1:10" ht="14.25" customHeight="1">
      <c r="A37" s="115"/>
      <c r="B37" s="116"/>
      <c r="C37" s="117"/>
      <c r="D37" s="116"/>
      <c r="E37" s="117"/>
      <c r="F37" s="116"/>
    </row>
    <row r="38" spans="1:10" ht="13.5" customHeight="1">
      <c r="A38" s="115" t="s">
        <v>666</v>
      </c>
      <c r="B38" s="116"/>
      <c r="C38" s="117"/>
      <c r="D38" s="116"/>
      <c r="E38" s="117"/>
      <c r="F38" s="116"/>
    </row>
    <row r="39" spans="1:10" ht="12" customHeight="1">
      <c r="A39" s="115"/>
      <c r="B39" s="116"/>
      <c r="C39" s="117"/>
      <c r="D39" s="116"/>
      <c r="E39" s="117"/>
      <c r="F39" s="116"/>
    </row>
    <row r="40" spans="1:10" ht="14.25" customHeight="1">
      <c r="A40" s="115"/>
      <c r="B40" s="116"/>
      <c r="C40" s="117"/>
      <c r="D40" s="116"/>
      <c r="E40" s="117"/>
      <c r="F40" s="116"/>
    </row>
    <row r="41" spans="1:10" ht="15.75" customHeight="1">
      <c r="A41" s="115" t="s">
        <v>719</v>
      </c>
      <c r="B41" s="116"/>
      <c r="C41" s="117"/>
      <c r="D41" s="116"/>
      <c r="E41" s="117"/>
      <c r="F41" s="116"/>
    </row>
    <row r="42" spans="1:10" ht="18" customHeight="1">
      <c r="A42"/>
    </row>
    <row r="43" spans="1:10" ht="30" customHeight="1"/>
    <row r="44" spans="1:10" ht="30" customHeight="1">
      <c r="H44" s="120"/>
    </row>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46" right="0.43" top="0.6692913385826772" bottom="0.47244094488188981" header="0.43307086614173229" footer="0.51181102362204722"/>
  <pageSetup paperSize="9" scale="74" orientation="portrait"/>
  <headerFooter alignWithMargins="0"/>
  <rowBreaks count="1" manualBreakCount="1">
    <brk id="41"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CBCCA-AA76-FB43-9496-3775F06F2BBA}">
  <dimension ref="A1:G44"/>
  <sheetViews>
    <sheetView zoomScaleNormal="100" workbookViewId="0">
      <selection activeCell="C4" sqref="C4"/>
    </sheetView>
  </sheetViews>
  <sheetFormatPr baseColWidth="10" defaultColWidth="11.3984375" defaultRowHeight="13"/>
  <cols>
    <col min="1" max="5" width="19.796875" style="3" customWidth="1"/>
    <col min="6" max="6" width="11.3984375" style="3"/>
    <col min="7" max="7" width="15.19921875" style="3" hidden="1" customWidth="1"/>
    <col min="8" max="16384" width="11.3984375" style="3"/>
  </cols>
  <sheetData>
    <row r="1" spans="1:7" s="2" customFormat="1" ht="14" customHeight="1"/>
    <row r="2" spans="1:7" s="2" customFormat="1" ht="28" customHeight="1">
      <c r="A2" s="180" t="s">
        <v>693</v>
      </c>
      <c r="E2" s="180">
        <v>2011</v>
      </c>
    </row>
    <row r="3" spans="1:7" ht="27" customHeight="1">
      <c r="A3" s="92" t="s">
        <v>191</v>
      </c>
      <c r="B3" s="182" t="s">
        <v>349</v>
      </c>
      <c r="C3" s="183" t="s">
        <v>459</v>
      </c>
      <c r="D3" s="182" t="s">
        <v>348</v>
      </c>
      <c r="E3" s="183" t="s">
        <v>278</v>
      </c>
    </row>
    <row r="4" spans="1:7" ht="21" customHeight="1">
      <c r="A4" s="95"/>
      <c r="B4" s="185"/>
      <c r="C4" s="186"/>
      <c r="D4" s="211"/>
      <c r="E4" s="186"/>
    </row>
    <row r="5" spans="1:7" ht="21" customHeight="1">
      <c r="A5" s="95"/>
      <c r="B5" s="185" t="s">
        <v>460</v>
      </c>
      <c r="C5" s="186" t="s">
        <v>461</v>
      </c>
      <c r="D5" s="185" t="s">
        <v>462</v>
      </c>
      <c r="E5" s="186"/>
    </row>
    <row r="6" spans="1:7" ht="24" customHeight="1">
      <c r="A6" s="97"/>
      <c r="B6" s="213"/>
      <c r="C6" s="97"/>
      <c r="D6" s="213"/>
      <c r="E6" s="190"/>
    </row>
    <row r="7" spans="1:7" ht="30" customHeight="1" thickBot="1">
      <c r="A7" s="99" t="s">
        <v>362</v>
      </c>
      <c r="B7" s="230">
        <v>233306571.05000001</v>
      </c>
      <c r="C7" s="233">
        <v>112487700.82999998</v>
      </c>
      <c r="D7" s="230">
        <v>3310170323.4499998</v>
      </c>
      <c r="E7" s="233">
        <v>3655964595.3299999</v>
      </c>
      <c r="G7" s="8">
        <v>2156035045</v>
      </c>
    </row>
    <row r="8" spans="1:7" ht="20" customHeight="1" thickBot="1">
      <c r="A8" s="103" t="s">
        <v>363</v>
      </c>
      <c r="B8" s="218">
        <v>140182435.02000001</v>
      </c>
      <c r="C8" s="219">
        <v>79717604.459999993</v>
      </c>
      <c r="D8" s="218">
        <v>2712582547.7200003</v>
      </c>
      <c r="E8" s="219">
        <v>2932482587.1999998</v>
      </c>
      <c r="G8" s="8">
        <v>1563935884</v>
      </c>
    </row>
    <row r="9" spans="1:7" ht="20" customHeight="1" thickBot="1">
      <c r="A9" s="103" t="s">
        <v>364</v>
      </c>
      <c r="B9" s="218">
        <v>54036106.93</v>
      </c>
      <c r="C9" s="219">
        <v>28750420.809999999</v>
      </c>
      <c r="D9" s="218">
        <v>794875446.24000001</v>
      </c>
      <c r="E9" s="219">
        <v>877661973.98000002</v>
      </c>
      <c r="G9" s="8">
        <v>464604355</v>
      </c>
    </row>
    <row r="10" spans="1:7" ht="20" customHeight="1" thickBot="1">
      <c r="A10" s="103" t="s">
        <v>365</v>
      </c>
      <c r="B10" s="218">
        <v>4732338.34</v>
      </c>
      <c r="C10" s="219">
        <v>2478110.34</v>
      </c>
      <c r="D10" s="218">
        <v>69588172.659999996</v>
      </c>
      <c r="E10" s="219">
        <v>76798621.339999989</v>
      </c>
      <c r="G10" s="8">
        <v>45901795</v>
      </c>
    </row>
    <row r="11" spans="1:7" ht="20" customHeight="1" thickBot="1">
      <c r="A11" s="103" t="s">
        <v>366</v>
      </c>
      <c r="B11" s="218">
        <v>24003910.469999999</v>
      </c>
      <c r="C11" s="219">
        <v>10664423.539999999</v>
      </c>
      <c r="D11" s="218">
        <v>299668049.55000001</v>
      </c>
      <c r="E11" s="219">
        <v>334336383.56000006</v>
      </c>
      <c r="G11" s="8">
        <v>171549320</v>
      </c>
    </row>
    <row r="12" spans="1:7" ht="20" customHeight="1" thickBot="1">
      <c r="A12" s="103" t="s">
        <v>367</v>
      </c>
      <c r="B12" s="218">
        <v>5036191.4499999993</v>
      </c>
      <c r="C12" s="219">
        <v>2321254.38</v>
      </c>
      <c r="D12" s="218">
        <v>68528139.480000004</v>
      </c>
      <c r="E12" s="219">
        <v>75885585.310000002</v>
      </c>
      <c r="G12" s="8">
        <v>41764939</v>
      </c>
    </row>
    <row r="13" spans="1:7" ht="20" customHeight="1" thickBot="1">
      <c r="A13" s="103" t="s">
        <v>368</v>
      </c>
      <c r="B13" s="218">
        <v>4645101.9399999995</v>
      </c>
      <c r="C13" s="219">
        <v>2449034.67</v>
      </c>
      <c r="D13" s="218">
        <v>75811716.260000005</v>
      </c>
      <c r="E13" s="219">
        <v>82905852.870000005</v>
      </c>
      <c r="G13" s="8">
        <v>44323506</v>
      </c>
    </row>
    <row r="14" spans="1:7" ht="20" customHeight="1" thickBot="1">
      <c r="A14" s="103" t="s">
        <v>369</v>
      </c>
      <c r="B14" s="218">
        <v>5422775.6500000004</v>
      </c>
      <c r="C14" s="219">
        <v>3503423.4200000004</v>
      </c>
      <c r="D14" s="218">
        <v>82047263.840000004</v>
      </c>
      <c r="E14" s="219">
        <v>90973462.909999996</v>
      </c>
      <c r="G14" s="8">
        <v>55927154</v>
      </c>
    </row>
    <row r="15" spans="1:7" ht="20" customHeight="1" thickBot="1">
      <c r="A15" s="103" t="s">
        <v>370</v>
      </c>
      <c r="B15" s="218">
        <v>16171174.26</v>
      </c>
      <c r="C15" s="219">
        <v>7583429.0899999989</v>
      </c>
      <c r="D15" s="218">
        <v>226814844.92999998</v>
      </c>
      <c r="E15" s="219">
        <v>250569448.27999994</v>
      </c>
      <c r="G15" s="8">
        <v>128772453</v>
      </c>
    </row>
    <row r="16" spans="1:7" ht="20" customHeight="1" thickBot="1">
      <c r="A16" s="103" t="s">
        <v>371</v>
      </c>
      <c r="B16" s="218">
        <v>49573512.880000003</v>
      </c>
      <c r="C16" s="219">
        <v>24641131.16</v>
      </c>
      <c r="D16" s="218">
        <v>637500620.33999991</v>
      </c>
      <c r="E16" s="219">
        <v>711715264.37999988</v>
      </c>
      <c r="G16" s="8">
        <v>391250033</v>
      </c>
    </row>
    <row r="17" spans="1:7" ht="20" customHeight="1" thickBot="1">
      <c r="A17" s="103" t="s">
        <v>372</v>
      </c>
      <c r="B17" s="218">
        <v>39767260.359999999</v>
      </c>
      <c r="C17" s="219">
        <v>20119553.75</v>
      </c>
      <c r="D17" s="218">
        <v>599787477.38999999</v>
      </c>
      <c r="E17" s="219">
        <v>659674291.5</v>
      </c>
      <c r="G17" s="8">
        <v>393696828</v>
      </c>
    </row>
    <row r="18" spans="1:7" ht="20" customHeight="1" thickBot="1">
      <c r="A18" s="103" t="s">
        <v>373</v>
      </c>
      <c r="B18" s="218">
        <v>34765071.229999997</v>
      </c>
      <c r="C18" s="219">
        <v>17009386.239999998</v>
      </c>
      <c r="D18" s="218">
        <v>631112198.57000005</v>
      </c>
      <c r="E18" s="219">
        <v>682886656.03999996</v>
      </c>
      <c r="G18" s="8">
        <v>473520714</v>
      </c>
    </row>
    <row r="19" spans="1:7" ht="20" customHeight="1" thickBot="1">
      <c r="A19" s="103" t="s">
        <v>374</v>
      </c>
      <c r="B19" s="218">
        <v>49777814.540000007</v>
      </c>
      <c r="C19" s="219">
        <v>24321323.43</v>
      </c>
      <c r="D19" s="218">
        <v>721279920.52999997</v>
      </c>
      <c r="E19" s="219">
        <v>795379058.5</v>
      </c>
      <c r="G19" s="8">
        <v>469771093</v>
      </c>
    </row>
    <row r="20" spans="1:7" ht="20" customHeight="1" thickBot="1">
      <c r="A20" s="103" t="s">
        <v>375</v>
      </c>
      <c r="B20" s="218">
        <v>10032037.52</v>
      </c>
      <c r="C20" s="219">
        <v>6004865.8700000001</v>
      </c>
      <c r="D20" s="218">
        <v>182565725.74000001</v>
      </c>
      <c r="E20" s="219">
        <v>198602629.13</v>
      </c>
      <c r="G20" s="8">
        <v>127694959</v>
      </c>
    </row>
    <row r="21" spans="1:7" ht="20" customHeight="1" thickBot="1">
      <c r="A21" s="103" t="s">
        <v>376</v>
      </c>
      <c r="B21" s="218">
        <v>7419939.6600000001</v>
      </c>
      <c r="C21" s="219">
        <v>3737204.2899999996</v>
      </c>
      <c r="D21" s="218">
        <v>104978850.14999999</v>
      </c>
      <c r="E21" s="219">
        <v>116135994.09999999</v>
      </c>
      <c r="G21" s="8">
        <v>69489100</v>
      </c>
    </row>
    <row r="22" spans="1:7" ht="20" customHeight="1" thickBot="1">
      <c r="A22" s="103" t="s">
        <v>377</v>
      </c>
      <c r="B22" s="218">
        <v>2046657.09</v>
      </c>
      <c r="C22" s="219">
        <v>1033944.3</v>
      </c>
      <c r="D22" s="218">
        <v>26789719.41</v>
      </c>
      <c r="E22" s="219">
        <v>29870320.800000001</v>
      </c>
      <c r="G22" s="8">
        <v>16712649</v>
      </c>
    </row>
    <row r="23" spans="1:7" ht="20" customHeight="1" thickBot="1">
      <c r="A23" s="103" t="s">
        <v>378</v>
      </c>
      <c r="B23" s="218">
        <v>72893061.239999995</v>
      </c>
      <c r="C23" s="219">
        <v>37409901.5</v>
      </c>
      <c r="D23" s="218">
        <v>975613452.38999999</v>
      </c>
      <c r="E23" s="219">
        <v>1085916415.1299999</v>
      </c>
      <c r="G23" s="8">
        <v>615853738</v>
      </c>
    </row>
    <row r="24" spans="1:7" ht="20" customHeight="1" thickBot="1">
      <c r="A24" s="103" t="s">
        <v>379</v>
      </c>
      <c r="B24" s="218">
        <v>27606986.560000002</v>
      </c>
      <c r="C24" s="219">
        <v>15415353.399999999</v>
      </c>
      <c r="D24" s="218">
        <v>417151528.15999997</v>
      </c>
      <c r="E24" s="219">
        <v>460173868.12</v>
      </c>
      <c r="G24" s="8">
        <v>264690646</v>
      </c>
    </row>
    <row r="25" spans="1:7" ht="20" customHeight="1" thickBot="1">
      <c r="A25" s="103" t="s">
        <v>380</v>
      </c>
      <c r="B25" s="218">
        <v>105596708.63000001</v>
      </c>
      <c r="C25" s="219">
        <v>50689976.160000004</v>
      </c>
      <c r="D25" s="218">
        <v>1358212143.4200001</v>
      </c>
      <c r="E25" s="219">
        <v>1514498828.21</v>
      </c>
      <c r="G25" s="8">
        <v>819222625</v>
      </c>
    </row>
    <row r="26" spans="1:7" ht="20" customHeight="1" thickBot="1">
      <c r="A26" s="103" t="s">
        <v>381</v>
      </c>
      <c r="B26" s="218">
        <v>39829059.5</v>
      </c>
      <c r="C26" s="219">
        <v>19773659.419999998</v>
      </c>
      <c r="D26" s="218">
        <v>517346234.19999999</v>
      </c>
      <c r="E26" s="219">
        <v>576948953.12</v>
      </c>
      <c r="G26" s="8">
        <v>344655658</v>
      </c>
    </row>
    <row r="27" spans="1:7" ht="20" customHeight="1" thickBot="1">
      <c r="A27" s="103" t="s">
        <v>382</v>
      </c>
      <c r="B27" s="218">
        <v>52720904.740000002</v>
      </c>
      <c r="C27" s="219">
        <v>20545028.140000001</v>
      </c>
      <c r="D27" s="218">
        <v>964254038.28999996</v>
      </c>
      <c r="E27" s="219">
        <v>1037519971.1700001</v>
      </c>
      <c r="G27" s="8">
        <v>627641817</v>
      </c>
    </row>
    <row r="28" spans="1:7" ht="20" customHeight="1" thickBot="1">
      <c r="A28" s="103" t="s">
        <v>383</v>
      </c>
      <c r="B28" s="218">
        <v>153325462.24000001</v>
      </c>
      <c r="C28" s="219">
        <v>62452264.140000001</v>
      </c>
      <c r="D28" s="218">
        <v>1917513138.2600002</v>
      </c>
      <c r="E28" s="219">
        <v>2133290864.6400003</v>
      </c>
      <c r="G28" s="8">
        <v>1280335377</v>
      </c>
    </row>
    <row r="29" spans="1:7" ht="20" customHeight="1" thickBot="1">
      <c r="A29" s="103" t="s">
        <v>384</v>
      </c>
      <c r="B29" s="218">
        <v>50079218.459999993</v>
      </c>
      <c r="C29" s="219">
        <v>24730663.649999999</v>
      </c>
      <c r="D29" s="218">
        <v>709608947.73000002</v>
      </c>
      <c r="E29" s="219">
        <v>784418829.84000003</v>
      </c>
      <c r="G29" s="8">
        <v>410743307</v>
      </c>
    </row>
    <row r="30" spans="1:7" ht="20" customHeight="1" thickBot="1">
      <c r="A30" s="103" t="s">
        <v>385</v>
      </c>
      <c r="B30" s="218">
        <v>31048786.039999999</v>
      </c>
      <c r="C30" s="219">
        <v>13019393.869999999</v>
      </c>
      <c r="D30" s="218">
        <v>442984469.30000001</v>
      </c>
      <c r="E30" s="219">
        <v>487052649.21000004</v>
      </c>
      <c r="G30" s="8">
        <v>318756043</v>
      </c>
    </row>
    <row r="31" spans="1:7" ht="20" customHeight="1" thickBot="1">
      <c r="A31" s="103" t="s">
        <v>386</v>
      </c>
      <c r="B31" s="218">
        <v>108528205.44</v>
      </c>
      <c r="C31" s="219">
        <v>47682993.969999999</v>
      </c>
      <c r="D31" s="218">
        <v>1343010508.6700001</v>
      </c>
      <c r="E31" s="219">
        <v>1499221708.0799999</v>
      </c>
      <c r="G31" s="8">
        <v>966736347</v>
      </c>
    </row>
    <row r="32" spans="1:7" ht="20" customHeight="1" thickBot="1">
      <c r="A32" s="145" t="s">
        <v>387</v>
      </c>
      <c r="B32" s="218">
        <v>12764002.74</v>
      </c>
      <c r="C32" s="219">
        <v>5284081.66</v>
      </c>
      <c r="D32" s="218">
        <v>183710628.30000001</v>
      </c>
      <c r="E32" s="219">
        <v>201758712.69999999</v>
      </c>
      <c r="G32" s="8">
        <v>146808815</v>
      </c>
    </row>
    <row r="33" spans="1:7" ht="20" customHeight="1" thickBot="1">
      <c r="A33" s="222" t="s">
        <v>443</v>
      </c>
      <c r="B33" s="218">
        <v>310911.99</v>
      </c>
      <c r="C33" s="219">
        <v>96735.63</v>
      </c>
      <c r="D33" s="218">
        <v>3354666.01</v>
      </c>
      <c r="E33" s="219">
        <v>3762313.63</v>
      </c>
      <c r="G33" s="8">
        <v>966736347</v>
      </c>
    </row>
    <row r="34" spans="1:7" ht="0.5" customHeight="1" thickBot="1">
      <c r="A34" s="145" t="s">
        <v>309</v>
      </c>
      <c r="B34" s="218">
        <v>0</v>
      </c>
      <c r="C34" s="219">
        <v>0</v>
      </c>
      <c r="D34" s="218">
        <v>0</v>
      </c>
      <c r="E34" s="219">
        <v>0</v>
      </c>
      <c r="G34" s="8">
        <v>146808815</v>
      </c>
    </row>
    <row r="35" spans="1:7" ht="30" customHeight="1" thickBot="1">
      <c r="A35" s="107" t="s">
        <v>444</v>
      </c>
      <c r="B35" s="518">
        <v>1335622206.05</v>
      </c>
      <c r="C35" s="519">
        <v>643922862.14999998</v>
      </c>
      <c r="D35" s="518">
        <v>19376860770.869999</v>
      </c>
      <c r="E35" s="519">
        <v>21356405839.07</v>
      </c>
      <c r="G35" s="8">
        <v>12410394200</v>
      </c>
    </row>
    <row r="36" spans="1:7" ht="20" customHeight="1">
      <c r="A36" s="112" t="s">
        <v>720</v>
      </c>
      <c r="B36" s="112"/>
      <c r="C36" s="112"/>
      <c r="D36" s="112"/>
      <c r="E36" s="112"/>
    </row>
    <row r="37" spans="1:7" ht="12.75" customHeight="1">
      <c r="A37" s="115"/>
      <c r="B37" s="115"/>
      <c r="C37" s="115"/>
      <c r="D37" s="115"/>
      <c r="E37" s="115"/>
    </row>
    <row r="38" spans="1:7" ht="14.25" customHeight="1">
      <c r="A38" s="115" t="s">
        <v>694</v>
      </c>
      <c r="B38" s="115"/>
      <c r="C38" s="115"/>
      <c r="D38" s="115"/>
      <c r="E38" s="115"/>
    </row>
    <row r="39" spans="1:7" ht="10.5" customHeight="1">
      <c r="A39" s="115"/>
      <c r="B39" s="115"/>
      <c r="C39" s="115"/>
      <c r="D39" s="115"/>
      <c r="E39" s="115"/>
    </row>
    <row r="40" spans="1:7" ht="15" customHeight="1">
      <c r="A40" s="115" t="s">
        <v>689</v>
      </c>
      <c r="B40" s="115"/>
      <c r="C40" s="115"/>
      <c r="D40" s="115"/>
      <c r="E40" s="115"/>
    </row>
    <row r="41" spans="1:7" ht="13.5" customHeight="1">
      <c r="A41" s="115" t="s">
        <v>686</v>
      </c>
    </row>
    <row r="42" spans="1:7" ht="12" customHeight="1"/>
    <row r="43" spans="1:7" ht="12" customHeight="1"/>
    <row r="44" spans="1:7" ht="12" customHeight="1">
      <c r="A44" s="115" t="s">
        <v>719</v>
      </c>
    </row>
  </sheetData>
  <pageMargins left="0.6" right="0.59" top="0.76" bottom="0.49" header="0.35" footer="0.4921259845"/>
  <pageSetup paperSize="9" scale="80" orientation="portrait" horizontalDpi="4294967292" verticalDpi="429496729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7448C-757C-0641-BDE4-36A951DCB292}">
  <sheetPr>
    <pageSetUpPr fitToPage="1"/>
  </sheetPr>
  <dimension ref="A1:G52"/>
  <sheetViews>
    <sheetView zoomScaleNormal="100" workbookViewId="0">
      <selection activeCell="A3" sqref="A3"/>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121"/>
      <c r="B1" s="121"/>
      <c r="C1" s="121"/>
      <c r="D1" s="121"/>
      <c r="E1" s="121"/>
      <c r="F1" s="121"/>
    </row>
    <row r="2" spans="1:7" s="2" customFormat="1" ht="20.25" customHeight="1">
      <c r="A2" s="122" t="s">
        <v>1692</v>
      </c>
      <c r="B2" s="122"/>
      <c r="C2" s="121"/>
      <c r="D2" s="121"/>
      <c r="E2" s="121"/>
      <c r="F2" s="91">
        <v>2011</v>
      </c>
      <c r="G2" s="91"/>
    </row>
    <row r="3" spans="1:7" s="2" customFormat="1" ht="8" customHeight="1">
      <c r="A3" s="123"/>
      <c r="B3" s="123"/>
      <c r="C3" s="124"/>
      <c r="D3" s="124"/>
      <c r="E3" s="124"/>
      <c r="F3" s="124"/>
      <c r="G3" s="126"/>
    </row>
    <row r="4" spans="1:7" s="2" customFormat="1" ht="81.75" customHeight="1">
      <c r="A4" s="127" t="s">
        <v>312</v>
      </c>
      <c r="B4" s="128"/>
      <c r="C4" s="129" t="s">
        <v>1693</v>
      </c>
      <c r="D4" s="130" t="s">
        <v>1694</v>
      </c>
      <c r="E4" s="129" t="s">
        <v>1695</v>
      </c>
      <c r="F4" s="131" t="s">
        <v>683</v>
      </c>
    </row>
    <row r="5" spans="1:7" ht="8.25" customHeight="1">
      <c r="A5" s="134"/>
      <c r="B5" s="520"/>
      <c r="C5" s="136"/>
      <c r="D5" s="135"/>
      <c r="E5" s="136"/>
      <c r="F5" s="135"/>
    </row>
    <row r="6" spans="1:7" ht="47.25" customHeight="1" thickBot="1">
      <c r="A6" s="139" t="s">
        <v>319</v>
      </c>
      <c r="B6" s="140" t="s">
        <v>320</v>
      </c>
      <c r="C6" s="141">
        <v>1034.6137892415766</v>
      </c>
      <c r="D6" s="142">
        <v>1745.6109341764666</v>
      </c>
      <c r="E6" s="141">
        <v>6397.5369276047031</v>
      </c>
      <c r="F6" s="142">
        <v>4581.4556046937951</v>
      </c>
    </row>
    <row r="7" spans="1:7" ht="19.5" customHeight="1" thickBot="1">
      <c r="A7" s="145"/>
      <c r="B7" s="146"/>
      <c r="C7" s="147"/>
      <c r="D7" s="148"/>
      <c r="E7" s="147"/>
      <c r="F7" s="148"/>
    </row>
    <row r="8" spans="1:7" ht="22.5" customHeight="1" thickBot="1">
      <c r="A8" s="151" t="s">
        <v>321</v>
      </c>
      <c r="B8" s="152" t="s">
        <v>322</v>
      </c>
      <c r="C8" s="147">
        <v>959.03175941445772</v>
      </c>
      <c r="D8" s="148">
        <v>1417.4418347132064</v>
      </c>
      <c r="E8" s="147">
        <v>4765.1269317247707</v>
      </c>
      <c r="F8" s="148">
        <v>4661.2919606457681</v>
      </c>
    </row>
    <row r="9" spans="1:7" ht="20" customHeight="1" thickBot="1">
      <c r="A9" s="153" t="s">
        <v>323</v>
      </c>
      <c r="B9" s="152" t="s">
        <v>324</v>
      </c>
      <c r="C9" s="147">
        <v>832.77891123052927</v>
      </c>
      <c r="D9" s="148">
        <v>568.57237771091832</v>
      </c>
      <c r="E9" s="147">
        <v>2089.613504955099</v>
      </c>
      <c r="F9" s="148">
        <v>1775.2714461304199</v>
      </c>
    </row>
    <row r="10" spans="1:7" ht="20" customHeight="1" thickBot="1">
      <c r="A10" s="153" t="s">
        <v>325</v>
      </c>
      <c r="B10" s="152" t="s">
        <v>326</v>
      </c>
      <c r="C10" s="147">
        <v>643.11703211174142</v>
      </c>
      <c r="D10" s="148">
        <v>373.99336753189561</v>
      </c>
      <c r="E10" s="147">
        <v>1191.8606600207133</v>
      </c>
      <c r="F10" s="148">
        <v>1117.3696522618802</v>
      </c>
    </row>
    <row r="11" spans="1:7" ht="20" customHeight="1" thickBot="1">
      <c r="A11" s="153"/>
      <c r="B11" s="152" t="s">
        <v>327</v>
      </c>
      <c r="C11" s="147">
        <v>605.2796631790286</v>
      </c>
      <c r="D11" s="148">
        <v>288.32258841094409</v>
      </c>
      <c r="E11" s="147">
        <v>732.88018174184424</v>
      </c>
      <c r="F11" s="148">
        <v>669.87191886971459</v>
      </c>
    </row>
    <row r="12" spans="1:7" ht="20" customHeight="1" thickBot="1">
      <c r="A12" s="153"/>
      <c r="B12" s="152" t="s">
        <v>328</v>
      </c>
      <c r="C12" s="147">
        <v>449.44025718996915</v>
      </c>
      <c r="D12" s="148">
        <v>269.88054726002463</v>
      </c>
      <c r="E12" s="147">
        <v>595.99061204955967</v>
      </c>
      <c r="F12" s="148">
        <v>562.03366480842294</v>
      </c>
    </row>
    <row r="13" spans="1:7" ht="20" customHeight="1" thickBot="1">
      <c r="A13" s="153"/>
      <c r="B13" s="152" t="s">
        <v>329</v>
      </c>
      <c r="C13" s="147">
        <v>381.29500635955475</v>
      </c>
      <c r="D13" s="154" t="s">
        <v>30</v>
      </c>
      <c r="E13" s="155" t="s">
        <v>30</v>
      </c>
      <c r="F13" s="148">
        <v>381.2950063595548</v>
      </c>
    </row>
    <row r="14" spans="1:7" ht="20" customHeight="1" thickBot="1">
      <c r="A14" s="157"/>
      <c r="B14" s="152" t="s">
        <v>278</v>
      </c>
      <c r="C14" s="147">
        <v>626.23679665274858</v>
      </c>
      <c r="D14" s="148">
        <v>538.6837287427802</v>
      </c>
      <c r="E14" s="147">
        <v>2683.3760622115597</v>
      </c>
      <c r="F14" s="148">
        <v>2469.5726932898701</v>
      </c>
    </row>
    <row r="15" spans="1:7" ht="18.75" customHeight="1" thickBot="1">
      <c r="A15" s="158"/>
      <c r="B15" s="159"/>
      <c r="C15" s="147"/>
      <c r="D15" s="148"/>
      <c r="E15" s="147"/>
      <c r="F15" s="148"/>
    </row>
    <row r="16" spans="1:7" ht="20" customHeight="1" thickBot="1">
      <c r="A16" s="158" t="s">
        <v>330</v>
      </c>
      <c r="B16" s="159"/>
      <c r="C16" s="147">
        <v>703.84268969771733</v>
      </c>
      <c r="D16" s="148">
        <v>498.63678929765888</v>
      </c>
      <c r="E16" s="147">
        <v>1372.6615453947911</v>
      </c>
      <c r="F16" s="148">
        <v>1343.7160852234513</v>
      </c>
    </row>
    <row r="17" spans="1:6" ht="20.25" customHeight="1" thickBot="1">
      <c r="A17" s="158"/>
      <c r="B17" s="159"/>
      <c r="C17" s="147"/>
      <c r="D17" s="148"/>
      <c r="E17" s="147"/>
      <c r="F17" s="148"/>
    </row>
    <row r="18" spans="1:6" ht="58.5" customHeight="1" thickBot="1">
      <c r="A18" s="151" t="s">
        <v>1696</v>
      </c>
      <c r="B18" s="152" t="s">
        <v>320</v>
      </c>
      <c r="C18" s="147">
        <v>842.34035694170325</v>
      </c>
      <c r="D18" s="148">
        <v>1400.1067979834625</v>
      </c>
      <c r="E18" s="147">
        <v>4257.6125479557459</v>
      </c>
      <c r="F18" s="148">
        <v>2708.2820447713602</v>
      </c>
    </row>
    <row r="19" spans="1:6" ht="20" customHeight="1" thickBot="1">
      <c r="A19" s="107"/>
      <c r="B19" s="152" t="s">
        <v>322</v>
      </c>
      <c r="C19" s="147">
        <v>641.4606238546703</v>
      </c>
      <c r="D19" s="148">
        <v>1047.5256575397113</v>
      </c>
      <c r="E19" s="147">
        <v>2752.9131942259332</v>
      </c>
      <c r="F19" s="148">
        <v>2600.5861517359722</v>
      </c>
    </row>
    <row r="20" spans="1:6" ht="20" customHeight="1" thickBot="1">
      <c r="A20" s="107"/>
      <c r="B20" s="152" t="s">
        <v>324</v>
      </c>
      <c r="C20" s="147">
        <v>640.33920331889271</v>
      </c>
      <c r="D20" s="148">
        <v>431.0647259185086</v>
      </c>
      <c r="E20" s="147">
        <v>1115.6579198562313</v>
      </c>
      <c r="F20" s="148">
        <v>974.72929400855378</v>
      </c>
    </row>
    <row r="21" spans="1:6" ht="20" customHeight="1" thickBot="1">
      <c r="A21" s="107"/>
      <c r="B21" s="152" t="s">
        <v>326</v>
      </c>
      <c r="C21" s="147">
        <v>386.87216817720685</v>
      </c>
      <c r="D21" s="148">
        <v>276.89147919674872</v>
      </c>
      <c r="E21" s="147">
        <v>707.74148437958218</v>
      </c>
      <c r="F21" s="148">
        <v>639.26572290353101</v>
      </c>
    </row>
    <row r="22" spans="1:6" ht="20" customHeight="1" thickBot="1">
      <c r="A22" s="107"/>
      <c r="B22" s="152" t="s">
        <v>327</v>
      </c>
      <c r="C22" s="147">
        <v>397.50657137513929</v>
      </c>
      <c r="D22" s="148">
        <v>184.94493944768681</v>
      </c>
      <c r="E22" s="147">
        <v>504.81229054976939</v>
      </c>
      <c r="F22" s="148">
        <v>456.32026040707535</v>
      </c>
    </row>
    <row r="23" spans="1:6" ht="20" customHeight="1" thickBot="1">
      <c r="A23" s="107"/>
      <c r="B23" s="152" t="s">
        <v>328</v>
      </c>
      <c r="C23" s="147">
        <v>301.1042401602449</v>
      </c>
      <c r="D23" s="148">
        <v>148.10934623917348</v>
      </c>
      <c r="E23" s="147">
        <v>388.05618290125659</v>
      </c>
      <c r="F23" s="148">
        <v>360.73957251526735</v>
      </c>
    </row>
    <row r="24" spans="1:6" ht="20" customHeight="1" thickBot="1">
      <c r="A24" s="107"/>
      <c r="B24" s="152" t="s">
        <v>329</v>
      </c>
      <c r="C24" s="147">
        <v>264.54329953744201</v>
      </c>
      <c r="D24" s="154" t="s">
        <v>30</v>
      </c>
      <c r="E24" s="155" t="s">
        <v>30</v>
      </c>
      <c r="F24" s="148">
        <v>264.54329953744201</v>
      </c>
    </row>
    <row r="25" spans="1:6" ht="20" customHeight="1" thickBot="1">
      <c r="A25" s="107"/>
      <c r="B25" s="152" t="s">
        <v>316</v>
      </c>
      <c r="C25" s="147">
        <v>802.36799151734238</v>
      </c>
      <c r="D25" s="148">
        <v>777.37641460251052</v>
      </c>
      <c r="E25" s="147">
        <v>2275.5123230747972</v>
      </c>
      <c r="F25" s="148">
        <v>1826.3512923944882</v>
      </c>
    </row>
    <row r="26" spans="1:6" ht="39.75" customHeight="1" thickBot="1">
      <c r="A26" s="160"/>
      <c r="B26" s="161" t="s">
        <v>332</v>
      </c>
      <c r="C26" s="149">
        <v>860.09389739904134</v>
      </c>
      <c r="D26" s="150">
        <v>773.39006741644141</v>
      </c>
      <c r="E26" s="149">
        <v>1921.8355617313168</v>
      </c>
      <c r="F26" s="150">
        <v>1592.2053807182861</v>
      </c>
    </row>
    <row r="27" spans="1:6" ht="45" customHeight="1" thickBot="1">
      <c r="A27" s="160"/>
      <c r="B27" s="162" t="s">
        <v>333</v>
      </c>
      <c r="C27" s="149">
        <v>791.46501710675409</v>
      </c>
      <c r="D27" s="150">
        <v>760.31534565543257</v>
      </c>
      <c r="E27" s="149">
        <v>2481.1893298570913</v>
      </c>
      <c r="F27" s="150">
        <v>1974.2928813309384</v>
      </c>
    </row>
    <row r="28" spans="1:6" ht="45" customHeight="1" thickBot="1">
      <c r="A28" s="163"/>
      <c r="B28" s="162" t="s">
        <v>334</v>
      </c>
      <c r="C28" s="149">
        <v>411.84078344951655</v>
      </c>
      <c r="D28" s="150">
        <v>381.06218006799986</v>
      </c>
      <c r="E28" s="149">
        <v>1142.2723869184665</v>
      </c>
      <c r="F28" s="150">
        <v>1025.8577715905656</v>
      </c>
    </row>
    <row r="29" spans="1:6" ht="15.75" customHeight="1" thickBot="1">
      <c r="A29" s="164"/>
      <c r="B29" s="165"/>
      <c r="C29" s="147"/>
      <c r="D29" s="148"/>
      <c r="E29" s="147"/>
      <c r="F29" s="148"/>
    </row>
    <row r="30" spans="1:6" ht="27.75" customHeight="1" thickBot="1">
      <c r="A30" s="166" t="s">
        <v>335</v>
      </c>
      <c r="B30" s="167"/>
      <c r="C30" s="168">
        <v>888.07825242962588</v>
      </c>
      <c r="D30" s="169">
        <v>968.30179420147499</v>
      </c>
      <c r="E30" s="168">
        <v>3403.1377997089016</v>
      </c>
      <c r="F30" s="169">
        <v>2716.1425185588296</v>
      </c>
    </row>
    <row r="31" spans="1:6" ht="15.75" customHeight="1">
      <c r="A31" s="172" t="s">
        <v>720</v>
      </c>
      <c r="B31" s="172"/>
      <c r="C31" s="172"/>
      <c r="D31" s="172"/>
      <c r="E31" s="172"/>
      <c r="F31" s="172"/>
    </row>
    <row r="32" spans="1:6" ht="13.5" customHeight="1">
      <c r="A32" s="173"/>
      <c r="B32" s="173"/>
      <c r="C32" s="172"/>
      <c r="D32" s="172"/>
      <c r="E32" s="172"/>
      <c r="F32" s="172"/>
    </row>
    <row r="33" spans="1:6" ht="13.5" customHeight="1">
      <c r="A33" s="172" t="s">
        <v>1697</v>
      </c>
      <c r="B33" s="172"/>
      <c r="C33" s="172"/>
      <c r="D33" s="172"/>
      <c r="E33" s="172"/>
      <c r="F33" s="172"/>
    </row>
    <row r="34" spans="1:6" ht="16.5" customHeight="1">
      <c r="A34" s="172"/>
      <c r="B34" s="172"/>
      <c r="C34" s="172"/>
      <c r="D34" s="172"/>
      <c r="E34" s="172"/>
      <c r="F34" s="172"/>
    </row>
    <row r="35" spans="1:6" ht="12" customHeight="1">
      <c r="A35" s="172" t="s">
        <v>1558</v>
      </c>
      <c r="B35" s="172"/>
      <c r="C35" s="61"/>
      <c r="D35" s="61"/>
      <c r="E35" s="61"/>
      <c r="F35" s="61"/>
    </row>
    <row r="36" spans="1:6" ht="12" customHeight="1">
      <c r="A36" s="115" t="s">
        <v>697</v>
      </c>
      <c r="B36" s="115"/>
    </row>
    <row r="37" spans="1:6" ht="12" customHeight="1">
      <c r="A37" s="115" t="s">
        <v>339</v>
      </c>
      <c r="B37" s="115"/>
    </row>
    <row r="38" spans="1:6" ht="12" customHeight="1">
      <c r="A38" s="115" t="s">
        <v>340</v>
      </c>
      <c r="B38" s="115"/>
    </row>
    <row r="39" spans="1:6" ht="12" customHeight="1">
      <c r="A39" s="115" t="s">
        <v>341</v>
      </c>
      <c r="B39" s="115"/>
    </row>
    <row r="40" spans="1:6" ht="12" customHeight="1">
      <c r="A40" s="115" t="s">
        <v>342</v>
      </c>
      <c r="B40" s="115"/>
    </row>
    <row r="41" spans="1:6" ht="12" customHeight="1">
      <c r="A41" s="3" t="s">
        <v>343</v>
      </c>
    </row>
    <row r="42" spans="1:6" ht="12" customHeight="1">
      <c r="A42" s="115" t="s">
        <v>1698</v>
      </c>
    </row>
    <row r="43" spans="1:6" ht="12" customHeight="1"/>
    <row r="44" spans="1:6" ht="12" customHeight="1"/>
    <row r="45" spans="1:6" ht="12" customHeight="1">
      <c r="A45" s="172" t="s">
        <v>719</v>
      </c>
      <c r="B45" s="172"/>
      <c r="C45" s="115"/>
      <c r="D45" s="115"/>
      <c r="E45" s="115"/>
      <c r="F45" s="115"/>
    </row>
    <row r="50" spans="1:7">
      <c r="A50" s="49"/>
      <c r="B50" s="49"/>
      <c r="C50" s="174"/>
      <c r="D50" s="175"/>
      <c r="E50" s="174"/>
      <c r="F50" s="175"/>
      <c r="G50" s="175"/>
    </row>
    <row r="51" spans="1:7">
      <c r="A51" s="177"/>
      <c r="B51" s="177"/>
      <c r="C51" s="177"/>
      <c r="D51" s="178"/>
      <c r="E51" s="177"/>
      <c r="F51" s="179"/>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6524-6971-194A-AE69-B0B789092225}">
  <sheetPr>
    <pageSetUpPr fitToPage="1"/>
  </sheetPr>
  <dimension ref="A1:L50"/>
  <sheetViews>
    <sheetView zoomScaleNormal="100" workbookViewId="0">
      <selection activeCell="D4" sqref="D4"/>
    </sheetView>
  </sheetViews>
  <sheetFormatPr baseColWidth="10" defaultColWidth="11.3984375" defaultRowHeight="13"/>
  <cols>
    <col min="1" max="1" width="21.19921875" style="3" customWidth="1"/>
    <col min="2" max="2" width="14.796875" style="118" customWidth="1"/>
    <col min="3" max="3" width="14.796875" style="119" customWidth="1"/>
    <col min="4" max="4" width="16" style="118" customWidth="1"/>
    <col min="5" max="5" width="15.796875" style="119" customWidth="1"/>
    <col min="6" max="8" width="16" style="118" customWidth="1"/>
    <col min="9" max="9" width="13.59765625" style="3" customWidth="1"/>
    <col min="10" max="10" width="8" style="3" customWidth="1"/>
    <col min="11" max="11" width="7.796875" style="3" customWidth="1"/>
    <col min="12" max="12" width="9" style="3" customWidth="1"/>
    <col min="13" max="16384" width="11.3984375" style="3"/>
  </cols>
  <sheetData>
    <row r="1" spans="1:12" s="2" customFormat="1" ht="18.75" customHeight="1">
      <c r="A1" s="86"/>
      <c r="B1" s="87"/>
      <c r="C1" s="88"/>
      <c r="D1" s="89"/>
      <c r="E1" s="88"/>
      <c r="F1" s="89"/>
      <c r="G1" s="89"/>
      <c r="H1" s="89"/>
    </row>
    <row r="2" spans="1:12" s="2" customFormat="1" ht="25.25" customHeight="1">
      <c r="A2" s="941" t="s">
        <v>1620</v>
      </c>
      <c r="B2" s="436"/>
      <c r="C2" s="436"/>
      <c r="D2" s="436"/>
      <c r="E2" s="436"/>
      <c r="F2" s="91"/>
      <c r="G2" s="91"/>
      <c r="H2" s="91">
        <v>2011</v>
      </c>
    </row>
    <row r="3" spans="1:12" ht="27" customHeight="1">
      <c r="A3" s="92" t="s">
        <v>275</v>
      </c>
      <c r="B3" s="1849" t="s">
        <v>276</v>
      </c>
      <c r="C3" s="1850"/>
      <c r="D3" s="1851" t="s">
        <v>277</v>
      </c>
      <c r="E3" s="1850"/>
      <c r="F3" s="1849" t="s">
        <v>683</v>
      </c>
      <c r="G3" s="1850"/>
      <c r="H3" s="1850"/>
    </row>
    <row r="4" spans="1:12" ht="15" customHeight="1">
      <c r="A4" s="95"/>
      <c r="B4" s="96" t="s">
        <v>1045</v>
      </c>
      <c r="C4" s="942" t="s">
        <v>1589</v>
      </c>
      <c r="D4" s="96" t="s">
        <v>1045</v>
      </c>
      <c r="E4" s="942" t="s">
        <v>1589</v>
      </c>
      <c r="F4" s="96" t="s">
        <v>1045</v>
      </c>
      <c r="G4" s="942" t="s">
        <v>281</v>
      </c>
      <c r="H4" s="96" t="s">
        <v>1589</v>
      </c>
    </row>
    <row r="5" spans="1:12" ht="15" customHeight="1">
      <c r="A5" s="95"/>
      <c r="B5" s="96"/>
      <c r="C5" s="942" t="s">
        <v>1590</v>
      </c>
      <c r="D5" s="96"/>
      <c r="E5" s="942" t="s">
        <v>1590</v>
      </c>
      <c r="F5" s="96"/>
      <c r="G5" s="942"/>
      <c r="H5" s="96" t="s">
        <v>1590</v>
      </c>
    </row>
    <row r="6" spans="1:12" ht="19.5" customHeight="1">
      <c r="A6" s="97"/>
      <c r="B6" s="98"/>
      <c r="C6" s="943"/>
      <c r="D6" s="98"/>
      <c r="E6" s="943"/>
      <c r="F6" s="98"/>
      <c r="G6" s="944"/>
      <c r="H6" s="98"/>
    </row>
    <row r="7" spans="1:12" ht="30" customHeight="1" thickBot="1">
      <c r="A7" s="99" t="s">
        <v>284</v>
      </c>
      <c r="B7" s="311">
        <v>250.90871278000003</v>
      </c>
      <c r="C7" s="945">
        <v>1113.540249265473</v>
      </c>
      <c r="D7" s="311">
        <v>206.01367689</v>
      </c>
      <c r="E7" s="945">
        <v>961.93662570551726</v>
      </c>
      <c r="F7" s="311">
        <v>456.92238966999997</v>
      </c>
      <c r="G7" s="946">
        <v>2.1395097710817313E-2</v>
      </c>
      <c r="H7" s="100">
        <v>1039.6632449565036</v>
      </c>
      <c r="J7" s="102"/>
      <c r="K7" s="102"/>
      <c r="L7" s="102"/>
    </row>
    <row r="8" spans="1:12" ht="20" customHeight="1" thickBot="1">
      <c r="A8" s="103" t="s">
        <v>285</v>
      </c>
      <c r="B8" s="311">
        <v>157.81749120000001</v>
      </c>
      <c r="C8" s="945">
        <v>800.44736498144857</v>
      </c>
      <c r="D8" s="311">
        <v>115.7311033</v>
      </c>
      <c r="E8" s="945">
        <v>618.4980474181948</v>
      </c>
      <c r="F8" s="311">
        <v>273.54859453</v>
      </c>
      <c r="G8" s="946">
        <v>1.2808737415675734E-2</v>
      </c>
      <c r="H8" s="100">
        <v>711.8508553808291</v>
      </c>
      <c r="J8" s="102"/>
      <c r="K8" s="102"/>
      <c r="L8" s="102"/>
    </row>
    <row r="9" spans="1:12" ht="20" customHeight="1" thickBot="1">
      <c r="A9" s="103" t="s">
        <v>286</v>
      </c>
      <c r="B9" s="311">
        <v>172.93269516999999</v>
      </c>
      <c r="C9" s="945">
        <v>807.52049901775683</v>
      </c>
      <c r="D9" s="311">
        <v>158.77565200999999</v>
      </c>
      <c r="E9" s="945">
        <v>780.74676312892018</v>
      </c>
      <c r="F9" s="311">
        <v>331.70834724999997</v>
      </c>
      <c r="G9" s="946">
        <v>1.5532030518427952E-2</v>
      </c>
      <c r="H9" s="100">
        <v>794.47953666697856</v>
      </c>
      <c r="J9" s="102"/>
      <c r="K9" s="102"/>
      <c r="L9" s="102"/>
    </row>
    <row r="10" spans="1:12" ht="20" customHeight="1" thickBot="1">
      <c r="A10" s="103" t="s">
        <v>287</v>
      </c>
      <c r="B10" s="311">
        <v>120.11996797000002</v>
      </c>
      <c r="C10" s="945">
        <v>889.89362219768077</v>
      </c>
      <c r="D10" s="311">
        <v>153.32290663999999</v>
      </c>
      <c r="E10" s="945">
        <v>1200.8477410792025</v>
      </c>
      <c r="F10" s="311">
        <v>273.44287463000006</v>
      </c>
      <c r="G10" s="946">
        <v>1.2803787149193694E-2</v>
      </c>
      <c r="H10" s="100">
        <v>1041.0475614847976</v>
      </c>
      <c r="J10" s="102"/>
      <c r="K10" s="102"/>
      <c r="L10" s="102"/>
    </row>
    <row r="11" spans="1:12" ht="20" customHeight="1" thickBot="1">
      <c r="A11" s="104" t="s">
        <v>288</v>
      </c>
      <c r="B11" s="947">
        <v>701.77886718000002</v>
      </c>
      <c r="C11" s="948">
        <v>909.4853602596454</v>
      </c>
      <c r="D11" s="947">
        <v>633.84333890999994</v>
      </c>
      <c r="E11" s="948">
        <v>865.52240299619052</v>
      </c>
      <c r="F11" s="947">
        <v>1335.6222060600001</v>
      </c>
      <c r="G11" s="949">
        <v>6.2539652793178205E-2</v>
      </c>
      <c r="H11" s="105">
        <v>888.07826420635126</v>
      </c>
      <c r="J11" s="102"/>
      <c r="K11" s="102"/>
      <c r="L11" s="102"/>
    </row>
    <row r="12" spans="1:12" ht="20" customHeight="1" thickBot="1">
      <c r="A12" s="103" t="s">
        <v>289</v>
      </c>
      <c r="B12" s="311">
        <v>61.409234789999992</v>
      </c>
      <c r="C12" s="945">
        <v>652.36642511492244</v>
      </c>
      <c r="D12" s="311">
        <v>92.326892829999991</v>
      </c>
      <c r="E12" s="945">
        <v>1014.8786774101816</v>
      </c>
      <c r="F12" s="311">
        <v>153.73612758000002</v>
      </c>
      <c r="G12" s="946">
        <v>7.1985955287336943E-3</v>
      </c>
      <c r="H12" s="100">
        <v>830.52851868206812</v>
      </c>
      <c r="J12" s="102"/>
      <c r="K12" s="102"/>
      <c r="L12" s="102"/>
    </row>
    <row r="13" spans="1:12" ht="20" customHeight="1" thickBot="1">
      <c r="A13" s="103" t="s">
        <v>290</v>
      </c>
      <c r="B13" s="311">
        <v>173.01618243999999</v>
      </c>
      <c r="C13" s="945">
        <v>711.36596643554776</v>
      </c>
      <c r="D13" s="311">
        <v>317.30194398000003</v>
      </c>
      <c r="E13" s="945">
        <v>1340.644330843643</v>
      </c>
      <c r="F13" s="311">
        <v>490.31812642</v>
      </c>
      <c r="G13" s="946">
        <v>2.2958831655671745E-2</v>
      </c>
      <c r="H13" s="100">
        <v>1021.7184056047529</v>
      </c>
      <c r="J13" s="102"/>
      <c r="K13" s="102"/>
      <c r="L13" s="102"/>
    </row>
    <row r="14" spans="1:12" ht="20" customHeight="1" thickBot="1">
      <c r="A14" s="104" t="s">
        <v>291</v>
      </c>
      <c r="B14" s="947">
        <v>234.42541724</v>
      </c>
      <c r="C14" s="948">
        <v>694.90285988219182</v>
      </c>
      <c r="D14" s="947">
        <v>409.62883683000001</v>
      </c>
      <c r="E14" s="948">
        <v>1250.1948311928509</v>
      </c>
      <c r="F14" s="947">
        <v>644.05425409000009</v>
      </c>
      <c r="G14" s="949">
        <v>3.0157427188619634E-2</v>
      </c>
      <c r="H14" s="105">
        <v>968.49987058683598</v>
      </c>
      <c r="J14" s="102"/>
      <c r="K14" s="102"/>
      <c r="L14" s="102"/>
    </row>
    <row r="15" spans="1:12" ht="20" customHeight="1" thickBot="1">
      <c r="A15" s="103" t="s">
        <v>292</v>
      </c>
      <c r="B15" s="311">
        <v>207.5458726</v>
      </c>
      <c r="C15" s="945">
        <v>781.75861028842655</v>
      </c>
      <c r="D15" s="311">
        <v>480.0336408</v>
      </c>
      <c r="E15" s="945">
        <v>1852.2496148169585</v>
      </c>
      <c r="F15" s="311">
        <v>687.57951344000003</v>
      </c>
      <c r="G15" s="946">
        <v>3.2195469529583638E-2</v>
      </c>
      <c r="H15" s="100">
        <v>1310.5530846327833</v>
      </c>
      <c r="J15" s="102"/>
      <c r="K15" s="102"/>
      <c r="L15" s="102"/>
    </row>
    <row r="16" spans="1:12" ht="20" customHeight="1" thickBot="1">
      <c r="A16" s="103" t="s">
        <v>293</v>
      </c>
      <c r="B16" s="311">
        <v>240.98583084000001</v>
      </c>
      <c r="C16" s="945">
        <v>891.29286539506586</v>
      </c>
      <c r="D16" s="311">
        <v>594.23312815000008</v>
      </c>
      <c r="E16" s="945">
        <v>2224.9708317418617</v>
      </c>
      <c r="F16" s="311">
        <v>835.2189589599999</v>
      </c>
      <c r="G16" s="946">
        <v>3.910859183281027E-2</v>
      </c>
      <c r="H16" s="100">
        <v>1554.033359903128</v>
      </c>
      <c r="J16" s="102"/>
      <c r="K16" s="102"/>
      <c r="L16" s="102"/>
    </row>
    <row r="17" spans="1:12" ht="20" customHeight="1" thickBot="1">
      <c r="A17" s="103" t="s">
        <v>294</v>
      </c>
      <c r="B17" s="311">
        <v>315.84581488999993</v>
      </c>
      <c r="C17" s="945">
        <v>1124.1461168360806</v>
      </c>
      <c r="D17" s="311">
        <v>594.46830424999996</v>
      </c>
      <c r="E17" s="945">
        <v>2133.9996514700201</v>
      </c>
      <c r="F17" s="311">
        <v>910.31411911000009</v>
      </c>
      <c r="G17" s="946">
        <v>4.2624874521822516E-2</v>
      </c>
      <c r="H17" s="100">
        <v>1626.9114668635732</v>
      </c>
      <c r="J17" s="102"/>
      <c r="K17" s="102"/>
      <c r="L17" s="102"/>
    </row>
    <row r="18" spans="1:12" ht="20" customHeight="1" thickBot="1">
      <c r="A18" s="103" t="s">
        <v>295</v>
      </c>
      <c r="B18" s="311">
        <v>436.14822588999988</v>
      </c>
      <c r="C18" s="945">
        <v>1372.1232434061208</v>
      </c>
      <c r="D18" s="311">
        <v>639.62899763999997</v>
      </c>
      <c r="E18" s="945">
        <v>2031.8453419023595</v>
      </c>
      <c r="F18" s="311">
        <v>1075.77722352</v>
      </c>
      <c r="G18" s="946">
        <v>5.0372578215974725E-2</v>
      </c>
      <c r="H18" s="100">
        <v>1700.3879861109597</v>
      </c>
      <c r="J18" s="102"/>
      <c r="K18" s="102"/>
      <c r="L18" s="102"/>
    </row>
    <row r="19" spans="1:12" ht="20" customHeight="1" thickBot="1">
      <c r="A19" s="103" t="s">
        <v>296</v>
      </c>
      <c r="B19" s="311">
        <v>565.62674850999997</v>
      </c>
      <c r="C19" s="945">
        <v>1722.7968994960022</v>
      </c>
      <c r="D19" s="311">
        <v>746.17607295000005</v>
      </c>
      <c r="E19" s="945">
        <v>2334.1894167236051</v>
      </c>
      <c r="F19" s="311">
        <v>1311.80282145</v>
      </c>
      <c r="G19" s="946">
        <v>6.1424325392587166E-2</v>
      </c>
      <c r="H19" s="100">
        <v>2024.4141560505141</v>
      </c>
      <c r="J19" s="102"/>
      <c r="K19" s="102"/>
      <c r="L19" s="102"/>
    </row>
    <row r="20" spans="1:12" ht="20" customHeight="1" thickBot="1">
      <c r="A20" s="103" t="s">
        <v>297</v>
      </c>
      <c r="B20" s="311">
        <v>642.04965798000012</v>
      </c>
      <c r="C20" s="945">
        <v>2256.0286929896984</v>
      </c>
      <c r="D20" s="311">
        <v>768.01780030999998</v>
      </c>
      <c r="E20" s="945">
        <v>2766.4772693412983</v>
      </c>
      <c r="F20" s="311">
        <v>1410.0674582499998</v>
      </c>
      <c r="G20" s="946">
        <v>6.6025503958978618E-2</v>
      </c>
      <c r="H20" s="100">
        <v>2508.0859816298071</v>
      </c>
      <c r="J20" s="102"/>
      <c r="K20" s="102"/>
      <c r="L20" s="102"/>
    </row>
    <row r="21" spans="1:12" ht="20" customHeight="1" thickBot="1">
      <c r="A21" s="103" t="s">
        <v>298</v>
      </c>
      <c r="B21" s="311">
        <v>726.52048880000007</v>
      </c>
      <c r="C21" s="945">
        <v>3016.5676049373656</v>
      </c>
      <c r="D21" s="311">
        <v>783.90707486999997</v>
      </c>
      <c r="E21" s="945">
        <v>3252.5296804450586</v>
      </c>
      <c r="F21" s="311">
        <v>1510.42756368</v>
      </c>
      <c r="G21" s="946">
        <v>7.072480149940677E-2</v>
      </c>
      <c r="H21" s="100">
        <v>3134.5905481160312</v>
      </c>
      <c r="J21" s="102"/>
      <c r="K21" s="102"/>
      <c r="L21" s="102"/>
    </row>
    <row r="22" spans="1:12" ht="20" customHeight="1" thickBot="1">
      <c r="A22" s="103" t="s">
        <v>299</v>
      </c>
      <c r="B22" s="311">
        <v>883.76189062999993</v>
      </c>
      <c r="C22" s="945">
        <v>3956.1032244124026</v>
      </c>
      <c r="D22" s="311">
        <v>907.69426292999992</v>
      </c>
      <c r="E22" s="945">
        <v>3941.578219848353</v>
      </c>
      <c r="F22" s="311">
        <v>1791.45615352</v>
      </c>
      <c r="G22" s="946">
        <v>8.3883784895914137E-2</v>
      </c>
      <c r="H22" s="100">
        <v>3948.730608029025</v>
      </c>
      <c r="J22" s="102"/>
      <c r="K22" s="102"/>
      <c r="L22" s="102"/>
    </row>
    <row r="23" spans="1:12" ht="20" customHeight="1" thickBot="1">
      <c r="A23" s="103" t="s">
        <v>300</v>
      </c>
      <c r="B23" s="311">
        <v>963.02855387</v>
      </c>
      <c r="C23" s="945">
        <v>5107.005043375907</v>
      </c>
      <c r="D23" s="311">
        <v>1000.08063872</v>
      </c>
      <c r="E23" s="945">
        <v>4929.2297980839758</v>
      </c>
      <c r="F23" s="311">
        <v>1963.1091926100005</v>
      </c>
      <c r="G23" s="946">
        <v>9.1921328309669134E-2</v>
      </c>
      <c r="H23" s="100">
        <v>5014.8663295951128</v>
      </c>
      <c r="J23" s="102"/>
      <c r="K23" s="102"/>
      <c r="L23" s="102"/>
    </row>
    <row r="24" spans="1:12" ht="20" customHeight="1" thickBot="1">
      <c r="A24" s="103" t="s">
        <v>301</v>
      </c>
      <c r="B24" s="311">
        <v>877.58886298999994</v>
      </c>
      <c r="C24" s="945">
        <v>6447.0886682824248</v>
      </c>
      <c r="D24" s="311">
        <v>986.37407623999991</v>
      </c>
      <c r="E24" s="945">
        <v>6088.8728186598473</v>
      </c>
      <c r="F24" s="311">
        <v>1863.9629392399997</v>
      </c>
      <c r="G24" s="946">
        <v>8.7278868613079028E-2</v>
      </c>
      <c r="H24" s="100">
        <v>6252.4361227993468</v>
      </c>
      <c r="J24" s="102"/>
      <c r="K24" s="102"/>
      <c r="L24" s="102"/>
    </row>
    <row r="25" spans="1:12" ht="20" customHeight="1" thickBot="1">
      <c r="A25" s="103" t="s">
        <v>302</v>
      </c>
      <c r="B25" s="311">
        <v>860.17128543000001</v>
      </c>
      <c r="C25" s="945">
        <v>8001.095424201043</v>
      </c>
      <c r="D25" s="311">
        <v>1097.0774776200001</v>
      </c>
      <c r="E25" s="945">
        <v>7665.034120058237</v>
      </c>
      <c r="F25" s="311">
        <v>1957.2487629900004</v>
      </c>
      <c r="G25" s="946">
        <v>9.164691745307306E-2</v>
      </c>
      <c r="H25" s="100">
        <v>7809.1853353361485</v>
      </c>
      <c r="J25" s="102"/>
      <c r="K25" s="102"/>
      <c r="L25" s="102"/>
    </row>
    <row r="26" spans="1:12" ht="20" customHeight="1" thickBot="1">
      <c r="A26" s="103" t="s">
        <v>303</v>
      </c>
      <c r="B26" s="311">
        <v>672.5814362399999</v>
      </c>
      <c r="C26" s="945">
        <v>9400.4856665891402</v>
      </c>
      <c r="D26" s="311">
        <v>1130.9692284199998</v>
      </c>
      <c r="E26" s="945">
        <v>9714.3218374534135</v>
      </c>
      <c r="F26" s="311">
        <v>1803.5506646700001</v>
      </c>
      <c r="G26" s="946">
        <v>8.4450102620037285E-2</v>
      </c>
      <c r="H26" s="100">
        <v>9594.8668115618439</v>
      </c>
      <c r="J26" s="102"/>
      <c r="K26" s="102"/>
      <c r="L26" s="102"/>
    </row>
    <row r="27" spans="1:12" ht="20" customHeight="1" thickBot="1">
      <c r="A27" s="103" t="s">
        <v>304</v>
      </c>
      <c r="B27" s="311">
        <v>415.58072455999996</v>
      </c>
      <c r="C27" s="945">
        <v>11154.780688343089</v>
      </c>
      <c r="D27" s="311">
        <v>979.65789698999993</v>
      </c>
      <c r="E27" s="945">
        <v>12774.248670427431</v>
      </c>
      <c r="F27" s="311">
        <v>1395.2386215399999</v>
      </c>
      <c r="G27" s="946">
        <v>6.5331153194995842E-2</v>
      </c>
      <c r="H27" s="100">
        <v>12244.744011369605</v>
      </c>
      <c r="J27" s="102"/>
      <c r="K27" s="102"/>
      <c r="L27" s="102"/>
    </row>
    <row r="28" spans="1:12" ht="20" customHeight="1" thickBot="1">
      <c r="A28" s="103" t="s">
        <v>305</v>
      </c>
      <c r="B28" s="311">
        <v>154.78529781999998</v>
      </c>
      <c r="C28" s="945">
        <v>13661.182653592579</v>
      </c>
      <c r="D28" s="311">
        <v>489.13899056999992</v>
      </c>
      <c r="E28" s="945">
        <v>16480.424210579513</v>
      </c>
      <c r="F28" s="311">
        <v>643.92428841000003</v>
      </c>
      <c r="G28" s="946">
        <v>3.0151341629046459E-2</v>
      </c>
      <c r="H28" s="100">
        <v>15701.52974802178</v>
      </c>
      <c r="J28" s="102"/>
      <c r="K28" s="102"/>
      <c r="L28" s="102"/>
    </row>
    <row r="29" spans="1:12" ht="20" customHeight="1" thickBot="1">
      <c r="A29" s="103" t="s">
        <v>306</v>
      </c>
      <c r="B29" s="311">
        <v>35.892844950000004</v>
      </c>
      <c r="C29" s="945">
        <v>16863.451612448556</v>
      </c>
      <c r="D29" s="311">
        <v>155.77163124</v>
      </c>
      <c r="E29" s="945">
        <v>20941.297392347104</v>
      </c>
      <c r="F29" s="311">
        <v>191.66447620000002</v>
      </c>
      <c r="G29" s="946">
        <v>8.974566116038276E-3</v>
      </c>
      <c r="H29" s="100">
        <v>20034.209364410057</v>
      </c>
      <c r="J29" s="102"/>
      <c r="K29" s="102"/>
      <c r="L29" s="102"/>
    </row>
    <row r="30" spans="1:12" ht="20" customHeight="1" thickBot="1">
      <c r="A30" s="103" t="s">
        <v>307</v>
      </c>
      <c r="B30" s="311">
        <v>3.2461557600000002</v>
      </c>
      <c r="C30" s="945">
        <v>19055.801350161433</v>
      </c>
      <c r="D30" s="311">
        <v>22.140465160000002</v>
      </c>
      <c r="E30" s="945">
        <v>24337.134961637392</v>
      </c>
      <c r="F30" s="311">
        <v>25.386620970000003</v>
      </c>
      <c r="G30" s="946">
        <v>1.1887122375266155E-3</v>
      </c>
      <c r="H30" s="100">
        <v>23504.171846790548</v>
      </c>
      <c r="J30" s="102"/>
      <c r="K30" s="102"/>
      <c r="L30" s="102"/>
    </row>
    <row r="31" spans="1:12" ht="20" customHeight="1" thickBot="1">
      <c r="A31" s="104" t="s">
        <v>308</v>
      </c>
      <c r="B31" s="947">
        <v>8001.3596918199992</v>
      </c>
      <c r="C31" s="948">
        <v>2892.2627290926234</v>
      </c>
      <c r="D31" s="947">
        <v>11375.369686739999</v>
      </c>
      <c r="E31" s="948">
        <v>3885.8912600766171</v>
      </c>
      <c r="F31" s="947">
        <v>19376.729378559998</v>
      </c>
      <c r="G31" s="949">
        <v>0.90730292002054336</v>
      </c>
      <c r="H31" s="105">
        <v>3403.1146576606757</v>
      </c>
      <c r="J31" s="102"/>
      <c r="K31" s="102"/>
      <c r="L31" s="102"/>
    </row>
    <row r="32" spans="1:12" ht="0.5" customHeight="1" thickBot="1">
      <c r="A32" s="103" t="s">
        <v>309</v>
      </c>
      <c r="B32" s="311">
        <v>0</v>
      </c>
      <c r="C32" s="945" t="s">
        <v>30</v>
      </c>
      <c r="D32" s="311">
        <v>0</v>
      </c>
      <c r="E32" s="945" t="s">
        <v>30</v>
      </c>
      <c r="F32" s="311" t="s">
        <v>30</v>
      </c>
      <c r="G32" s="946" t="s">
        <v>30</v>
      </c>
      <c r="H32" s="100" t="s">
        <v>30</v>
      </c>
      <c r="J32" s="102"/>
      <c r="K32" s="102"/>
      <c r="L32" s="102"/>
    </row>
    <row r="33" spans="1:12" s="110" customFormat="1" ht="24.75" customHeight="1" thickBot="1">
      <c r="A33" s="107" t="s">
        <v>278</v>
      </c>
      <c r="B33" s="858">
        <v>8937.5639762400006</v>
      </c>
      <c r="C33" s="950">
        <v>2306.2048465553621</v>
      </c>
      <c r="D33" s="858">
        <v>12418.841862419999</v>
      </c>
      <c r="E33" s="950">
        <v>3114.5773766562556</v>
      </c>
      <c r="F33" s="858">
        <v>21356.405838659997</v>
      </c>
      <c r="G33" s="951">
        <v>1</v>
      </c>
      <c r="H33" s="224">
        <v>2716.1426048624589</v>
      </c>
      <c r="J33" s="111"/>
      <c r="K33" s="111"/>
      <c r="L33" s="111"/>
    </row>
    <row r="34" spans="1:12" ht="20" customHeight="1">
      <c r="A34" s="112" t="s">
        <v>720</v>
      </c>
      <c r="B34" s="113"/>
      <c r="C34" s="114"/>
      <c r="D34" s="113"/>
      <c r="E34" s="114"/>
      <c r="F34" s="113"/>
      <c r="G34" s="3"/>
      <c r="H34" s="3"/>
    </row>
    <row r="35" spans="1:12" ht="12.75" customHeight="1">
      <c r="A35" s="115"/>
      <c r="B35" s="116"/>
      <c r="C35" s="117"/>
      <c r="D35" s="116"/>
      <c r="E35" s="117"/>
      <c r="F35" s="116"/>
      <c r="G35" s="116"/>
      <c r="H35" s="116"/>
    </row>
    <row r="36" spans="1:12" ht="16.5" customHeight="1">
      <c r="A36" s="115" t="s">
        <v>1621</v>
      </c>
      <c r="B36" s="116"/>
      <c r="C36" s="117"/>
      <c r="D36" s="116"/>
      <c r="E36" s="117"/>
      <c r="F36" s="116"/>
      <c r="G36" s="116"/>
      <c r="H36" s="116"/>
    </row>
    <row r="37" spans="1:12" ht="14.25" customHeight="1">
      <c r="A37" s="115"/>
      <c r="B37" s="116"/>
      <c r="C37" s="117"/>
      <c r="D37" s="116"/>
      <c r="E37" s="117"/>
      <c r="F37" s="116"/>
      <c r="G37" s="116"/>
      <c r="H37" s="116"/>
    </row>
    <row r="38" spans="1:12" ht="13.5" customHeight="1">
      <c r="A38" s="115" t="s">
        <v>689</v>
      </c>
      <c r="B38" s="116"/>
      <c r="C38" s="117"/>
      <c r="D38" s="116"/>
      <c r="E38" s="117"/>
      <c r="F38" s="116"/>
      <c r="G38" s="116"/>
      <c r="H38" s="116"/>
    </row>
    <row r="39" spans="1:12" ht="12" customHeight="1">
      <c r="A39" s="115"/>
      <c r="B39" s="116"/>
      <c r="C39" s="117"/>
      <c r="D39" s="116"/>
      <c r="E39" s="117"/>
      <c r="F39" s="116"/>
      <c r="G39" s="116"/>
      <c r="H39" s="116"/>
    </row>
    <row r="40" spans="1:12" ht="14.25" customHeight="1">
      <c r="A40" s="115"/>
      <c r="B40" s="116"/>
      <c r="C40" s="117"/>
      <c r="D40" s="116"/>
      <c r="E40" s="117"/>
      <c r="F40" s="116"/>
      <c r="G40" s="116"/>
      <c r="H40" s="116"/>
    </row>
    <row r="41" spans="1:12" ht="15.75" customHeight="1">
      <c r="A41" s="115" t="s">
        <v>719</v>
      </c>
      <c r="B41" s="116"/>
      <c r="C41" s="117"/>
      <c r="D41" s="116"/>
      <c r="E41" s="117"/>
      <c r="F41" s="116"/>
      <c r="G41" s="116"/>
      <c r="H41" s="116"/>
    </row>
    <row r="42" spans="1:12" ht="18" customHeight="1">
      <c r="A42"/>
    </row>
    <row r="43" spans="1:12" ht="30" customHeight="1"/>
    <row r="44" spans="1:12" ht="30" customHeight="1">
      <c r="J44" s="120"/>
    </row>
    <row r="45" spans="1:12" ht="30" customHeight="1"/>
    <row r="46" spans="1:12" ht="30" customHeight="1"/>
    <row r="47" spans="1:12" ht="30" customHeight="1"/>
    <row r="48" spans="1:12" ht="30" customHeight="1"/>
    <row r="49" ht="30" customHeight="1"/>
    <row r="50" ht="30" customHeight="1"/>
  </sheetData>
  <mergeCells count="3">
    <mergeCell ref="B3:C3"/>
    <mergeCell ref="D3:E3"/>
    <mergeCell ref="F3:H3"/>
  </mergeCells>
  <pageMargins left="0.49" right="0.55118110236220474" top="0.6692913385826772" bottom="0.47244094488188981" header="0.43307086614173229" footer="0.51181102362204722"/>
  <pageSetup paperSize="9" scale="72" orientation="portrait"/>
  <headerFooter alignWithMargins="0"/>
  <rowBreaks count="1" manualBreakCount="1">
    <brk id="4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BBA4-6FC0-1847-A55F-4AC37FA6AD55}">
  <sheetPr>
    <pageSetUpPr fitToPage="1"/>
  </sheetPr>
  <dimension ref="A1:H45"/>
  <sheetViews>
    <sheetView zoomScaleNormal="100" workbookViewId="0">
      <selection activeCell="C4" sqref="C4"/>
    </sheetView>
  </sheetViews>
  <sheetFormatPr baseColWidth="10" defaultColWidth="11.3984375" defaultRowHeight="13"/>
  <cols>
    <col min="1" max="1" width="19.3984375" style="3" customWidth="1"/>
    <col min="2" max="5" width="19.3984375" style="118" customWidth="1"/>
    <col min="6" max="6" width="12.59765625" style="396" customWidth="1"/>
    <col min="7" max="7" width="11.3984375" style="3"/>
    <col min="8" max="8" width="15.19921875" style="3" hidden="1" customWidth="1"/>
    <col min="9" max="16384" width="11.3984375" style="3"/>
  </cols>
  <sheetData>
    <row r="1" spans="1:8" s="2" customFormat="1" ht="14" customHeight="1">
      <c r="B1" s="89"/>
      <c r="C1" s="89"/>
      <c r="D1" s="89"/>
      <c r="E1" s="89"/>
      <c r="F1" s="514"/>
    </row>
    <row r="2" spans="1:8" s="2" customFormat="1" ht="28.25" customHeight="1">
      <c r="A2" s="181" t="s">
        <v>690</v>
      </c>
      <c r="B2" s="436"/>
      <c r="C2" s="436"/>
      <c r="D2" s="436"/>
      <c r="E2" s="515">
        <v>2011</v>
      </c>
    </row>
    <row r="3" spans="1:8" ht="27" customHeight="1">
      <c r="A3" s="92" t="s">
        <v>191</v>
      </c>
      <c r="B3" s="182" t="s">
        <v>349</v>
      </c>
      <c r="C3" s="183" t="s">
        <v>459</v>
      </c>
      <c r="D3" s="182" t="s">
        <v>348</v>
      </c>
      <c r="E3" s="183" t="s">
        <v>278</v>
      </c>
      <c r="F3"/>
    </row>
    <row r="4" spans="1:8" ht="18" customHeight="1">
      <c r="A4" s="95"/>
      <c r="B4" s="185"/>
      <c r="C4" s="186"/>
      <c r="D4" s="211"/>
      <c r="E4" s="186"/>
      <c r="F4"/>
    </row>
    <row r="5" spans="1:8" ht="21" customHeight="1">
      <c r="A5" s="95"/>
      <c r="B5" s="185" t="s">
        <v>460</v>
      </c>
      <c r="C5" s="186" t="s">
        <v>461</v>
      </c>
      <c r="D5" s="185" t="s">
        <v>462</v>
      </c>
      <c r="E5" s="186"/>
      <c r="F5"/>
    </row>
    <row r="6" spans="1:8" ht="24" customHeight="1">
      <c r="A6" s="97"/>
      <c r="B6" s="98"/>
      <c r="C6" s="191"/>
      <c r="D6" s="98"/>
      <c r="E6" s="191"/>
      <c r="F6"/>
    </row>
    <row r="7" spans="1:8" ht="30" customHeight="1" thickBot="1">
      <c r="A7" s="99" t="s">
        <v>362</v>
      </c>
      <c r="B7" s="100">
        <v>23681034.859999999</v>
      </c>
      <c r="C7" s="193">
        <v>36616525.310000002</v>
      </c>
      <c r="D7" s="100">
        <v>578536774.03999996</v>
      </c>
      <c r="E7" s="193">
        <v>638834334.20999992</v>
      </c>
      <c r="F7"/>
      <c r="H7" s="8">
        <v>2156035045</v>
      </c>
    </row>
    <row r="8" spans="1:8" ht="20" customHeight="1" thickBot="1">
      <c r="A8" s="103" t="s">
        <v>363</v>
      </c>
      <c r="B8" s="195">
        <v>14818319.66</v>
      </c>
      <c r="C8" s="196">
        <v>26768942.809999999</v>
      </c>
      <c r="D8" s="195">
        <v>409293930.07999998</v>
      </c>
      <c r="E8" s="196">
        <v>450881192.54999995</v>
      </c>
      <c r="F8"/>
      <c r="H8" s="8">
        <v>1563935884</v>
      </c>
    </row>
    <row r="9" spans="1:8" ht="20" customHeight="1" thickBot="1">
      <c r="A9" s="103" t="s">
        <v>364</v>
      </c>
      <c r="B9" s="195">
        <v>5915450.0999999996</v>
      </c>
      <c r="C9" s="196">
        <v>10806359.02</v>
      </c>
      <c r="D9" s="195">
        <v>134637063.09999999</v>
      </c>
      <c r="E9" s="196">
        <v>151358872.22</v>
      </c>
      <c r="F9"/>
      <c r="H9" s="8">
        <v>464604355</v>
      </c>
    </row>
    <row r="10" spans="1:8" ht="20" customHeight="1" thickBot="1">
      <c r="A10" s="103" t="s">
        <v>365</v>
      </c>
      <c r="B10" s="195">
        <v>558026.97</v>
      </c>
      <c r="C10" s="196">
        <v>980407.2</v>
      </c>
      <c r="D10" s="195">
        <v>12592185.050000001</v>
      </c>
      <c r="E10" s="196">
        <v>14130619.220000001</v>
      </c>
      <c r="F10"/>
      <c r="H10" s="8">
        <v>45901795</v>
      </c>
    </row>
    <row r="11" spans="1:8" ht="20" customHeight="1" thickBot="1">
      <c r="A11" s="103" t="s">
        <v>366</v>
      </c>
      <c r="B11" s="195">
        <v>2626296.42</v>
      </c>
      <c r="C11" s="196">
        <v>4545418.49</v>
      </c>
      <c r="D11" s="195">
        <v>57678355.119999997</v>
      </c>
      <c r="E11" s="196">
        <v>64850070.030000001</v>
      </c>
      <c r="F11"/>
      <c r="H11" s="8">
        <v>171549320</v>
      </c>
    </row>
    <row r="12" spans="1:8" ht="20" customHeight="1" thickBot="1">
      <c r="A12" s="103" t="s">
        <v>367</v>
      </c>
      <c r="B12" s="195">
        <v>563106.36</v>
      </c>
      <c r="C12" s="196">
        <v>1049538.43</v>
      </c>
      <c r="D12" s="195">
        <v>12710339.779999999</v>
      </c>
      <c r="E12" s="196">
        <v>14322984.57</v>
      </c>
      <c r="F12"/>
      <c r="H12" s="8">
        <v>41764939</v>
      </c>
    </row>
    <row r="13" spans="1:8" ht="20" customHeight="1" thickBot="1">
      <c r="A13" s="103" t="s">
        <v>368</v>
      </c>
      <c r="B13" s="195">
        <v>547941.4</v>
      </c>
      <c r="C13" s="196">
        <v>1026862.27</v>
      </c>
      <c r="D13" s="195">
        <v>14401851</v>
      </c>
      <c r="E13" s="196">
        <v>15976654.67</v>
      </c>
      <c r="F13"/>
      <c r="H13" s="8">
        <v>44323506</v>
      </c>
    </row>
    <row r="14" spans="1:8" ht="20" customHeight="1" thickBot="1">
      <c r="A14" s="103" t="s">
        <v>369</v>
      </c>
      <c r="B14" s="195">
        <v>618451.25</v>
      </c>
      <c r="C14" s="196">
        <v>1180003.69</v>
      </c>
      <c r="D14" s="195">
        <v>14874588.24</v>
      </c>
      <c r="E14" s="196">
        <v>16673043.18</v>
      </c>
      <c r="F14"/>
      <c r="H14" s="8">
        <v>55927154</v>
      </c>
    </row>
    <row r="15" spans="1:8" ht="20" customHeight="1" thickBot="1">
      <c r="A15" s="103" t="s">
        <v>370</v>
      </c>
      <c r="B15" s="195">
        <v>1770266.97</v>
      </c>
      <c r="C15" s="196">
        <v>2889937.95</v>
      </c>
      <c r="D15" s="195">
        <v>42692289.100000001</v>
      </c>
      <c r="E15" s="196">
        <v>47352494.020000003</v>
      </c>
      <c r="F15"/>
      <c r="H15" s="8">
        <v>128772453</v>
      </c>
    </row>
    <row r="16" spans="1:8" ht="20" customHeight="1" thickBot="1">
      <c r="A16" s="103" t="s">
        <v>371</v>
      </c>
      <c r="B16" s="195">
        <v>5484196.6799999997</v>
      </c>
      <c r="C16" s="196">
        <v>8694052.8200000003</v>
      </c>
      <c r="D16" s="195">
        <v>108458965.59</v>
      </c>
      <c r="E16" s="196">
        <v>122637215.09</v>
      </c>
      <c r="F16"/>
      <c r="H16" s="8">
        <v>391250033</v>
      </c>
    </row>
    <row r="17" spans="1:8" ht="20" customHeight="1" thickBot="1">
      <c r="A17" s="103" t="s">
        <v>372</v>
      </c>
      <c r="B17" s="195">
        <v>4110594.16</v>
      </c>
      <c r="C17" s="196">
        <v>7499735.6500000004</v>
      </c>
      <c r="D17" s="195">
        <v>103913217.34999999</v>
      </c>
      <c r="E17" s="196">
        <v>115523547.16</v>
      </c>
      <c r="F17"/>
      <c r="H17" s="8">
        <v>393696828</v>
      </c>
    </row>
    <row r="18" spans="1:8" ht="20" customHeight="1" thickBot="1">
      <c r="A18" s="103" t="s">
        <v>373</v>
      </c>
      <c r="B18" s="195">
        <v>3372260.32</v>
      </c>
      <c r="C18" s="196">
        <v>5161839.37</v>
      </c>
      <c r="D18" s="195">
        <v>89076351.780000001</v>
      </c>
      <c r="E18" s="196">
        <v>97610451.469999999</v>
      </c>
      <c r="F18"/>
      <c r="H18" s="8">
        <v>473520714</v>
      </c>
    </row>
    <row r="19" spans="1:8" ht="20" customHeight="1" thickBot="1">
      <c r="A19" s="103" t="s">
        <v>374</v>
      </c>
      <c r="B19" s="195">
        <v>5424317.5199999996</v>
      </c>
      <c r="C19" s="196">
        <v>8352905.5899999999</v>
      </c>
      <c r="D19" s="195">
        <v>127324561.98</v>
      </c>
      <c r="E19" s="196">
        <v>141101785.09</v>
      </c>
      <c r="F19"/>
      <c r="H19" s="8">
        <v>469771093</v>
      </c>
    </row>
    <row r="20" spans="1:8" ht="20" customHeight="1" thickBot="1">
      <c r="A20" s="103" t="s">
        <v>375</v>
      </c>
      <c r="B20" s="195">
        <v>1024226.98</v>
      </c>
      <c r="C20" s="196">
        <v>2127248.75</v>
      </c>
      <c r="D20" s="195">
        <v>31240486.199999999</v>
      </c>
      <c r="E20" s="196">
        <v>34391961.93</v>
      </c>
      <c r="F20"/>
      <c r="H20" s="8">
        <v>127694959</v>
      </c>
    </row>
    <row r="21" spans="1:8" ht="20" customHeight="1" thickBot="1">
      <c r="A21" s="103" t="s">
        <v>376</v>
      </c>
      <c r="B21" s="195">
        <v>772905.58</v>
      </c>
      <c r="C21" s="196">
        <v>1498139.73</v>
      </c>
      <c r="D21" s="195">
        <v>19186643.34</v>
      </c>
      <c r="E21" s="196">
        <v>21457688.649999999</v>
      </c>
      <c r="F21"/>
      <c r="H21" s="8">
        <v>69489100</v>
      </c>
    </row>
    <row r="22" spans="1:8" ht="20" customHeight="1" thickBot="1">
      <c r="A22" s="103" t="s">
        <v>377</v>
      </c>
      <c r="B22" s="195">
        <v>223325.78</v>
      </c>
      <c r="C22" s="196">
        <v>479466.46</v>
      </c>
      <c r="D22" s="195">
        <v>5183671.5599999996</v>
      </c>
      <c r="E22" s="196">
        <v>5886463.7999999998</v>
      </c>
      <c r="F22"/>
      <c r="H22" s="8">
        <v>16712649</v>
      </c>
    </row>
    <row r="23" spans="1:8" ht="20" customHeight="1" thickBot="1">
      <c r="A23" s="103" t="s">
        <v>378</v>
      </c>
      <c r="B23" s="195">
        <v>8005368.1500000004</v>
      </c>
      <c r="C23" s="196">
        <v>15785118.949999999</v>
      </c>
      <c r="D23" s="195">
        <v>181145666.91</v>
      </c>
      <c r="E23" s="196">
        <v>204936154.00999999</v>
      </c>
      <c r="F23"/>
      <c r="H23" s="8">
        <v>615853738</v>
      </c>
    </row>
    <row r="24" spans="1:8" ht="20" customHeight="1" thickBot="1">
      <c r="A24" s="103" t="s">
        <v>379</v>
      </c>
      <c r="B24" s="195">
        <v>2850145.99</v>
      </c>
      <c r="C24" s="196">
        <v>5625701.2800000003</v>
      </c>
      <c r="D24" s="195">
        <v>72787822.980000004</v>
      </c>
      <c r="E24" s="196">
        <v>81263670.25</v>
      </c>
      <c r="F24"/>
      <c r="H24" s="8">
        <v>264690646</v>
      </c>
    </row>
    <row r="25" spans="1:8" ht="20" customHeight="1" thickBot="1">
      <c r="A25" s="103" t="s">
        <v>380</v>
      </c>
      <c r="B25" s="195">
        <v>10404968.85</v>
      </c>
      <c r="C25" s="196">
        <v>17994471.039999999</v>
      </c>
      <c r="D25" s="195">
        <v>237684194.96000001</v>
      </c>
      <c r="E25" s="196">
        <v>266083634.85000002</v>
      </c>
      <c r="F25"/>
      <c r="H25" s="8">
        <v>819222625</v>
      </c>
    </row>
    <row r="26" spans="1:8" ht="20" customHeight="1" thickBot="1">
      <c r="A26" s="103" t="s">
        <v>381</v>
      </c>
      <c r="B26" s="195">
        <v>4189050.58</v>
      </c>
      <c r="C26" s="196">
        <v>7748246.1600000001</v>
      </c>
      <c r="D26" s="195">
        <v>93102211.569999993</v>
      </c>
      <c r="E26" s="196">
        <v>105039508.30999999</v>
      </c>
      <c r="F26"/>
      <c r="H26" s="8">
        <v>344655658</v>
      </c>
    </row>
    <row r="27" spans="1:8" ht="20" customHeight="1" thickBot="1">
      <c r="A27" s="103" t="s">
        <v>382</v>
      </c>
      <c r="B27" s="195">
        <v>6134605.6100000003</v>
      </c>
      <c r="C27" s="196">
        <v>8608762.4100000001</v>
      </c>
      <c r="D27" s="195">
        <v>152481024.19999999</v>
      </c>
      <c r="E27" s="196">
        <v>167224392.22</v>
      </c>
      <c r="F27"/>
      <c r="H27" s="8">
        <v>627641817</v>
      </c>
    </row>
    <row r="28" spans="1:8" ht="20" customHeight="1" thickBot="1">
      <c r="A28" s="103" t="s">
        <v>383</v>
      </c>
      <c r="B28" s="195">
        <v>17520285.609999999</v>
      </c>
      <c r="C28" s="196">
        <v>21664266.739999998</v>
      </c>
      <c r="D28" s="195">
        <v>298496155.29000002</v>
      </c>
      <c r="E28" s="196">
        <v>337680707.63999999</v>
      </c>
      <c r="F28"/>
      <c r="H28" s="8">
        <v>1280335377</v>
      </c>
    </row>
    <row r="29" spans="1:8" ht="20" customHeight="1" thickBot="1">
      <c r="A29" s="103" t="s">
        <v>384</v>
      </c>
      <c r="B29" s="195">
        <v>5416010.9800000004</v>
      </c>
      <c r="C29" s="196">
        <v>8581811.7599999998</v>
      </c>
      <c r="D29" s="195">
        <v>119275936.59999999</v>
      </c>
      <c r="E29" s="196">
        <v>133273759.33999999</v>
      </c>
      <c r="F29"/>
      <c r="H29" s="8">
        <v>410743307</v>
      </c>
    </row>
    <row r="30" spans="1:8" ht="20" customHeight="1" thickBot="1">
      <c r="A30" s="103" t="s">
        <v>385</v>
      </c>
      <c r="B30" s="195">
        <v>3345104.26</v>
      </c>
      <c r="C30" s="196">
        <v>4491867.1500000004</v>
      </c>
      <c r="D30" s="195">
        <v>65517538.490000002</v>
      </c>
      <c r="E30" s="196">
        <v>73354509.900000006</v>
      </c>
      <c r="F30"/>
      <c r="H30" s="8">
        <v>318756043</v>
      </c>
    </row>
    <row r="31" spans="1:8" ht="20" customHeight="1" thickBot="1">
      <c r="A31" s="103" t="s">
        <v>386</v>
      </c>
      <c r="B31" s="195">
        <v>10945749.16</v>
      </c>
      <c r="C31" s="196">
        <v>14173519.74</v>
      </c>
      <c r="D31" s="195">
        <v>196031187.87</v>
      </c>
      <c r="E31" s="196">
        <v>221150456.77000001</v>
      </c>
      <c r="F31"/>
      <c r="H31" s="8">
        <v>966736347</v>
      </c>
    </row>
    <row r="32" spans="1:8" ht="20" customHeight="1" thickBot="1">
      <c r="A32" s="145" t="s">
        <v>387</v>
      </c>
      <c r="B32" s="195">
        <v>1409535.59</v>
      </c>
      <c r="C32" s="196">
        <v>1993200.07</v>
      </c>
      <c r="D32" s="195">
        <v>28240387.510000002</v>
      </c>
      <c r="E32" s="196">
        <v>31643123.170000002</v>
      </c>
      <c r="F32"/>
      <c r="H32" s="8">
        <v>146808815</v>
      </c>
    </row>
    <row r="33" spans="1:8" ht="20" customHeight="1" thickBot="1">
      <c r="A33" s="222" t="s">
        <v>443</v>
      </c>
      <c r="B33" s="195">
        <v>20150.96</v>
      </c>
      <c r="C33" s="196">
        <v>12139.7</v>
      </c>
      <c r="D33" s="195">
        <v>432671.31</v>
      </c>
      <c r="E33" s="196">
        <v>464961.97</v>
      </c>
      <c r="F33"/>
      <c r="H33" s="8">
        <v>966736347</v>
      </c>
    </row>
    <row r="34" spans="1:8" ht="0.5" customHeight="1" thickBot="1">
      <c r="A34" s="145" t="s">
        <v>309</v>
      </c>
      <c r="B34" s="195">
        <v>0</v>
      </c>
      <c r="C34" s="196">
        <v>0</v>
      </c>
      <c r="D34" s="195">
        <v>0</v>
      </c>
      <c r="E34" s="196">
        <v>0</v>
      </c>
      <c r="F34"/>
      <c r="H34" s="8">
        <v>146808815</v>
      </c>
    </row>
    <row r="35" spans="1:8" ht="30" customHeight="1" thickBot="1">
      <c r="A35" s="107" t="s">
        <v>444</v>
      </c>
      <c r="B35" s="108">
        <v>141751696.71000001</v>
      </c>
      <c r="C35" s="500">
        <v>226356488.49000001</v>
      </c>
      <c r="D35" s="108">
        <v>3206996071.04</v>
      </c>
      <c r="E35" s="500">
        <v>3575104256.2399998</v>
      </c>
      <c r="F35" s="494"/>
      <c r="H35" s="8">
        <v>12410394200</v>
      </c>
    </row>
    <row r="36" spans="1:8" ht="20" customHeight="1">
      <c r="A36" s="112" t="s">
        <v>720</v>
      </c>
      <c r="B36" s="113"/>
      <c r="C36" s="113"/>
      <c r="D36" s="113"/>
      <c r="E36" s="113"/>
      <c r="F36" s="516"/>
    </row>
    <row r="37" spans="1:8" ht="14.25" customHeight="1">
      <c r="A37" s="115"/>
      <c r="B37" s="116"/>
      <c r="C37" s="116"/>
      <c r="D37" s="116"/>
      <c r="E37" s="116"/>
      <c r="F37" s="516"/>
    </row>
    <row r="38" spans="1:8" ht="15.75" customHeight="1">
      <c r="A38" s="115" t="s">
        <v>691</v>
      </c>
      <c r="B38" s="116"/>
      <c r="C38" s="116"/>
      <c r="D38" s="116"/>
      <c r="E38" s="116"/>
      <c r="F38" s="516"/>
    </row>
    <row r="39" spans="1:8" ht="13.5" customHeight="1">
      <c r="A39" s="115"/>
      <c r="B39" s="116"/>
      <c r="C39" s="116"/>
      <c r="D39" s="116"/>
      <c r="E39" s="116"/>
      <c r="F39" s="516"/>
    </row>
    <row r="40" spans="1:8" ht="15" customHeight="1">
      <c r="A40" s="173" t="s">
        <v>692</v>
      </c>
      <c r="B40" s="517"/>
      <c r="C40" s="116"/>
      <c r="D40" s="116"/>
      <c r="E40" s="116"/>
      <c r="F40" s="516"/>
    </row>
    <row r="41" spans="1:8" ht="15" customHeight="1">
      <c r="A41" s="115" t="s">
        <v>686</v>
      </c>
      <c r="B41" s="517"/>
      <c r="C41" s="116"/>
      <c r="D41" s="116"/>
      <c r="E41" s="116"/>
      <c r="F41" s="516"/>
    </row>
    <row r="42" spans="1:8" ht="12" customHeight="1"/>
    <row r="43" spans="1:8" ht="12" customHeight="1"/>
    <row r="44" spans="1:8" ht="12" customHeight="1">
      <c r="A44" s="115" t="s">
        <v>719</v>
      </c>
    </row>
    <row r="45" spans="1:8" ht="12" customHeight="1"/>
  </sheetData>
  <pageMargins left="0.62" right="0.56000000000000005" top="0.78" bottom="0.49" header="0.4" footer="0.4921259845"/>
  <pageSetup paperSize="9" scale="83" orientation="portrait" horizontalDpi="4294967292" verticalDpi="429496729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C489-18D4-374F-9D21-C66CCFEAB793}">
  <sheetPr>
    <pageSetUpPr fitToPage="1"/>
  </sheetPr>
  <dimension ref="A1:J50"/>
  <sheetViews>
    <sheetView zoomScaleNormal="100" workbookViewId="0">
      <selection activeCell="D4" sqref="D4"/>
    </sheetView>
  </sheetViews>
  <sheetFormatPr baseColWidth="10" defaultColWidth="11.3984375" defaultRowHeight="13"/>
  <cols>
    <col min="1" max="1" width="21.19921875" style="3" customWidth="1"/>
    <col min="2" max="2" width="14.796875" style="118" customWidth="1"/>
    <col min="3" max="3" width="14.796875" style="119" customWidth="1"/>
    <col min="4" max="4" width="16" style="118" customWidth="1"/>
    <col min="5" max="5" width="15.796875" style="119" customWidth="1"/>
    <col min="6" max="8" width="16" style="118" customWidth="1"/>
    <col min="9" max="9" width="7.796875" style="3" customWidth="1"/>
    <col min="10" max="10" width="9" style="3" customWidth="1"/>
    <col min="11" max="16384" width="11.3984375" style="3"/>
  </cols>
  <sheetData>
    <row r="1" spans="1:10" s="2" customFormat="1" ht="18.75" customHeight="1">
      <c r="A1" s="86"/>
      <c r="B1" s="87"/>
      <c r="C1" s="88"/>
      <c r="D1" s="89"/>
      <c r="E1" s="88"/>
      <c r="F1" s="89"/>
      <c r="G1" s="89"/>
      <c r="H1" s="89"/>
    </row>
    <row r="2" spans="1:10" s="2" customFormat="1" ht="26.5" customHeight="1">
      <c r="A2" s="941" t="s">
        <v>1622</v>
      </c>
      <c r="B2" s="436"/>
      <c r="C2" s="436"/>
      <c r="D2" s="436"/>
      <c r="E2" s="436"/>
      <c r="F2" s="91"/>
      <c r="G2" s="91"/>
      <c r="H2" s="91">
        <v>2011</v>
      </c>
    </row>
    <row r="3" spans="1:10" ht="27" customHeight="1">
      <c r="A3" s="92" t="s">
        <v>275</v>
      </c>
      <c r="B3" s="1849" t="s">
        <v>276</v>
      </c>
      <c r="C3" s="1850"/>
      <c r="D3" s="1851" t="s">
        <v>277</v>
      </c>
      <c r="E3" s="1850"/>
      <c r="F3" s="1849" t="s">
        <v>683</v>
      </c>
      <c r="G3" s="1850"/>
      <c r="H3" s="1850"/>
    </row>
    <row r="4" spans="1:10" ht="17.5" customHeight="1">
      <c r="A4" s="95"/>
      <c r="B4" s="96" t="s">
        <v>1045</v>
      </c>
      <c r="C4" s="942" t="s">
        <v>1589</v>
      </c>
      <c r="D4" s="96" t="s">
        <v>1045</v>
      </c>
      <c r="E4" s="942" t="s">
        <v>1589</v>
      </c>
      <c r="F4" s="96" t="s">
        <v>1045</v>
      </c>
      <c r="G4" s="942" t="s">
        <v>281</v>
      </c>
      <c r="H4" s="96" t="s">
        <v>1589</v>
      </c>
    </row>
    <row r="5" spans="1:10" ht="15" customHeight="1">
      <c r="A5" s="95"/>
      <c r="B5" s="96"/>
      <c r="C5" s="942" t="s">
        <v>1590</v>
      </c>
      <c r="D5" s="96"/>
      <c r="E5" s="942" t="s">
        <v>1590</v>
      </c>
      <c r="F5" s="96"/>
      <c r="G5" s="942"/>
      <c r="H5" s="96" t="s">
        <v>1590</v>
      </c>
    </row>
    <row r="6" spans="1:10" ht="19.5" customHeight="1">
      <c r="A6" s="97"/>
      <c r="B6" s="98"/>
      <c r="C6" s="943"/>
      <c r="D6" s="98"/>
      <c r="E6" s="943"/>
      <c r="F6" s="98"/>
      <c r="G6" s="944"/>
      <c r="H6" s="98"/>
    </row>
    <row r="7" spans="1:10" ht="30" customHeight="1" thickBot="1">
      <c r="A7" s="99" t="s">
        <v>284</v>
      </c>
      <c r="B7" s="311">
        <v>25.554227690000001</v>
      </c>
      <c r="C7" s="945">
        <v>113.4104143153432</v>
      </c>
      <c r="D7" s="311">
        <v>21.672660079999996</v>
      </c>
      <c r="E7" s="945">
        <v>101.19583234539039</v>
      </c>
      <c r="F7" s="311">
        <v>47.226887770000005</v>
      </c>
      <c r="G7" s="946">
        <v>1.3209933020001263E-2</v>
      </c>
      <c r="H7" s="100">
        <v>107.45820405871559</v>
      </c>
      <c r="I7" s="102"/>
      <c r="J7" s="102"/>
    </row>
    <row r="8" spans="1:10" ht="20" customHeight="1" thickBot="1">
      <c r="A8" s="103" t="s">
        <v>285</v>
      </c>
      <c r="B8" s="311">
        <v>16.549900109999999</v>
      </c>
      <c r="C8" s="945">
        <v>83.940783958905598</v>
      </c>
      <c r="D8" s="311">
        <v>13.02365193</v>
      </c>
      <c r="E8" s="945">
        <v>69.601887990980586</v>
      </c>
      <c r="F8" s="311">
        <v>29.573552020000001</v>
      </c>
      <c r="G8" s="946">
        <v>8.2720810071225028E-3</v>
      </c>
      <c r="H8" s="100">
        <v>76.958751472501831</v>
      </c>
      <c r="I8" s="102"/>
      <c r="J8" s="102"/>
    </row>
    <row r="9" spans="1:10" ht="20" customHeight="1" thickBot="1">
      <c r="A9" s="103" t="s">
        <v>286</v>
      </c>
      <c r="B9" s="311">
        <v>19.101406899999997</v>
      </c>
      <c r="C9" s="945">
        <v>89.195265341039345</v>
      </c>
      <c r="D9" s="311">
        <v>17.197432020000001</v>
      </c>
      <c r="E9" s="945">
        <v>84.56485118322172</v>
      </c>
      <c r="F9" s="311">
        <v>36.298838880000005</v>
      </c>
      <c r="G9" s="946">
        <v>1.0153225269551099E-2</v>
      </c>
      <c r="H9" s="100">
        <v>86.939882381665655</v>
      </c>
      <c r="I9" s="102"/>
      <c r="J9" s="102"/>
    </row>
    <row r="10" spans="1:10" ht="20" customHeight="1" thickBot="1">
      <c r="A10" s="103" t="s">
        <v>287</v>
      </c>
      <c r="B10" s="311">
        <v>12.89159104</v>
      </c>
      <c r="C10" s="945">
        <v>95.505725154221949</v>
      </c>
      <c r="D10" s="311">
        <v>15.76082701</v>
      </c>
      <c r="E10" s="945">
        <v>123.44113431750542</v>
      </c>
      <c r="F10" s="311">
        <v>28.65241803</v>
      </c>
      <c r="G10" s="946">
        <v>8.0144286636183847E-3</v>
      </c>
      <c r="H10" s="100">
        <v>109.08505098600946</v>
      </c>
      <c r="I10" s="102"/>
      <c r="J10" s="102"/>
    </row>
    <row r="11" spans="1:10" ht="20" customHeight="1" thickBot="1">
      <c r="A11" s="104" t="s">
        <v>288</v>
      </c>
      <c r="B11" s="947">
        <v>74.09712571</v>
      </c>
      <c r="C11" s="948">
        <v>96.027757776978731</v>
      </c>
      <c r="D11" s="947">
        <v>67.654571000000004</v>
      </c>
      <c r="E11" s="948">
        <v>92.383311886331725</v>
      </c>
      <c r="F11" s="947">
        <v>141.75169671</v>
      </c>
      <c r="G11" s="949">
        <v>3.9649667963090371E-2</v>
      </c>
      <c r="H11" s="105">
        <v>94.253150472751855</v>
      </c>
      <c r="I11" s="102"/>
      <c r="J11" s="102"/>
    </row>
    <row r="12" spans="1:10" ht="20" customHeight="1" thickBot="1">
      <c r="A12" s="103" t="s">
        <v>289</v>
      </c>
      <c r="B12" s="311">
        <v>26.68078732</v>
      </c>
      <c r="C12" s="945">
        <v>283.43700915215317</v>
      </c>
      <c r="D12" s="311">
        <v>35.768531880000005</v>
      </c>
      <c r="E12" s="945">
        <v>393.17602070848676</v>
      </c>
      <c r="F12" s="311">
        <v>62.449319189999997</v>
      </c>
      <c r="G12" s="946">
        <v>1.7467831622997913E-2</v>
      </c>
      <c r="H12" s="100">
        <v>337.36989070825109</v>
      </c>
      <c r="I12" s="102"/>
      <c r="J12" s="102"/>
    </row>
    <row r="13" spans="1:10" ht="20" customHeight="1" thickBot="1">
      <c r="A13" s="103" t="s">
        <v>290</v>
      </c>
      <c r="B13" s="311">
        <v>65.163723680000004</v>
      </c>
      <c r="C13" s="945">
        <v>267.9243907617581</v>
      </c>
      <c r="D13" s="311">
        <v>98.732994019999992</v>
      </c>
      <c r="E13" s="945">
        <v>417.16047194616465</v>
      </c>
      <c r="F13" s="311">
        <v>163.89671769999998</v>
      </c>
      <c r="G13" s="946">
        <v>4.5843898788316344E-2</v>
      </c>
      <c r="H13" s="100">
        <v>341.52580553152023</v>
      </c>
      <c r="I13" s="102"/>
      <c r="J13" s="102"/>
    </row>
    <row r="14" spans="1:10" ht="20" customHeight="1" thickBot="1">
      <c r="A14" s="104" t="s">
        <v>291</v>
      </c>
      <c r="B14" s="947">
        <v>91.844510999999997</v>
      </c>
      <c r="C14" s="948">
        <v>272.25295836006006</v>
      </c>
      <c r="D14" s="947">
        <v>134.50152588999998</v>
      </c>
      <c r="E14" s="948">
        <v>410.50115943134784</v>
      </c>
      <c r="F14" s="947">
        <v>226.34603688999999</v>
      </c>
      <c r="G14" s="949">
        <v>6.3311730411314271E-2</v>
      </c>
      <c r="H14" s="105">
        <v>340.3690078028348</v>
      </c>
      <c r="I14" s="102"/>
      <c r="J14" s="102"/>
    </row>
    <row r="15" spans="1:10" ht="20" customHeight="1" thickBot="1">
      <c r="A15" s="103" t="s">
        <v>292</v>
      </c>
      <c r="B15" s="311">
        <v>72.780796069999994</v>
      </c>
      <c r="C15" s="945">
        <v>274.14187176357547</v>
      </c>
      <c r="D15" s="311">
        <v>119.8453774</v>
      </c>
      <c r="E15" s="945">
        <v>462.43332812424637</v>
      </c>
      <c r="F15" s="311">
        <v>192.62617344</v>
      </c>
      <c r="G15" s="946">
        <v>5.3879875833315917E-2</v>
      </c>
      <c r="H15" s="100">
        <v>367.15291955078101</v>
      </c>
      <c r="I15" s="102"/>
      <c r="J15" s="102"/>
    </row>
    <row r="16" spans="1:10" ht="20" customHeight="1" thickBot="1">
      <c r="A16" s="103" t="s">
        <v>293</v>
      </c>
      <c r="B16" s="311">
        <v>84.70949899</v>
      </c>
      <c r="C16" s="945">
        <v>313.3004617649309</v>
      </c>
      <c r="D16" s="311">
        <v>136.84708219999999</v>
      </c>
      <c r="E16" s="945">
        <v>512.39278303434128</v>
      </c>
      <c r="F16" s="311">
        <v>221.55658121000002</v>
      </c>
      <c r="G16" s="946">
        <v>6.1972061597159324E-2</v>
      </c>
      <c r="H16" s="100">
        <v>412.23479736996245</v>
      </c>
      <c r="I16" s="102"/>
      <c r="J16" s="102"/>
    </row>
    <row r="17" spans="1:10" ht="20" customHeight="1" thickBot="1">
      <c r="A17" s="103" t="s">
        <v>294</v>
      </c>
      <c r="B17" s="311">
        <v>99.305864700000001</v>
      </c>
      <c r="C17" s="945">
        <v>353.44556400227515</v>
      </c>
      <c r="D17" s="311">
        <v>147.96226412999999</v>
      </c>
      <c r="E17" s="945">
        <v>531.1492939602507</v>
      </c>
      <c r="F17" s="311">
        <v>247.26812884999998</v>
      </c>
      <c r="G17" s="946">
        <v>6.916389316181995E-2</v>
      </c>
      <c r="H17" s="100">
        <v>441.91707650241727</v>
      </c>
      <c r="I17" s="102"/>
      <c r="J17" s="102"/>
    </row>
    <row r="18" spans="1:10" ht="20" customHeight="1" thickBot="1">
      <c r="A18" s="103" t="s">
        <v>295</v>
      </c>
      <c r="B18" s="311">
        <v>123.08504217000001</v>
      </c>
      <c r="C18" s="945">
        <v>387.22580364152265</v>
      </c>
      <c r="D18" s="311">
        <v>166.13209236</v>
      </c>
      <c r="E18" s="945">
        <v>527.73517030593291</v>
      </c>
      <c r="F18" s="311">
        <v>289.21713452999995</v>
      </c>
      <c r="G18" s="946">
        <v>8.0897538579811301E-2</v>
      </c>
      <c r="H18" s="100">
        <v>457.14050286648995</v>
      </c>
      <c r="I18" s="102"/>
      <c r="J18" s="102"/>
    </row>
    <row r="19" spans="1:10" ht="20" customHeight="1" thickBot="1">
      <c r="A19" s="103" t="s">
        <v>296</v>
      </c>
      <c r="B19" s="311">
        <v>139.96717755</v>
      </c>
      <c r="C19" s="945">
        <v>426.31473873814389</v>
      </c>
      <c r="D19" s="311">
        <v>176.28752265</v>
      </c>
      <c r="E19" s="945">
        <v>551.46296509245747</v>
      </c>
      <c r="F19" s="311">
        <v>316.25470018999999</v>
      </c>
      <c r="G19" s="946">
        <v>8.8460273459397609E-2</v>
      </c>
      <c r="H19" s="100">
        <v>488.05390681693228</v>
      </c>
      <c r="I19" s="102"/>
      <c r="J19" s="102"/>
    </row>
    <row r="20" spans="1:10" ht="20" customHeight="1" thickBot="1">
      <c r="A20" s="103" t="s">
        <v>297</v>
      </c>
      <c r="B20" s="311">
        <v>138.98248563999999</v>
      </c>
      <c r="C20" s="945">
        <v>488.35549015530466</v>
      </c>
      <c r="D20" s="311">
        <v>162.57769582</v>
      </c>
      <c r="E20" s="945">
        <v>585.62119238170158</v>
      </c>
      <c r="F20" s="311">
        <v>301.56018147000003</v>
      </c>
      <c r="G20" s="946">
        <v>8.4350038438243805E-2</v>
      </c>
      <c r="H20" s="100">
        <v>536.38487955840174</v>
      </c>
      <c r="I20" s="102"/>
      <c r="J20" s="102"/>
    </row>
    <row r="21" spans="1:10" ht="20" customHeight="1" thickBot="1">
      <c r="A21" s="103" t="s">
        <v>298</v>
      </c>
      <c r="B21" s="311">
        <v>136.80848903999998</v>
      </c>
      <c r="C21" s="945">
        <v>568.03911586876166</v>
      </c>
      <c r="D21" s="311">
        <v>146.93550216999998</v>
      </c>
      <c r="E21" s="945">
        <v>609.65399757143325</v>
      </c>
      <c r="F21" s="311">
        <v>283.74399122000005</v>
      </c>
      <c r="G21" s="946">
        <v>7.9366634047501772E-2</v>
      </c>
      <c r="H21" s="100">
        <v>588.85394728625556</v>
      </c>
      <c r="I21" s="102"/>
      <c r="J21" s="102"/>
    </row>
    <row r="22" spans="1:10" ht="20" customHeight="1" thickBot="1">
      <c r="A22" s="103" t="s">
        <v>299</v>
      </c>
      <c r="B22" s="311">
        <v>144.43828593999999</v>
      </c>
      <c r="C22" s="945">
        <v>646.56869094965884</v>
      </c>
      <c r="D22" s="311">
        <v>150.46605645</v>
      </c>
      <c r="E22" s="945">
        <v>653.38490629584351</v>
      </c>
      <c r="F22" s="311">
        <v>294.90434241000003</v>
      </c>
      <c r="G22" s="946">
        <v>8.248831956736026E-2</v>
      </c>
      <c r="H22" s="100">
        <v>650.0286378915489</v>
      </c>
      <c r="I22" s="102"/>
      <c r="J22" s="102"/>
    </row>
    <row r="23" spans="1:10" ht="20" customHeight="1" thickBot="1">
      <c r="A23" s="103" t="s">
        <v>300</v>
      </c>
      <c r="B23" s="311">
        <v>136.34265119</v>
      </c>
      <c r="C23" s="945">
        <v>723.03422827540226</v>
      </c>
      <c r="D23" s="311">
        <v>144.52533821</v>
      </c>
      <c r="E23" s="945">
        <v>712.3411614034377</v>
      </c>
      <c r="F23" s="311">
        <v>280.8679894</v>
      </c>
      <c r="G23" s="946">
        <v>7.8562181473946072E-2</v>
      </c>
      <c r="H23" s="100">
        <v>717.49214379179898</v>
      </c>
      <c r="I23" s="102"/>
      <c r="J23" s="102"/>
    </row>
    <row r="24" spans="1:10" ht="20" customHeight="1" thickBot="1">
      <c r="A24" s="103" t="s">
        <v>301</v>
      </c>
      <c r="B24" s="311">
        <v>106.73659538</v>
      </c>
      <c r="C24" s="945">
        <v>784.12605672878226</v>
      </c>
      <c r="D24" s="311">
        <v>123.29411186</v>
      </c>
      <c r="E24" s="945">
        <v>761.09275830410058</v>
      </c>
      <c r="F24" s="311">
        <v>230.03070724</v>
      </c>
      <c r="G24" s="946">
        <v>6.4342377375842891E-2</v>
      </c>
      <c r="H24" s="100">
        <v>771.60992475895523</v>
      </c>
      <c r="I24" s="102"/>
      <c r="J24" s="102"/>
    </row>
    <row r="25" spans="1:10" ht="20" customHeight="1" thickBot="1">
      <c r="A25" s="103" t="s">
        <v>302</v>
      </c>
      <c r="B25" s="311">
        <v>91.350326790000011</v>
      </c>
      <c r="C25" s="945">
        <v>849.71760166739398</v>
      </c>
      <c r="D25" s="311">
        <v>118.32996176</v>
      </c>
      <c r="E25" s="945">
        <v>826.74488613442247</v>
      </c>
      <c r="F25" s="311">
        <v>209.68028853999999</v>
      </c>
      <c r="G25" s="946">
        <v>5.8650118566302006E-2</v>
      </c>
      <c r="H25" s="100">
        <v>836.59893690477486</v>
      </c>
      <c r="I25" s="102"/>
      <c r="J25" s="102"/>
    </row>
    <row r="26" spans="1:10" ht="20" customHeight="1" thickBot="1">
      <c r="A26" s="103" t="s">
        <v>303</v>
      </c>
      <c r="B26" s="311">
        <v>65.734899030000008</v>
      </c>
      <c r="C26" s="945">
        <v>918.75859610507814</v>
      </c>
      <c r="D26" s="311">
        <v>104.10279643999999</v>
      </c>
      <c r="E26" s="945">
        <v>894.17823525566757</v>
      </c>
      <c r="F26" s="311">
        <v>169.83769547</v>
      </c>
      <c r="G26" s="946">
        <v>4.7505662290438747E-2</v>
      </c>
      <c r="H26" s="100">
        <v>903.53439996952716</v>
      </c>
      <c r="I26" s="102"/>
      <c r="J26" s="102"/>
    </row>
    <row r="27" spans="1:10" ht="20" customHeight="1" thickBot="1">
      <c r="A27" s="103" t="s">
        <v>304</v>
      </c>
      <c r="B27" s="311">
        <v>37.24449353</v>
      </c>
      <c r="C27" s="945">
        <v>999.69544452628111</v>
      </c>
      <c r="D27" s="311">
        <v>75.373076220000002</v>
      </c>
      <c r="E27" s="945">
        <v>982.82719064243793</v>
      </c>
      <c r="F27" s="311">
        <v>112.61756975</v>
      </c>
      <c r="G27" s="946">
        <v>3.1500499472206067E-2</v>
      </c>
      <c r="H27" s="100">
        <v>988.3422745632314</v>
      </c>
      <c r="I27" s="102"/>
      <c r="J27" s="102"/>
    </row>
    <row r="28" spans="1:10" ht="20" customHeight="1" thickBot="1">
      <c r="A28" s="103" t="s">
        <v>305</v>
      </c>
      <c r="B28" s="311">
        <v>12.40960147</v>
      </c>
      <c r="C28" s="945">
        <v>1095.2579781647441</v>
      </c>
      <c r="D28" s="311">
        <v>31.776018000000001</v>
      </c>
      <c r="E28" s="945">
        <v>1070.620552560647</v>
      </c>
      <c r="F28" s="311">
        <v>44.185619430000003</v>
      </c>
      <c r="G28" s="946">
        <v>1.2359253397348448E-2</v>
      </c>
      <c r="H28" s="100">
        <v>1077.4276268224389</v>
      </c>
      <c r="I28" s="102"/>
      <c r="J28" s="102"/>
    </row>
    <row r="29" spans="1:10" ht="20" customHeight="1" thickBot="1">
      <c r="A29" s="103" t="s">
        <v>306</v>
      </c>
      <c r="B29" s="311">
        <v>2.5560129799999998</v>
      </c>
      <c r="C29" s="945">
        <v>1200.8856157561406</v>
      </c>
      <c r="D29" s="311">
        <v>8.7260281300000013</v>
      </c>
      <c r="E29" s="945">
        <v>1173.0913303640928</v>
      </c>
      <c r="F29" s="311">
        <v>11.282041099999999</v>
      </c>
      <c r="G29" s="946">
        <v>3.1557236628786084E-3</v>
      </c>
      <c r="H29" s="100">
        <v>1179.2835998436267</v>
      </c>
      <c r="I29" s="102"/>
      <c r="J29" s="102"/>
    </row>
    <row r="30" spans="1:10" ht="20" customHeight="1" thickBot="1">
      <c r="A30" s="103" t="s">
        <v>307</v>
      </c>
      <c r="B30" s="311">
        <v>0.22359069000000001</v>
      </c>
      <c r="C30" s="945">
        <v>1312.5370707367185</v>
      </c>
      <c r="D30" s="311">
        <v>1.1497881200000002</v>
      </c>
      <c r="E30" s="945">
        <v>1263.8645327236354</v>
      </c>
      <c r="F30" s="311">
        <v>1.3733787900000001</v>
      </c>
      <c r="G30" s="946">
        <v>3.8415069642837871E-4</v>
      </c>
      <c r="H30" s="100">
        <v>1271.541066022276</v>
      </c>
      <c r="I30" s="102"/>
      <c r="J30" s="102"/>
    </row>
    <row r="31" spans="1:10" ht="20" customHeight="1" thickBot="1">
      <c r="A31" s="104" t="s">
        <v>308</v>
      </c>
      <c r="B31" s="947">
        <v>1392.67581107</v>
      </c>
      <c r="C31" s="948">
        <v>503.41248202908758</v>
      </c>
      <c r="D31" s="947">
        <v>1814.33071197</v>
      </c>
      <c r="E31" s="948">
        <v>619.78573450242834</v>
      </c>
      <c r="F31" s="947">
        <v>3207.00652304</v>
      </c>
      <c r="G31" s="949">
        <v>0.89703860162000115</v>
      </c>
      <c r="H31" s="105">
        <v>563.24319200363914</v>
      </c>
      <c r="I31" s="102"/>
      <c r="J31" s="102"/>
    </row>
    <row r="32" spans="1:10" ht="1.25" hidden="1" customHeight="1" thickBot="1">
      <c r="A32" s="103" t="s">
        <v>309</v>
      </c>
      <c r="B32" s="311">
        <v>0</v>
      </c>
      <c r="C32" s="945" t="s">
        <v>30</v>
      </c>
      <c r="D32" s="311">
        <v>0</v>
      </c>
      <c r="E32" s="945" t="s">
        <v>30</v>
      </c>
      <c r="F32" s="311" t="s">
        <v>30</v>
      </c>
      <c r="G32" s="946" t="s">
        <v>30</v>
      </c>
      <c r="H32" s="100" t="s">
        <v>30</v>
      </c>
      <c r="I32" s="102"/>
      <c r="J32" s="102"/>
    </row>
    <row r="33" spans="1:10" s="110" customFormat="1" ht="24.75" customHeight="1" thickBot="1">
      <c r="A33" s="107" t="s">
        <v>278</v>
      </c>
      <c r="B33" s="858">
        <v>1558.61744776</v>
      </c>
      <c r="C33" s="950">
        <v>402.17794485226727</v>
      </c>
      <c r="D33" s="858">
        <v>2016.4868089000001</v>
      </c>
      <c r="E33" s="950">
        <v>505.72382392039378</v>
      </c>
      <c r="F33" s="858">
        <v>3575.1042566599999</v>
      </c>
      <c r="G33" s="951">
        <v>1</v>
      </c>
      <c r="H33" s="224">
        <v>454.68760341504361</v>
      </c>
      <c r="I33" s="111"/>
      <c r="J33" s="111"/>
    </row>
    <row r="34" spans="1:10" ht="20" customHeight="1">
      <c r="A34" s="112" t="s">
        <v>720</v>
      </c>
      <c r="B34" s="113"/>
      <c r="C34" s="114"/>
      <c r="D34" s="113"/>
      <c r="E34" s="114"/>
      <c r="F34" s="113"/>
      <c r="G34" s="113"/>
      <c r="H34" s="113"/>
    </row>
    <row r="35" spans="1:10" ht="12.75" customHeight="1">
      <c r="A35" s="115"/>
      <c r="B35" s="116"/>
      <c r="C35" s="117"/>
      <c r="D35" s="116"/>
      <c r="E35" s="117"/>
      <c r="F35" s="116"/>
      <c r="G35" s="116"/>
      <c r="H35" s="116"/>
    </row>
    <row r="36" spans="1:10" ht="16.5" customHeight="1">
      <c r="A36" s="115" t="s">
        <v>1623</v>
      </c>
      <c r="B36" s="116"/>
      <c r="C36" s="117"/>
      <c r="D36" s="116"/>
      <c r="E36" s="117"/>
      <c r="F36" s="116"/>
      <c r="G36" s="116"/>
      <c r="H36" s="116"/>
    </row>
    <row r="37" spans="1:10" ht="14.25" customHeight="1">
      <c r="A37" s="115"/>
      <c r="B37" s="116"/>
      <c r="C37" s="117"/>
      <c r="D37" s="116"/>
      <c r="E37" s="117"/>
      <c r="F37" s="116"/>
      <c r="G37" s="116"/>
      <c r="H37" s="116"/>
    </row>
    <row r="38" spans="1:10" ht="13.5" customHeight="1">
      <c r="A38" s="513" t="s">
        <v>685</v>
      </c>
      <c r="B38" s="116"/>
      <c r="C38" s="117"/>
      <c r="D38" s="116"/>
      <c r="E38" s="117"/>
      <c r="F38" s="116"/>
      <c r="G38" s="116"/>
      <c r="H38" s="116"/>
    </row>
    <row r="39" spans="1:10" ht="12" customHeight="1">
      <c r="A39" s="115"/>
      <c r="B39" s="116"/>
      <c r="C39" s="117"/>
      <c r="D39" s="116"/>
      <c r="E39" s="117"/>
      <c r="F39" s="116"/>
      <c r="G39" s="116"/>
      <c r="H39" s="116"/>
    </row>
    <row r="40" spans="1:10" ht="14.25" customHeight="1">
      <c r="A40" s="115"/>
      <c r="B40" s="116"/>
      <c r="C40" s="117"/>
      <c r="D40" s="116"/>
      <c r="E40" s="117"/>
      <c r="F40" s="116"/>
      <c r="G40" s="116"/>
      <c r="H40" s="116"/>
    </row>
    <row r="41" spans="1:10" ht="15.75" customHeight="1">
      <c r="A41" s="115" t="s">
        <v>719</v>
      </c>
      <c r="B41" s="116"/>
      <c r="C41" s="117"/>
      <c r="D41" s="116"/>
      <c r="E41" s="117"/>
      <c r="F41" s="116"/>
      <c r="G41" s="116"/>
      <c r="H41" s="116"/>
    </row>
    <row r="42" spans="1:10" ht="18" customHeight="1">
      <c r="A42"/>
    </row>
    <row r="43" spans="1:10" ht="30" customHeight="1"/>
    <row r="44" spans="1:10" ht="30" customHeight="1"/>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54" right="0.55118110236220474" top="0.6692913385826772" bottom="0.47244094488188981" header="0.43307086614173229" footer="0.51181102362204722"/>
  <pageSetup paperSize="9" scale="70" orientation="portrait"/>
  <headerFooter alignWithMargins="0"/>
  <rowBreaks count="1" manualBreakCount="1">
    <brk id="41"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EAA86-1962-1C4E-9793-198A11744F37}">
  <sheetPr>
    <pageSetUpPr fitToPage="1"/>
  </sheetPr>
  <dimension ref="A1:H44"/>
  <sheetViews>
    <sheetView topLeftCell="A18" zoomScaleNormal="100" workbookViewId="0">
      <selection activeCell="G32" sqref="G32"/>
    </sheetView>
  </sheetViews>
  <sheetFormatPr baseColWidth="10" defaultColWidth="11.3984375" defaultRowHeight="13"/>
  <cols>
    <col min="1" max="1" width="19.796875" style="3" customWidth="1"/>
    <col min="2" max="6" width="18.3984375" style="3" customWidth="1"/>
    <col min="7" max="7" width="16.796875" style="3" customWidth="1"/>
    <col min="8" max="8" width="12.19921875" style="3" customWidth="1"/>
    <col min="9" max="16384" width="11.3984375" style="3"/>
  </cols>
  <sheetData>
    <row r="1" spans="1:8" s="2" customFormat="1" ht="14" customHeight="1"/>
    <row r="2" spans="1:8" s="2" customFormat="1" ht="27.75" customHeight="1">
      <c r="A2" s="1843" t="s">
        <v>687</v>
      </c>
      <c r="B2" s="1847"/>
      <c r="C2" s="1847"/>
      <c r="D2" s="1847"/>
      <c r="E2" s="1847"/>
      <c r="F2" s="180">
        <v>2011</v>
      </c>
    </row>
    <row r="3" spans="1:8" ht="27" customHeight="1">
      <c r="A3" s="92" t="s">
        <v>191</v>
      </c>
      <c r="B3" s="182" t="s">
        <v>349</v>
      </c>
      <c r="C3" s="183" t="s">
        <v>459</v>
      </c>
      <c r="D3" s="182" t="s">
        <v>348</v>
      </c>
      <c r="E3" s="183" t="s">
        <v>683</v>
      </c>
      <c r="F3" s="304" t="s">
        <v>279</v>
      </c>
    </row>
    <row r="4" spans="1:8" ht="15" customHeight="1">
      <c r="A4" s="95"/>
      <c r="B4" s="185"/>
      <c r="C4" s="186"/>
      <c r="D4" s="211"/>
      <c r="E4" s="186"/>
      <c r="F4" s="211" t="s">
        <v>282</v>
      </c>
    </row>
    <row r="5" spans="1:8" ht="15" customHeight="1">
      <c r="A5" s="95"/>
      <c r="B5" s="185" t="s">
        <v>460</v>
      </c>
      <c r="C5" s="186" t="s">
        <v>461</v>
      </c>
      <c r="D5" s="185" t="s">
        <v>462</v>
      </c>
      <c r="E5" s="186"/>
      <c r="F5" s="211" t="s">
        <v>283</v>
      </c>
    </row>
    <row r="6" spans="1:8" ht="24" customHeight="1">
      <c r="A6" s="97"/>
      <c r="B6" s="213"/>
      <c r="C6" s="97"/>
      <c r="D6" s="213"/>
      <c r="E6" s="190"/>
      <c r="F6" s="189"/>
      <c r="H6" s="305"/>
    </row>
    <row r="7" spans="1:8" ht="30" customHeight="1" thickBot="1">
      <c r="A7" s="99" t="s">
        <v>362</v>
      </c>
      <c r="B7" s="215">
        <v>924.82128639215932</v>
      </c>
      <c r="C7" s="216">
        <v>1073.3467062782856</v>
      </c>
      <c r="D7" s="215">
        <v>3254.8949488035792</v>
      </c>
      <c r="E7" s="216">
        <v>2660.7115895562274</v>
      </c>
      <c r="F7" s="217">
        <v>9.563034914571761E-4</v>
      </c>
      <c r="H7" s="306"/>
    </row>
    <row r="8" spans="1:8" ht="20" customHeight="1" thickBot="1">
      <c r="A8" s="103" t="s">
        <v>363</v>
      </c>
      <c r="B8" s="215">
        <v>790.09194688902335</v>
      </c>
      <c r="C8" s="216">
        <v>976.69551215018998</v>
      </c>
      <c r="D8" s="215">
        <v>3755.0997862932195</v>
      </c>
      <c r="E8" s="216">
        <v>2988.005313494667</v>
      </c>
      <c r="F8" s="217">
        <v>3.2929410721065484E-2</v>
      </c>
      <c r="H8" s="306"/>
    </row>
    <row r="9" spans="1:8" ht="20" customHeight="1" thickBot="1">
      <c r="A9" s="103" t="s">
        <v>364</v>
      </c>
      <c r="B9" s="215">
        <v>717.59916476807018</v>
      </c>
      <c r="C9" s="216">
        <v>808.04232927509975</v>
      </c>
      <c r="D9" s="215">
        <v>2947.7659914013357</v>
      </c>
      <c r="E9" s="216">
        <v>2306.388892515361</v>
      </c>
      <c r="F9" s="217">
        <v>6.3643499385071314E-3</v>
      </c>
      <c r="H9" s="306"/>
    </row>
    <row r="10" spans="1:8" ht="20" customHeight="1" thickBot="1">
      <c r="A10" s="103" t="s">
        <v>365</v>
      </c>
      <c r="B10" s="215">
        <v>673.83814516955806</v>
      </c>
      <c r="C10" s="216">
        <v>757.84117848536368</v>
      </c>
      <c r="D10" s="215">
        <v>2753.7707610642442</v>
      </c>
      <c r="E10" s="216">
        <v>2159.5054345717153</v>
      </c>
      <c r="F10" s="217">
        <v>-6.9680693954734304E-3</v>
      </c>
      <c r="H10" s="306"/>
    </row>
    <row r="11" spans="1:8" ht="20" customHeight="1" thickBot="1">
      <c r="A11" s="103" t="s">
        <v>366</v>
      </c>
      <c r="B11" s="215">
        <v>829.28152976134743</v>
      </c>
      <c r="C11" s="216">
        <v>841.85550878766242</v>
      </c>
      <c r="D11" s="215">
        <v>2833.1135195616293</v>
      </c>
      <c r="E11" s="216">
        <v>2268.4311930371427</v>
      </c>
      <c r="F11" s="217">
        <v>1.942381717316017E-2</v>
      </c>
      <c r="H11" s="306"/>
    </row>
    <row r="12" spans="1:8" ht="20" customHeight="1" thickBot="1">
      <c r="A12" s="103" t="s">
        <v>367</v>
      </c>
      <c r="B12" s="215">
        <v>700.22280170238309</v>
      </c>
      <c r="C12" s="216">
        <v>674.38136575587214</v>
      </c>
      <c r="D12" s="215">
        <v>2689.1212020968887</v>
      </c>
      <c r="E12" s="216">
        <v>2101.0595424357598</v>
      </c>
      <c r="F12" s="217">
        <v>3.3087648116907661E-2</v>
      </c>
      <c r="H12" s="306"/>
    </row>
    <row r="13" spans="1:8" ht="20" customHeight="1" thickBot="1">
      <c r="A13" s="103" t="s">
        <v>368</v>
      </c>
      <c r="B13" s="215">
        <v>622.459221440536</v>
      </c>
      <c r="C13" s="216">
        <v>681.44776243993249</v>
      </c>
      <c r="D13" s="215">
        <v>2540.4904754707982</v>
      </c>
      <c r="E13" s="216">
        <v>2027.1509724747493</v>
      </c>
      <c r="F13" s="217">
        <v>2.2228194116655051E-3</v>
      </c>
      <c r="H13" s="306"/>
    </row>
    <row r="14" spans="1:8" ht="20" customHeight="1" thickBot="1">
      <c r="A14" s="103" t="s">
        <v>369</v>
      </c>
      <c r="B14" s="215">
        <v>748.44806193205034</v>
      </c>
      <c r="C14" s="216">
        <v>934.40322507514611</v>
      </c>
      <c r="D14" s="215">
        <v>2909.3051524962884</v>
      </c>
      <c r="E14" s="216">
        <v>2320.9659389464027</v>
      </c>
      <c r="F14" s="217">
        <v>-1.1739364800540664E-2</v>
      </c>
      <c r="H14" s="306"/>
    </row>
    <row r="15" spans="1:8" ht="20" customHeight="1" thickBot="1">
      <c r="A15" s="103" t="s">
        <v>370</v>
      </c>
      <c r="B15" s="215">
        <v>742.43077507909277</v>
      </c>
      <c r="C15" s="216">
        <v>857.09770677456538</v>
      </c>
      <c r="D15" s="215">
        <v>2723.7717221588823</v>
      </c>
      <c r="E15" s="216">
        <v>2199.877229776308</v>
      </c>
      <c r="F15" s="217">
        <v>-1.111064831846764E-2</v>
      </c>
      <c r="H15" s="306"/>
    </row>
    <row r="16" spans="1:8" ht="20" customHeight="1" thickBot="1">
      <c r="A16" s="103" t="s">
        <v>371</v>
      </c>
      <c r="B16" s="215">
        <v>796.52185274853673</v>
      </c>
      <c r="C16" s="216">
        <v>972.45755500506539</v>
      </c>
      <c r="D16" s="215">
        <v>3284.0015158421106</v>
      </c>
      <c r="E16" s="216">
        <v>2526.5040794693264</v>
      </c>
      <c r="F16" s="217">
        <v>1.8481921662107471E-2</v>
      </c>
      <c r="H16" s="306"/>
    </row>
    <row r="17" spans="1:8" ht="20" customHeight="1" thickBot="1">
      <c r="A17" s="103" t="s">
        <v>372</v>
      </c>
      <c r="B17" s="215">
        <v>842.06356758020377</v>
      </c>
      <c r="C17" s="216">
        <v>881.74007067224534</v>
      </c>
      <c r="D17" s="215">
        <v>3192.7895182225957</v>
      </c>
      <c r="E17" s="216">
        <v>2557.8603879584407</v>
      </c>
      <c r="F17" s="217">
        <v>8.9842865890666125E-3</v>
      </c>
      <c r="H17" s="306"/>
    </row>
    <row r="18" spans="1:8" ht="20" customHeight="1" thickBot="1">
      <c r="A18" s="103" t="s">
        <v>373</v>
      </c>
      <c r="B18" s="215">
        <v>1241.2882817841808</v>
      </c>
      <c r="C18" s="216">
        <v>1286.6053753453004</v>
      </c>
      <c r="D18" s="215">
        <v>4548.976039375164</v>
      </c>
      <c r="E18" s="216">
        <v>3794.5561698916395</v>
      </c>
      <c r="F18" s="217">
        <v>7.6961815881827524E-3</v>
      </c>
      <c r="H18" s="306"/>
    </row>
    <row r="19" spans="1:8" ht="20" customHeight="1" thickBot="1">
      <c r="A19" s="103" t="s">
        <v>374</v>
      </c>
      <c r="B19" s="215">
        <v>1010.8849457635807</v>
      </c>
      <c r="C19" s="216">
        <v>1126.5708221064524</v>
      </c>
      <c r="D19" s="215">
        <v>3570.1013115847245</v>
      </c>
      <c r="E19" s="216">
        <v>2914.9276757131242</v>
      </c>
      <c r="F19" s="217">
        <v>4.8774119432280051E-3</v>
      </c>
      <c r="H19" s="306"/>
    </row>
    <row r="20" spans="1:8" ht="20" customHeight="1" thickBot="1">
      <c r="A20" s="103" t="s">
        <v>375</v>
      </c>
      <c r="B20" s="215">
        <v>736.19691138958115</v>
      </c>
      <c r="C20" s="216">
        <v>884.51755817618869</v>
      </c>
      <c r="D20" s="215">
        <v>3248.7478715460893</v>
      </c>
      <c r="E20" s="216">
        <v>2592.3361211672668</v>
      </c>
      <c r="F20" s="217">
        <v>-7.6608382988776645E-4</v>
      </c>
      <c r="H20" s="306"/>
    </row>
    <row r="21" spans="1:8" ht="20" customHeight="1" thickBot="1">
      <c r="A21" s="103" t="s">
        <v>376</v>
      </c>
      <c r="B21" s="215">
        <v>710.43025997937627</v>
      </c>
      <c r="C21" s="216">
        <v>750.71095491962978</v>
      </c>
      <c r="D21" s="215">
        <v>2730.0874155062756</v>
      </c>
      <c r="E21" s="216">
        <v>2155.6545024088141</v>
      </c>
      <c r="F21" s="217">
        <v>1.3405392861238215E-2</v>
      </c>
      <c r="H21" s="306"/>
    </row>
    <row r="22" spans="1:8" ht="20" customHeight="1" thickBot="1">
      <c r="A22" s="501" t="s">
        <v>377</v>
      </c>
      <c r="B22" s="502">
        <v>602.0022325170969</v>
      </c>
      <c r="C22" s="503">
        <v>637.26166116069226</v>
      </c>
      <c r="D22" s="502">
        <v>2493.4841486649625</v>
      </c>
      <c r="E22" s="503">
        <v>1894.5928128026669</v>
      </c>
      <c r="F22" s="504">
        <v>6.5691015780370773E-2</v>
      </c>
      <c r="H22" s="306"/>
    </row>
    <row r="23" spans="1:8" ht="20" customHeight="1" thickBot="1">
      <c r="A23" s="505" t="s">
        <v>378</v>
      </c>
      <c r="B23" s="506">
        <v>760.0915537656424</v>
      </c>
      <c r="C23" s="507">
        <v>801.30362654568899</v>
      </c>
      <c r="D23" s="506">
        <v>2877.0235719819398</v>
      </c>
      <c r="E23" s="507">
        <v>2254.3801142763896</v>
      </c>
      <c r="F23" s="508">
        <v>7.1389941703352451E-3</v>
      </c>
      <c r="H23" s="306"/>
    </row>
    <row r="24" spans="1:8" ht="20" customHeight="1" thickBot="1">
      <c r="A24" s="505" t="s">
        <v>379</v>
      </c>
      <c r="B24" s="506">
        <v>812.72363555861193</v>
      </c>
      <c r="C24" s="507">
        <v>833.14885756102399</v>
      </c>
      <c r="D24" s="506">
        <v>2879.9069607403462</v>
      </c>
      <c r="E24" s="507">
        <v>2332.1200997547285</v>
      </c>
      <c r="F24" s="508">
        <v>3.4190913776077163E-3</v>
      </c>
      <c r="H24" s="306"/>
    </row>
    <row r="25" spans="1:8" ht="20" customHeight="1" thickBot="1">
      <c r="A25" s="505" t="s">
        <v>380</v>
      </c>
      <c r="B25" s="506">
        <v>885.82796860816416</v>
      </c>
      <c r="C25" s="507">
        <v>940.66961010349041</v>
      </c>
      <c r="D25" s="506">
        <v>3058.1606506190997</v>
      </c>
      <c r="E25" s="507">
        <v>2453.7381351624349</v>
      </c>
      <c r="F25" s="508">
        <v>1.0882675863124363E-2</v>
      </c>
      <c r="H25" s="306"/>
    </row>
    <row r="26" spans="1:8" ht="20" customHeight="1" thickBot="1">
      <c r="A26" s="505" t="s">
        <v>381</v>
      </c>
      <c r="B26" s="506">
        <v>797.18960510661748</v>
      </c>
      <c r="C26" s="507">
        <v>826.73645952186928</v>
      </c>
      <c r="D26" s="506">
        <v>2929.514049340431</v>
      </c>
      <c r="E26" s="507">
        <v>2303.3959576575207</v>
      </c>
      <c r="F26" s="508">
        <v>1.7309211272124151E-2</v>
      </c>
      <c r="H26" s="306"/>
    </row>
    <row r="27" spans="1:8" ht="20" customHeight="1" thickBot="1">
      <c r="A27" s="505" t="s">
        <v>382</v>
      </c>
      <c r="B27" s="506">
        <v>894.40888238640207</v>
      </c>
      <c r="C27" s="507">
        <v>858.62874273018906</v>
      </c>
      <c r="D27" s="506">
        <v>3843.034731642118</v>
      </c>
      <c r="E27" s="507">
        <v>3108.3734318370643</v>
      </c>
      <c r="F27" s="508">
        <v>1.4561211953851851E-2</v>
      </c>
      <c r="H27" s="306"/>
    </row>
    <row r="28" spans="1:8" ht="20" customHeight="1" thickBot="1">
      <c r="A28" s="505" t="s">
        <v>383</v>
      </c>
      <c r="B28" s="506">
        <v>1036.8757571300423</v>
      </c>
      <c r="C28" s="507">
        <v>1049.1601334946972</v>
      </c>
      <c r="D28" s="506">
        <v>3853.5612123101942</v>
      </c>
      <c r="E28" s="507">
        <v>3025.9720874333657</v>
      </c>
      <c r="F28" s="508">
        <v>8.4639792258620131E-3</v>
      </c>
      <c r="H28" s="306"/>
    </row>
    <row r="29" spans="1:8" ht="20" customHeight="1" thickBot="1">
      <c r="A29" s="505" t="s">
        <v>384</v>
      </c>
      <c r="B29" s="506">
        <v>821.69644668168428</v>
      </c>
      <c r="C29" s="507">
        <v>855.80071106029584</v>
      </c>
      <c r="D29" s="506">
        <v>3100.2588514419781</v>
      </c>
      <c r="E29" s="507">
        <v>2461.0699079555598</v>
      </c>
      <c r="F29" s="508">
        <v>1.1022349077960769E-3</v>
      </c>
      <c r="H29" s="306"/>
    </row>
    <row r="30" spans="1:8" ht="20" customHeight="1" thickBot="1">
      <c r="A30" s="505" t="s">
        <v>385</v>
      </c>
      <c r="B30" s="506">
        <v>879.39064031204987</v>
      </c>
      <c r="C30" s="507">
        <v>867.3385769122641</v>
      </c>
      <c r="D30" s="506">
        <v>3604.3595019821009</v>
      </c>
      <c r="E30" s="507">
        <v>2811.7523926176791</v>
      </c>
      <c r="F30" s="508">
        <v>1.7670428283532491E-2</v>
      </c>
      <c r="H30" s="306"/>
    </row>
    <row r="31" spans="1:8" ht="20" customHeight="1" thickBot="1">
      <c r="A31" s="509" t="s">
        <v>386</v>
      </c>
      <c r="B31" s="510">
        <v>1235.8357697073686</v>
      </c>
      <c r="C31" s="511">
        <v>1404.5937455906685</v>
      </c>
      <c r="D31" s="510">
        <v>4463.064207804493</v>
      </c>
      <c r="E31" s="511">
        <v>3546.9238264659521</v>
      </c>
      <c r="F31" s="512">
        <v>2.4344829904461851E-2</v>
      </c>
      <c r="H31" s="306"/>
    </row>
    <row r="32" spans="1:8" ht="20" customHeight="1" thickBot="1">
      <c r="A32" s="145" t="s">
        <v>387</v>
      </c>
      <c r="B32" s="215">
        <v>860.55219473124271</v>
      </c>
      <c r="C32" s="216">
        <v>826.84702314635149</v>
      </c>
      <c r="D32" s="215">
        <v>3700.5314860349781</v>
      </c>
      <c r="E32" s="216">
        <v>2846.9898661415164</v>
      </c>
      <c r="F32" s="217">
        <v>-2.544062807280938E-3</v>
      </c>
      <c r="H32" s="306"/>
    </row>
    <row r="33" spans="1:8" ht="20" customHeight="1" thickBot="1">
      <c r="A33" s="222" t="s">
        <v>443</v>
      </c>
      <c r="B33" s="215">
        <v>873.02948361553365</v>
      </c>
      <c r="C33" s="216">
        <v>254.33319311160773</v>
      </c>
      <c r="D33" s="215">
        <v>1018.5500869876759</v>
      </c>
      <c r="E33" s="216">
        <v>933.56731694970767</v>
      </c>
      <c r="F33" s="217">
        <v>-9.7180424174448762E-2</v>
      </c>
      <c r="H33" s="306"/>
    </row>
    <row r="34" spans="1:8" ht="0.5" customHeight="1" thickBot="1">
      <c r="A34" s="145" t="s">
        <v>309</v>
      </c>
      <c r="B34" s="410" t="s">
        <v>30</v>
      </c>
      <c r="C34" s="411" t="s">
        <v>30</v>
      </c>
      <c r="D34" s="410" t="s">
        <v>30</v>
      </c>
      <c r="E34" s="411" t="s">
        <v>30</v>
      </c>
      <c r="F34" s="217" t="s">
        <v>30</v>
      </c>
      <c r="H34" s="306"/>
    </row>
    <row r="35" spans="1:8" ht="30" customHeight="1" thickBot="1">
      <c r="A35" s="107" t="s">
        <v>444</v>
      </c>
      <c r="B35" s="307">
        <v>888.07828191465956</v>
      </c>
      <c r="C35" s="308">
        <v>968.30193982533649</v>
      </c>
      <c r="D35" s="307">
        <v>3403.1378773997608</v>
      </c>
      <c r="E35" s="308">
        <v>2716.1426118234731</v>
      </c>
      <c r="F35" s="309">
        <v>1.1823712577323623E-2</v>
      </c>
      <c r="H35" s="306"/>
    </row>
    <row r="36" spans="1:8" ht="20" customHeight="1">
      <c r="A36" s="112" t="s">
        <v>720</v>
      </c>
      <c r="B36" s="112"/>
      <c r="C36" s="112"/>
      <c r="D36" s="112"/>
      <c r="E36" s="112"/>
      <c r="F36" s="112"/>
      <c r="H36" s="305"/>
    </row>
    <row r="37" spans="1:8" ht="11.25" customHeight="1">
      <c r="A37" s="115"/>
      <c r="B37" s="115"/>
      <c r="C37" s="115"/>
      <c r="D37" s="115"/>
      <c r="E37" s="115"/>
      <c r="F37" s="115"/>
      <c r="H37" s="305"/>
    </row>
    <row r="38" spans="1:8" ht="14.25" customHeight="1">
      <c r="A38" s="115" t="s">
        <v>688</v>
      </c>
      <c r="B38" s="115"/>
      <c r="C38" s="115"/>
      <c r="D38" s="115"/>
      <c r="E38" s="115"/>
      <c r="F38" s="115"/>
      <c r="H38" s="305"/>
    </row>
    <row r="39" spans="1:8" ht="13.5" customHeight="1">
      <c r="A39" s="115"/>
      <c r="B39" s="115"/>
      <c r="C39" s="115"/>
      <c r="D39" s="115"/>
      <c r="E39" s="115"/>
      <c r="F39" s="115"/>
      <c r="H39" s="305"/>
    </row>
    <row r="40" spans="1:8" ht="15" customHeight="1">
      <c r="A40" s="115" t="s">
        <v>689</v>
      </c>
      <c r="B40" s="115"/>
      <c r="C40" s="115"/>
      <c r="D40" s="115"/>
      <c r="E40" s="115"/>
    </row>
    <row r="41" spans="1:8" ht="13.5" customHeight="1">
      <c r="A41" s="115" t="s">
        <v>686</v>
      </c>
    </row>
    <row r="42" spans="1:8" ht="13.5" customHeight="1">
      <c r="A42" s="115"/>
    </row>
    <row r="43" spans="1:8" ht="12" customHeight="1"/>
    <row r="44" spans="1:8" ht="12" customHeight="1">
      <c r="A44" s="115" t="s">
        <v>719</v>
      </c>
    </row>
  </sheetData>
  <mergeCells count="1">
    <mergeCell ref="A2:E2"/>
  </mergeCells>
  <pageMargins left="0.65" right="0.5" top="0.87" bottom="0.49" header="0.51" footer="0.4921259845"/>
  <pageSetup paperSize="9" scale="72"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5886B-2447-ED4A-815F-F48C1992700F}">
  <sheetPr>
    <pageSetUpPr fitToPage="1"/>
  </sheetPr>
  <dimension ref="A1:H44"/>
  <sheetViews>
    <sheetView topLeftCell="A16" zoomScaleNormal="100" workbookViewId="0">
      <selection activeCell="G30" sqref="G30"/>
    </sheetView>
  </sheetViews>
  <sheetFormatPr baseColWidth="10" defaultColWidth="11.3984375" defaultRowHeight="13"/>
  <cols>
    <col min="1" max="1" width="19.59765625" style="3" customWidth="1"/>
    <col min="2" max="5" width="18.59765625" style="3" customWidth="1"/>
    <col min="6" max="6" width="20" style="3" customWidth="1"/>
    <col min="7" max="7" width="16.796875" style="3" customWidth="1"/>
    <col min="8" max="8" width="12.19921875" style="3" customWidth="1"/>
    <col min="9" max="16384" width="11.3984375" style="3"/>
  </cols>
  <sheetData>
    <row r="1" spans="1:8" s="2" customFormat="1" ht="14" customHeight="1"/>
    <row r="2" spans="1:8" s="2" customFormat="1" ht="26.5" customHeight="1">
      <c r="A2" s="1843" t="s">
        <v>682</v>
      </c>
      <c r="B2" s="1847"/>
      <c r="C2" s="1847"/>
      <c r="D2" s="1847"/>
      <c r="E2" s="1847"/>
      <c r="F2" s="180">
        <v>2011</v>
      </c>
    </row>
    <row r="3" spans="1:8" ht="27" customHeight="1">
      <c r="A3" s="92" t="s">
        <v>191</v>
      </c>
      <c r="B3" s="182" t="s">
        <v>349</v>
      </c>
      <c r="C3" s="183" t="s">
        <v>459</v>
      </c>
      <c r="D3" s="182" t="s">
        <v>348</v>
      </c>
      <c r="E3" s="183" t="s">
        <v>683</v>
      </c>
      <c r="F3" s="304" t="s">
        <v>279</v>
      </c>
    </row>
    <row r="4" spans="1:8" ht="15" customHeight="1">
      <c r="A4" s="95"/>
      <c r="B4" s="185"/>
      <c r="C4" s="186"/>
      <c r="D4" s="211"/>
      <c r="E4" s="186"/>
      <c r="F4" s="211" t="s">
        <v>282</v>
      </c>
    </row>
    <row r="5" spans="1:8" ht="15" customHeight="1">
      <c r="A5" s="95"/>
      <c r="B5" s="185" t="s">
        <v>460</v>
      </c>
      <c r="C5" s="186" t="s">
        <v>461</v>
      </c>
      <c r="D5" s="185" t="s">
        <v>462</v>
      </c>
      <c r="E5" s="186"/>
      <c r="F5" s="211" t="s">
        <v>283</v>
      </c>
    </row>
    <row r="6" spans="1:8" ht="24" customHeight="1">
      <c r="A6" s="97"/>
      <c r="B6" s="213"/>
      <c r="C6" s="97"/>
      <c r="D6" s="213"/>
      <c r="E6" s="190"/>
      <c r="F6" s="189"/>
      <c r="H6" s="305"/>
    </row>
    <row r="7" spans="1:8" ht="30" customHeight="1" thickBot="1">
      <c r="A7" s="99" t="s">
        <v>362</v>
      </c>
      <c r="B7" s="215">
        <v>93.871017107483084</v>
      </c>
      <c r="C7" s="216">
        <v>349.3913249790794</v>
      </c>
      <c r="D7" s="215">
        <v>568.87599111736688</v>
      </c>
      <c r="E7" s="216">
        <v>464.92625202393612</v>
      </c>
      <c r="F7" s="217">
        <v>3.297001574690224E-2</v>
      </c>
      <c r="H7" s="306"/>
    </row>
    <row r="8" spans="1:8" ht="20" customHeight="1" thickBot="1">
      <c r="A8" s="103" t="s">
        <v>363</v>
      </c>
      <c r="B8" s="215">
        <v>83.518559426670819</v>
      </c>
      <c r="C8" s="216">
        <v>327.9715501317022</v>
      </c>
      <c r="D8" s="215">
        <v>566.59641590128183</v>
      </c>
      <c r="E8" s="216">
        <v>459.4180388230651</v>
      </c>
      <c r="F8" s="217">
        <v>3.9895884548736785E-2</v>
      </c>
      <c r="H8" s="306"/>
    </row>
    <row r="9" spans="1:8" ht="20" customHeight="1" thickBot="1">
      <c r="A9" s="103" t="s">
        <v>364</v>
      </c>
      <c r="B9" s="215">
        <v>78.557140626103887</v>
      </c>
      <c r="C9" s="216">
        <v>303.71713761026456</v>
      </c>
      <c r="D9" s="215">
        <v>499.29653465293291</v>
      </c>
      <c r="E9" s="216">
        <v>397.75270208962581</v>
      </c>
      <c r="F9" s="217">
        <v>4.7075303829215577E-2</v>
      </c>
      <c r="H9" s="306"/>
    </row>
    <row r="10" spans="1:8" ht="20" customHeight="1" thickBot="1">
      <c r="A10" s="103" t="s">
        <v>365</v>
      </c>
      <c r="B10" s="215">
        <v>79.457517912674987</v>
      </c>
      <c r="C10" s="216">
        <v>299.82238314841771</v>
      </c>
      <c r="D10" s="215">
        <v>498.30293975419215</v>
      </c>
      <c r="E10" s="216">
        <v>397.33980203053397</v>
      </c>
      <c r="F10" s="217">
        <v>2.8241794082523048E-2</v>
      </c>
      <c r="H10" s="306"/>
    </row>
    <row r="11" spans="1:8" ht="20" customHeight="1" thickBot="1">
      <c r="A11" s="103" t="s">
        <v>366</v>
      </c>
      <c r="B11" s="215">
        <v>90.732679390148974</v>
      </c>
      <c r="C11" s="216">
        <v>358.81785651133271</v>
      </c>
      <c r="D11" s="215">
        <v>545.30113544615187</v>
      </c>
      <c r="E11" s="216">
        <v>439.99973966427484</v>
      </c>
      <c r="F11" s="217">
        <v>5.3226859127289944E-2</v>
      </c>
      <c r="H11" s="306"/>
    </row>
    <row r="12" spans="1:8" ht="20" customHeight="1" thickBot="1">
      <c r="A12" s="103" t="s">
        <v>367</v>
      </c>
      <c r="B12" s="215">
        <v>78.293273194693739</v>
      </c>
      <c r="C12" s="216">
        <v>304.91667175084609</v>
      </c>
      <c r="D12" s="215">
        <v>498.76801628663594</v>
      </c>
      <c r="E12" s="216">
        <v>396.56336949927976</v>
      </c>
      <c r="F12" s="217">
        <v>5.7839646299954202E-2</v>
      </c>
      <c r="H12" s="306"/>
    </row>
    <row r="13" spans="1:8" ht="20" customHeight="1" thickBot="1">
      <c r="A13" s="103" t="s">
        <v>368</v>
      </c>
      <c r="B13" s="215">
        <v>73.425983249581236</v>
      </c>
      <c r="C13" s="216">
        <v>285.72604740850392</v>
      </c>
      <c r="D13" s="215">
        <v>482.61359984477929</v>
      </c>
      <c r="E13" s="216">
        <v>390.64903055720464</v>
      </c>
      <c r="F13" s="217">
        <v>1.8622377215616437E-2</v>
      </c>
      <c r="H13" s="306"/>
    </row>
    <row r="14" spans="1:8" ht="20" customHeight="1" thickBot="1">
      <c r="A14" s="103" t="s">
        <v>369</v>
      </c>
      <c r="B14" s="215">
        <v>85.35824996963575</v>
      </c>
      <c r="C14" s="216">
        <v>314.72052371465071</v>
      </c>
      <c r="D14" s="215">
        <v>527.43643337433571</v>
      </c>
      <c r="E14" s="216">
        <v>425.37201598719065</v>
      </c>
      <c r="F14" s="217">
        <v>2.2791520972742219E-2</v>
      </c>
      <c r="H14" s="306"/>
    </row>
    <row r="15" spans="1:8" ht="20" customHeight="1" thickBot="1">
      <c r="A15" s="103" t="s">
        <v>370</v>
      </c>
      <c r="B15" s="215">
        <v>81.274288280040892</v>
      </c>
      <c r="C15" s="216">
        <v>326.62785664232922</v>
      </c>
      <c r="D15" s="215">
        <v>512.68271193051623</v>
      </c>
      <c r="E15" s="216">
        <v>415.73174256788059</v>
      </c>
      <c r="F15" s="217">
        <v>4.3591621506767042E-2</v>
      </c>
      <c r="H15" s="306"/>
    </row>
    <row r="16" spans="1:8" ht="20" customHeight="1" thickBot="1">
      <c r="A16" s="103" t="s">
        <v>371</v>
      </c>
      <c r="B16" s="215">
        <v>88.117267601451715</v>
      </c>
      <c r="C16" s="216">
        <v>343.10914111550443</v>
      </c>
      <c r="D16" s="215">
        <v>558.71225225516673</v>
      </c>
      <c r="E16" s="216">
        <v>435.34744823768494</v>
      </c>
      <c r="F16" s="217">
        <v>3.5625724466479637E-2</v>
      </c>
      <c r="H16" s="306"/>
    </row>
    <row r="17" spans="1:8" ht="20" customHeight="1" thickBot="1">
      <c r="A17" s="103" t="s">
        <v>372</v>
      </c>
      <c r="B17" s="215">
        <v>87.040986779305285</v>
      </c>
      <c r="C17" s="216">
        <v>328.67614879649892</v>
      </c>
      <c r="D17" s="215">
        <v>553.15098041658086</v>
      </c>
      <c r="E17" s="216">
        <v>447.93788232235937</v>
      </c>
      <c r="F17" s="217">
        <v>3.4892540233687395E-2</v>
      </c>
      <c r="H17" s="306"/>
    </row>
    <row r="18" spans="1:8" ht="20" customHeight="1" thickBot="1">
      <c r="A18" s="103" t="s">
        <v>373</v>
      </c>
      <c r="B18" s="215">
        <v>120.40669183872032</v>
      </c>
      <c r="C18" s="216">
        <v>390.44620343167657</v>
      </c>
      <c r="D18" s="215">
        <v>642.05095518721726</v>
      </c>
      <c r="E18" s="216">
        <v>542.38626219356308</v>
      </c>
      <c r="F18" s="217">
        <v>0.11478822308219759</v>
      </c>
      <c r="H18" s="306"/>
    </row>
    <row r="19" spans="1:8" ht="20" customHeight="1" thickBot="1">
      <c r="A19" s="103" t="s">
        <v>374</v>
      </c>
      <c r="B19" s="215">
        <v>110.15672288311032</v>
      </c>
      <c r="C19" s="216">
        <v>386.90903250341262</v>
      </c>
      <c r="D19" s="215">
        <v>630.21522266658212</v>
      </c>
      <c r="E19" s="216">
        <v>517.11381391790371</v>
      </c>
      <c r="F19" s="217">
        <v>5.1053295967820489E-2</v>
      </c>
      <c r="H19" s="306"/>
    </row>
    <row r="20" spans="1:8" ht="20" customHeight="1" thickBot="1">
      <c r="A20" s="103" t="s">
        <v>375</v>
      </c>
      <c r="B20" s="215">
        <v>75.162472003780778</v>
      </c>
      <c r="C20" s="216">
        <v>313.34402977819548</v>
      </c>
      <c r="D20" s="215">
        <v>555.92287455343569</v>
      </c>
      <c r="E20" s="216">
        <v>448.91412354158552</v>
      </c>
      <c r="F20" s="217">
        <v>2.5039949670637347E-2</v>
      </c>
      <c r="H20" s="306"/>
    </row>
    <row r="21" spans="1:8" ht="20" customHeight="1" thickBot="1">
      <c r="A21" s="103" t="s">
        <v>376</v>
      </c>
      <c r="B21" s="215">
        <v>74.002692380238372</v>
      </c>
      <c r="C21" s="216">
        <v>300.93883556773301</v>
      </c>
      <c r="D21" s="215">
        <v>498.96920621149803</v>
      </c>
      <c r="E21" s="216">
        <v>398.28619462998171</v>
      </c>
      <c r="F21" s="217">
        <v>4.5621804213059967E-2</v>
      </c>
      <c r="H21" s="306"/>
    </row>
    <row r="22" spans="1:8" ht="20" customHeight="1" thickBot="1">
      <c r="A22" s="103" t="s">
        <v>377</v>
      </c>
      <c r="B22" s="215">
        <v>65.688883006103396</v>
      </c>
      <c r="C22" s="216">
        <v>295.51455796065284</v>
      </c>
      <c r="D22" s="215">
        <v>482.47623160698777</v>
      </c>
      <c r="E22" s="216">
        <v>373.3623111373841</v>
      </c>
      <c r="F22" s="217">
        <v>7.258238963830492E-2</v>
      </c>
      <c r="H22" s="306"/>
    </row>
    <row r="23" spans="1:8" ht="20" customHeight="1" thickBot="1">
      <c r="A23" s="103" t="s">
        <v>378</v>
      </c>
      <c r="B23" s="215">
        <v>83.475883878237397</v>
      </c>
      <c r="C23" s="216">
        <v>338.11030109475365</v>
      </c>
      <c r="D23" s="215">
        <v>534.18733862858403</v>
      </c>
      <c r="E23" s="216">
        <v>425.45078411133426</v>
      </c>
      <c r="F23" s="217">
        <v>4.9380831061987256E-2</v>
      </c>
      <c r="H23" s="306"/>
    </row>
    <row r="24" spans="1:8" ht="20" customHeight="1" thickBot="1">
      <c r="A24" s="103" t="s">
        <v>379</v>
      </c>
      <c r="B24" s="215">
        <v>83.905608670155388</v>
      </c>
      <c r="C24" s="216">
        <v>304.05054446637541</v>
      </c>
      <c r="D24" s="215">
        <v>502.50842657068443</v>
      </c>
      <c r="E24" s="216">
        <v>411.83702921706305</v>
      </c>
      <c r="F24" s="217">
        <v>4.7742592284385738E-2</v>
      </c>
      <c r="H24" s="306"/>
    </row>
    <row r="25" spans="1:8" ht="20" customHeight="1" thickBot="1">
      <c r="A25" s="501" t="s">
        <v>380</v>
      </c>
      <c r="B25" s="502">
        <v>87.28503510580228</v>
      </c>
      <c r="C25" s="503">
        <v>333.92898043168753</v>
      </c>
      <c r="D25" s="502">
        <v>535.17151633651577</v>
      </c>
      <c r="E25" s="503">
        <v>431.09941705649862</v>
      </c>
      <c r="F25" s="504">
        <v>3.9278895158042997E-2</v>
      </c>
      <c r="H25" s="306"/>
    </row>
    <row r="26" spans="1:8" ht="20" customHeight="1" thickBot="1">
      <c r="A26" s="505" t="s">
        <v>381</v>
      </c>
      <c r="B26" s="506">
        <v>83.845002105607009</v>
      </c>
      <c r="C26" s="507">
        <v>323.9540775817772</v>
      </c>
      <c r="D26" s="506">
        <v>527.19865109434716</v>
      </c>
      <c r="E26" s="507">
        <v>419.35699428379877</v>
      </c>
      <c r="F26" s="508">
        <v>4.3482431266434231E-2</v>
      </c>
      <c r="H26" s="306"/>
    </row>
    <row r="27" spans="1:8" ht="20" customHeight="1" thickBot="1">
      <c r="A27" s="505" t="s">
        <v>382</v>
      </c>
      <c r="B27" s="506">
        <v>104.07343680045982</v>
      </c>
      <c r="C27" s="507">
        <v>359.78197713781339</v>
      </c>
      <c r="D27" s="506">
        <v>607.71316338602196</v>
      </c>
      <c r="E27" s="507">
        <v>500.99841195883732</v>
      </c>
      <c r="F27" s="508">
        <v>2.9929422782571328E-2</v>
      </c>
      <c r="H27" s="306"/>
    </row>
    <row r="28" spans="1:8" ht="20" customHeight="1" thickBot="1">
      <c r="A28" s="505" t="s">
        <v>383</v>
      </c>
      <c r="B28" s="506">
        <v>118.48233908186477</v>
      </c>
      <c r="C28" s="507">
        <v>363.94653257167124</v>
      </c>
      <c r="D28" s="506">
        <v>599.87761392500875</v>
      </c>
      <c r="E28" s="507">
        <v>478.98409575565353</v>
      </c>
      <c r="F28" s="508">
        <v>1.6370516539015029E-2</v>
      </c>
      <c r="H28" s="306"/>
    </row>
    <row r="29" spans="1:8" ht="20" customHeight="1" thickBot="1">
      <c r="A29" s="505" t="s">
        <v>384</v>
      </c>
      <c r="B29" s="506">
        <v>88.865543718690603</v>
      </c>
      <c r="C29" s="507">
        <v>296.97224103379892</v>
      </c>
      <c r="D29" s="506">
        <v>521.11276131890406</v>
      </c>
      <c r="E29" s="507">
        <v>418.13891527653328</v>
      </c>
      <c r="F29" s="508">
        <v>3.8003736926306292E-2</v>
      </c>
      <c r="H29" s="306"/>
    </row>
    <row r="30" spans="1:8" ht="20" customHeight="1" thickBot="1">
      <c r="A30" s="505" t="s">
        <v>385</v>
      </c>
      <c r="B30" s="506">
        <v>94.742943357664544</v>
      </c>
      <c r="C30" s="507">
        <v>299.24355161704221</v>
      </c>
      <c r="D30" s="506">
        <v>533.08587268549093</v>
      </c>
      <c r="E30" s="507">
        <v>423.47520140824128</v>
      </c>
      <c r="F30" s="508">
        <v>1.2491691751366741E-2</v>
      </c>
      <c r="H30" s="306"/>
    </row>
    <row r="31" spans="1:8" ht="20" customHeight="1" thickBot="1">
      <c r="A31" s="509" t="s">
        <v>386</v>
      </c>
      <c r="B31" s="510">
        <v>124.64177660848627</v>
      </c>
      <c r="C31" s="511">
        <v>417.50812023957894</v>
      </c>
      <c r="D31" s="510">
        <v>651.44671061615099</v>
      </c>
      <c r="E31" s="511">
        <v>523.2073549387834</v>
      </c>
      <c r="F31" s="512">
        <v>3.087410965555069E-2</v>
      </c>
      <c r="H31" s="306"/>
    </row>
    <row r="32" spans="1:8" ht="20" customHeight="1" thickBot="1">
      <c r="A32" s="145" t="s">
        <v>387</v>
      </c>
      <c r="B32" s="215">
        <v>95.031235125408401</v>
      </c>
      <c r="C32" s="216">
        <v>311.89365540853498</v>
      </c>
      <c r="D32" s="215">
        <v>568.85355042130641</v>
      </c>
      <c r="E32" s="216">
        <v>446.5118249044906</v>
      </c>
      <c r="F32" s="217">
        <v>3.955415269859771E-2</v>
      </c>
      <c r="H32" s="306"/>
    </row>
    <row r="33" spans="1:8" ht="20" customHeight="1" thickBot="1">
      <c r="A33" s="222" t="s">
        <v>443</v>
      </c>
      <c r="B33" s="215">
        <v>56.583157835621819</v>
      </c>
      <c r="C33" s="216">
        <v>31.917181543315369</v>
      </c>
      <c r="D33" s="215">
        <v>131.36848768964984</v>
      </c>
      <c r="E33" s="216">
        <v>115.37403350835227</v>
      </c>
      <c r="F33" s="217">
        <v>-0.11973304747734705</v>
      </c>
      <c r="H33" s="306"/>
    </row>
    <row r="34" spans="1:8" ht="0.5" hidden="1" customHeight="1" thickBot="1">
      <c r="A34" s="145" t="s">
        <v>309</v>
      </c>
      <c r="B34" s="410" t="s">
        <v>30</v>
      </c>
      <c r="C34" s="411" t="s">
        <v>30</v>
      </c>
      <c r="D34" s="410" t="s">
        <v>30</v>
      </c>
      <c r="E34" s="411" t="s">
        <v>30</v>
      </c>
      <c r="F34" s="217" t="s">
        <v>30</v>
      </c>
      <c r="H34" s="306"/>
    </row>
    <row r="35" spans="1:8" ht="30" customHeight="1" thickBot="1">
      <c r="A35" s="107" t="s">
        <v>444</v>
      </c>
      <c r="B35" s="307">
        <v>94.253152352868312</v>
      </c>
      <c r="C35" s="308">
        <v>340.38460160443998</v>
      </c>
      <c r="D35" s="307">
        <v>563.24138007099987</v>
      </c>
      <c r="E35" s="308">
        <v>454.68760451818554</v>
      </c>
      <c r="F35" s="309">
        <v>3.7727137906450353E-2</v>
      </c>
      <c r="H35" s="306"/>
    </row>
    <row r="36" spans="1:8" ht="20" customHeight="1">
      <c r="A36" s="112" t="s">
        <v>720</v>
      </c>
      <c r="B36" s="112"/>
      <c r="C36" s="112"/>
      <c r="D36" s="112"/>
      <c r="E36" s="112"/>
      <c r="F36" s="112"/>
      <c r="H36" s="305"/>
    </row>
    <row r="37" spans="1:8" ht="11.25" customHeight="1">
      <c r="A37" s="115"/>
      <c r="B37" s="115"/>
      <c r="C37" s="115"/>
      <c r="D37" s="115"/>
      <c r="E37" s="115"/>
      <c r="F37" s="115"/>
      <c r="H37" s="305"/>
    </row>
    <row r="38" spans="1:8" ht="14.25" customHeight="1">
      <c r="A38" s="115" t="s">
        <v>684</v>
      </c>
      <c r="B38" s="115"/>
      <c r="C38" s="115"/>
      <c r="D38" s="115"/>
      <c r="E38" s="115"/>
      <c r="F38" s="115"/>
      <c r="H38" s="305"/>
    </row>
    <row r="39" spans="1:8" ht="13.5" customHeight="1">
      <c r="A39" s="115"/>
      <c r="B39" s="115"/>
      <c r="C39" s="115"/>
      <c r="D39" s="115"/>
      <c r="E39" s="115"/>
      <c r="F39" s="115"/>
      <c r="H39" s="305"/>
    </row>
    <row r="40" spans="1:8" ht="13.5" customHeight="1">
      <c r="A40" s="513" t="s">
        <v>685</v>
      </c>
      <c r="B40" s="115"/>
      <c r="C40" s="115"/>
      <c r="D40" s="115"/>
      <c r="E40" s="115"/>
      <c r="F40" s="115"/>
      <c r="H40" s="305"/>
    </row>
    <row r="41" spans="1:8" ht="13.5" customHeight="1">
      <c r="A41" s="115" t="s">
        <v>686</v>
      </c>
      <c r="B41" s="115"/>
      <c r="C41" s="115"/>
      <c r="D41" s="115"/>
      <c r="E41" s="115"/>
      <c r="F41" s="115"/>
      <c r="H41" s="305"/>
    </row>
    <row r="42" spans="1:8" ht="13.5" customHeight="1">
      <c r="A42" s="115"/>
      <c r="B42" s="115"/>
      <c r="C42" s="115"/>
      <c r="D42" s="115"/>
      <c r="E42" s="115"/>
      <c r="F42" s="115"/>
      <c r="H42" s="305"/>
    </row>
    <row r="43" spans="1:8" ht="12" customHeight="1"/>
    <row r="44" spans="1:8" ht="12" customHeight="1">
      <c r="A44" s="115" t="s">
        <v>719</v>
      </c>
    </row>
  </sheetData>
  <mergeCells count="1">
    <mergeCell ref="A2:E2"/>
  </mergeCells>
  <pageMargins left="0.65" right="0.5" top="0.87" bottom="0.49" header="0.51" footer="0.4921259845"/>
  <pageSetup paperSize="9" scale="7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6BB6-CF57-0F41-B165-D3B9A6864D3F}">
  <sheetPr>
    <pageSetUpPr fitToPage="1"/>
  </sheetPr>
  <dimension ref="A1:K31"/>
  <sheetViews>
    <sheetView topLeftCell="A3" zoomScaleNormal="100" workbookViewId="0">
      <selection activeCell="D5" sqref="D5"/>
    </sheetView>
  </sheetViews>
  <sheetFormatPr baseColWidth="10" defaultColWidth="11.3984375" defaultRowHeight="13"/>
  <cols>
    <col min="1" max="1" width="16.59765625" style="3" customWidth="1"/>
    <col min="2" max="2" width="17.3984375" style="3" customWidth="1"/>
    <col min="3" max="4" width="16.3984375" style="3" customWidth="1"/>
    <col min="5" max="5" width="16.59765625" style="3" customWidth="1"/>
    <col min="6" max="6" width="17.796875" style="3" customWidth="1"/>
    <col min="7" max="7" width="15.19921875" style="3" customWidth="1"/>
    <col min="8" max="16384" width="11.3984375" style="3"/>
  </cols>
  <sheetData>
    <row r="1" spans="1:11" s="2" customFormat="1" ht="14" customHeight="1"/>
    <row r="2" spans="1:11" s="2" customFormat="1" ht="26.5" customHeight="1">
      <c r="A2" s="180" t="s">
        <v>1624</v>
      </c>
      <c r="G2" s="207"/>
    </row>
    <row r="3" spans="1:11" ht="24" customHeight="1">
      <c r="A3" s="92" t="s">
        <v>345</v>
      </c>
      <c r="B3" s="182" t="s">
        <v>399</v>
      </c>
      <c r="C3" s="183" t="s">
        <v>400</v>
      </c>
      <c r="D3" s="182" t="s">
        <v>401</v>
      </c>
      <c r="E3" s="183" t="s">
        <v>402</v>
      </c>
      <c r="F3" s="182" t="s">
        <v>278</v>
      </c>
      <c r="G3" s="94" t="s">
        <v>279</v>
      </c>
    </row>
    <row r="4" spans="1:11" ht="15" customHeight="1">
      <c r="A4" s="184"/>
      <c r="B4" s="185" t="s">
        <v>403</v>
      </c>
      <c r="C4" s="186" t="s">
        <v>404</v>
      </c>
      <c r="D4" s="185" t="s">
        <v>405</v>
      </c>
      <c r="E4" s="187" t="s">
        <v>406</v>
      </c>
      <c r="F4" s="185"/>
      <c r="G4" s="95" t="s">
        <v>282</v>
      </c>
    </row>
    <row r="5" spans="1:11" ht="15" customHeight="1">
      <c r="A5" s="184"/>
      <c r="B5" s="185" t="s">
        <v>407</v>
      </c>
      <c r="C5" s="186" t="s">
        <v>408</v>
      </c>
      <c r="D5" s="185"/>
      <c r="E5" s="187" t="s">
        <v>466</v>
      </c>
      <c r="F5" s="185"/>
      <c r="G5" s="95" t="s">
        <v>283</v>
      </c>
    </row>
    <row r="6" spans="1:11" ht="24" customHeight="1">
      <c r="A6" s="188"/>
      <c r="B6" s="189"/>
      <c r="C6" s="190"/>
      <c r="D6" s="189"/>
      <c r="E6" s="191" t="s">
        <v>410</v>
      </c>
      <c r="F6" s="189"/>
      <c r="G6" s="97"/>
    </row>
    <row r="7" spans="1:11" ht="1.25" customHeight="1" thickBot="1">
      <c r="A7" s="192">
        <v>1996</v>
      </c>
      <c r="B7" s="311">
        <v>9158.0126325000001</v>
      </c>
      <c r="C7" s="312">
        <v>3158.8991608000001</v>
      </c>
      <c r="D7" s="311">
        <v>29.792276350000002</v>
      </c>
      <c r="E7" s="312">
        <v>112.31317695</v>
      </c>
      <c r="F7" s="311">
        <v>12459.0172466</v>
      </c>
      <c r="G7" s="101" t="s">
        <v>30</v>
      </c>
    </row>
    <row r="8" spans="1:11" ht="0.75" hidden="1" customHeight="1" thickBot="1">
      <c r="A8" s="194">
        <v>1997</v>
      </c>
      <c r="B8" s="313">
        <v>8010.294124</v>
      </c>
      <c r="C8" s="314">
        <v>4715.0935929999996</v>
      </c>
      <c r="D8" s="313">
        <v>15.300134</v>
      </c>
      <c r="E8" s="314">
        <v>397.78968400000002</v>
      </c>
      <c r="F8" s="313">
        <v>13138.477535</v>
      </c>
      <c r="G8" s="197">
        <v>5.453562467661089E-2</v>
      </c>
      <c r="I8" s="9"/>
      <c r="J8" s="9"/>
      <c r="K8" s="9"/>
    </row>
    <row r="9" spans="1:11" ht="19.5" hidden="1" customHeight="1" thickBot="1">
      <c r="A9" s="194">
        <v>1998</v>
      </c>
      <c r="B9" s="313">
        <v>8034.9225379999998</v>
      </c>
      <c r="C9" s="314">
        <v>5294.4749119999997</v>
      </c>
      <c r="D9" s="313">
        <v>7.7133700000000003</v>
      </c>
      <c r="E9" s="314">
        <v>686.98183200000005</v>
      </c>
      <c r="F9" s="313">
        <v>14024.092651999999</v>
      </c>
      <c r="G9" s="197">
        <v>6.7406220746717538E-2</v>
      </c>
    </row>
    <row r="10" spans="1:11" ht="20" hidden="1" customHeight="1" thickBot="1">
      <c r="A10" s="194">
        <v>1999</v>
      </c>
      <c r="B10" s="313">
        <v>8789.075476</v>
      </c>
      <c r="C10" s="314">
        <v>4984.7508509999998</v>
      </c>
      <c r="D10" s="313">
        <v>7.2724950000000002</v>
      </c>
      <c r="E10" s="314">
        <v>839.41169600000001</v>
      </c>
      <c r="F10" s="313">
        <v>14620.510517999999</v>
      </c>
      <c r="G10" s="197">
        <v>4.2528089395854327E-2</v>
      </c>
    </row>
    <row r="11" spans="1:11" ht="20" hidden="1" customHeight="1" thickBot="1">
      <c r="A11" s="194">
        <v>2000</v>
      </c>
      <c r="B11" s="313">
        <v>9137.1621560000003</v>
      </c>
      <c r="C11" s="314">
        <v>5390.9432980000001</v>
      </c>
      <c r="D11" s="313">
        <v>7.5360680000000002</v>
      </c>
      <c r="E11" s="314">
        <v>942.68592000000001</v>
      </c>
      <c r="F11" s="313">
        <v>15478.327442</v>
      </c>
      <c r="G11" s="197">
        <v>5.8672159425890213E-2</v>
      </c>
    </row>
    <row r="12" spans="1:11" ht="20" customHeight="1" thickBot="1">
      <c r="A12" s="194">
        <v>2001</v>
      </c>
      <c r="B12" s="313">
        <v>9659.7746029999998</v>
      </c>
      <c r="C12" s="314">
        <v>5684.1019910000005</v>
      </c>
      <c r="D12" s="313">
        <v>8.3615560000000002</v>
      </c>
      <c r="E12" s="314">
        <v>1034.2226659999999</v>
      </c>
      <c r="F12" s="313">
        <v>16386.460816999999</v>
      </c>
      <c r="G12" s="197">
        <v>5.867128592562304E-2</v>
      </c>
    </row>
    <row r="13" spans="1:11" ht="20" customHeight="1" thickBot="1">
      <c r="A13" s="194">
        <v>2002</v>
      </c>
      <c r="B13" s="313">
        <v>9980.4930999999997</v>
      </c>
      <c r="C13" s="314">
        <v>6029.9190769999996</v>
      </c>
      <c r="D13" s="313">
        <v>7.9602409999999999</v>
      </c>
      <c r="E13" s="314">
        <v>1077.2149870000001</v>
      </c>
      <c r="F13" s="313">
        <v>17095.58741</v>
      </c>
      <c r="G13" s="197">
        <v>4.3275152634809542E-2</v>
      </c>
    </row>
    <row r="14" spans="1:11" ht="20" customHeight="1" thickBot="1">
      <c r="A14" s="194">
        <v>2003</v>
      </c>
      <c r="B14" s="313">
        <v>10400.406953</v>
      </c>
      <c r="C14" s="314">
        <v>6474.0950759999996</v>
      </c>
      <c r="D14" s="313">
        <v>8.2890060000000005</v>
      </c>
      <c r="E14" s="314">
        <v>1041.3283280000001</v>
      </c>
      <c r="F14" s="313">
        <v>17924.119349000001</v>
      </c>
      <c r="G14" s="197">
        <v>4.8464666298354497E-2</v>
      </c>
    </row>
    <row r="15" spans="1:11" ht="20" customHeight="1" thickBot="1">
      <c r="A15" s="194">
        <v>2004</v>
      </c>
      <c r="B15" s="313">
        <v>11244.13615765</v>
      </c>
      <c r="C15" s="314">
        <v>6631.1356945500002</v>
      </c>
      <c r="D15" s="313">
        <v>8.6720649999999999</v>
      </c>
      <c r="E15" s="314">
        <v>1255.877035</v>
      </c>
      <c r="F15" s="313">
        <v>19139.820942999999</v>
      </c>
      <c r="G15" s="197">
        <v>6.7824899529461302E-2</v>
      </c>
    </row>
    <row r="16" spans="1:11" ht="20" customHeight="1" thickBot="1">
      <c r="A16" s="194">
        <v>2005</v>
      </c>
      <c r="B16" s="313">
        <v>12276.40351</v>
      </c>
      <c r="C16" s="314">
        <v>6478.0200850000001</v>
      </c>
      <c r="D16" s="313">
        <v>9.1072369999999996</v>
      </c>
      <c r="E16" s="314">
        <v>1584.1758170000001</v>
      </c>
      <c r="F16" s="313">
        <v>20347.706649</v>
      </c>
      <c r="G16" s="197">
        <v>6.3108516511057644E-2</v>
      </c>
    </row>
    <row r="17" spans="1:7" ht="20" customHeight="1" thickBot="1">
      <c r="A17" s="194">
        <v>2006</v>
      </c>
      <c r="B17" s="313">
        <v>12157.648692999999</v>
      </c>
      <c r="C17" s="314">
        <v>6151.3591749999996</v>
      </c>
      <c r="D17" s="313">
        <v>8.8529470000000003</v>
      </c>
      <c r="E17" s="314">
        <v>2284.7661029999999</v>
      </c>
      <c r="F17" s="313">
        <v>20602.626918999998</v>
      </c>
      <c r="G17" s="197">
        <v>1.2528206465593383E-2</v>
      </c>
    </row>
    <row r="18" spans="1:7" ht="20" customHeight="1" thickBot="1">
      <c r="A18" s="194">
        <v>2007</v>
      </c>
      <c r="B18" s="313">
        <v>12229.89782127</v>
      </c>
      <c r="C18" s="314">
        <v>6058.52217587</v>
      </c>
      <c r="D18" s="313">
        <v>9.0125824800000007</v>
      </c>
      <c r="E18" s="314">
        <v>3281.2562875499998</v>
      </c>
      <c r="F18" s="313">
        <v>21578.688867239998</v>
      </c>
      <c r="G18" s="197">
        <v>4.737560661936091E-2</v>
      </c>
    </row>
    <row r="19" spans="1:7" ht="20" customHeight="1" thickBot="1">
      <c r="A19" s="194">
        <v>2008</v>
      </c>
      <c r="B19" s="313">
        <v>12358.176374460001</v>
      </c>
      <c r="C19" s="314">
        <v>6003.8314850100005</v>
      </c>
      <c r="D19" s="313">
        <v>10.17656891</v>
      </c>
      <c r="E19" s="314">
        <v>4349.7270544200001</v>
      </c>
      <c r="F19" s="313">
        <v>22721.911482829997</v>
      </c>
      <c r="G19" s="197">
        <v>5.2979243670619791E-2</v>
      </c>
    </row>
    <row r="20" spans="1:7" ht="20" customHeight="1" thickBot="1">
      <c r="A20" s="194">
        <v>2009</v>
      </c>
      <c r="B20" s="313">
        <v>12207.08733409</v>
      </c>
      <c r="C20" s="314">
        <v>5757.8256273900015</v>
      </c>
      <c r="D20" s="313">
        <v>10.04827551</v>
      </c>
      <c r="E20" s="314">
        <v>5681.3612091200011</v>
      </c>
      <c r="F20" s="313">
        <v>23656.322446040002</v>
      </c>
      <c r="G20" s="197">
        <v>4.112378326603805E-2</v>
      </c>
    </row>
    <row r="21" spans="1:7" ht="20" customHeight="1" thickBot="1">
      <c r="A21" s="194">
        <v>2010</v>
      </c>
      <c r="B21" s="313">
        <v>11551.631429409998</v>
      </c>
      <c r="C21" s="314">
        <v>5191.0689485400007</v>
      </c>
      <c r="D21" s="313">
        <v>8.6391040799999992</v>
      </c>
      <c r="E21" s="314">
        <v>7541.1220916599996</v>
      </c>
      <c r="F21" s="313">
        <v>24292.461573649998</v>
      </c>
      <c r="G21" s="197">
        <v>2.6890871523290505E-2</v>
      </c>
    </row>
    <row r="22" spans="1:7" ht="27.5" customHeight="1" thickBot="1">
      <c r="A22" s="198">
        <v>2011</v>
      </c>
      <c r="B22" s="315">
        <v>10995.729507669997</v>
      </c>
      <c r="C22" s="316">
        <v>4725.9633071300004</v>
      </c>
      <c r="D22" s="315">
        <v>8.29581108</v>
      </c>
      <c r="E22" s="316">
        <v>9201.5214694400001</v>
      </c>
      <c r="F22" s="315">
        <v>24931.51009534</v>
      </c>
      <c r="G22" s="109">
        <v>2.6306453948791164E-2</v>
      </c>
    </row>
    <row r="23" spans="1:7" ht="19.5" customHeight="1">
      <c r="A23" s="112" t="s">
        <v>720</v>
      </c>
      <c r="B23" s="112"/>
      <c r="C23" s="112"/>
      <c r="D23" s="112"/>
      <c r="E23" s="112"/>
      <c r="F23" s="112"/>
      <c r="G23" s="112"/>
    </row>
    <row r="24" spans="1:7" ht="14.25" customHeight="1">
      <c r="A24" s="115"/>
      <c r="B24" s="115"/>
      <c r="C24" s="115"/>
      <c r="D24" s="115"/>
      <c r="E24" s="115"/>
      <c r="F24" s="115"/>
      <c r="G24" s="115"/>
    </row>
    <row r="25" spans="1:7" ht="14.25" customHeight="1">
      <c r="A25" s="115" t="s">
        <v>666</v>
      </c>
      <c r="B25" s="115"/>
      <c r="C25" s="115"/>
      <c r="D25" s="115"/>
      <c r="E25" s="115"/>
      <c r="F25" s="115"/>
      <c r="G25" s="115"/>
    </row>
    <row r="26" spans="1:7" ht="13.5" customHeight="1">
      <c r="A26" s="206" t="s">
        <v>351</v>
      </c>
      <c r="B26" s="115"/>
      <c r="C26" s="115"/>
      <c r="D26" s="115"/>
      <c r="E26" s="115"/>
      <c r="F26" s="115"/>
      <c r="G26" s="115"/>
    </row>
    <row r="28" spans="1:7">
      <c r="A28" s="3" t="s">
        <v>1625</v>
      </c>
    </row>
    <row r="31" spans="1:7">
      <c r="A31" s="3" t="s">
        <v>719</v>
      </c>
      <c r="G31" s="4"/>
    </row>
  </sheetData>
  <pageMargins left="0.6" right="0.63" top="0.99" bottom="0.49" header="0.59" footer="0.4921259845"/>
  <pageSetup paperSize="9" scale="77" orientation="portrait" horizontalDpi="4294967292" verticalDpi="429496729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3F9C-972F-DA47-8912-97A39FAA9484}">
  <sheetPr>
    <pageSetUpPr fitToPage="1"/>
  </sheetPr>
  <dimension ref="A1:J59"/>
  <sheetViews>
    <sheetView zoomScaleNormal="100" workbookViewId="0">
      <selection activeCell="E6" sqref="E6"/>
    </sheetView>
  </sheetViews>
  <sheetFormatPr baseColWidth="10" defaultColWidth="11.3984375" defaultRowHeight="13"/>
  <cols>
    <col min="1" max="1" width="24.3984375" style="3" customWidth="1"/>
    <col min="2" max="7" width="17.59765625" style="3" customWidth="1"/>
    <col min="8" max="8" width="13.19921875" style="3" customWidth="1"/>
    <col min="9" max="10" width="13.3984375" style="3" customWidth="1"/>
    <col min="11" max="16384" width="11.3984375" style="3"/>
  </cols>
  <sheetData>
    <row r="1" spans="1:10" s="2" customFormat="1" ht="14" customHeight="1"/>
    <row r="2" spans="1:10" s="2" customFormat="1" ht="26.5" customHeight="1">
      <c r="A2" s="1843" t="s">
        <v>1626</v>
      </c>
      <c r="B2" s="1847"/>
      <c r="C2" s="1847"/>
      <c r="D2" s="1847"/>
      <c r="E2" s="1847"/>
      <c r="F2" s="1847"/>
      <c r="G2" s="180"/>
    </row>
    <row r="3" spans="1:10" ht="24" customHeight="1">
      <c r="A3" s="92" t="s">
        <v>1611</v>
      </c>
      <c r="B3" s="182" t="s">
        <v>399</v>
      </c>
      <c r="C3" s="183" t="s">
        <v>400</v>
      </c>
      <c r="D3" s="182" t="s">
        <v>401</v>
      </c>
      <c r="E3" s="183" t="s">
        <v>402</v>
      </c>
      <c r="F3" s="182" t="s">
        <v>683</v>
      </c>
      <c r="G3" s="783" t="s">
        <v>279</v>
      </c>
    </row>
    <row r="4" spans="1:10" ht="15" customHeight="1">
      <c r="A4" s="184"/>
      <c r="B4" s="185" t="s">
        <v>403</v>
      </c>
      <c r="C4" s="186" t="s">
        <v>404</v>
      </c>
      <c r="D4" s="185" t="s">
        <v>405</v>
      </c>
      <c r="E4" s="187" t="s">
        <v>406</v>
      </c>
      <c r="F4" s="185"/>
      <c r="G4" s="784" t="s">
        <v>282</v>
      </c>
    </row>
    <row r="5" spans="1:10" ht="15" customHeight="1">
      <c r="A5" s="184"/>
      <c r="B5" s="185" t="s">
        <v>407</v>
      </c>
      <c r="C5" s="186" t="s">
        <v>408</v>
      </c>
      <c r="D5" s="185"/>
      <c r="E5" s="187" t="s">
        <v>409</v>
      </c>
      <c r="F5" s="185"/>
      <c r="G5" s="95" t="s">
        <v>283</v>
      </c>
    </row>
    <row r="6" spans="1:10" ht="24" customHeight="1">
      <c r="A6" s="408" t="s">
        <v>721</v>
      </c>
      <c r="B6" s="189"/>
      <c r="C6" s="190"/>
      <c r="D6" s="189"/>
      <c r="E6" s="191" t="s">
        <v>410</v>
      </c>
      <c r="F6" s="189"/>
      <c r="G6" s="522"/>
    </row>
    <row r="7" spans="1:10" ht="1.25" customHeight="1" thickBot="1">
      <c r="A7" s="192">
        <v>1996</v>
      </c>
      <c r="B7" s="100">
        <v>1922.0914738477522</v>
      </c>
      <c r="C7" s="193">
        <v>1362.8683192106039</v>
      </c>
      <c r="D7" s="100">
        <v>1064.9780620150216</v>
      </c>
      <c r="E7" s="193">
        <v>918.79836090338449</v>
      </c>
      <c r="F7" s="100">
        <v>1722.6026867710073</v>
      </c>
      <c r="G7" s="101" t="s">
        <v>30</v>
      </c>
    </row>
    <row r="8" spans="1:10" ht="0.75" hidden="1" customHeight="1" thickBot="1">
      <c r="A8" s="194">
        <v>1997</v>
      </c>
      <c r="B8" s="195">
        <v>1955.5774171208591</v>
      </c>
      <c r="C8" s="196">
        <v>1717.9609773327356</v>
      </c>
      <c r="D8" s="195">
        <v>1327.1545657683146</v>
      </c>
      <c r="E8" s="196">
        <v>1035.2511493240283</v>
      </c>
      <c r="F8" s="195">
        <v>1815.5878047739013</v>
      </c>
      <c r="G8" s="197">
        <v>5.3979433979168621E-2</v>
      </c>
      <c r="H8" s="9"/>
      <c r="I8" s="9"/>
      <c r="J8" s="9"/>
    </row>
    <row r="9" spans="1:10" ht="19.5" hidden="1" customHeight="1" thickBot="1">
      <c r="A9" s="194">
        <v>1998</v>
      </c>
      <c r="B9" s="195">
        <v>2001.1385556748141</v>
      </c>
      <c r="C9" s="196">
        <v>1942.4124575719206</v>
      </c>
      <c r="D9" s="195">
        <v>652.30881205655157</v>
      </c>
      <c r="E9" s="196">
        <v>1390.9212818258898</v>
      </c>
      <c r="F9" s="195">
        <v>1935.2604970637331</v>
      </c>
      <c r="G9" s="197">
        <v>6.591402077892608E-2</v>
      </c>
    </row>
    <row r="10" spans="1:10" ht="20" hidden="1" customHeight="1" thickBot="1">
      <c r="A10" s="194">
        <v>1999</v>
      </c>
      <c r="B10" s="195">
        <v>2196.7543830608033</v>
      </c>
      <c r="C10" s="196">
        <v>1834.5631598914081</v>
      </c>
      <c r="D10" s="195">
        <v>708.57112386703454</v>
      </c>
      <c r="E10" s="196">
        <v>1548.1903262736841</v>
      </c>
      <c r="F10" s="195">
        <v>2010.9263687008995</v>
      </c>
      <c r="G10" s="197">
        <v>3.909854603655178E-2</v>
      </c>
    </row>
    <row r="11" spans="1:10" ht="20" hidden="1" customHeight="1" thickBot="1">
      <c r="A11" s="194">
        <v>2000</v>
      </c>
      <c r="B11" s="195">
        <v>2330.7313959837929</v>
      </c>
      <c r="C11" s="196">
        <v>1955.0764432666085</v>
      </c>
      <c r="D11" s="195">
        <v>768.43697012283224</v>
      </c>
      <c r="E11" s="196">
        <v>1632.0632045626817</v>
      </c>
      <c r="F11" s="195">
        <v>2130.4988026779488</v>
      </c>
      <c r="G11" s="197">
        <v>5.9461368570295083E-2</v>
      </c>
    </row>
    <row r="12" spans="1:10" ht="20" customHeight="1" thickBot="1">
      <c r="A12" s="194">
        <v>2001</v>
      </c>
      <c r="B12" s="195">
        <v>2495.1244025796968</v>
      </c>
      <c r="C12" s="196">
        <v>2011.3716436312093</v>
      </c>
      <c r="D12" s="195">
        <v>897.62686042302278</v>
      </c>
      <c r="E12" s="196">
        <v>1740.2608610070422</v>
      </c>
      <c r="F12" s="195">
        <v>2244.3978355168092</v>
      </c>
      <c r="G12" s="197">
        <v>5.3461204810673471E-2</v>
      </c>
    </row>
    <row r="13" spans="1:10" ht="20" customHeight="1" thickBot="1">
      <c r="A13" s="194">
        <v>2002</v>
      </c>
      <c r="B13" s="195">
        <v>2622.961008005575</v>
      </c>
      <c r="C13" s="196">
        <v>2026.9678660755228</v>
      </c>
      <c r="D13" s="195">
        <v>902.79734523799152</v>
      </c>
      <c r="E13" s="196">
        <v>1937.719195679239</v>
      </c>
      <c r="F13" s="195">
        <v>2327.6297728803838</v>
      </c>
      <c r="G13" s="197">
        <v>3.7084306554951346E-2</v>
      </c>
    </row>
    <row r="14" spans="1:10" ht="20" customHeight="1" thickBot="1">
      <c r="A14" s="194">
        <v>2003</v>
      </c>
      <c r="B14" s="195">
        <v>2838.5410322271737</v>
      </c>
      <c r="C14" s="196">
        <v>2089.4955210203316</v>
      </c>
      <c r="D14" s="195">
        <v>999.42596938760983</v>
      </c>
      <c r="E14" s="196">
        <v>1730.3106743718724</v>
      </c>
      <c r="F14" s="195">
        <v>2431.2114971885403</v>
      </c>
      <c r="G14" s="197">
        <v>4.4500944916156783E-2</v>
      </c>
    </row>
    <row r="15" spans="1:10" ht="20" customHeight="1" thickBot="1">
      <c r="A15" s="194">
        <v>2004</v>
      </c>
      <c r="B15" s="195">
        <v>3104.8815477572248</v>
      </c>
      <c r="C15" s="196">
        <v>2203.0474404075858</v>
      </c>
      <c r="D15" s="195">
        <v>1076.1693397885631</v>
      </c>
      <c r="E15" s="196">
        <v>1687.7897523259062</v>
      </c>
      <c r="F15" s="195">
        <v>2592.2165787191948</v>
      </c>
      <c r="G15" s="197">
        <v>6.6224218549822259E-2</v>
      </c>
    </row>
    <row r="16" spans="1:10" ht="20" customHeight="1" thickBot="1">
      <c r="A16" s="194">
        <v>2005</v>
      </c>
      <c r="B16" s="195">
        <v>3415.1929895176959</v>
      </c>
      <c r="C16" s="196">
        <v>2210.8019372998301</v>
      </c>
      <c r="D16" s="195">
        <v>1184.6612422697292</v>
      </c>
      <c r="E16" s="196">
        <v>1753.636061440061</v>
      </c>
      <c r="F16" s="195">
        <v>2736.4253387803569</v>
      </c>
      <c r="G16" s="197">
        <v>5.5631447327759709E-2</v>
      </c>
    </row>
    <row r="17" spans="1:7" ht="20" customHeight="1" thickBot="1">
      <c r="A17" s="194">
        <v>2006</v>
      </c>
      <c r="B17" s="195">
        <v>3636.67</v>
      </c>
      <c r="C17" s="196">
        <v>2215.41</v>
      </c>
      <c r="D17" s="195">
        <v>1230.94</v>
      </c>
      <c r="E17" s="196">
        <v>1690.49</v>
      </c>
      <c r="F17" s="195">
        <v>2754.94</v>
      </c>
      <c r="G17" s="197">
        <v>6.7660026960192354E-3</v>
      </c>
    </row>
    <row r="18" spans="1:7" ht="20" customHeight="1" thickBot="1">
      <c r="A18" s="194">
        <v>2007</v>
      </c>
      <c r="B18" s="195">
        <v>3903.58</v>
      </c>
      <c r="C18" s="196">
        <v>2360.81</v>
      </c>
      <c r="D18" s="195">
        <v>1312.45</v>
      </c>
      <c r="E18" s="196">
        <v>1791.63</v>
      </c>
      <c r="F18" s="195">
        <v>2862.81</v>
      </c>
      <c r="G18" s="197">
        <v>3.915511771581226E-2</v>
      </c>
    </row>
    <row r="19" spans="1:7" ht="20" customHeight="1" thickBot="1">
      <c r="A19" s="194">
        <v>2008</v>
      </c>
      <c r="B19" s="195">
        <v>4193.12</v>
      </c>
      <c r="C19" s="196">
        <v>2525.2199999999998</v>
      </c>
      <c r="D19" s="195">
        <v>1563.03</v>
      </c>
      <c r="E19" s="196">
        <v>1904.22</v>
      </c>
      <c r="F19" s="195">
        <v>2983.62</v>
      </c>
      <c r="G19" s="197">
        <v>4.2199796703239034E-2</v>
      </c>
    </row>
    <row r="20" spans="1:7" ht="20" customHeight="1" thickBot="1">
      <c r="A20" s="194">
        <v>2009</v>
      </c>
      <c r="B20" s="195">
        <v>4441.9708725220817</v>
      </c>
      <c r="C20" s="196">
        <v>2638.2955656157005</v>
      </c>
      <c r="D20" s="195">
        <v>1632.0689143820541</v>
      </c>
      <c r="E20" s="196">
        <v>2049.5670694598875</v>
      </c>
      <c r="F20" s="195">
        <v>3068.7231792819921</v>
      </c>
      <c r="G20" s="197">
        <v>2.8523464543739552E-2</v>
      </c>
    </row>
    <row r="21" spans="1:7" ht="20" customHeight="1" thickBot="1">
      <c r="A21" s="194">
        <v>2010</v>
      </c>
      <c r="B21" s="195">
        <v>4791.6454856573782</v>
      </c>
      <c r="C21" s="196">
        <v>2938.3754716485723</v>
      </c>
      <c r="D21" s="195">
        <v>1519.3026047134924</v>
      </c>
      <c r="E21" s="196">
        <v>2095.2492620205348</v>
      </c>
      <c r="F21" s="195">
        <v>3122.5601379207528</v>
      </c>
      <c r="G21" s="197">
        <v>1.7543765107987719E-2</v>
      </c>
    </row>
    <row r="22" spans="1:7" ht="30" customHeight="1" thickBot="1">
      <c r="A22" s="198">
        <v>2011</v>
      </c>
      <c r="B22" s="199">
        <v>5043.0686628567792</v>
      </c>
      <c r="C22" s="200">
        <v>3063.8574480904667</v>
      </c>
      <c r="D22" s="199">
        <v>1575.1721948420584</v>
      </c>
      <c r="E22" s="200">
        <v>2225.6161503612611</v>
      </c>
      <c r="F22" s="199">
        <v>3170.8301074660226</v>
      </c>
      <c r="G22" s="929">
        <v>1.5458459537439628E-2</v>
      </c>
    </row>
    <row r="23" spans="1:7" ht="20" customHeight="1">
      <c r="A23" s="112" t="s">
        <v>720</v>
      </c>
      <c r="B23" s="112"/>
      <c r="C23" s="112"/>
      <c r="D23" s="112"/>
      <c r="E23" s="112"/>
      <c r="F23" s="112"/>
      <c r="G23" s="796"/>
    </row>
    <row r="24" spans="1:7">
      <c r="G24" s="797"/>
    </row>
    <row r="25" spans="1:7">
      <c r="A25" s="3" t="s">
        <v>1627</v>
      </c>
      <c r="G25" s="797"/>
    </row>
    <row r="26" spans="1:7">
      <c r="G26" s="797"/>
    </row>
    <row r="27" spans="1:7">
      <c r="G27" s="797"/>
    </row>
    <row r="28" spans="1:7" ht="18">
      <c r="A28" s="952" t="s">
        <v>1613</v>
      </c>
      <c r="G28" s="797"/>
    </row>
    <row r="29" spans="1:7" ht="10.25" customHeight="1">
      <c r="G29" s="797"/>
    </row>
    <row r="30" spans="1:7" ht="18" customHeight="1">
      <c r="A30" s="92" t="s">
        <v>469</v>
      </c>
      <c r="B30" s="182" t="s">
        <v>349</v>
      </c>
      <c r="C30" s="783" t="s">
        <v>279</v>
      </c>
      <c r="D30" s="182" t="s">
        <v>459</v>
      </c>
      <c r="E30" s="783" t="s">
        <v>279</v>
      </c>
      <c r="F30" s="182" t="s">
        <v>1597</v>
      </c>
      <c r="G30" s="783" t="s">
        <v>279</v>
      </c>
    </row>
    <row r="31" spans="1:7" ht="18" customHeight="1">
      <c r="A31" s="953"/>
      <c r="B31" s="185" t="s">
        <v>460</v>
      </c>
      <c r="C31" s="784" t="s">
        <v>282</v>
      </c>
      <c r="D31" s="185" t="s">
        <v>461</v>
      </c>
      <c r="E31" s="784" t="s">
        <v>282</v>
      </c>
      <c r="F31" s="185" t="s">
        <v>1598</v>
      </c>
      <c r="G31" s="784" t="s">
        <v>282</v>
      </c>
    </row>
    <row r="32" spans="1:7" ht="18" customHeight="1">
      <c r="A32" s="184"/>
      <c r="B32" s="185"/>
      <c r="C32" s="784" t="s">
        <v>283</v>
      </c>
      <c r="D32" s="185"/>
      <c r="E32" s="784" t="s">
        <v>283</v>
      </c>
      <c r="F32" s="185"/>
      <c r="G32" s="784" t="s">
        <v>283</v>
      </c>
    </row>
    <row r="33" spans="1:7" ht="18" customHeight="1">
      <c r="A33" s="188"/>
      <c r="B33" s="189"/>
      <c r="C33" s="190"/>
      <c r="D33" s="189"/>
      <c r="E33" s="191"/>
      <c r="F33" s="189"/>
      <c r="G33" s="474"/>
    </row>
    <row r="34" spans="1:7" ht="2.25" customHeight="1" thickBot="1">
      <c r="A34" s="192">
        <v>1996</v>
      </c>
      <c r="B34" s="100" t="s">
        <v>30</v>
      </c>
      <c r="C34" s="193" t="s">
        <v>30</v>
      </c>
      <c r="D34" s="100" t="s">
        <v>30</v>
      </c>
      <c r="E34" s="193" t="s">
        <v>30</v>
      </c>
      <c r="F34" s="100" t="s">
        <v>30</v>
      </c>
      <c r="G34" s="101" t="s">
        <v>30</v>
      </c>
    </row>
    <row r="35" spans="1:7" ht="0.75" customHeight="1" thickBot="1">
      <c r="A35" s="194">
        <v>1997</v>
      </c>
      <c r="B35" s="195">
        <v>578.16999999999996</v>
      </c>
      <c r="C35" s="970" t="s">
        <v>30</v>
      </c>
      <c r="D35" s="195">
        <v>891.7</v>
      </c>
      <c r="E35" s="970" t="s">
        <v>30</v>
      </c>
      <c r="F35" s="195">
        <v>2289.58</v>
      </c>
      <c r="G35" s="197" t="s">
        <v>30</v>
      </c>
    </row>
    <row r="36" spans="1:7" ht="18" hidden="1" customHeight="1" thickBot="1">
      <c r="A36" s="194">
        <v>1998</v>
      </c>
      <c r="B36" s="195">
        <v>619.65</v>
      </c>
      <c r="C36" s="197">
        <v>7.1743604822111173E-2</v>
      </c>
      <c r="D36" s="195">
        <v>941.32</v>
      </c>
      <c r="E36" s="197">
        <v>5.564651788718189E-2</v>
      </c>
      <c r="F36" s="195">
        <v>2462.12</v>
      </c>
      <c r="G36" s="197">
        <v>7.5358799430463197E-2</v>
      </c>
    </row>
    <row r="37" spans="1:7" ht="18" hidden="1" customHeight="1" thickBot="1">
      <c r="A37" s="194">
        <v>1999</v>
      </c>
      <c r="B37" s="195">
        <v>634.95000000000005</v>
      </c>
      <c r="C37" s="197">
        <v>2.4691358024691468E-2</v>
      </c>
      <c r="D37" s="195">
        <v>971.45</v>
      </c>
      <c r="E37" s="197">
        <v>3.200824374282929E-2</v>
      </c>
      <c r="F37" s="195">
        <v>2570.02</v>
      </c>
      <c r="G37" s="197">
        <v>4.382402157490306E-2</v>
      </c>
    </row>
    <row r="38" spans="1:7" ht="18" hidden="1" customHeight="1" thickBot="1">
      <c r="A38" s="194">
        <v>2000</v>
      </c>
      <c r="B38" s="195">
        <v>669.86</v>
      </c>
      <c r="C38" s="197">
        <v>5.4980707142294527E-2</v>
      </c>
      <c r="D38" s="195">
        <v>1028.6199999999999</v>
      </c>
      <c r="E38" s="197">
        <v>5.885017242266688E-2</v>
      </c>
      <c r="F38" s="195">
        <v>2753.78</v>
      </c>
      <c r="G38" s="197">
        <v>7.1501389094248413E-2</v>
      </c>
    </row>
    <row r="39" spans="1:7" ht="18" customHeight="1" thickBot="1">
      <c r="A39" s="194">
        <v>2001</v>
      </c>
      <c r="B39" s="195">
        <v>702.31</v>
      </c>
      <c r="C39" s="197">
        <v>4.8442958230077826E-2</v>
      </c>
      <c r="D39" s="195">
        <v>1072.96</v>
      </c>
      <c r="E39" s="197">
        <v>4.3106297758161549E-2</v>
      </c>
      <c r="F39" s="195">
        <v>2898.13</v>
      </c>
      <c r="G39" s="197">
        <v>5.2418856989302043E-2</v>
      </c>
    </row>
    <row r="40" spans="1:7" ht="18" customHeight="1" thickBot="1">
      <c r="A40" s="194">
        <v>2002</v>
      </c>
      <c r="B40" s="195">
        <v>715.59</v>
      </c>
      <c r="C40" s="197">
        <v>1.8909028776466386E-2</v>
      </c>
      <c r="D40" s="195">
        <v>1090.74</v>
      </c>
      <c r="E40" s="197">
        <v>1.6570981210855873E-2</v>
      </c>
      <c r="F40" s="195">
        <v>2994.63</v>
      </c>
      <c r="G40" s="197">
        <v>3.3297333107900506E-2</v>
      </c>
    </row>
    <row r="41" spans="1:7" ht="18" customHeight="1" thickBot="1">
      <c r="A41" s="194">
        <v>2003</v>
      </c>
      <c r="B41" s="195">
        <v>741.79</v>
      </c>
      <c r="C41" s="197">
        <v>3.6613144398328634E-2</v>
      </c>
      <c r="D41" s="195">
        <v>1120.92</v>
      </c>
      <c r="E41" s="197">
        <v>2.7669288739754716E-2</v>
      </c>
      <c r="F41" s="195">
        <v>3118.37</v>
      </c>
      <c r="G41" s="197">
        <v>4.1320630595432339E-2</v>
      </c>
    </row>
    <row r="42" spans="1:7" ht="18" customHeight="1" thickBot="1">
      <c r="A42" s="194">
        <v>2004</v>
      </c>
      <c r="B42" s="195">
        <v>782.37</v>
      </c>
      <c r="C42" s="197">
        <v>5.4705509645587069E-2</v>
      </c>
      <c r="D42" s="195">
        <v>1166.3800000000001</v>
      </c>
      <c r="E42" s="197">
        <v>4.0555971880241293E-2</v>
      </c>
      <c r="F42" s="195">
        <v>3296.18</v>
      </c>
      <c r="G42" s="197">
        <v>5.7020174001160884E-2</v>
      </c>
    </row>
    <row r="43" spans="1:7" ht="18" customHeight="1" thickBot="1">
      <c r="A43" s="194">
        <v>2005</v>
      </c>
      <c r="B43" s="195">
        <v>842.26</v>
      </c>
      <c r="C43" s="197">
        <v>7.6549458696013373E-2</v>
      </c>
      <c r="D43" s="195">
        <v>1192.9100000000001</v>
      </c>
      <c r="E43" s="197">
        <v>2.2745588916133652E-2</v>
      </c>
      <c r="F43" s="195">
        <v>3456.92</v>
      </c>
      <c r="G43" s="197">
        <v>4.8765540716829925E-2</v>
      </c>
    </row>
    <row r="44" spans="1:7" ht="18" customHeight="1" thickBot="1">
      <c r="A44" s="194">
        <v>2006</v>
      </c>
      <c r="B44" s="195">
        <v>852.62</v>
      </c>
      <c r="C44" s="197">
        <v>1.2300239830931092E-2</v>
      </c>
      <c r="D44" s="195">
        <v>1171.6600000000001</v>
      </c>
      <c r="E44" s="197">
        <v>-1.7813581913136756E-2</v>
      </c>
      <c r="F44" s="195">
        <v>3483.89</v>
      </c>
      <c r="G44" s="197">
        <v>7.8017425916712124E-3</v>
      </c>
    </row>
    <row r="45" spans="1:7" ht="18" customHeight="1" thickBot="1">
      <c r="A45" s="194">
        <v>2007</v>
      </c>
      <c r="B45" s="195">
        <v>903.11</v>
      </c>
      <c r="C45" s="197">
        <v>5.9217470854542542E-2</v>
      </c>
      <c r="D45" s="195">
        <v>1190.6199999999999</v>
      </c>
      <c r="E45" s="197">
        <v>1.6182168888585258E-2</v>
      </c>
      <c r="F45" s="195">
        <v>3600.94</v>
      </c>
      <c r="G45" s="197">
        <v>3.3597501643278127E-2</v>
      </c>
    </row>
    <row r="46" spans="1:7" ht="18" customHeight="1" thickBot="1">
      <c r="A46" s="194">
        <v>2008</v>
      </c>
      <c r="B46" s="195">
        <v>927.10641606481363</v>
      </c>
      <c r="C46" s="197">
        <v>2.6570867407972099E-2</v>
      </c>
      <c r="D46" s="195">
        <v>1232.0845759774513</v>
      </c>
      <c r="E46" s="197">
        <v>3.4826036835809537E-2</v>
      </c>
      <c r="F46" s="195">
        <v>3745.8697096406327</v>
      </c>
      <c r="G46" s="197">
        <v>4.024774354491667E-2</v>
      </c>
    </row>
    <row r="47" spans="1:7" ht="18" customHeight="1" thickBot="1">
      <c r="A47" s="194">
        <v>2009</v>
      </c>
      <c r="B47" s="195">
        <v>961.34067298921809</v>
      </c>
      <c r="C47" s="197">
        <v>3.6925919539759988E-2</v>
      </c>
      <c r="D47" s="195">
        <v>1283.9269392146032</v>
      </c>
      <c r="E47" s="197">
        <v>4.2076951735252166E-2</v>
      </c>
      <c r="F47" s="195">
        <v>3850.7211121651544</v>
      </c>
      <c r="G47" s="197">
        <v>2.7991203819681454E-2</v>
      </c>
    </row>
    <row r="48" spans="1:7" ht="18" customHeight="1" thickBot="1">
      <c r="A48" s="194">
        <v>2010</v>
      </c>
      <c r="B48" s="195">
        <v>962.23072687431443</v>
      </c>
      <c r="C48" s="197">
        <v>9.2584648720706042E-4</v>
      </c>
      <c r="D48" s="195">
        <v>1339.1518937955034</v>
      </c>
      <c r="E48" s="197">
        <v>4.3012536690508307E-2</v>
      </c>
      <c r="F48" s="195">
        <v>3909.4171856200396</v>
      </c>
      <c r="G48" s="197">
        <v>1.5242878345423039E-2</v>
      </c>
    </row>
    <row r="49" spans="1:7" ht="24" customHeight="1" thickBot="1">
      <c r="A49" s="955">
        <v>2011</v>
      </c>
      <c r="B49" s="224">
        <v>982.33143426752792</v>
      </c>
      <c r="C49" s="929">
        <v>2.0889696028007831E-2</v>
      </c>
      <c r="D49" s="224">
        <v>1308.6865414297763</v>
      </c>
      <c r="E49" s="929">
        <v>-2.2749736237448248E-2</v>
      </c>
      <c r="F49" s="224">
        <v>3966.3792574707609</v>
      </c>
      <c r="G49" s="929">
        <v>1.457047665832234E-2</v>
      </c>
    </row>
    <row r="50" spans="1:7" ht="15" customHeight="1">
      <c r="A50" s="172" t="s">
        <v>720</v>
      </c>
    </row>
    <row r="52" spans="1:7">
      <c r="A52" s="115" t="s">
        <v>1628</v>
      </c>
    </row>
    <row r="54" spans="1:7">
      <c r="A54" s="115" t="s">
        <v>666</v>
      </c>
    </row>
    <row r="55" spans="1:7">
      <c r="A55" s="3" t="s">
        <v>1616</v>
      </c>
    </row>
    <row r="56" spans="1:7">
      <c r="A56" s="3" t="s">
        <v>1629</v>
      </c>
    </row>
    <row r="59" spans="1:7">
      <c r="A59" s="3" t="s">
        <v>719</v>
      </c>
    </row>
  </sheetData>
  <mergeCells count="1">
    <mergeCell ref="A2:F2"/>
  </mergeCells>
  <pageMargins left="0.35" right="0.28000000000000003" top="0.47244094488188981" bottom="0.31496062992125984" header="0.27559055118110237" footer="0.19685039370078741"/>
  <pageSetup paperSize="9" scale="68" orientation="portrait" horizontalDpi="1200" verticalDpi="12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81F6-BF4D-B248-80A1-C80AFD603EAA}">
  <sheetPr>
    <pageSetUpPr fitToPage="1"/>
  </sheetPr>
  <dimension ref="A1:V66"/>
  <sheetViews>
    <sheetView topLeftCell="I13" zoomScaleNormal="100" workbookViewId="0">
      <selection activeCell="N25" sqref="N25"/>
    </sheetView>
  </sheetViews>
  <sheetFormatPr baseColWidth="10" defaultColWidth="11.3984375" defaultRowHeight="13"/>
  <cols>
    <col min="1" max="1" width="11.796875" style="3" customWidth="1"/>
    <col min="2" max="2" width="17" style="3" customWidth="1"/>
    <col min="3" max="3" width="13" style="227" customWidth="1"/>
    <col min="4" max="4" width="13" style="3" customWidth="1"/>
    <col min="5" max="5" width="14" style="227" customWidth="1"/>
    <col min="6" max="6" width="13" style="3" customWidth="1"/>
    <col min="7" max="7" width="13" style="227" customWidth="1"/>
    <col min="8" max="8" width="13" style="3" customWidth="1"/>
    <col min="9" max="9" width="15.3984375" style="3" customWidth="1"/>
    <col min="10" max="12" width="13" style="3" customWidth="1"/>
    <col min="13" max="13" width="14.59765625" style="3" customWidth="1"/>
    <col min="14" max="14" width="13.59765625" style="3" customWidth="1"/>
    <col min="15" max="15" width="14.59765625" style="3" customWidth="1"/>
    <col min="16" max="16" width="13" style="3" customWidth="1"/>
    <col min="17" max="16384" width="11.3984375" style="3"/>
  </cols>
  <sheetData>
    <row r="1" spans="1:22" s="2" customFormat="1" ht="14" customHeight="1">
      <c r="A1" s="121"/>
      <c r="B1" s="121"/>
      <c r="C1" s="464"/>
      <c r="D1" s="121"/>
      <c r="E1" s="464"/>
      <c r="F1" s="121"/>
      <c r="G1" s="465"/>
      <c r="H1" s="465"/>
      <c r="I1" s="465"/>
      <c r="J1" s="465"/>
      <c r="K1" s="465"/>
      <c r="L1" s="465"/>
      <c r="M1" s="465"/>
      <c r="N1" s="465"/>
      <c r="O1" s="465"/>
      <c r="P1" s="465"/>
      <c r="Q1" s="465"/>
      <c r="R1" s="465"/>
      <c r="S1" s="465"/>
      <c r="T1" s="465"/>
      <c r="U1" s="465"/>
    </row>
    <row r="2" spans="1:22" s="2" customFormat="1" ht="25.5" customHeight="1">
      <c r="A2" s="180" t="s">
        <v>677</v>
      </c>
      <c r="B2" s="121"/>
      <c r="C2" s="464"/>
      <c r="D2" s="121"/>
      <c r="E2" s="464"/>
      <c r="F2" s="121"/>
      <c r="G2" s="464"/>
      <c r="N2" s="122"/>
    </row>
    <row r="3" spans="1:22" ht="24" customHeight="1">
      <c r="A3" s="92" t="s">
        <v>469</v>
      </c>
      <c r="B3" s="466" t="s">
        <v>646</v>
      </c>
      <c r="C3" s="94" t="s">
        <v>279</v>
      </c>
      <c r="D3" s="182"/>
      <c r="E3" s="467"/>
      <c r="F3" s="182"/>
      <c r="G3" s="467"/>
      <c r="H3" s="182"/>
      <c r="I3" s="467"/>
      <c r="J3" s="182"/>
      <c r="K3" s="467"/>
      <c r="L3" s="182"/>
      <c r="M3" s="467"/>
      <c r="N3" s="182"/>
      <c r="O3"/>
    </row>
    <row r="4" spans="1:22" ht="17.25" customHeight="1">
      <c r="A4" s="184"/>
      <c r="B4" s="341" t="s">
        <v>678</v>
      </c>
      <c r="C4" s="95" t="s">
        <v>282</v>
      </c>
      <c r="D4" s="468" t="s">
        <v>648</v>
      </c>
      <c r="E4" s="469" t="s">
        <v>648</v>
      </c>
      <c r="F4" s="468" t="s">
        <v>648</v>
      </c>
      <c r="G4" s="469" t="s">
        <v>648</v>
      </c>
      <c r="H4" s="468" t="s">
        <v>648</v>
      </c>
      <c r="I4" s="469" t="s">
        <v>648</v>
      </c>
      <c r="J4" s="468" t="s">
        <v>648</v>
      </c>
      <c r="K4" s="469" t="s">
        <v>648</v>
      </c>
      <c r="L4" s="468" t="s">
        <v>648</v>
      </c>
      <c r="M4" s="469" t="s">
        <v>648</v>
      </c>
      <c r="N4" s="468" t="s">
        <v>648</v>
      </c>
      <c r="O4"/>
    </row>
    <row r="5" spans="1:22" ht="15" customHeight="1">
      <c r="A5" s="184"/>
      <c r="B5" s="185"/>
      <c r="C5" s="95" t="s">
        <v>283</v>
      </c>
      <c r="D5" s="468" t="s">
        <v>649</v>
      </c>
      <c r="E5" s="469" t="s">
        <v>650</v>
      </c>
      <c r="F5" s="468" t="s">
        <v>651</v>
      </c>
      <c r="G5" s="469" t="s">
        <v>651</v>
      </c>
      <c r="H5" s="468" t="s">
        <v>624</v>
      </c>
      <c r="I5" s="469" t="s">
        <v>625</v>
      </c>
      <c r="J5" s="468" t="s">
        <v>626</v>
      </c>
      <c r="K5" s="469" t="s">
        <v>627</v>
      </c>
      <c r="L5" s="468" t="s">
        <v>652</v>
      </c>
      <c r="M5" s="469" t="s">
        <v>653</v>
      </c>
      <c r="N5" s="468" t="s">
        <v>654</v>
      </c>
      <c r="O5"/>
    </row>
    <row r="6" spans="1:22" s="115" customFormat="1" ht="19.5" customHeight="1">
      <c r="A6" s="470"/>
      <c r="B6" s="321"/>
      <c r="C6" s="471"/>
      <c r="D6" s="472" t="s">
        <v>655</v>
      </c>
      <c r="E6" s="473" t="s">
        <v>655</v>
      </c>
      <c r="F6" s="472" t="s">
        <v>656</v>
      </c>
      <c r="G6" s="473" t="s">
        <v>657</v>
      </c>
      <c r="H6" s="472"/>
      <c r="I6" s="473"/>
      <c r="J6" s="472"/>
      <c r="K6" s="473"/>
      <c r="L6" s="472" t="s">
        <v>658</v>
      </c>
      <c r="M6" s="473" t="s">
        <v>659</v>
      </c>
      <c r="N6" s="472" t="s">
        <v>660</v>
      </c>
      <c r="O6"/>
    </row>
    <row r="7" spans="1:22" ht="19.5" customHeight="1">
      <c r="A7" s="188"/>
      <c r="B7" s="189"/>
      <c r="C7" s="474"/>
      <c r="D7" s="321"/>
      <c r="E7" s="475"/>
      <c r="F7" s="321"/>
      <c r="G7" s="475"/>
      <c r="H7" s="321"/>
      <c r="I7" s="475"/>
      <c r="J7" s="321"/>
      <c r="K7" s="476"/>
      <c r="L7" s="321"/>
      <c r="M7" s="475"/>
      <c r="N7" s="321"/>
      <c r="O7"/>
    </row>
    <row r="8" spans="1:22" ht="1.25" customHeight="1" thickBot="1">
      <c r="A8" s="192">
        <v>1996</v>
      </c>
      <c r="B8" s="100">
        <v>8214.622179967444</v>
      </c>
      <c r="C8" s="101">
        <v>0.11122052660984157</v>
      </c>
      <c r="D8" s="410" t="s">
        <v>30</v>
      </c>
      <c r="E8" s="411" t="s">
        <v>30</v>
      </c>
      <c r="F8" s="410" t="s">
        <v>30</v>
      </c>
      <c r="G8" s="411" t="s">
        <v>30</v>
      </c>
      <c r="H8" s="410" t="s">
        <v>30</v>
      </c>
      <c r="I8" s="411" t="s">
        <v>30</v>
      </c>
      <c r="J8" s="410" t="s">
        <v>30</v>
      </c>
      <c r="K8" s="193">
        <v>56.88</v>
      </c>
      <c r="L8" s="410" t="s">
        <v>30</v>
      </c>
      <c r="M8" s="411" t="s">
        <v>30</v>
      </c>
      <c r="N8" s="410" t="s">
        <v>30</v>
      </c>
      <c r="O8"/>
    </row>
    <row r="9" spans="1:22" ht="0.75" hidden="1" customHeight="1" thickBot="1">
      <c r="A9" s="194">
        <v>1997</v>
      </c>
      <c r="B9" s="195">
        <v>8735.6547899365542</v>
      </c>
      <c r="C9" s="197">
        <v>6.3427458811158022E-2</v>
      </c>
      <c r="D9" s="410" t="s">
        <v>30</v>
      </c>
      <c r="E9" s="411" t="s">
        <v>30</v>
      </c>
      <c r="F9" s="410" t="s">
        <v>30</v>
      </c>
      <c r="G9" s="411" t="s">
        <v>30</v>
      </c>
      <c r="H9" s="410" t="s">
        <v>30</v>
      </c>
      <c r="I9" s="411" t="s">
        <v>30</v>
      </c>
      <c r="J9" s="410" t="s">
        <v>30</v>
      </c>
      <c r="K9" s="196">
        <v>56.26</v>
      </c>
      <c r="L9" s="410" t="s">
        <v>30</v>
      </c>
      <c r="M9" s="411" t="s">
        <v>30</v>
      </c>
      <c r="N9" s="410" t="s">
        <v>30</v>
      </c>
      <c r="O9"/>
      <c r="T9" s="9"/>
      <c r="U9" s="9"/>
      <c r="V9" s="9"/>
    </row>
    <row r="10" spans="1:22" ht="19.5" hidden="1" customHeight="1" thickBot="1">
      <c r="A10" s="194">
        <v>1998</v>
      </c>
      <c r="B10" s="195">
        <v>9332.6868080000004</v>
      </c>
      <c r="C10" s="197">
        <v>6.8344277838362513E-2</v>
      </c>
      <c r="D10" s="195">
        <v>3748.16</v>
      </c>
      <c r="E10" s="196">
        <v>1302.8</v>
      </c>
      <c r="F10" s="195">
        <v>933.79</v>
      </c>
      <c r="G10" s="196">
        <v>1787.54</v>
      </c>
      <c r="H10" s="195">
        <v>223.97</v>
      </c>
      <c r="I10" s="196">
        <v>417.71</v>
      </c>
      <c r="J10" s="195">
        <v>397.5</v>
      </c>
      <c r="K10" s="196">
        <v>56.3</v>
      </c>
      <c r="L10" s="195">
        <v>104.38</v>
      </c>
      <c r="M10" s="196">
        <v>87.2</v>
      </c>
      <c r="N10" s="195" t="s">
        <v>30</v>
      </c>
      <c r="O10"/>
    </row>
    <row r="11" spans="1:22" ht="20" hidden="1" customHeight="1" thickBot="1">
      <c r="A11" s="194">
        <v>1999</v>
      </c>
      <c r="B11" s="195">
        <v>9826.7075550000009</v>
      </c>
      <c r="C11" s="197">
        <v>5.2934461121798788E-2</v>
      </c>
      <c r="D11" s="195">
        <v>3764.53</v>
      </c>
      <c r="E11" s="196">
        <v>1484.57</v>
      </c>
      <c r="F11" s="195">
        <v>1031.77</v>
      </c>
      <c r="G11" s="196">
        <v>1873.03</v>
      </c>
      <c r="H11" s="195">
        <v>235.27</v>
      </c>
      <c r="I11" s="196">
        <v>437.19</v>
      </c>
      <c r="J11" s="195">
        <v>413.87</v>
      </c>
      <c r="K11" s="196">
        <v>60.6</v>
      </c>
      <c r="L11" s="195">
        <v>125.04</v>
      </c>
      <c r="M11" s="196">
        <v>87.9</v>
      </c>
      <c r="N11" s="195" t="s">
        <v>30</v>
      </c>
      <c r="O11"/>
    </row>
    <row r="12" spans="1:22" ht="20" hidden="1" customHeight="1" thickBot="1">
      <c r="A12" s="194">
        <v>2000</v>
      </c>
      <c r="B12" s="195">
        <v>10542.816855999999</v>
      </c>
      <c r="C12" s="197">
        <v>7.2873777609839388E-2</v>
      </c>
      <c r="D12" s="195">
        <v>3846.3722419999999</v>
      </c>
      <c r="E12" s="196">
        <v>1665.8885190000001</v>
      </c>
      <c r="F12" s="195">
        <v>1143.2080209999999</v>
      </c>
      <c r="G12" s="196">
        <v>2097.7667449999999</v>
      </c>
      <c r="H12" s="195">
        <v>253.12159500000001</v>
      </c>
      <c r="I12" s="196">
        <v>446.74208700000003</v>
      </c>
      <c r="J12" s="195">
        <v>442.743357</v>
      </c>
      <c r="K12" s="196">
        <v>62.290866000000001</v>
      </c>
      <c r="L12" s="195">
        <v>179.87060299999999</v>
      </c>
      <c r="M12" s="196">
        <v>114.545208</v>
      </c>
      <c r="N12" s="195" t="s">
        <v>30</v>
      </c>
      <c r="O12"/>
    </row>
    <row r="13" spans="1:22" ht="20" customHeight="1" thickBot="1">
      <c r="A13" s="194">
        <v>2001</v>
      </c>
      <c r="B13" s="195">
        <v>11308.048632</v>
      </c>
      <c r="C13" s="197">
        <v>7.2583237141646939E-2</v>
      </c>
      <c r="D13" s="195">
        <v>4011.5563699999998</v>
      </c>
      <c r="E13" s="196">
        <v>1925.523136</v>
      </c>
      <c r="F13" s="195">
        <v>1271.4507229999999</v>
      </c>
      <c r="G13" s="196">
        <v>2242.439856</v>
      </c>
      <c r="H13" s="195">
        <v>270.321618</v>
      </c>
      <c r="I13" s="196">
        <v>480.12928299999999</v>
      </c>
      <c r="J13" s="195">
        <v>462.70975499999997</v>
      </c>
      <c r="K13" s="196">
        <v>65.236801</v>
      </c>
      <c r="L13" s="195">
        <v>173.02369200000001</v>
      </c>
      <c r="M13" s="196">
        <v>106.32983400000001</v>
      </c>
      <c r="N13" s="195">
        <v>20.166156999999998</v>
      </c>
      <c r="O13"/>
    </row>
    <row r="14" spans="1:22" ht="20" customHeight="1" thickBot="1">
      <c r="A14" s="194">
        <v>2002</v>
      </c>
      <c r="B14" s="195">
        <v>11864.756498999999</v>
      </c>
      <c r="C14" s="197">
        <v>4.9231117155315675E-2</v>
      </c>
      <c r="D14" s="195">
        <v>4108.8234659999998</v>
      </c>
      <c r="E14" s="196">
        <v>1972.059045</v>
      </c>
      <c r="F14" s="195">
        <v>1260.789229</v>
      </c>
      <c r="G14" s="196">
        <v>2524.68426</v>
      </c>
      <c r="H14" s="195">
        <v>290.06557500000002</v>
      </c>
      <c r="I14" s="196">
        <v>506.24601999999999</v>
      </c>
      <c r="J14" s="195">
        <v>485.55174599999998</v>
      </c>
      <c r="K14" s="196">
        <v>65.211265999999995</v>
      </c>
      <c r="L14" s="195">
        <v>202.87558799999999</v>
      </c>
      <c r="M14" s="196">
        <v>112.82700800000001</v>
      </c>
      <c r="N14" s="195">
        <v>22.283301000000002</v>
      </c>
      <c r="O14"/>
    </row>
    <row r="15" spans="1:22" ht="20" customHeight="1" thickBot="1">
      <c r="A15" s="194">
        <v>2003</v>
      </c>
      <c r="B15" s="195">
        <v>12287.171129999999</v>
      </c>
      <c r="C15" s="197">
        <v>3.560246946792394E-2</v>
      </c>
      <c r="D15" s="195">
        <v>4172.0328019999997</v>
      </c>
      <c r="E15" s="196">
        <v>2141.3752909999998</v>
      </c>
      <c r="F15" s="195">
        <v>1347.924618</v>
      </c>
      <c r="G15" s="196">
        <v>2602.0570160000002</v>
      </c>
      <c r="H15" s="195">
        <v>320.12044100000003</v>
      </c>
      <c r="I15" s="196">
        <v>491.37185499999998</v>
      </c>
      <c r="J15" s="195">
        <v>480.48790700000001</v>
      </c>
      <c r="K15" s="196">
        <v>65.007204000000002</v>
      </c>
      <c r="L15" s="195">
        <v>214.51952800000001</v>
      </c>
      <c r="M15" s="196">
        <v>112.746364</v>
      </c>
      <c r="N15" s="195">
        <v>30.331126999999999</v>
      </c>
      <c r="O15"/>
    </row>
    <row r="16" spans="1:22" ht="20" customHeight="1" thickBot="1">
      <c r="A16" s="194">
        <v>2004</v>
      </c>
      <c r="B16" s="195">
        <v>12930.941864000002</v>
      </c>
      <c r="C16" s="197">
        <v>5.2393730598265333E-2</v>
      </c>
      <c r="D16" s="195">
        <v>4377.7035830000004</v>
      </c>
      <c r="E16" s="196">
        <v>2192.3005199999998</v>
      </c>
      <c r="F16" s="195">
        <v>1398.7252390000001</v>
      </c>
      <c r="G16" s="196">
        <v>2750.1970510000001</v>
      </c>
      <c r="H16" s="195">
        <v>365.15373399999999</v>
      </c>
      <c r="I16" s="196">
        <v>505.40384999999998</v>
      </c>
      <c r="J16" s="195">
        <v>591.27084500000001</v>
      </c>
      <c r="K16" s="196">
        <v>68.244215999999994</v>
      </c>
      <c r="L16" s="195">
        <v>259.95297099999999</v>
      </c>
      <c r="M16" s="196">
        <v>79.496533999999997</v>
      </c>
      <c r="N16" s="195">
        <v>25.676613</v>
      </c>
      <c r="O16"/>
    </row>
    <row r="17" spans="1:17" ht="20" customHeight="1" thickBot="1">
      <c r="A17" s="194">
        <v>2005</v>
      </c>
      <c r="B17" s="195">
        <v>13896.515273999998</v>
      </c>
      <c r="C17" s="197">
        <v>7.467154520956984E-2</v>
      </c>
      <c r="D17" s="195">
        <v>4526.5123919999996</v>
      </c>
      <c r="E17" s="196">
        <v>2671.1515180000001</v>
      </c>
      <c r="F17" s="195">
        <v>1472.471274</v>
      </c>
      <c r="G17" s="196">
        <v>2820.8304370000001</v>
      </c>
      <c r="H17" s="195">
        <v>388.382814</v>
      </c>
      <c r="I17" s="196">
        <v>531.73997799999995</v>
      </c>
      <c r="J17" s="195">
        <v>664.98868300000004</v>
      </c>
      <c r="K17" s="196">
        <v>69.204526000000001</v>
      </c>
      <c r="L17" s="195">
        <v>297.96774900000003</v>
      </c>
      <c r="M17" s="196">
        <v>52.688243999999997</v>
      </c>
      <c r="N17" s="195">
        <v>24.155256000000001</v>
      </c>
      <c r="O17"/>
    </row>
    <row r="18" spans="1:17" ht="20" customHeight="1" thickBot="1">
      <c r="A18" s="194">
        <v>2006</v>
      </c>
      <c r="B18" s="195">
        <v>14030.772541999999</v>
      </c>
      <c r="C18" s="197">
        <v>9.6612183236464248E-3</v>
      </c>
      <c r="D18" s="195">
        <v>4631.4300709999998</v>
      </c>
      <c r="E18" s="196">
        <v>2644.9903220000001</v>
      </c>
      <c r="F18" s="195">
        <v>1472.366248</v>
      </c>
      <c r="G18" s="196">
        <v>2826.9170079999999</v>
      </c>
      <c r="H18" s="195">
        <v>416.81203599999998</v>
      </c>
      <c r="I18" s="196">
        <v>539.40939700000001</v>
      </c>
      <c r="J18" s="195">
        <v>625.59989599999994</v>
      </c>
      <c r="K18" s="196">
        <v>68.417607000000004</v>
      </c>
      <c r="L18" s="195">
        <v>336.37458700000002</v>
      </c>
      <c r="M18" s="196">
        <v>61.767296000000002</v>
      </c>
      <c r="N18" s="195">
        <v>11.768563</v>
      </c>
      <c r="O18"/>
    </row>
    <row r="19" spans="1:17" ht="20" customHeight="1" thickBot="1">
      <c r="A19" s="194">
        <v>2007</v>
      </c>
      <c r="B19" s="195">
        <v>14675.691045</v>
      </c>
      <c r="C19" s="197">
        <v>4.5964575440838207E-2</v>
      </c>
      <c r="D19" s="195">
        <v>4835.7349899999999</v>
      </c>
      <c r="E19" s="196">
        <v>2824.687347</v>
      </c>
      <c r="F19" s="195">
        <v>1518.895055</v>
      </c>
      <c r="G19" s="196">
        <v>2887.694485</v>
      </c>
      <c r="H19" s="195">
        <v>456.109013</v>
      </c>
      <c r="I19" s="196">
        <v>553.92740000000003</v>
      </c>
      <c r="J19" s="195">
        <v>633.04220399999997</v>
      </c>
      <c r="K19" s="196">
        <v>71.228594000000001</v>
      </c>
      <c r="L19" s="195">
        <v>373.80373800000001</v>
      </c>
      <c r="M19" s="196">
        <v>64.120796999999996</v>
      </c>
      <c r="N19" s="195">
        <v>9.7957180000000008</v>
      </c>
      <c r="O19"/>
    </row>
    <row r="20" spans="1:17" ht="20" customHeight="1" thickBot="1">
      <c r="A20" s="194">
        <v>2008</v>
      </c>
      <c r="B20" s="195">
        <v>15615.666009989998</v>
      </c>
      <c r="C20" s="197">
        <v>6.4049792415754592E-2</v>
      </c>
      <c r="D20" s="195">
        <v>5103.8810920400001</v>
      </c>
      <c r="E20" s="196">
        <v>3255.3153891399998</v>
      </c>
      <c r="F20" s="195">
        <v>1619.4145700199999</v>
      </c>
      <c r="G20" s="196">
        <v>3019.5684620500001</v>
      </c>
      <c r="H20" s="195">
        <v>496.14749419999998</v>
      </c>
      <c r="I20" s="196">
        <v>572.72103085000003</v>
      </c>
      <c r="J20" s="195">
        <v>686.59783748999996</v>
      </c>
      <c r="K20" s="196">
        <v>71.69690340999999</v>
      </c>
      <c r="L20" s="195">
        <v>374.54323960000005</v>
      </c>
      <c r="M20" s="196">
        <v>55.54561923</v>
      </c>
      <c r="N20" s="195">
        <v>10.82962706</v>
      </c>
      <c r="O20"/>
    </row>
    <row r="21" spans="1:17" ht="20" customHeight="1" thickBot="1">
      <c r="A21" s="194">
        <v>2009</v>
      </c>
      <c r="B21" s="195">
        <v>16254.018595869999</v>
      </c>
      <c r="C21" s="197">
        <v>4.0878985595082407E-2</v>
      </c>
      <c r="D21" s="195">
        <v>5227.31893072</v>
      </c>
      <c r="E21" s="196">
        <v>3473.7134508499998</v>
      </c>
      <c r="F21" s="195">
        <v>1697.4901301199998</v>
      </c>
      <c r="G21" s="196">
        <v>3136.26183201</v>
      </c>
      <c r="H21" s="195">
        <v>531.28997864999997</v>
      </c>
      <c r="I21" s="196">
        <v>592.22791487999996</v>
      </c>
      <c r="J21" s="195">
        <v>691.81437719000007</v>
      </c>
      <c r="K21" s="196">
        <v>72.583560519999992</v>
      </c>
      <c r="L21" s="195">
        <v>392.16189391</v>
      </c>
      <c r="M21" s="196">
        <v>62.042064340000003</v>
      </c>
      <c r="N21" s="195">
        <v>9.6207207700000001</v>
      </c>
      <c r="O21"/>
    </row>
    <row r="22" spans="1:17" ht="20" customHeight="1" thickBot="1">
      <c r="A22" s="194">
        <v>2010</v>
      </c>
      <c r="B22" s="195">
        <v>16768.374995100003</v>
      </c>
      <c r="C22" s="197">
        <v>3.1644875770026282E-2</v>
      </c>
      <c r="D22" s="195">
        <v>5325.2508193000003</v>
      </c>
      <c r="E22" s="196">
        <v>3824.7807484699997</v>
      </c>
      <c r="F22" s="195">
        <v>1619.7804195599999</v>
      </c>
      <c r="G22" s="196">
        <v>3163.9565150100002</v>
      </c>
      <c r="H22" s="195">
        <v>562.75759688999995</v>
      </c>
      <c r="I22" s="196">
        <v>622.54745729000001</v>
      </c>
      <c r="J22" s="195">
        <v>696.93634201999998</v>
      </c>
      <c r="K22" s="196">
        <v>73.035286099999993</v>
      </c>
      <c r="L22" s="195">
        <v>417.93008025</v>
      </c>
      <c r="M22" s="196">
        <v>68.394027909999991</v>
      </c>
      <c r="N22" s="195">
        <v>7.8707267500000002</v>
      </c>
      <c r="O22"/>
    </row>
    <row r="23" spans="1:17" s="482" customFormat="1" ht="30" customHeight="1" thickBot="1">
      <c r="A23" s="499">
        <v>2011</v>
      </c>
      <c r="B23" s="108">
        <v>17331.639448619997</v>
      </c>
      <c r="C23" s="109">
        <v>3.3590878882693742E-2</v>
      </c>
      <c r="D23" s="108">
        <v>5566.1890389700002</v>
      </c>
      <c r="E23" s="500">
        <v>4111.6320723099998</v>
      </c>
      <c r="F23" s="108">
        <v>1620.73979562</v>
      </c>
      <c r="G23" s="500">
        <v>3169.0921884099998</v>
      </c>
      <c r="H23" s="108">
        <v>582.96302235000007</v>
      </c>
      <c r="I23" s="500">
        <v>636.24155867999991</v>
      </c>
      <c r="J23" s="108">
        <v>749.02262587999996</v>
      </c>
      <c r="K23" s="500">
        <v>73.965912650000007</v>
      </c>
      <c r="L23" s="108">
        <v>382.33491762</v>
      </c>
      <c r="M23" s="500">
        <v>86.212460309999997</v>
      </c>
      <c r="N23" s="108">
        <v>7.6325601199999999</v>
      </c>
      <c r="O23"/>
      <c r="P23" s="480"/>
      <c r="Q23" s="481"/>
    </row>
    <row r="24" spans="1:17" ht="17.25" customHeight="1" thickBot="1">
      <c r="A24" s="173"/>
      <c r="B24" s="483"/>
      <c r="C24" s="485"/>
      <c r="D24" s="483"/>
      <c r="E24" s="485"/>
      <c r="F24" s="483"/>
      <c r="G24" s="485"/>
      <c r="P24" s="4"/>
      <c r="Q24" s="4"/>
    </row>
    <row r="25" spans="1:17" s="382" customFormat="1" ht="51" customHeight="1" thickBot="1">
      <c r="A25" s="486" t="s">
        <v>661</v>
      </c>
      <c r="B25" s="290">
        <v>4.3626739223954658E-2</v>
      </c>
      <c r="C25" s="488" t="s">
        <v>30</v>
      </c>
      <c r="D25" s="290">
        <v>3.3295421984415041E-2</v>
      </c>
      <c r="E25" s="291">
        <v>7.8813941957131872E-2</v>
      </c>
      <c r="F25" s="290">
        <v>2.4569388854301488E-2</v>
      </c>
      <c r="G25" s="291">
        <v>3.5193191388867229E-2</v>
      </c>
      <c r="H25" s="290">
        <v>7.9881305730574503E-2</v>
      </c>
      <c r="I25" s="291">
        <v>2.8552310032583517E-2</v>
      </c>
      <c r="J25" s="290">
        <v>4.9345798841221367E-2</v>
      </c>
      <c r="K25" s="291">
        <v>1.2637244058194774E-2</v>
      </c>
      <c r="L25" s="290">
        <v>8.2514790313795716E-2</v>
      </c>
      <c r="M25" s="291">
        <v>-2.0754712309964951E-2</v>
      </c>
      <c r="N25" s="761">
        <v>-9.2587601506672335E-2</v>
      </c>
      <c r="P25" s="480"/>
      <c r="Q25" s="480"/>
    </row>
    <row r="26" spans="1:17" ht="39" customHeight="1">
      <c r="A26" s="173"/>
      <c r="B26" s="489"/>
      <c r="C26" s="485"/>
      <c r="D26" s="483"/>
      <c r="E26" s="485"/>
      <c r="F26" s="483"/>
      <c r="G26" s="485"/>
    </row>
    <row r="27" spans="1:17" ht="18" customHeight="1">
      <c r="A27" s="92" t="s">
        <v>398</v>
      </c>
      <c r="B27" s="341" t="s">
        <v>662</v>
      </c>
      <c r="C27" s="94" t="s">
        <v>279</v>
      </c>
      <c r="D27" s="182"/>
      <c r="E27" s="467"/>
      <c r="F27"/>
      <c r="G27" s="3"/>
      <c r="H27" s="466" t="s">
        <v>278</v>
      </c>
      <c r="I27" s="94" t="s">
        <v>279</v>
      </c>
    </row>
    <row r="28" spans="1:17" ht="17" customHeight="1">
      <c r="A28" s="184"/>
      <c r="B28" s="341" t="s">
        <v>678</v>
      </c>
      <c r="C28" s="95" t="s">
        <v>282</v>
      </c>
      <c r="D28" s="490" t="s">
        <v>648</v>
      </c>
      <c r="E28" s="491" t="s">
        <v>648</v>
      </c>
      <c r="F28"/>
      <c r="G28" s="3"/>
      <c r="H28" s="341" t="s">
        <v>574</v>
      </c>
      <c r="I28" s="95" t="s">
        <v>282</v>
      </c>
    </row>
    <row r="29" spans="1:17" ht="16.25" customHeight="1">
      <c r="A29" s="184"/>
      <c r="B29" s="185"/>
      <c r="C29" s="95" t="s">
        <v>283</v>
      </c>
      <c r="D29" s="490" t="s">
        <v>663</v>
      </c>
      <c r="E29" s="491" t="s">
        <v>664</v>
      </c>
      <c r="F29"/>
      <c r="G29" s="3"/>
      <c r="H29" s="185"/>
      <c r="I29" s="95" t="s">
        <v>283</v>
      </c>
    </row>
    <row r="30" spans="1:17" ht="19.5" customHeight="1">
      <c r="A30" s="470"/>
      <c r="B30" s="321"/>
      <c r="C30" s="471"/>
      <c r="D30" s="490" t="s">
        <v>665</v>
      </c>
      <c r="E30" s="491"/>
      <c r="F30"/>
      <c r="G30" s="3"/>
      <c r="H30" s="321"/>
      <c r="I30" s="471"/>
    </row>
    <row r="31" spans="1:17" ht="19.5" customHeight="1">
      <c r="A31" s="188"/>
      <c r="B31" s="189"/>
      <c r="C31" s="474"/>
      <c r="D31" s="492"/>
      <c r="E31" s="493"/>
      <c r="F31"/>
      <c r="G31" s="3"/>
      <c r="H31" s="189"/>
      <c r="I31" s="474"/>
    </row>
    <row r="32" spans="1:17" ht="1.5" customHeight="1" thickBot="1">
      <c r="A32" s="192">
        <v>1996</v>
      </c>
      <c r="B32" s="100">
        <v>4244.395068032557</v>
      </c>
      <c r="C32" s="101">
        <v>8.4154117430895334E-2</v>
      </c>
      <c r="D32" s="410" t="s">
        <v>30</v>
      </c>
      <c r="E32" s="411" t="s">
        <v>30</v>
      </c>
      <c r="F32"/>
      <c r="G32" s="3"/>
      <c r="H32" s="100">
        <v>12459.017248</v>
      </c>
      <c r="I32" s="101">
        <v>0.10184935576083168</v>
      </c>
    </row>
    <row r="33" spans="1:9" ht="19.5" hidden="1" customHeight="1" thickBot="1">
      <c r="A33" s="194">
        <v>1997</v>
      </c>
      <c r="B33" s="195">
        <v>4402.8227450634458</v>
      </c>
      <c r="C33" s="197">
        <v>3.7326326718291628E-2</v>
      </c>
      <c r="D33" s="195" t="s">
        <v>30</v>
      </c>
      <c r="E33" s="196" t="s">
        <v>30</v>
      </c>
      <c r="F33"/>
      <c r="G33" s="3"/>
      <c r="H33" s="195">
        <v>13138.477535</v>
      </c>
      <c r="I33" s="197">
        <v>5.4535624558114414E-2</v>
      </c>
    </row>
    <row r="34" spans="1:9" ht="19.5" hidden="1" customHeight="1" thickBot="1">
      <c r="A34" s="194">
        <v>1998</v>
      </c>
      <c r="B34" s="195">
        <v>4691.4058439999999</v>
      </c>
      <c r="C34" s="197">
        <v>6.5545018649710712E-2</v>
      </c>
      <c r="D34" s="195">
        <v>3570.49</v>
      </c>
      <c r="E34" s="196">
        <v>1091.68</v>
      </c>
      <c r="F34"/>
      <c r="G34" s="3"/>
      <c r="H34" s="195">
        <v>14024.092651999999</v>
      </c>
      <c r="I34" s="197">
        <v>6.7406220746717538E-2</v>
      </c>
    </row>
    <row r="35" spans="1:9" ht="19.25" hidden="1" customHeight="1" thickBot="1">
      <c r="A35" s="194">
        <v>1999</v>
      </c>
      <c r="B35" s="195">
        <v>4793.8029630000001</v>
      </c>
      <c r="C35" s="197">
        <v>2.1826531833940437E-2</v>
      </c>
      <c r="D35" s="195">
        <v>3611.25</v>
      </c>
      <c r="E35" s="196">
        <v>1169.7</v>
      </c>
      <c r="F35"/>
      <c r="G35" s="3"/>
      <c r="H35" s="195">
        <v>14620.510517999999</v>
      </c>
      <c r="I35" s="197">
        <v>4.2528089395854327E-2</v>
      </c>
    </row>
    <row r="36" spans="1:9" ht="19.25" hidden="1" customHeight="1" thickBot="1">
      <c r="A36" s="194">
        <v>2000</v>
      </c>
      <c r="B36" s="195">
        <v>4935.5105860000003</v>
      </c>
      <c r="C36" s="197">
        <v>2.9560585633940716E-2</v>
      </c>
      <c r="D36" s="195">
        <v>3696.49064</v>
      </c>
      <c r="E36" s="196">
        <v>1214.941513</v>
      </c>
      <c r="F36"/>
      <c r="G36" s="3"/>
      <c r="H36" s="195">
        <v>15478.327442</v>
      </c>
      <c r="I36" s="197">
        <v>5.8672159425890213E-2</v>
      </c>
    </row>
    <row r="37" spans="1:9" ht="21.75" customHeight="1" thickBot="1">
      <c r="A37" s="194">
        <v>2001</v>
      </c>
      <c r="B37" s="195">
        <v>5078.4121850000001</v>
      </c>
      <c r="C37" s="197">
        <v>2.8953762029272606E-2</v>
      </c>
      <c r="D37" s="195">
        <v>3798.2139889999999</v>
      </c>
      <c r="E37" s="196">
        <v>1257.8527670000001</v>
      </c>
      <c r="F37"/>
      <c r="G37" s="3"/>
      <c r="H37" s="195">
        <v>16386.460816999999</v>
      </c>
      <c r="I37" s="197">
        <v>5.867128592562304E-2</v>
      </c>
    </row>
    <row r="38" spans="1:9" ht="19.5" customHeight="1" thickBot="1">
      <c r="A38" s="194">
        <v>2002</v>
      </c>
      <c r="B38" s="195">
        <v>5230.8309099999997</v>
      </c>
      <c r="C38" s="197">
        <v>3.0013066968095962E-2</v>
      </c>
      <c r="D38" s="195">
        <v>3783.9358269999998</v>
      </c>
      <c r="E38" s="196">
        <v>1392.356614</v>
      </c>
      <c r="F38"/>
      <c r="G38" s="3"/>
      <c r="H38" s="195">
        <v>17095.587409</v>
      </c>
      <c r="I38" s="197">
        <v>4.3275152573783532E-2</v>
      </c>
    </row>
    <row r="39" spans="1:9" ht="19.5" customHeight="1" thickBot="1">
      <c r="A39" s="194">
        <v>2003</v>
      </c>
      <c r="B39" s="195">
        <v>5636.9482250000001</v>
      </c>
      <c r="C39" s="197">
        <v>7.7639159435188176E-2</v>
      </c>
      <c r="D39" s="195">
        <v>4111.8764270000001</v>
      </c>
      <c r="E39" s="196">
        <v>1477.775099</v>
      </c>
      <c r="F39"/>
      <c r="G39" s="3"/>
      <c r="H39" s="195">
        <v>17924.119354999999</v>
      </c>
      <c r="I39" s="197">
        <v>4.8464666710651728E-2</v>
      </c>
    </row>
    <row r="40" spans="1:9" ht="19.5" customHeight="1" thickBot="1">
      <c r="A40" s="194">
        <v>2004</v>
      </c>
      <c r="B40" s="195">
        <v>6208.8790769999996</v>
      </c>
      <c r="C40" s="197">
        <v>0.10146107950104499</v>
      </c>
      <c r="D40" s="195">
        <v>4569.0303759999997</v>
      </c>
      <c r="E40" s="196">
        <v>1572.8925360000001</v>
      </c>
      <c r="F40"/>
      <c r="G40" s="3"/>
      <c r="H40" s="195">
        <v>19139.820941000002</v>
      </c>
      <c r="I40" s="197">
        <v>6.782489906043157E-2</v>
      </c>
    </row>
    <row r="41" spans="1:9" ht="19.5" customHeight="1" thickBot="1">
      <c r="A41" s="194">
        <v>2005</v>
      </c>
      <c r="B41" s="195">
        <v>6451.1913709999999</v>
      </c>
      <c r="C41" s="197">
        <v>3.902673751492685E-2</v>
      </c>
      <c r="D41" s="195">
        <v>4803.16752</v>
      </c>
      <c r="E41" s="196">
        <v>1587.1501499999999</v>
      </c>
      <c r="F41"/>
      <c r="G41" s="3"/>
      <c r="H41" s="195">
        <v>20347.706644999998</v>
      </c>
      <c r="I41" s="197">
        <v>6.3108516413157623E-2</v>
      </c>
    </row>
    <row r="42" spans="1:9" ht="19.5" customHeight="1" thickBot="1">
      <c r="A42" s="194">
        <v>2006</v>
      </c>
      <c r="B42" s="195">
        <v>6571.8543769999997</v>
      </c>
      <c r="C42" s="197">
        <v>1.8703988001722505E-2</v>
      </c>
      <c r="D42" s="195">
        <v>4893.0853630000001</v>
      </c>
      <c r="E42" s="196">
        <v>1627.1193760000001</v>
      </c>
      <c r="F42"/>
      <c r="G42" s="3"/>
      <c r="H42" s="195">
        <v>20602.626918999998</v>
      </c>
      <c r="I42" s="197">
        <v>1.2528206664638598E-2</v>
      </c>
    </row>
    <row r="43" spans="1:9" ht="19.5" customHeight="1" thickBot="1">
      <c r="A43" s="194">
        <v>2007</v>
      </c>
      <c r="B43" s="195">
        <v>6902.9978209999999</v>
      </c>
      <c r="C43" s="197">
        <v>5.0388128677794075E-2</v>
      </c>
      <c r="D43" s="195">
        <v>5137.1482340000002</v>
      </c>
      <c r="E43" s="196">
        <v>1706.5482260000001</v>
      </c>
      <c r="F43"/>
      <c r="G43" s="3"/>
      <c r="H43" s="195">
        <v>21578.688866</v>
      </c>
      <c r="I43" s="197">
        <v>4.737560655917461E-2</v>
      </c>
    </row>
    <row r="44" spans="1:9" ht="19.5" customHeight="1" thickBot="1">
      <c r="A44" s="194">
        <v>2008</v>
      </c>
      <c r="B44" s="195">
        <v>7106.2454728100001</v>
      </c>
      <c r="C44" s="197">
        <v>2.9443389246290863E-2</v>
      </c>
      <c r="D44" s="195">
        <v>5258.11061599</v>
      </c>
      <c r="E44" s="196">
        <v>1784.3509754700001</v>
      </c>
      <c r="F44"/>
      <c r="G44" s="3"/>
      <c r="H44" s="195">
        <v>22721.911482799998</v>
      </c>
      <c r="I44" s="197">
        <v>5.2979243729738057E-2</v>
      </c>
    </row>
    <row r="45" spans="1:9" ht="19.5" customHeight="1" thickBot="1">
      <c r="A45" s="194">
        <v>2009</v>
      </c>
      <c r="B45" s="195">
        <v>7402.3038488600005</v>
      </c>
      <c r="C45" s="197">
        <v>4.1661715343606076E-2</v>
      </c>
      <c r="D45" s="195">
        <v>5481.4641226399999</v>
      </c>
      <c r="E45" s="196">
        <v>1858.1611509100001</v>
      </c>
      <c r="F45"/>
      <c r="G45" s="3"/>
      <c r="H45" s="195">
        <v>23656.322444729998</v>
      </c>
      <c r="I45" s="197">
        <v>4.1123783209758846E-2</v>
      </c>
    </row>
    <row r="46" spans="1:9" ht="19.5" customHeight="1" thickBot="1">
      <c r="A46" s="194">
        <v>2010</v>
      </c>
      <c r="B46" s="195">
        <v>7524.0865785100004</v>
      </c>
      <c r="C46" s="197">
        <v>1.6452003610842647E-2</v>
      </c>
      <c r="D46" s="195">
        <v>5592.6431163300003</v>
      </c>
      <c r="E46" s="196">
        <v>1893.93209456</v>
      </c>
      <c r="F46"/>
      <c r="G46" s="3"/>
      <c r="H46" s="195">
        <v>24292.461573610002</v>
      </c>
      <c r="I46" s="197">
        <v>2.6890871578465481E-2</v>
      </c>
    </row>
    <row r="47" spans="1:9" ht="30" customHeight="1" thickBot="1">
      <c r="A47" s="499">
        <v>2011</v>
      </c>
      <c r="B47" s="108">
        <v>7599.8706462</v>
      </c>
      <c r="C47" s="109">
        <v>1.0072195063046019E-2</v>
      </c>
      <c r="D47" s="108">
        <v>5695.65275612</v>
      </c>
      <c r="E47" s="500">
        <v>1846.9192008699999</v>
      </c>
      <c r="F47"/>
      <c r="G47" s="3"/>
      <c r="H47" s="108">
        <v>24931.510094819998</v>
      </c>
      <c r="I47" s="109">
        <v>2.6306453929074936E-2</v>
      </c>
    </row>
    <row r="48" spans="1:9" ht="19.5" customHeight="1" thickBot="1">
      <c r="A48" s="115"/>
      <c r="B48" s="483"/>
      <c r="C48" s="485"/>
      <c r="D48" s="483"/>
      <c r="E48" s="485"/>
      <c r="F48" s="483"/>
      <c r="G48" s="485"/>
    </row>
    <row r="49" spans="1:9" ht="51.75" customHeight="1" thickBot="1">
      <c r="A49" s="486" t="s">
        <v>661</v>
      </c>
      <c r="B49" s="290">
        <v>4.1136867169788705E-2</v>
      </c>
      <c r="C49" s="488" t="s">
        <v>30</v>
      </c>
      <c r="D49" s="290">
        <v>4.1349247428189573E-2</v>
      </c>
      <c r="E49" s="291">
        <v>3.9158534284873037E-2</v>
      </c>
      <c r="F49" s="495"/>
      <c r="G49" s="3"/>
      <c r="H49" s="290">
        <v>4.2860797470901213E-2</v>
      </c>
      <c r="I49" s="488" t="s">
        <v>30</v>
      </c>
    </row>
    <row r="50" spans="1:9" ht="17.25" customHeight="1">
      <c r="A50" s="112" t="s">
        <v>720</v>
      </c>
      <c r="B50" s="483"/>
      <c r="C50" s="485"/>
      <c r="D50" s="483"/>
      <c r="E50" s="485"/>
      <c r="F50" s="483"/>
      <c r="G50" s="485"/>
    </row>
    <row r="51" spans="1:9" ht="14">
      <c r="A51" s="173"/>
      <c r="B51" s="483"/>
      <c r="C51" s="485"/>
      <c r="D51" s="483"/>
      <c r="E51" s="485"/>
      <c r="F51" s="483"/>
      <c r="G51" s="485"/>
    </row>
    <row r="52" spans="1:9">
      <c r="A52" s="115" t="s">
        <v>666</v>
      </c>
      <c r="B52" s="4"/>
      <c r="C52" s="496"/>
      <c r="D52" s="4"/>
      <c r="E52" s="496"/>
      <c r="F52" s="4"/>
      <c r="G52" s="496"/>
    </row>
    <row r="53" spans="1:9" ht="14">
      <c r="A53" s="115" t="s">
        <v>679</v>
      </c>
      <c r="B53" s="483"/>
      <c r="C53" s="485"/>
      <c r="D53" s="483"/>
      <c r="E53" s="485"/>
      <c r="F53" s="483"/>
      <c r="G53" s="485"/>
    </row>
    <row r="54" spans="1:9" ht="14">
      <c r="A54" s="3" t="s">
        <v>680</v>
      </c>
      <c r="B54" s="483"/>
      <c r="C54" s="485"/>
      <c r="D54" s="483"/>
      <c r="E54" s="485"/>
      <c r="F54" s="483"/>
      <c r="G54" s="485"/>
    </row>
    <row r="55" spans="1:9">
      <c r="A55" s="4"/>
      <c r="B55" s="4"/>
      <c r="C55" s="496"/>
      <c r="D55" s="4"/>
      <c r="E55" s="496"/>
      <c r="F55" s="4"/>
      <c r="G55" s="496"/>
    </row>
    <row r="56" spans="1:9">
      <c r="A56" s="4" t="s">
        <v>681</v>
      </c>
      <c r="B56" s="4"/>
      <c r="C56" s="496"/>
      <c r="D56" s="4"/>
      <c r="E56" s="496"/>
      <c r="F56" s="4"/>
      <c r="G56" s="496"/>
    </row>
    <row r="57" spans="1:9">
      <c r="A57" s="4"/>
      <c r="B57" s="4"/>
      <c r="C57" s="496"/>
      <c r="D57" s="4"/>
      <c r="E57" s="496"/>
      <c r="F57" s="4"/>
      <c r="G57" s="496"/>
    </row>
    <row r="59" spans="1:9">
      <c r="A59" s="3" t="s">
        <v>719</v>
      </c>
    </row>
    <row r="62" spans="1:9">
      <c r="B62"/>
      <c r="C62"/>
      <c r="D62"/>
      <c r="E62"/>
    </row>
    <row r="63" spans="1:9">
      <c r="B63"/>
      <c r="C63"/>
      <c r="D63"/>
      <c r="E63"/>
    </row>
    <row r="64" spans="1:9">
      <c r="B64"/>
      <c r="C64"/>
      <c r="D64"/>
      <c r="E64"/>
    </row>
    <row r="65" spans="2:5">
      <c r="B65"/>
      <c r="C65"/>
      <c r="D65"/>
      <c r="E65"/>
    </row>
    <row r="66" spans="2:5">
      <c r="B66"/>
      <c r="C66"/>
      <c r="D66"/>
      <c r="E66"/>
    </row>
  </sheetData>
  <pageMargins left="0.52" right="0.37" top="0.5" bottom="0.49" header="0.3" footer="0.4921259845"/>
  <pageSetup paperSize="9" scale="54" orientation="landscape"/>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0A2E-8EBA-0945-A59C-768073D53D7E}">
  <sheetPr>
    <pageSetUpPr fitToPage="1"/>
  </sheetPr>
  <dimension ref="A1:H43"/>
  <sheetViews>
    <sheetView topLeftCell="A16" zoomScale="85" zoomScaleNormal="85" workbookViewId="0">
      <selection activeCell="G3" sqref="G3:H4"/>
    </sheetView>
  </sheetViews>
  <sheetFormatPr baseColWidth="10" defaultColWidth="11.3984375" defaultRowHeight="13"/>
  <cols>
    <col min="1" max="1" width="41" style="3" customWidth="1"/>
    <col min="2" max="4" width="16" style="3" customWidth="1"/>
    <col min="5" max="5" width="18.3984375" style="3" customWidth="1"/>
    <col min="6" max="6" width="15.19921875" style="3" customWidth="1"/>
    <col min="7" max="7" width="15.3984375" style="3" customWidth="1"/>
    <col min="8" max="8" width="14.796875" style="44" customWidth="1"/>
    <col min="9" max="16384" width="11.3984375" style="3"/>
  </cols>
  <sheetData>
    <row r="1" spans="1:8" s="2" customFormat="1" ht="14" customHeight="1">
      <c r="H1" s="497"/>
    </row>
    <row r="2" spans="1:8" s="2" customFormat="1" ht="28" customHeight="1">
      <c r="A2" s="180" t="s">
        <v>670</v>
      </c>
      <c r="H2" s="180">
        <v>2011</v>
      </c>
    </row>
    <row r="3" spans="1:8" ht="24" customHeight="1">
      <c r="A3" s="92" t="s">
        <v>198</v>
      </c>
      <c r="B3" s="182" t="s">
        <v>346</v>
      </c>
      <c r="C3" s="183" t="s">
        <v>347</v>
      </c>
      <c r="D3" s="182" t="s">
        <v>349</v>
      </c>
      <c r="E3" s="437" t="s">
        <v>278</v>
      </c>
      <c r="F3" s="182" t="s">
        <v>415</v>
      </c>
      <c r="G3" s="183" t="s">
        <v>279</v>
      </c>
      <c r="H3" s="182" t="s">
        <v>279</v>
      </c>
    </row>
    <row r="4" spans="1:8" ht="15" customHeight="1">
      <c r="A4" s="184"/>
      <c r="B4" s="185"/>
      <c r="C4" s="186"/>
      <c r="D4" s="185"/>
      <c r="E4" s="187"/>
      <c r="F4" s="185" t="s">
        <v>416</v>
      </c>
      <c r="G4" s="186" t="s">
        <v>282</v>
      </c>
      <c r="H4" s="185" t="s">
        <v>282</v>
      </c>
    </row>
    <row r="5" spans="1:8" ht="15" customHeight="1">
      <c r="A5" s="184"/>
      <c r="B5" s="185"/>
      <c r="C5" s="186"/>
      <c r="D5" s="185"/>
      <c r="E5" s="187"/>
      <c r="F5" s="185" t="s">
        <v>417</v>
      </c>
      <c r="G5" s="186" t="s">
        <v>283</v>
      </c>
      <c r="H5" s="185" t="s">
        <v>283</v>
      </c>
    </row>
    <row r="6" spans="1:8" ht="24" customHeight="1">
      <c r="A6" s="188"/>
      <c r="B6" s="189"/>
      <c r="C6" s="190"/>
      <c r="D6" s="189"/>
      <c r="E6" s="191"/>
      <c r="F6" s="189"/>
      <c r="G6" s="190" t="s">
        <v>671</v>
      </c>
      <c r="H6" s="189" t="s">
        <v>617</v>
      </c>
    </row>
    <row r="7" spans="1:8" ht="30" customHeight="1" thickBot="1">
      <c r="A7" s="440" t="s">
        <v>618</v>
      </c>
      <c r="B7" s="215">
        <v>1901501844.48</v>
      </c>
      <c r="C7" s="411">
        <v>3082326766.5300002</v>
      </c>
      <c r="D7" s="410">
        <v>582360428</v>
      </c>
      <c r="E7" s="441">
        <v>5566189038.9700003</v>
      </c>
      <c r="F7" s="276">
        <v>0.2232592016207828</v>
      </c>
      <c r="G7" s="411">
        <v>240938.21967000008</v>
      </c>
      <c r="H7" s="276">
        <v>4.5244482907130124E-2</v>
      </c>
    </row>
    <row r="8" spans="1:8" ht="20" customHeight="1" thickBot="1">
      <c r="A8" s="194" t="s">
        <v>619</v>
      </c>
      <c r="B8" s="218">
        <v>2483023731</v>
      </c>
      <c r="C8" s="196">
        <v>2980681616.8400002</v>
      </c>
      <c r="D8" s="195">
        <v>231947408.25999999</v>
      </c>
      <c r="E8" s="442">
        <v>5695652756.1199999</v>
      </c>
      <c r="F8" s="276">
        <v>0.22845197641290815</v>
      </c>
      <c r="G8" s="196">
        <v>103009.63978999996</v>
      </c>
      <c r="H8" s="249">
        <v>1.8418775818042299E-2</v>
      </c>
    </row>
    <row r="9" spans="1:8" ht="20" customHeight="1" thickBot="1">
      <c r="A9" s="194" t="s">
        <v>620</v>
      </c>
      <c r="B9" s="195">
        <v>1748559766.49</v>
      </c>
      <c r="C9" s="196">
        <v>2042121943.47</v>
      </c>
      <c r="D9" s="195">
        <v>320950362.31999999</v>
      </c>
      <c r="E9" s="442">
        <v>4111632072.3099999</v>
      </c>
      <c r="F9" s="276">
        <v>0.16491708912426731</v>
      </c>
      <c r="G9" s="196">
        <v>286851.32384000014</v>
      </c>
      <c r="H9" s="249">
        <v>7.4998109095468335E-2</v>
      </c>
    </row>
    <row r="10" spans="1:8" ht="20" customHeight="1" thickBot="1">
      <c r="A10" s="194" t="s">
        <v>621</v>
      </c>
      <c r="B10" s="195">
        <v>676185435.37</v>
      </c>
      <c r="C10" s="196">
        <v>867134767.62</v>
      </c>
      <c r="D10" s="195">
        <v>77419592.659999996</v>
      </c>
      <c r="E10" s="442">
        <v>1620739795.6199999</v>
      </c>
      <c r="F10" s="276">
        <v>6.5007686636548337E-2</v>
      </c>
      <c r="G10" s="196">
        <v>959.37605999994275</v>
      </c>
      <c r="H10" s="249">
        <v>5.9228772518471473E-4</v>
      </c>
    </row>
    <row r="11" spans="1:8" ht="20" customHeight="1" thickBot="1">
      <c r="A11" s="194" t="s">
        <v>622</v>
      </c>
      <c r="B11" s="195">
        <v>1360386945.23</v>
      </c>
      <c r="C11" s="196">
        <v>1708996750.8499999</v>
      </c>
      <c r="D11" s="195">
        <v>99708492.299999997</v>
      </c>
      <c r="E11" s="442">
        <v>3169092188.4099998</v>
      </c>
      <c r="F11" s="276">
        <v>0.12711192287820702</v>
      </c>
      <c r="G11" s="196">
        <v>5135.6733999996186</v>
      </c>
      <c r="H11" s="249">
        <v>1.623180778761002E-3</v>
      </c>
    </row>
    <row r="12" spans="1:8" ht="20" customHeight="1" thickBot="1">
      <c r="A12" s="194" t="s">
        <v>623</v>
      </c>
      <c r="B12" s="195">
        <v>492261859.91000003</v>
      </c>
      <c r="C12" s="196">
        <v>1354554455.9000001</v>
      </c>
      <c r="D12" s="195">
        <v>102885.03</v>
      </c>
      <c r="E12" s="442">
        <v>1846919200.8699999</v>
      </c>
      <c r="F12" s="276">
        <v>7.4079716545277896E-2</v>
      </c>
      <c r="G12" s="196">
        <v>-47012.893690000055</v>
      </c>
      <c r="H12" s="249">
        <v>-2.4822903537585428E-2</v>
      </c>
    </row>
    <row r="13" spans="1:8" ht="20" customHeight="1" thickBot="1">
      <c r="A13" s="194" t="s">
        <v>624</v>
      </c>
      <c r="B13" s="195">
        <v>194822479.34</v>
      </c>
      <c r="C13" s="196">
        <v>385040774.93000001</v>
      </c>
      <c r="D13" s="195">
        <v>3099768.07</v>
      </c>
      <c r="E13" s="442">
        <v>582963022.35000002</v>
      </c>
      <c r="F13" s="276">
        <v>2.3382579720717431E-2</v>
      </c>
      <c r="G13" s="196">
        <v>20205.425460000039</v>
      </c>
      <c r="H13" s="249">
        <v>3.5904313991783399E-2</v>
      </c>
    </row>
    <row r="14" spans="1:8" ht="20" customHeight="1" thickBot="1">
      <c r="A14" s="194" t="s">
        <v>625</v>
      </c>
      <c r="B14" s="195">
        <v>212982867.94999999</v>
      </c>
      <c r="C14" s="196">
        <v>394142266.69</v>
      </c>
      <c r="D14" s="195">
        <v>29116424.050000001</v>
      </c>
      <c r="E14" s="442">
        <v>636241558.67999995</v>
      </c>
      <c r="F14" s="276">
        <v>2.5519575679942123E-2</v>
      </c>
      <c r="G14" s="196">
        <v>13694.101389999985</v>
      </c>
      <c r="H14" s="249">
        <v>2.199687948226714E-2</v>
      </c>
    </row>
    <row r="15" spans="1:8" ht="20" customHeight="1" thickBot="1">
      <c r="A15" s="194" t="s">
        <v>626</v>
      </c>
      <c r="B15" s="195">
        <v>246799492.94999999</v>
      </c>
      <c r="C15" s="196">
        <v>454158124.61000001</v>
      </c>
      <c r="D15" s="195">
        <v>48065008.299999997</v>
      </c>
      <c r="E15" s="442">
        <v>749022625.88</v>
      </c>
      <c r="F15" s="276">
        <v>3.0043211302937637E-2</v>
      </c>
      <c r="G15" s="196">
        <v>52086.283860000018</v>
      </c>
      <c r="H15" s="249">
        <v>7.4736070885661032E-2</v>
      </c>
    </row>
    <row r="16" spans="1:8" ht="20" customHeight="1" thickBot="1">
      <c r="A16" s="194" t="s">
        <v>627</v>
      </c>
      <c r="B16" s="195">
        <v>27680858</v>
      </c>
      <c r="C16" s="196">
        <v>42730215.670000002</v>
      </c>
      <c r="D16" s="195">
        <v>3554838.96</v>
      </c>
      <c r="E16" s="442">
        <v>73965912.650000006</v>
      </c>
      <c r="F16" s="276">
        <v>2.9667642420652188E-3</v>
      </c>
      <c r="G16" s="196">
        <v>930.62655000001189</v>
      </c>
      <c r="H16" s="249">
        <v>1.2742149715492257E-2</v>
      </c>
    </row>
    <row r="17" spans="1:8" ht="20" customHeight="1" thickBot="1">
      <c r="A17" s="194" t="s">
        <v>628</v>
      </c>
      <c r="B17" s="195">
        <v>190206251.19</v>
      </c>
      <c r="C17" s="196">
        <v>174663957.13999999</v>
      </c>
      <c r="D17" s="195">
        <v>17464709.300000001</v>
      </c>
      <c r="E17" s="442">
        <v>382334917.62</v>
      </c>
      <c r="F17" s="276">
        <v>1.533540953459684E-2</v>
      </c>
      <c r="G17" s="196">
        <v>-35595.162629999992</v>
      </c>
      <c r="H17" s="249">
        <v>-8.5170138049664779E-2</v>
      </c>
    </row>
    <row r="18" spans="1:8" ht="20" customHeight="1" thickBot="1">
      <c r="A18" s="194" t="s">
        <v>629</v>
      </c>
      <c r="B18" s="195">
        <v>34222920.729999997</v>
      </c>
      <c r="C18" s="196">
        <v>43931312.619999997</v>
      </c>
      <c r="D18" s="195">
        <v>8058226.9500000002</v>
      </c>
      <c r="E18" s="442">
        <v>86212460.310000002</v>
      </c>
      <c r="F18" s="276">
        <v>3.4579718589894922E-3</v>
      </c>
      <c r="G18" s="196">
        <v>17818.432400000005</v>
      </c>
      <c r="H18" s="249">
        <v>0.2605261445260596</v>
      </c>
    </row>
    <row r="19" spans="1:8" ht="20" customHeight="1" thickBot="1">
      <c r="A19" s="103" t="s">
        <v>630</v>
      </c>
      <c r="B19" s="195">
        <v>1937761.89</v>
      </c>
      <c r="C19" s="196">
        <v>5475980.6900000004</v>
      </c>
      <c r="D19" s="195">
        <v>218817.53</v>
      </c>
      <c r="E19" s="442">
        <v>7632560.1200000001</v>
      </c>
      <c r="F19" s="276">
        <v>3.0614110781784581E-4</v>
      </c>
      <c r="G19" s="196">
        <v>-238.16662999999988</v>
      </c>
      <c r="H19" s="249">
        <v>-3.025980161234787E-2</v>
      </c>
    </row>
    <row r="20" spans="1:8" ht="20" customHeight="1" thickBot="1">
      <c r="A20" s="194" t="s">
        <v>672</v>
      </c>
      <c r="B20" s="195">
        <v>123057583.81</v>
      </c>
      <c r="C20" s="196">
        <v>171558688.41999999</v>
      </c>
      <c r="D20" s="195">
        <v>50997023.509999998</v>
      </c>
      <c r="E20" s="442">
        <v>345613295.74000001</v>
      </c>
      <c r="F20" s="276">
        <v>1.3862509508070584E-2</v>
      </c>
      <c r="G20" s="196">
        <v>-39521.679789999958</v>
      </c>
      <c r="H20" s="249">
        <v>-0.10261773741949187</v>
      </c>
    </row>
    <row r="21" spans="1:8" ht="20" customHeight="1" thickBot="1">
      <c r="A21" s="194" t="s">
        <v>632</v>
      </c>
      <c r="B21" s="195">
        <v>26675632.77</v>
      </c>
      <c r="C21" s="196">
        <v>26313138.920000002</v>
      </c>
      <c r="D21" s="195">
        <v>4309917.53</v>
      </c>
      <c r="E21" s="442">
        <v>57298689.210000001</v>
      </c>
      <c r="F21" s="276">
        <v>2.2982438284757131E-3</v>
      </c>
      <c r="G21" s="196">
        <v>19787.321590000003</v>
      </c>
      <c r="H21" s="249">
        <v>0.52750200393786661</v>
      </c>
    </row>
    <row r="22" spans="1:8" ht="30" customHeight="1" thickBot="1">
      <c r="A22" s="443" t="s">
        <v>633</v>
      </c>
      <c r="B22" s="444">
        <v>9720305431.1499996</v>
      </c>
      <c r="C22" s="445">
        <v>13733830760.92</v>
      </c>
      <c r="D22" s="444">
        <v>1477373902.77</v>
      </c>
      <c r="E22" s="225">
        <v>24931510094.82</v>
      </c>
      <c r="F22" s="290">
        <v>1</v>
      </c>
      <c r="G22" s="445">
        <v>639048.5212099991</v>
      </c>
      <c r="H22" s="290">
        <v>2.6306453929075158E-2</v>
      </c>
    </row>
    <row r="23" spans="1:8" ht="14.25" customHeight="1">
      <c r="A23" s="447"/>
      <c r="B23" s="427"/>
      <c r="C23" s="427"/>
      <c r="D23" s="427"/>
      <c r="E23" s="428"/>
      <c r="F23" s="448"/>
      <c r="G23" s="427"/>
      <c r="H23" s="448"/>
    </row>
    <row r="24" spans="1:8" ht="30" customHeight="1" thickBot="1">
      <c r="A24" s="450" t="s">
        <v>634</v>
      </c>
      <c r="B24" s="451" t="s">
        <v>30</v>
      </c>
      <c r="C24" s="452">
        <v>603817901.47000003</v>
      </c>
      <c r="D24" s="451">
        <v>2381855.7000000002</v>
      </c>
      <c r="E24" s="453">
        <v>606199757.16999996</v>
      </c>
      <c r="F24" s="454">
        <v>2.4314602479532502E-2</v>
      </c>
      <c r="G24" s="452">
        <v>-997.53736000001436</v>
      </c>
      <c r="H24" s="454">
        <v>-1.6428554095784254E-3</v>
      </c>
    </row>
    <row r="25" spans="1:8" ht="33" customHeight="1" thickBot="1">
      <c r="A25" s="456" t="s">
        <v>635</v>
      </c>
      <c r="B25" s="457">
        <v>320689467.81999999</v>
      </c>
      <c r="C25" s="458">
        <v>334181096.68000001</v>
      </c>
      <c r="D25" s="457">
        <v>13790552.779999999</v>
      </c>
      <c r="E25" s="459">
        <v>668661117.27999997</v>
      </c>
      <c r="F25" s="460">
        <v>2.6819920443524485E-2</v>
      </c>
      <c r="G25" s="458">
        <v>57607.014709999916</v>
      </c>
      <c r="H25" s="460">
        <v>9.4274818657977377E-2</v>
      </c>
    </row>
    <row r="26" spans="1:8" ht="14.25" customHeight="1">
      <c r="A26" s="447"/>
      <c r="B26" s="427"/>
      <c r="C26" s="427"/>
      <c r="D26" s="427"/>
      <c r="E26" s="428"/>
      <c r="F26" s="448"/>
      <c r="G26" s="427"/>
      <c r="H26" s="448"/>
    </row>
    <row r="27" spans="1:8" ht="30" customHeight="1" thickBot="1">
      <c r="A27" s="450" t="s">
        <v>673</v>
      </c>
      <c r="B27" s="451">
        <v>20094637.100000001</v>
      </c>
      <c r="C27" s="452">
        <v>22673991.199999999</v>
      </c>
      <c r="D27" s="451">
        <v>20906715.350000001</v>
      </c>
      <c r="E27" s="453">
        <v>63675343.649999999</v>
      </c>
      <c r="F27" s="454">
        <v>2.5540107040379306E-3</v>
      </c>
      <c r="G27" s="452" t="s">
        <v>30</v>
      </c>
      <c r="H27" s="454" t="s">
        <v>30</v>
      </c>
    </row>
    <row r="28" spans="1:8" ht="33" customHeight="1" thickBot="1">
      <c r="A28" s="456" t="s">
        <v>674</v>
      </c>
      <c r="B28" s="457">
        <v>28010582.82</v>
      </c>
      <c r="C28" s="458">
        <v>30175683.239999998</v>
      </c>
      <c r="D28" s="457">
        <v>5987808.7400000002</v>
      </c>
      <c r="E28" s="459">
        <v>64174074.799999997</v>
      </c>
      <c r="F28" s="460">
        <v>2.5740147530547456E-3</v>
      </c>
      <c r="G28" s="458" t="s">
        <v>30</v>
      </c>
      <c r="H28" s="460" t="s">
        <v>30</v>
      </c>
    </row>
    <row r="29" spans="1:8" ht="20" customHeight="1">
      <c r="A29" s="112" t="s">
        <v>720</v>
      </c>
      <c r="B29" s="201"/>
      <c r="C29" s="201"/>
      <c r="D29" s="201"/>
      <c r="E29" s="201"/>
      <c r="F29" s="201"/>
    </row>
    <row r="30" spans="1:8" ht="12" customHeight="1">
      <c r="A30" s="115"/>
      <c r="B30" s="203"/>
      <c r="C30" s="203"/>
      <c r="D30" s="203"/>
      <c r="E30" s="203"/>
      <c r="F30" s="203"/>
    </row>
    <row r="31" spans="1:8">
      <c r="A31" s="115" t="s">
        <v>638</v>
      </c>
    </row>
    <row r="32" spans="1:8">
      <c r="A32" s="115" t="s">
        <v>639</v>
      </c>
    </row>
    <row r="33" spans="1:2">
      <c r="A33" s="172" t="s">
        <v>640</v>
      </c>
    </row>
    <row r="34" spans="1:2">
      <c r="A34" s="172" t="s">
        <v>641</v>
      </c>
    </row>
    <row r="35" spans="1:2">
      <c r="A35" s="172" t="s">
        <v>642</v>
      </c>
    </row>
    <row r="36" spans="1:2">
      <c r="A36" s="172" t="s">
        <v>675</v>
      </c>
    </row>
    <row r="38" spans="1:2">
      <c r="A38" s="115" t="s">
        <v>676</v>
      </c>
      <c r="B38" s="115"/>
    </row>
    <row r="39" spans="1:2" ht="14">
      <c r="A39" s="498"/>
      <c r="B39" s="115"/>
    </row>
    <row r="40" spans="1:2">
      <c r="A40" s="115"/>
      <c r="B40" s="115"/>
    </row>
    <row r="41" spans="1:2">
      <c r="A41" s="115" t="s">
        <v>719</v>
      </c>
      <c r="B41" s="115"/>
    </row>
    <row r="42" spans="1:2">
      <c r="A42" s="115"/>
      <c r="B42" s="115"/>
    </row>
    <row r="43" spans="1:2">
      <c r="A43" s="115"/>
      <c r="B43" s="115"/>
    </row>
  </sheetData>
  <pageMargins left="0.49" right="0.5" top="0.4" bottom="0.36" header="0.35" footer="0.2"/>
  <pageSetup paperSize="9" scale="71" orientation="landscape"/>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4BD8-8BC2-6E4F-B533-98FA0C9F0321}">
  <sheetPr>
    <pageSetUpPr fitToPage="1"/>
  </sheetPr>
  <dimension ref="A1:V66"/>
  <sheetViews>
    <sheetView topLeftCell="A13" zoomScaleNormal="100" workbookViewId="0">
      <selection activeCell="N25" sqref="N25"/>
    </sheetView>
  </sheetViews>
  <sheetFormatPr baseColWidth="10" defaultColWidth="11.3984375" defaultRowHeight="13"/>
  <cols>
    <col min="1" max="1" width="11.796875" style="3" customWidth="1"/>
    <col min="2" max="2" width="17" style="3" customWidth="1"/>
    <col min="3" max="3" width="13" style="227" customWidth="1"/>
    <col min="4" max="4" width="13" style="3" customWidth="1"/>
    <col min="5" max="5" width="14" style="227" customWidth="1"/>
    <col min="6" max="6" width="13" style="3" customWidth="1"/>
    <col min="7" max="7" width="13" style="227" customWidth="1"/>
    <col min="8" max="8" width="13" style="3" customWidth="1"/>
    <col min="9" max="9" width="15.3984375" style="3" customWidth="1"/>
    <col min="10" max="12" width="13" style="3" customWidth="1"/>
    <col min="13" max="13" width="14.59765625" style="3" customWidth="1"/>
    <col min="14" max="14" width="14.19921875" style="3" customWidth="1"/>
    <col min="15" max="15" width="14.59765625" style="3" customWidth="1"/>
    <col min="16" max="16" width="13" style="3" customWidth="1"/>
    <col min="17" max="16384" width="11.3984375" style="3"/>
  </cols>
  <sheetData>
    <row r="1" spans="1:22" s="2" customFormat="1" ht="14" customHeight="1">
      <c r="A1" s="121"/>
      <c r="B1" s="121"/>
      <c r="C1" s="464"/>
      <c r="D1" s="121"/>
      <c r="E1" s="464"/>
      <c r="F1" s="121"/>
      <c r="G1" s="465"/>
      <c r="H1" s="465"/>
      <c r="I1" s="465"/>
      <c r="J1" s="465"/>
      <c r="K1" s="465"/>
      <c r="L1" s="465"/>
      <c r="M1" s="465"/>
      <c r="N1" s="465"/>
      <c r="O1" s="465"/>
      <c r="P1" s="465"/>
      <c r="Q1" s="465"/>
      <c r="R1" s="465"/>
      <c r="S1" s="465"/>
      <c r="T1" s="465"/>
      <c r="U1" s="465"/>
    </row>
    <row r="2" spans="1:22" s="2" customFormat="1" ht="26" customHeight="1">
      <c r="A2" s="180" t="s">
        <v>645</v>
      </c>
      <c r="B2" s="121"/>
      <c r="C2" s="464"/>
      <c r="D2" s="121"/>
      <c r="E2" s="464"/>
      <c r="F2" s="121"/>
      <c r="G2" s="464"/>
      <c r="N2" s="122"/>
    </row>
    <row r="3" spans="1:22" ht="24" customHeight="1">
      <c r="A3" s="92" t="s">
        <v>398</v>
      </c>
      <c r="B3" s="466" t="s">
        <v>646</v>
      </c>
      <c r="C3" s="94" t="s">
        <v>279</v>
      </c>
      <c r="D3" s="182"/>
      <c r="E3" s="467"/>
      <c r="F3" s="182"/>
      <c r="G3" s="467"/>
      <c r="H3" s="182"/>
      <c r="I3" s="467"/>
      <c r="J3" s="182"/>
      <c r="K3" s="467"/>
      <c r="L3" s="182"/>
      <c r="M3" s="467"/>
      <c r="N3" s="182"/>
      <c r="O3"/>
    </row>
    <row r="4" spans="1:22" ht="15" customHeight="1">
      <c r="A4" s="184"/>
      <c r="B4" s="341" t="s">
        <v>647</v>
      </c>
      <c r="C4" s="95" t="s">
        <v>282</v>
      </c>
      <c r="D4" s="468" t="s">
        <v>648</v>
      </c>
      <c r="E4" s="469" t="s">
        <v>648</v>
      </c>
      <c r="F4" s="468" t="s">
        <v>648</v>
      </c>
      <c r="G4" s="469" t="s">
        <v>648</v>
      </c>
      <c r="H4" s="468" t="s">
        <v>648</v>
      </c>
      <c r="I4" s="469" t="s">
        <v>648</v>
      </c>
      <c r="J4" s="468" t="s">
        <v>648</v>
      </c>
      <c r="K4" s="469" t="s">
        <v>648</v>
      </c>
      <c r="L4" s="468" t="s">
        <v>648</v>
      </c>
      <c r="M4" s="469" t="s">
        <v>648</v>
      </c>
      <c r="N4" s="468" t="s">
        <v>648</v>
      </c>
      <c r="O4"/>
    </row>
    <row r="5" spans="1:22" ht="15" customHeight="1">
      <c r="A5" s="184"/>
      <c r="B5" s="185"/>
      <c r="C5" s="95" t="s">
        <v>283</v>
      </c>
      <c r="D5" s="468" t="s">
        <v>649</v>
      </c>
      <c r="E5" s="469" t="s">
        <v>650</v>
      </c>
      <c r="F5" s="468" t="s">
        <v>651</v>
      </c>
      <c r="G5" s="469" t="s">
        <v>651</v>
      </c>
      <c r="H5" s="468" t="s">
        <v>624</v>
      </c>
      <c r="I5" s="469" t="s">
        <v>625</v>
      </c>
      <c r="J5" s="468" t="s">
        <v>626</v>
      </c>
      <c r="K5" s="469" t="s">
        <v>627</v>
      </c>
      <c r="L5" s="468" t="s">
        <v>652</v>
      </c>
      <c r="M5" s="469" t="s">
        <v>653</v>
      </c>
      <c r="N5" s="468" t="s">
        <v>654</v>
      </c>
      <c r="O5"/>
    </row>
    <row r="6" spans="1:22" s="115" customFormat="1" ht="19.5" customHeight="1">
      <c r="A6" s="470"/>
      <c r="B6" s="321"/>
      <c r="C6" s="471"/>
      <c r="D6" s="472" t="s">
        <v>655</v>
      </c>
      <c r="E6" s="473" t="s">
        <v>655</v>
      </c>
      <c r="F6" s="472" t="s">
        <v>656</v>
      </c>
      <c r="G6" s="473" t="s">
        <v>657</v>
      </c>
      <c r="H6" s="472"/>
      <c r="I6" s="473"/>
      <c r="J6" s="472"/>
      <c r="K6" s="473"/>
      <c r="L6" s="472" t="s">
        <v>658</v>
      </c>
      <c r="M6" s="473" t="s">
        <v>659</v>
      </c>
      <c r="N6" s="472" t="s">
        <v>660</v>
      </c>
      <c r="O6"/>
    </row>
    <row r="7" spans="1:22" ht="19.5" customHeight="1">
      <c r="A7" s="188"/>
      <c r="B7" s="189"/>
      <c r="C7" s="474"/>
      <c r="D7" s="321"/>
      <c r="E7" s="475"/>
      <c r="F7" s="321"/>
      <c r="G7" s="475"/>
      <c r="H7" s="321"/>
      <c r="I7" s="475"/>
      <c r="J7" s="321"/>
      <c r="K7" s="476"/>
      <c r="L7" s="321"/>
      <c r="M7" s="475"/>
      <c r="N7" s="321"/>
      <c r="O7"/>
    </row>
    <row r="8" spans="1:22" ht="2" customHeight="1" thickBot="1">
      <c r="A8" s="192">
        <v>1996</v>
      </c>
      <c r="B8" s="100">
        <v>1135.7666791471866</v>
      </c>
      <c r="C8" s="101">
        <v>0.10634844182252187</v>
      </c>
      <c r="D8" s="410" t="s">
        <v>30</v>
      </c>
      <c r="E8" s="411" t="s">
        <v>30</v>
      </c>
      <c r="F8" s="410" t="s">
        <v>30</v>
      </c>
      <c r="G8" s="411" t="s">
        <v>30</v>
      </c>
      <c r="H8" s="410" t="s">
        <v>30</v>
      </c>
      <c r="I8" s="411" t="s">
        <v>30</v>
      </c>
      <c r="J8" s="410" t="s">
        <v>30</v>
      </c>
      <c r="K8" s="193">
        <v>7.8643189296562399</v>
      </c>
      <c r="L8" s="410" t="s">
        <v>30</v>
      </c>
      <c r="M8" s="411" t="s">
        <v>30</v>
      </c>
      <c r="N8" s="410" t="s">
        <v>30</v>
      </c>
      <c r="O8"/>
    </row>
    <row r="9" spans="1:22" ht="0.75" hidden="1" customHeight="1" thickBot="1">
      <c r="A9" s="194">
        <v>1997</v>
      </c>
      <c r="B9" s="195">
        <v>1207.1705655887454</v>
      </c>
      <c r="C9" s="197">
        <v>6.2868446268536313E-2</v>
      </c>
      <c r="D9" s="410" t="s">
        <v>30</v>
      </c>
      <c r="E9" s="411" t="s">
        <v>30</v>
      </c>
      <c r="F9" s="410" t="s">
        <v>30</v>
      </c>
      <c r="G9" s="411" t="s">
        <v>30</v>
      </c>
      <c r="H9" s="410" t="s">
        <v>30</v>
      </c>
      <c r="I9" s="411" t="s">
        <v>30</v>
      </c>
      <c r="J9" s="410" t="s">
        <v>30</v>
      </c>
      <c r="K9" s="196">
        <v>7.7745077676674157</v>
      </c>
      <c r="L9" s="410" t="s">
        <v>30</v>
      </c>
      <c r="M9" s="411" t="s">
        <v>30</v>
      </c>
      <c r="N9" s="410" t="s">
        <v>30</v>
      </c>
      <c r="O9"/>
      <c r="T9" s="9"/>
      <c r="U9" s="9"/>
      <c r="V9" s="9"/>
    </row>
    <row r="10" spans="1:22" ht="19.5" hidden="1" customHeight="1" thickBot="1">
      <c r="A10" s="194">
        <v>1998</v>
      </c>
      <c r="B10" s="195">
        <v>1287.8682695481587</v>
      </c>
      <c r="C10" s="197">
        <v>6.6848634534140125E-2</v>
      </c>
      <c r="D10" s="195">
        <v>517.22900730492677</v>
      </c>
      <c r="E10" s="196">
        <v>179.78046580638465</v>
      </c>
      <c r="F10" s="195">
        <v>128.85876662983108</v>
      </c>
      <c r="G10" s="196">
        <v>246.67237783815233</v>
      </c>
      <c r="H10" s="195">
        <v>30.906839827030989</v>
      </c>
      <c r="I10" s="196">
        <v>57.642077350310821</v>
      </c>
      <c r="J10" s="195">
        <v>54.853189405924091</v>
      </c>
      <c r="K10" s="196">
        <v>7.7691435561095004</v>
      </c>
      <c r="L10" s="195">
        <v>14.403964553938003</v>
      </c>
      <c r="M10" s="196">
        <v>12.033202808041713</v>
      </c>
      <c r="N10" s="410" t="s">
        <v>30</v>
      </c>
      <c r="O10"/>
    </row>
    <row r="11" spans="1:22" ht="0.5" customHeight="1" thickBot="1">
      <c r="A11" s="194">
        <v>1999</v>
      </c>
      <c r="B11" s="195">
        <v>1351.582122301535</v>
      </c>
      <c r="C11" s="197">
        <v>4.9472336775352059E-2</v>
      </c>
      <c r="D11" s="195">
        <v>517.77987880375031</v>
      </c>
      <c r="E11" s="196">
        <v>204.19029060086746</v>
      </c>
      <c r="F11" s="195">
        <v>141.91140608611047</v>
      </c>
      <c r="G11" s="196">
        <v>257.61974174619098</v>
      </c>
      <c r="H11" s="195">
        <v>32.359437190342035</v>
      </c>
      <c r="I11" s="196">
        <v>60.131858482788445</v>
      </c>
      <c r="J11" s="195">
        <v>56.924385896913591</v>
      </c>
      <c r="K11" s="196">
        <v>8.3350273886799329</v>
      </c>
      <c r="L11" s="195">
        <v>17.198214928721761</v>
      </c>
      <c r="M11" s="196">
        <v>12.089915964768418</v>
      </c>
      <c r="N11" s="410" t="s">
        <v>30</v>
      </c>
      <c r="O11"/>
    </row>
    <row r="12" spans="1:22" ht="20" hidden="1" customHeight="1" thickBot="1">
      <c r="A12" s="194">
        <v>2000</v>
      </c>
      <c r="B12" s="195">
        <v>1451.1566242672343</v>
      </c>
      <c r="C12" s="197">
        <v>7.3672550356125827E-2</v>
      </c>
      <c r="D12" s="195">
        <v>529.43047713091312</v>
      </c>
      <c r="E12" s="196">
        <v>229.29973959111166</v>
      </c>
      <c r="F12" s="195">
        <v>157.35584856009811</v>
      </c>
      <c r="G12" s="196">
        <v>288.745232868367</v>
      </c>
      <c r="H12" s="195">
        <v>34.840696214910899</v>
      </c>
      <c r="I12" s="196">
        <v>61.491416169301154</v>
      </c>
      <c r="J12" s="195">
        <v>60.94101454443998</v>
      </c>
      <c r="K12" s="196">
        <v>8.5739707007998369</v>
      </c>
      <c r="L12" s="195">
        <v>24.758128744866045</v>
      </c>
      <c r="M12" s="196">
        <v>15.766473005994538</v>
      </c>
      <c r="N12" s="410" t="s">
        <v>30</v>
      </c>
      <c r="O12"/>
    </row>
    <row r="13" spans="1:22" ht="20" customHeight="1" thickBot="1">
      <c r="A13" s="194">
        <v>2001</v>
      </c>
      <c r="B13" s="195">
        <v>1548.8249816122338</v>
      </c>
      <c r="C13" s="197">
        <v>6.7303801472372055E-2</v>
      </c>
      <c r="D13" s="195">
        <v>549.44923949294969</v>
      </c>
      <c r="E13" s="196">
        <v>263.7323584963807</v>
      </c>
      <c r="F13" s="195">
        <v>174.14628347977344</v>
      </c>
      <c r="G13" s="196">
        <v>307.1393643380062</v>
      </c>
      <c r="H13" s="195">
        <v>37.025033111675718</v>
      </c>
      <c r="I13" s="196">
        <v>65.76167578635949</v>
      </c>
      <c r="J13" s="195">
        <v>63.375782250498219</v>
      </c>
      <c r="K13" s="196">
        <v>8.9352628731483819</v>
      </c>
      <c r="L13" s="195">
        <v>23.698466932838429</v>
      </c>
      <c r="M13" s="196">
        <v>14.563635915382035</v>
      </c>
      <c r="N13" s="195">
        <v>2.7620899733599962</v>
      </c>
      <c r="O13"/>
    </row>
    <row r="14" spans="1:22" ht="20" customHeight="1" thickBot="1">
      <c r="A14" s="194">
        <v>2002</v>
      </c>
      <c r="B14" s="195">
        <v>1615.432400016774</v>
      </c>
      <c r="C14" s="197">
        <v>4.3005129175541695E-2</v>
      </c>
      <c r="D14" s="195">
        <v>559.43217658828928</v>
      </c>
      <c r="E14" s="196">
        <v>268.50345190882268</v>
      </c>
      <c r="F14" s="195">
        <v>171.66132067610738</v>
      </c>
      <c r="G14" s="196">
        <v>343.7455082841455</v>
      </c>
      <c r="H14" s="195">
        <v>39.493547804709614</v>
      </c>
      <c r="I14" s="196">
        <v>68.92734993393816</v>
      </c>
      <c r="J14" s="195">
        <v>66.109744640711739</v>
      </c>
      <c r="K14" s="196">
        <v>8.8787656073170158</v>
      </c>
      <c r="L14" s="195">
        <v>27.622294486640037</v>
      </c>
      <c r="M14" s="196">
        <v>15.361832696314805</v>
      </c>
      <c r="N14" s="195">
        <v>3.033957453552472</v>
      </c>
      <c r="O14"/>
    </row>
    <row r="15" spans="1:22" ht="20" customHeight="1" thickBot="1">
      <c r="A15" s="194">
        <v>2003</v>
      </c>
      <c r="B15" s="195">
        <v>1666.6209287074066</v>
      </c>
      <c r="C15" s="197">
        <v>3.1687199470619223E-2</v>
      </c>
      <c r="D15" s="195">
        <v>565.89080672037517</v>
      </c>
      <c r="E15" s="196">
        <v>290.45423380519912</v>
      </c>
      <c r="F15" s="195">
        <v>182.83129248471178</v>
      </c>
      <c r="G15" s="196">
        <v>352.94069193578031</v>
      </c>
      <c r="H15" s="195">
        <v>43.42085098619804</v>
      </c>
      <c r="I15" s="196">
        <v>66.649239980169568</v>
      </c>
      <c r="J15" s="195">
        <v>65.17295098477382</v>
      </c>
      <c r="K15" s="196">
        <v>8.8175191471555454</v>
      </c>
      <c r="L15" s="195">
        <v>29.097237370473131</v>
      </c>
      <c r="M15" s="196">
        <v>15.292816213756383</v>
      </c>
      <c r="N15" s="195">
        <v>4.1140870029928776</v>
      </c>
      <c r="O15"/>
    </row>
    <row r="16" spans="1:22" ht="20" customHeight="1" thickBot="1">
      <c r="A16" s="194">
        <v>2004</v>
      </c>
      <c r="B16" s="195">
        <v>1751.312015563195</v>
      </c>
      <c r="C16" s="197">
        <v>5.0816046646835811E-2</v>
      </c>
      <c r="D16" s="195">
        <v>592.89763778354495</v>
      </c>
      <c r="E16" s="196">
        <v>296.91590007765888</v>
      </c>
      <c r="F16" s="195">
        <v>189.43742407132373</v>
      </c>
      <c r="G16" s="196">
        <v>372.47504406402646</v>
      </c>
      <c r="H16" s="195">
        <v>49.454875646942796</v>
      </c>
      <c r="I16" s="196">
        <v>68.449757529348247</v>
      </c>
      <c r="J16" s="195">
        <v>80.079219765387336</v>
      </c>
      <c r="K16" s="196">
        <v>9.2427076643370807</v>
      </c>
      <c r="L16" s="195">
        <v>35.206929733486795</v>
      </c>
      <c r="M16" s="196">
        <v>10.766673971168975</v>
      </c>
      <c r="N16" s="195">
        <v>3.4775317481750707</v>
      </c>
      <c r="O16"/>
    </row>
    <row r="17" spans="1:17" ht="20" customHeight="1" thickBot="1">
      <c r="A17" s="194">
        <v>2005</v>
      </c>
      <c r="B17" s="195">
        <v>1868.8453126166223</v>
      </c>
      <c r="C17" s="197">
        <v>6.7111568931724833E-2</v>
      </c>
      <c r="D17" s="195">
        <v>608.74538167382002</v>
      </c>
      <c r="E17" s="196">
        <v>359.22898499367591</v>
      </c>
      <c r="F17" s="195">
        <v>198.02028876263893</v>
      </c>
      <c r="G17" s="196">
        <v>379.34998080250244</v>
      </c>
      <c r="H17" s="195">
        <v>52.228327605463519</v>
      </c>
      <c r="I17" s="196">
        <v>71.506769252803821</v>
      </c>
      <c r="J17" s="195">
        <v>89.431105997755466</v>
      </c>
      <c r="K17" s="196">
        <v>9.3082174030862586</v>
      </c>
      <c r="L17" s="195">
        <v>40.071474704018968</v>
      </c>
      <c r="M17" s="196">
        <v>7.0814671191582956</v>
      </c>
      <c r="N17" s="195">
        <v>3.2498517657327022</v>
      </c>
      <c r="O17"/>
    </row>
    <row r="18" spans="1:17" ht="20" customHeight="1" thickBot="1">
      <c r="A18" s="194">
        <v>2006</v>
      </c>
      <c r="B18" s="195">
        <v>1876.16</v>
      </c>
      <c r="C18" s="197">
        <v>3.9140143563494156E-3</v>
      </c>
      <c r="D18" s="195">
        <v>619.30999999999995</v>
      </c>
      <c r="E18" s="196">
        <v>353.68</v>
      </c>
      <c r="F18" s="195">
        <v>196.88</v>
      </c>
      <c r="G18" s="196">
        <v>378.01</v>
      </c>
      <c r="H18" s="195">
        <v>55.74</v>
      </c>
      <c r="I18" s="196">
        <v>72.13</v>
      </c>
      <c r="J18" s="195">
        <v>83.65</v>
      </c>
      <c r="K18" s="196">
        <v>9.15</v>
      </c>
      <c r="L18" s="195">
        <v>44.98</v>
      </c>
      <c r="M18" s="196">
        <v>8.26</v>
      </c>
      <c r="N18" s="195">
        <v>1.57</v>
      </c>
      <c r="O18"/>
    </row>
    <row r="19" spans="1:17" ht="20" customHeight="1" thickBot="1">
      <c r="A19" s="194">
        <v>2007</v>
      </c>
      <c r="B19" s="195">
        <v>1946.99</v>
      </c>
      <c r="C19" s="197">
        <v>3.7752643697765542E-2</v>
      </c>
      <c r="D19" s="195">
        <v>641.54999999999995</v>
      </c>
      <c r="E19" s="196">
        <v>374.75</v>
      </c>
      <c r="F19" s="195">
        <v>201.51</v>
      </c>
      <c r="G19" s="196">
        <v>383.11</v>
      </c>
      <c r="H19" s="195">
        <v>60.51</v>
      </c>
      <c r="I19" s="196">
        <v>73.489999999999995</v>
      </c>
      <c r="J19" s="195">
        <v>83.98</v>
      </c>
      <c r="K19" s="196">
        <v>9.4499999999999993</v>
      </c>
      <c r="L19" s="195">
        <v>49.59</v>
      </c>
      <c r="M19" s="196">
        <v>8.51</v>
      </c>
      <c r="N19" s="195">
        <v>1.3</v>
      </c>
      <c r="O19"/>
    </row>
    <row r="20" spans="1:17" ht="20" customHeight="1" thickBot="1">
      <c r="A20" s="194">
        <v>2008</v>
      </c>
      <c r="B20" s="195">
        <v>2050.5</v>
      </c>
      <c r="C20" s="197">
        <v>5.3164114864483025E-2</v>
      </c>
      <c r="D20" s="195">
        <v>670.19</v>
      </c>
      <c r="E20" s="196">
        <v>427.46</v>
      </c>
      <c r="F20" s="195">
        <v>212.65</v>
      </c>
      <c r="G20" s="196">
        <v>396.5</v>
      </c>
      <c r="H20" s="195">
        <v>65.150000000000006</v>
      </c>
      <c r="I20" s="196">
        <v>75.2</v>
      </c>
      <c r="J20" s="195">
        <v>90.16</v>
      </c>
      <c r="K20" s="196">
        <v>9.41</v>
      </c>
      <c r="L20" s="195">
        <v>49.18</v>
      </c>
      <c r="M20" s="196">
        <v>7.29</v>
      </c>
      <c r="N20" s="195">
        <v>1.42</v>
      </c>
      <c r="O20"/>
    </row>
    <row r="21" spans="1:17" ht="20" customHeight="1" thickBot="1">
      <c r="A21" s="194">
        <v>2009</v>
      </c>
      <c r="B21" s="195">
        <v>2108.4899999999998</v>
      </c>
      <c r="C21" s="197">
        <v>2.8280907095830088E-2</v>
      </c>
      <c r="D21" s="195">
        <v>678.09</v>
      </c>
      <c r="E21" s="196">
        <v>450.61</v>
      </c>
      <c r="F21" s="195">
        <v>220.2</v>
      </c>
      <c r="G21" s="196">
        <v>406.84</v>
      </c>
      <c r="H21" s="195">
        <v>68.92</v>
      </c>
      <c r="I21" s="196">
        <v>76.819999999999993</v>
      </c>
      <c r="J21" s="195">
        <v>89.74</v>
      </c>
      <c r="K21" s="196">
        <v>9.42</v>
      </c>
      <c r="L21" s="195">
        <v>50.87</v>
      </c>
      <c r="M21" s="196">
        <v>8.0500000000000007</v>
      </c>
      <c r="N21" s="195">
        <v>1.25</v>
      </c>
      <c r="O21"/>
    </row>
    <row r="22" spans="1:17" ht="20" customHeight="1" thickBot="1">
      <c r="A22" s="194">
        <v>2010</v>
      </c>
      <c r="B22" s="195">
        <v>2155.41</v>
      </c>
      <c r="C22" s="197">
        <v>2.2252891879970926E-2</v>
      </c>
      <c r="D22" s="195">
        <v>684.51</v>
      </c>
      <c r="E22" s="196">
        <v>491.64</v>
      </c>
      <c r="F22" s="195">
        <v>208.21</v>
      </c>
      <c r="G22" s="196">
        <v>406.7</v>
      </c>
      <c r="H22" s="195">
        <v>72.34</v>
      </c>
      <c r="I22" s="196">
        <v>80.02</v>
      </c>
      <c r="J22" s="195">
        <v>89.58</v>
      </c>
      <c r="K22" s="196">
        <v>9.39</v>
      </c>
      <c r="L22" s="195">
        <v>53.72</v>
      </c>
      <c r="M22" s="196">
        <v>8.7899999999999991</v>
      </c>
      <c r="N22" s="195">
        <v>1.01</v>
      </c>
      <c r="O22"/>
    </row>
    <row r="23" spans="1:17" s="482" customFormat="1" ht="27" customHeight="1">
      <c r="A23" s="198">
        <v>2011</v>
      </c>
      <c r="B23" s="199">
        <v>2204.27</v>
      </c>
      <c r="C23" s="477">
        <v>2.2668541020038013E-2</v>
      </c>
      <c r="D23" s="199">
        <v>707.92</v>
      </c>
      <c r="E23" s="478">
        <v>522.91999999999996</v>
      </c>
      <c r="F23" s="199">
        <v>206.13</v>
      </c>
      <c r="G23" s="478">
        <v>403.05</v>
      </c>
      <c r="H23" s="479">
        <v>74.14</v>
      </c>
      <c r="I23" s="478">
        <v>80.92</v>
      </c>
      <c r="J23" s="479">
        <v>95.26</v>
      </c>
      <c r="K23" s="478">
        <v>9.41</v>
      </c>
      <c r="L23" s="479">
        <v>48.63</v>
      </c>
      <c r="M23" s="478">
        <v>10.96</v>
      </c>
      <c r="N23" s="479">
        <v>0.97</v>
      </c>
      <c r="O23"/>
      <c r="P23" s="480"/>
      <c r="Q23" s="481"/>
    </row>
    <row r="24" spans="1:17" ht="19.5" customHeight="1" thickBot="1">
      <c r="A24" s="173"/>
      <c r="B24" s="483"/>
      <c r="C24" s="484"/>
      <c r="D24" s="483"/>
      <c r="E24" s="485"/>
      <c r="F24" s="483"/>
      <c r="G24" s="485"/>
      <c r="P24" s="4"/>
      <c r="Q24" s="4"/>
    </row>
    <row r="25" spans="1:17" ht="54" customHeight="1" thickBot="1">
      <c r="A25" s="486" t="s">
        <v>661</v>
      </c>
      <c r="B25" s="487">
        <v>3.5920063550956671E-2</v>
      </c>
      <c r="C25" s="488" t="s">
        <v>30</v>
      </c>
      <c r="D25" s="487">
        <v>2.5665294579271247E-2</v>
      </c>
      <c r="E25" s="291">
        <v>7.0846405913624677E-2</v>
      </c>
      <c r="F25" s="487">
        <v>1.700408950525123E-2</v>
      </c>
      <c r="G25" s="291">
        <v>2.7548535084942039E-2</v>
      </c>
      <c r="H25" s="290">
        <v>7.1903558296922299E-2</v>
      </c>
      <c r="I25" s="291">
        <v>2.0958996103604521E-2</v>
      </c>
      <c r="J25" s="290">
        <v>4.1594611360161737E-2</v>
      </c>
      <c r="K25" s="291">
        <v>5.1901609430695661E-3</v>
      </c>
      <c r="L25" s="290">
        <v>7.4529645191383276E-2</v>
      </c>
      <c r="M25" s="291">
        <v>-2.8027284076966974E-2</v>
      </c>
      <c r="N25" s="761">
        <v>-9.9355520630163618E-2</v>
      </c>
    </row>
    <row r="26" spans="1:17" ht="39.75" customHeight="1">
      <c r="A26" s="173"/>
      <c r="B26" s="489"/>
      <c r="C26" s="485"/>
      <c r="D26" s="483"/>
      <c r="E26" s="485"/>
      <c r="F26" s="483"/>
      <c r="G26" s="485"/>
      <c r="P26" s="4"/>
      <c r="Q26" s="4"/>
    </row>
    <row r="27" spans="1:17" ht="19.5" customHeight="1">
      <c r="A27" s="92" t="s">
        <v>469</v>
      </c>
      <c r="B27" s="341" t="s">
        <v>662</v>
      </c>
      <c r="C27" s="94" t="s">
        <v>279</v>
      </c>
      <c r="D27" s="182"/>
      <c r="E27" s="467"/>
      <c r="F27"/>
      <c r="G27" s="3"/>
      <c r="H27" s="466" t="s">
        <v>278</v>
      </c>
      <c r="I27" s="94" t="s">
        <v>279</v>
      </c>
    </row>
    <row r="28" spans="1:17" ht="16.5" customHeight="1">
      <c r="A28" s="184"/>
      <c r="B28" s="341" t="s">
        <v>647</v>
      </c>
      <c r="C28" s="95" t="s">
        <v>282</v>
      </c>
      <c r="D28" s="490" t="s">
        <v>648</v>
      </c>
      <c r="E28" s="491" t="s">
        <v>648</v>
      </c>
      <c r="F28"/>
      <c r="G28" s="3"/>
      <c r="H28" s="341" t="s">
        <v>574</v>
      </c>
      <c r="I28" s="95" t="s">
        <v>282</v>
      </c>
    </row>
    <row r="29" spans="1:17" ht="16.5" customHeight="1">
      <c r="A29" s="184"/>
      <c r="B29" s="185"/>
      <c r="C29" s="95" t="s">
        <v>283</v>
      </c>
      <c r="D29" s="490" t="s">
        <v>663</v>
      </c>
      <c r="E29" s="491" t="s">
        <v>664</v>
      </c>
      <c r="F29"/>
      <c r="G29" s="3"/>
      <c r="H29" s="185"/>
      <c r="I29" s="95" t="s">
        <v>283</v>
      </c>
    </row>
    <row r="30" spans="1:17" ht="15.75" customHeight="1">
      <c r="A30" s="470"/>
      <c r="B30" s="321"/>
      <c r="C30" s="471"/>
      <c r="D30" s="490" t="s">
        <v>665</v>
      </c>
      <c r="E30" s="491"/>
      <c r="F30"/>
      <c r="G30" s="3"/>
      <c r="H30" s="321"/>
      <c r="I30" s="471"/>
    </row>
    <row r="31" spans="1:17" ht="12" customHeight="1">
      <c r="A31" s="188"/>
      <c r="B31" s="189"/>
      <c r="C31" s="474"/>
      <c r="D31" s="492"/>
      <c r="E31" s="493"/>
      <c r="F31"/>
      <c r="G31" s="3"/>
      <c r="H31" s="189"/>
      <c r="I31" s="474"/>
    </row>
    <row r="32" spans="1:17" ht="1.25" customHeight="1" thickBot="1">
      <c r="A32" s="192">
        <v>1996</v>
      </c>
      <c r="B32" s="100">
        <v>586.83678759613247</v>
      </c>
      <c r="C32" s="101">
        <v>7.9400703813924001E-2</v>
      </c>
      <c r="D32" s="410" t="s">
        <v>30</v>
      </c>
      <c r="E32" s="411" t="s">
        <v>30</v>
      </c>
      <c r="F32"/>
      <c r="G32" s="3"/>
      <c r="H32" s="100">
        <v>1722.6034667433191</v>
      </c>
      <c r="I32" s="101">
        <v>9.7018358352515099E-2</v>
      </c>
    </row>
    <row r="33" spans="1:9" ht="0.75" hidden="1" customHeight="1" thickBot="1">
      <c r="A33" s="194">
        <v>1997</v>
      </c>
      <c r="B33" s="195">
        <v>608.42125188692751</v>
      </c>
      <c r="C33" s="197">
        <v>3.678103477324892E-2</v>
      </c>
      <c r="D33" s="195" t="s">
        <v>30</v>
      </c>
      <c r="E33" s="196" t="s">
        <v>30</v>
      </c>
      <c r="F33"/>
      <c r="G33" s="3"/>
      <c r="H33" s="195">
        <v>1815.5918174756728</v>
      </c>
      <c r="I33" s="197">
        <v>5.3981286191275034E-2</v>
      </c>
    </row>
    <row r="34" spans="1:9" ht="19.5" hidden="1" customHeight="1" thickBot="1">
      <c r="A34" s="194">
        <v>1998</v>
      </c>
      <c r="B34" s="195">
        <v>647.39263733582663</v>
      </c>
      <c r="C34" s="197">
        <v>6.4053294206990977E-2</v>
      </c>
      <c r="D34" s="195">
        <v>492.71135658354189</v>
      </c>
      <c r="E34" s="196">
        <v>150.64686744819926</v>
      </c>
      <c r="F34"/>
      <c r="G34" s="3"/>
      <c r="H34" s="195">
        <v>1935.2609068839854</v>
      </c>
      <c r="I34" s="197">
        <v>6.5911890688456515E-2</v>
      </c>
    </row>
    <row r="35" spans="1:9" ht="19.25" hidden="1" customHeight="1" thickBot="1">
      <c r="A35" s="194">
        <v>1999</v>
      </c>
      <c r="B35" s="195">
        <v>659.34783816072627</v>
      </c>
      <c r="C35" s="197">
        <v>1.8466692599560762E-2</v>
      </c>
      <c r="D35" s="195">
        <v>496.69748609522117</v>
      </c>
      <c r="E35" s="196">
        <v>160.88253360625276</v>
      </c>
      <c r="F35"/>
      <c r="G35" s="3"/>
      <c r="H35" s="195">
        <v>2010.9299604622606</v>
      </c>
      <c r="I35" s="197">
        <v>3.9100181949167756E-2</v>
      </c>
    </row>
    <row r="36" spans="1:9" ht="0.5" customHeight="1" thickBot="1">
      <c r="A36" s="194">
        <v>2000</v>
      </c>
      <c r="B36" s="195">
        <v>679.34395321862166</v>
      </c>
      <c r="C36" s="197">
        <v>3.0327110973284228E-2</v>
      </c>
      <c r="D36" s="195">
        <v>508.80015768509037</v>
      </c>
      <c r="E36" s="196">
        <v>167.22954109591964</v>
      </c>
      <c r="F36"/>
      <c r="G36" s="3"/>
      <c r="H36" s="195">
        <v>2130.500577485856</v>
      </c>
      <c r="I36" s="197">
        <v>5.946035882627615E-2</v>
      </c>
    </row>
    <row r="37" spans="1:9" ht="19.5" customHeight="1" thickBot="1">
      <c r="A37" s="194">
        <v>2001</v>
      </c>
      <c r="B37" s="195">
        <v>695.57285390457537</v>
      </c>
      <c r="C37" s="197">
        <v>2.388907799806534E-2</v>
      </c>
      <c r="D37" s="195">
        <v>520.22845878332566</v>
      </c>
      <c r="E37" s="196">
        <v>172.28381767006115</v>
      </c>
      <c r="F37"/>
      <c r="G37" s="3"/>
      <c r="H37" s="195">
        <v>2244.3978355168092</v>
      </c>
      <c r="I37" s="197">
        <v>5.3460327227585272E-2</v>
      </c>
    </row>
    <row r="38" spans="1:9" ht="19.5" customHeight="1" thickBot="1">
      <c r="A38" s="194">
        <v>2002</v>
      </c>
      <c r="B38" s="195">
        <v>712.19782148377215</v>
      </c>
      <c r="C38" s="197">
        <v>2.3901116160403715E-2</v>
      </c>
      <c r="D38" s="195">
        <v>515.19747034296608</v>
      </c>
      <c r="E38" s="196">
        <v>189.57472804627923</v>
      </c>
      <c r="F38"/>
      <c r="G38" s="3"/>
      <c r="H38" s="195">
        <v>2327.6302215005462</v>
      </c>
      <c r="I38" s="197">
        <v>3.7084506439372583E-2</v>
      </c>
    </row>
    <row r="39" spans="1:9" ht="19.5" customHeight="1" thickBot="1">
      <c r="A39" s="194">
        <v>2003</v>
      </c>
      <c r="B39" s="195">
        <v>764.59062760893357</v>
      </c>
      <c r="C39" s="197">
        <v>7.3564962633566877E-2</v>
      </c>
      <c r="D39" s="195">
        <v>557.73124969057335</v>
      </c>
      <c r="E39" s="196">
        <v>200.44409586700854</v>
      </c>
      <c r="F39"/>
      <c r="G39" s="3"/>
      <c r="H39" s="195">
        <v>2431.2115563163402</v>
      </c>
      <c r="I39" s="197">
        <v>4.4500769004888807E-2</v>
      </c>
    </row>
    <row r="40" spans="1:9" ht="19.5" customHeight="1" thickBot="1">
      <c r="A40" s="194">
        <v>2004</v>
      </c>
      <c r="B40" s="195">
        <v>840.90429336795432</v>
      </c>
      <c r="C40" s="197">
        <v>9.9809836798121235E-2</v>
      </c>
      <c r="D40" s="195">
        <v>618.810128536668</v>
      </c>
      <c r="E40" s="196">
        <v>213.02590534069273</v>
      </c>
      <c r="F40"/>
      <c r="G40" s="3"/>
      <c r="H40" s="195">
        <v>2592.2163089311489</v>
      </c>
      <c r="I40" s="197">
        <v>6.622408165036682E-2</v>
      </c>
    </row>
    <row r="41" spans="1:9" ht="19.5" customHeight="1" thickBot="1">
      <c r="A41" s="194">
        <v>2005</v>
      </c>
      <c r="B41" s="195">
        <v>867.58002616373483</v>
      </c>
      <c r="C41" s="197">
        <v>3.1722674038135765E-2</v>
      </c>
      <c r="D41" s="195">
        <v>645.948160066112</v>
      </c>
      <c r="E41" s="196">
        <v>213.44705424318488</v>
      </c>
      <c r="F41"/>
      <c r="G41" s="3"/>
      <c r="H41" s="195">
        <v>2736.4253387803569</v>
      </c>
      <c r="I41" s="197">
        <v>5.5631557193878578E-2</v>
      </c>
    </row>
    <row r="42" spans="1:9" ht="19.5" customHeight="1" thickBot="1">
      <c r="A42" s="194">
        <v>2006</v>
      </c>
      <c r="B42" s="195">
        <v>878.78</v>
      </c>
      <c r="C42" s="197">
        <v>1.2909441778862885E-2</v>
      </c>
      <c r="D42" s="195">
        <v>654.29</v>
      </c>
      <c r="E42" s="196">
        <v>217.58</v>
      </c>
      <c r="F42"/>
      <c r="G42" s="3"/>
      <c r="H42" s="195">
        <v>2754.94</v>
      </c>
      <c r="I42" s="197">
        <v>6.7660026960192354E-3</v>
      </c>
    </row>
    <row r="43" spans="1:9" ht="19.5" customHeight="1" thickBot="1">
      <c r="A43" s="194">
        <v>2007</v>
      </c>
      <c r="B43" s="195">
        <v>915.82</v>
      </c>
      <c r="C43" s="197">
        <v>4.2149343407906548E-2</v>
      </c>
      <c r="D43" s="195">
        <v>681.54</v>
      </c>
      <c r="E43" s="196">
        <v>226.41</v>
      </c>
      <c r="F43"/>
      <c r="G43" s="3"/>
      <c r="H43" s="195">
        <v>2862.81</v>
      </c>
      <c r="I43" s="197">
        <v>3.915511771581226E-2</v>
      </c>
    </row>
    <row r="44" spans="1:9" ht="19.5" customHeight="1" thickBot="1">
      <c r="A44" s="194">
        <v>2008</v>
      </c>
      <c r="B44" s="195">
        <v>933.12</v>
      </c>
      <c r="C44" s="197">
        <v>1.8890174925203507E-2</v>
      </c>
      <c r="D44" s="195">
        <v>690.44</v>
      </c>
      <c r="E44" s="196">
        <v>234.3</v>
      </c>
      <c r="F44"/>
      <c r="G44" s="3"/>
      <c r="H44" s="195">
        <v>2983.62</v>
      </c>
      <c r="I44" s="197">
        <v>4.2199796703239034E-2</v>
      </c>
    </row>
    <row r="45" spans="1:9" ht="19.5" customHeight="1" thickBot="1">
      <c r="A45" s="194">
        <v>2009</v>
      </c>
      <c r="B45" s="195">
        <v>960.23</v>
      </c>
      <c r="C45" s="197">
        <v>2.9053069272976684E-2</v>
      </c>
      <c r="D45" s="195">
        <v>711.06</v>
      </c>
      <c r="E45" s="196">
        <v>241.04</v>
      </c>
      <c r="F45"/>
      <c r="G45" s="3"/>
      <c r="H45" s="195">
        <v>3068.72</v>
      </c>
      <c r="I45" s="197">
        <v>2.8522398965015627E-2</v>
      </c>
    </row>
    <row r="46" spans="1:9" ht="19.5" customHeight="1" thickBot="1">
      <c r="A46" s="194">
        <v>2010</v>
      </c>
      <c r="B46" s="195">
        <v>967.15000000000009</v>
      </c>
      <c r="C46" s="197">
        <v>7.206606750466138E-3</v>
      </c>
      <c r="D46" s="195">
        <v>718.88</v>
      </c>
      <c r="E46" s="196">
        <v>243.45</v>
      </c>
      <c r="F46"/>
      <c r="G46" s="3"/>
      <c r="H46" s="195">
        <v>3122.56</v>
      </c>
      <c r="I46" s="197">
        <v>1.7544774368466465E-2</v>
      </c>
    </row>
    <row r="47" spans="1:9" ht="27" customHeight="1">
      <c r="A47" s="198">
        <v>2011</v>
      </c>
      <c r="B47" s="479">
        <v>966.56</v>
      </c>
      <c r="C47" s="477">
        <v>-6.1003980768248312E-4</v>
      </c>
      <c r="D47" s="479">
        <v>724.38</v>
      </c>
      <c r="E47" s="478">
        <v>234.89</v>
      </c>
      <c r="F47" s="494"/>
      <c r="G47" s="115"/>
      <c r="H47" s="479">
        <v>3170.83</v>
      </c>
      <c r="I47" s="477">
        <v>1.5458469973355093E-2</v>
      </c>
    </row>
    <row r="48" spans="1:9" ht="19.5" customHeight="1" thickBot="1">
      <c r="A48" s="115"/>
      <c r="B48" s="483"/>
      <c r="C48" s="484"/>
      <c r="D48" s="483"/>
      <c r="E48" s="485"/>
      <c r="F48" s="483"/>
      <c r="G48" s="485"/>
      <c r="I48" s="119"/>
    </row>
    <row r="49" spans="1:9" ht="51" customHeight="1" thickBot="1">
      <c r="A49" s="486" t="s">
        <v>661</v>
      </c>
      <c r="B49" s="290">
        <v>3.3447976853480554E-2</v>
      </c>
      <c r="C49" s="488" t="s">
        <v>30</v>
      </c>
      <c r="D49" s="290">
        <v>3.3658866974479507E-2</v>
      </c>
      <c r="E49" s="291">
        <v>3.1482832324898125E-2</v>
      </c>
      <c r="F49" s="495"/>
      <c r="G49" s="3"/>
      <c r="H49" s="290">
        <v>3.5159594357446755E-2</v>
      </c>
      <c r="I49" s="488" t="s">
        <v>30</v>
      </c>
    </row>
    <row r="50" spans="1:9" ht="17.25" customHeight="1">
      <c r="A50" s="112" t="s">
        <v>720</v>
      </c>
      <c r="B50" s="483"/>
      <c r="C50" s="485"/>
      <c r="D50" s="483"/>
      <c r="E50" s="485"/>
      <c r="F50" s="483"/>
      <c r="G50" s="485"/>
    </row>
    <row r="51" spans="1:9" ht="14">
      <c r="A51" s="173"/>
      <c r="B51" s="483"/>
      <c r="C51" s="485"/>
      <c r="D51" s="483"/>
      <c r="E51" s="485"/>
      <c r="F51" s="483"/>
      <c r="G51" s="485"/>
    </row>
    <row r="52" spans="1:9" ht="14">
      <c r="A52" s="115" t="s">
        <v>666</v>
      </c>
      <c r="B52" s="483"/>
      <c r="C52" s="485"/>
      <c r="D52" s="483"/>
      <c r="E52" s="485"/>
      <c r="F52" s="483"/>
      <c r="G52" s="485"/>
    </row>
    <row r="53" spans="1:9" ht="14">
      <c r="A53" s="115" t="s">
        <v>667</v>
      </c>
      <c r="B53" s="483"/>
      <c r="C53" s="485"/>
      <c r="D53" s="483"/>
      <c r="E53" s="485"/>
      <c r="F53" s="483"/>
      <c r="G53" s="485"/>
    </row>
    <row r="54" spans="1:9" ht="14">
      <c r="A54" s="115" t="s">
        <v>668</v>
      </c>
      <c r="B54" s="483"/>
      <c r="C54" s="485"/>
      <c r="D54" s="483"/>
      <c r="E54" s="485"/>
      <c r="F54" s="483"/>
      <c r="G54" s="485"/>
    </row>
    <row r="55" spans="1:9" ht="14">
      <c r="B55" s="483"/>
      <c r="C55" s="485"/>
      <c r="D55" s="483"/>
      <c r="E55" s="485"/>
      <c r="F55" s="483"/>
      <c r="G55" s="485"/>
    </row>
    <row r="56" spans="1:9">
      <c r="A56" s="3" t="s">
        <v>669</v>
      </c>
      <c r="B56" s="4"/>
      <c r="C56" s="496"/>
      <c r="D56" s="4"/>
      <c r="E56" s="496"/>
      <c r="F56" s="4"/>
      <c r="G56" s="496"/>
    </row>
    <row r="57" spans="1:9">
      <c r="A57" s="4"/>
      <c r="B57" s="4"/>
      <c r="C57" s="496"/>
      <c r="D57" s="4"/>
      <c r="E57" s="496"/>
      <c r="F57" s="4"/>
      <c r="G57" s="496"/>
    </row>
    <row r="59" spans="1:9">
      <c r="A59" s="3" t="s">
        <v>719</v>
      </c>
    </row>
    <row r="62" spans="1:9">
      <c r="B62"/>
      <c r="C62"/>
      <c r="D62"/>
      <c r="E62"/>
    </row>
    <row r="63" spans="1:9">
      <c r="B63"/>
      <c r="C63"/>
      <c r="D63"/>
      <c r="E63"/>
    </row>
    <row r="64" spans="1:9">
      <c r="B64"/>
      <c r="C64"/>
      <c r="D64"/>
      <c r="E64"/>
    </row>
    <row r="65" spans="2:5">
      <c r="B65"/>
      <c r="C65"/>
      <c r="D65"/>
      <c r="E65"/>
    </row>
    <row r="66" spans="2:5">
      <c r="B66"/>
      <c r="C66"/>
      <c r="D66"/>
      <c r="E66"/>
    </row>
  </sheetData>
  <pageMargins left="0.52" right="0.37" top="0.55000000000000004" bottom="0.49" header="0.42" footer="0.4921259845"/>
  <pageSetup paperSize="9" scale="55" orientation="landscape"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C52C-E791-A348-B15C-FA4D6AB432BE}">
  <sheetPr>
    <pageSetUpPr fitToPage="1"/>
  </sheetPr>
  <dimension ref="A1:H41"/>
  <sheetViews>
    <sheetView zoomScaleNormal="100" workbookViewId="0">
      <selection activeCell="H28" activeCellId="1" sqref="H27 H28"/>
    </sheetView>
  </sheetViews>
  <sheetFormatPr baseColWidth="10" defaultColWidth="11.3984375" defaultRowHeight="13"/>
  <cols>
    <col min="1" max="1" width="41.3984375" style="3" customWidth="1"/>
    <col min="2" max="4" width="15.19921875" style="3" customWidth="1"/>
    <col min="5" max="5" width="15.19921875" style="110" customWidth="1"/>
    <col min="6" max="6" width="15.19921875" style="3" customWidth="1"/>
    <col min="7" max="7" width="15.3984375" style="3" customWidth="1"/>
    <col min="8" max="8" width="16.3984375" style="3" customWidth="1"/>
    <col min="9" max="16384" width="11.3984375" style="3"/>
  </cols>
  <sheetData>
    <row r="1" spans="1:8" s="2" customFormat="1" ht="14" customHeight="1">
      <c r="E1" s="17"/>
    </row>
    <row r="2" spans="1:8" s="2" customFormat="1" ht="26.5" customHeight="1">
      <c r="A2" s="181" t="s">
        <v>616</v>
      </c>
      <c r="B2" s="436"/>
      <c r="C2" s="436"/>
      <c r="D2" s="436"/>
      <c r="E2" s="436"/>
      <c r="H2" s="180">
        <v>2011</v>
      </c>
    </row>
    <row r="3" spans="1:8" ht="24" customHeight="1">
      <c r="A3" s="92" t="s">
        <v>198</v>
      </c>
      <c r="B3" s="182" t="s">
        <v>346</v>
      </c>
      <c r="C3" s="183" t="s">
        <v>347</v>
      </c>
      <c r="D3" s="182" t="s">
        <v>349</v>
      </c>
      <c r="E3" s="437" t="s">
        <v>278</v>
      </c>
      <c r="F3" s="182" t="s">
        <v>415</v>
      </c>
      <c r="G3" s="183" t="s">
        <v>279</v>
      </c>
      <c r="H3" s="304" t="s">
        <v>279</v>
      </c>
    </row>
    <row r="4" spans="1:8" ht="15" customHeight="1">
      <c r="A4" s="184"/>
      <c r="B4" s="185"/>
      <c r="C4" s="186"/>
      <c r="D4" s="185"/>
      <c r="E4" s="438"/>
      <c r="F4" s="185" t="s">
        <v>416</v>
      </c>
      <c r="G4" s="186" t="s">
        <v>282</v>
      </c>
      <c r="H4" s="211" t="s">
        <v>282</v>
      </c>
    </row>
    <row r="5" spans="1:8" ht="15" customHeight="1">
      <c r="A5" s="184"/>
      <c r="B5" s="185"/>
      <c r="C5" s="186"/>
      <c r="D5" s="185"/>
      <c r="E5" s="438"/>
      <c r="F5" s="185" t="s">
        <v>417</v>
      </c>
      <c r="G5" s="186" t="s">
        <v>283</v>
      </c>
      <c r="H5" s="211" t="s">
        <v>283</v>
      </c>
    </row>
    <row r="6" spans="1:8" ht="24" customHeight="1">
      <c r="A6" s="188"/>
      <c r="B6" s="189"/>
      <c r="C6" s="190"/>
      <c r="D6" s="189"/>
      <c r="E6" s="439"/>
      <c r="F6" s="189"/>
      <c r="G6" s="190" t="s">
        <v>561</v>
      </c>
      <c r="H6" s="213" t="s">
        <v>617</v>
      </c>
    </row>
    <row r="7" spans="1:8" ht="30" customHeight="1" thickBot="1">
      <c r="A7" s="440" t="s">
        <v>618</v>
      </c>
      <c r="B7" s="215">
        <v>612.63</v>
      </c>
      <c r="C7" s="411">
        <v>946.95</v>
      </c>
      <c r="D7" s="410">
        <v>387.22</v>
      </c>
      <c r="E7" s="441">
        <v>707.92</v>
      </c>
      <c r="F7" s="276">
        <v>0.2232601558582453</v>
      </c>
      <c r="G7" s="411">
        <v>23.409999999999968</v>
      </c>
      <c r="H7" s="217">
        <v>3.4199646462433009E-2</v>
      </c>
    </row>
    <row r="8" spans="1:8" ht="20" customHeight="1" thickBot="1">
      <c r="A8" s="194" t="s">
        <v>619</v>
      </c>
      <c r="B8" s="218">
        <v>799.99</v>
      </c>
      <c r="C8" s="196">
        <v>915.72</v>
      </c>
      <c r="D8" s="195">
        <v>154.22999999999999</v>
      </c>
      <c r="E8" s="442">
        <v>724.38</v>
      </c>
      <c r="F8" s="276">
        <v>0.22845122570431087</v>
      </c>
      <c r="G8" s="196">
        <v>5.5</v>
      </c>
      <c r="H8" s="217">
        <v>7.6507901179612148E-3</v>
      </c>
    </row>
    <row r="9" spans="1:8" ht="20" customHeight="1" thickBot="1">
      <c r="A9" s="194" t="s">
        <v>620</v>
      </c>
      <c r="B9" s="195">
        <v>563.36</v>
      </c>
      <c r="C9" s="196">
        <v>627.38</v>
      </c>
      <c r="D9" s="195">
        <v>213.41</v>
      </c>
      <c r="E9" s="442">
        <v>522.91999999999996</v>
      </c>
      <c r="F9" s="276">
        <v>0.16491581068679179</v>
      </c>
      <c r="G9" s="196">
        <v>31.279999999999973</v>
      </c>
      <c r="H9" s="217">
        <v>6.3623789764868599E-2</v>
      </c>
    </row>
    <row r="10" spans="1:8" ht="20" customHeight="1" thickBot="1">
      <c r="A10" s="194" t="s">
        <v>621</v>
      </c>
      <c r="B10" s="195">
        <v>217.86</v>
      </c>
      <c r="C10" s="196">
        <v>266.39999999999998</v>
      </c>
      <c r="D10" s="195">
        <v>51.48</v>
      </c>
      <c r="E10" s="442">
        <v>206.13</v>
      </c>
      <c r="F10" s="276">
        <v>6.5008215514549814E-2</v>
      </c>
      <c r="G10" s="196">
        <v>-2.0800000000000125</v>
      </c>
      <c r="H10" s="217">
        <v>-9.9899140291053179E-3</v>
      </c>
    </row>
    <row r="11" spans="1:8" ht="20" customHeight="1" thickBot="1">
      <c r="A11" s="194" t="s">
        <v>622</v>
      </c>
      <c r="B11" s="195">
        <v>438.29</v>
      </c>
      <c r="C11" s="196">
        <v>525.04</v>
      </c>
      <c r="D11" s="195">
        <v>66.3</v>
      </c>
      <c r="E11" s="442">
        <v>403.05</v>
      </c>
      <c r="F11" s="276">
        <v>0.12711182876407756</v>
      </c>
      <c r="G11" s="196">
        <v>-3.6499999999999773</v>
      </c>
      <c r="H11" s="217">
        <v>-8.9746742070321295E-3</v>
      </c>
    </row>
    <row r="12" spans="1:8" ht="20" customHeight="1" thickBot="1">
      <c r="A12" s="194" t="s">
        <v>623</v>
      </c>
      <c r="B12" s="195">
        <v>158.6</v>
      </c>
      <c r="C12" s="196">
        <v>416.15</v>
      </c>
      <c r="D12" s="195">
        <v>7.0000000000000007E-2</v>
      </c>
      <c r="E12" s="442">
        <v>234.89</v>
      </c>
      <c r="F12" s="276">
        <v>7.40783958774201E-2</v>
      </c>
      <c r="G12" s="196">
        <v>-8.5600000000000023</v>
      </c>
      <c r="H12" s="217">
        <v>-3.5161224070651032E-2</v>
      </c>
    </row>
    <row r="13" spans="1:8" ht="20" customHeight="1" thickBot="1">
      <c r="A13" s="194" t="s">
        <v>624</v>
      </c>
      <c r="B13" s="195">
        <v>62.77</v>
      </c>
      <c r="C13" s="196">
        <v>118.29</v>
      </c>
      <c r="D13" s="195">
        <v>2.06</v>
      </c>
      <c r="E13" s="442">
        <v>74.14</v>
      </c>
      <c r="F13" s="276">
        <v>2.338189054600846E-2</v>
      </c>
      <c r="G13" s="196">
        <v>1.7999999999999972</v>
      </c>
      <c r="H13" s="217">
        <v>2.4882499308819472E-2</v>
      </c>
    </row>
    <row r="14" spans="1:8" ht="20" customHeight="1" thickBot="1">
      <c r="A14" s="194" t="s">
        <v>625</v>
      </c>
      <c r="B14" s="195">
        <v>68.62</v>
      </c>
      <c r="C14" s="196">
        <v>121.09</v>
      </c>
      <c r="D14" s="195">
        <v>19.36</v>
      </c>
      <c r="E14" s="442">
        <v>80.92</v>
      </c>
      <c r="F14" s="276">
        <v>2.552013195283254E-2</v>
      </c>
      <c r="G14" s="196">
        <v>0.90000000000000568</v>
      </c>
      <c r="H14" s="217">
        <v>1.1247188202949232E-2</v>
      </c>
    </row>
    <row r="15" spans="1:8" ht="20" customHeight="1" thickBot="1">
      <c r="A15" s="194" t="s">
        <v>626</v>
      </c>
      <c r="B15" s="195">
        <v>79.510000000000005</v>
      </c>
      <c r="C15" s="196">
        <v>139.53</v>
      </c>
      <c r="D15" s="195">
        <v>31.96</v>
      </c>
      <c r="E15" s="442">
        <v>95.26</v>
      </c>
      <c r="F15" s="276">
        <v>3.00426071407171E-2</v>
      </c>
      <c r="G15" s="196">
        <v>5.6800000000000068</v>
      </c>
      <c r="H15" s="217">
        <v>6.3407010493413685E-2</v>
      </c>
    </row>
    <row r="16" spans="1:8" ht="20" customHeight="1" thickBot="1">
      <c r="A16" s="194" t="s">
        <v>627</v>
      </c>
      <c r="B16" s="195">
        <v>8.92</v>
      </c>
      <c r="C16" s="196">
        <v>13.13</v>
      </c>
      <c r="D16" s="195">
        <v>2.36</v>
      </c>
      <c r="E16" s="442">
        <v>9.41</v>
      </c>
      <c r="F16" s="276">
        <v>2.9676772327750147E-3</v>
      </c>
      <c r="G16" s="196">
        <v>1.9999999999999574E-2</v>
      </c>
      <c r="H16" s="217">
        <v>2.1299254526090383E-3</v>
      </c>
    </row>
    <row r="17" spans="1:8" ht="20" customHeight="1" thickBot="1">
      <c r="A17" s="194" t="s">
        <v>628</v>
      </c>
      <c r="B17" s="195">
        <v>61.28</v>
      </c>
      <c r="C17" s="196">
        <v>53.66</v>
      </c>
      <c r="D17" s="195">
        <v>11.61</v>
      </c>
      <c r="E17" s="442">
        <v>48.63</v>
      </c>
      <c r="F17" s="276">
        <v>1.5336678409123165E-2</v>
      </c>
      <c r="G17" s="196">
        <v>-5.0899999999999963</v>
      </c>
      <c r="H17" s="217">
        <v>-9.4750558451228484E-2</v>
      </c>
    </row>
    <row r="18" spans="1:8" ht="20" customHeight="1" thickBot="1">
      <c r="A18" s="194" t="s">
        <v>629</v>
      </c>
      <c r="B18" s="195">
        <v>11.03</v>
      </c>
      <c r="C18" s="196">
        <v>13.5</v>
      </c>
      <c r="D18" s="195">
        <v>5.36</v>
      </c>
      <c r="E18" s="442">
        <v>10.96</v>
      </c>
      <c r="F18" s="276">
        <v>3.4565082328601661E-3</v>
      </c>
      <c r="G18" s="196">
        <v>2.1700000000000017</v>
      </c>
      <c r="H18" s="217">
        <v>0.24687144482366352</v>
      </c>
    </row>
    <row r="19" spans="1:8" ht="20" customHeight="1" thickBot="1">
      <c r="A19" s="103" t="s">
        <v>630</v>
      </c>
      <c r="B19" s="195">
        <v>0.62</v>
      </c>
      <c r="C19" s="196">
        <v>1.68</v>
      </c>
      <c r="D19" s="195">
        <v>0.15</v>
      </c>
      <c r="E19" s="442">
        <v>0.97</v>
      </c>
      <c r="F19" s="276">
        <v>3.0591359360167524E-4</v>
      </c>
      <c r="G19" s="196">
        <v>-4.0000000000000036E-2</v>
      </c>
      <c r="H19" s="217">
        <v>-3.9603960396039639E-2</v>
      </c>
    </row>
    <row r="20" spans="1:8" ht="20" customHeight="1" thickBot="1">
      <c r="A20" s="194" t="s">
        <v>631</v>
      </c>
      <c r="B20" s="195">
        <v>39.65</v>
      </c>
      <c r="C20" s="196">
        <v>52.71</v>
      </c>
      <c r="D20" s="195">
        <v>33.909999999999997</v>
      </c>
      <c r="E20" s="442">
        <v>43.96</v>
      </c>
      <c r="F20" s="276">
        <v>1.3863877912092417E-2</v>
      </c>
      <c r="G20" s="196">
        <v>-5.5499999999999972</v>
      </c>
      <c r="H20" s="217">
        <v>-0.11209856594627343</v>
      </c>
    </row>
    <row r="21" spans="1:8" ht="20" customHeight="1" thickBot="1">
      <c r="A21" s="194" t="s">
        <v>632</v>
      </c>
      <c r="B21" s="195">
        <v>8.59</v>
      </c>
      <c r="C21" s="196">
        <v>8.08</v>
      </c>
      <c r="D21" s="195">
        <v>2.87</v>
      </c>
      <c r="E21" s="442">
        <v>7.29</v>
      </c>
      <c r="F21" s="276">
        <v>2.2990825745940338E-3</v>
      </c>
      <c r="G21" s="196">
        <v>2.4699999999999998</v>
      </c>
      <c r="H21" s="217">
        <v>0.51244813278008294</v>
      </c>
    </row>
    <row r="22" spans="1:8" ht="30" customHeight="1" thickBot="1">
      <c r="A22" s="443" t="s">
        <v>633</v>
      </c>
      <c r="B22" s="444">
        <v>3131.72</v>
      </c>
      <c r="C22" s="445">
        <v>4219.3</v>
      </c>
      <c r="D22" s="444">
        <v>982.33</v>
      </c>
      <c r="E22" s="225">
        <v>3170.83</v>
      </c>
      <c r="F22" s="290">
        <v>1</v>
      </c>
      <c r="G22" s="445">
        <v>48.269999999999982</v>
      </c>
      <c r="H22" s="446">
        <v>1.5458469973355093E-2</v>
      </c>
    </row>
    <row r="23" spans="1:8" ht="15" customHeight="1">
      <c r="A23" s="447"/>
      <c r="B23" s="427"/>
      <c r="C23" s="427"/>
      <c r="D23" s="427"/>
      <c r="E23" s="428"/>
      <c r="F23" s="448"/>
      <c r="G23" s="427"/>
      <c r="H23" s="449"/>
    </row>
    <row r="24" spans="1:8" ht="30" customHeight="1" thickBot="1">
      <c r="A24" s="450" t="s">
        <v>634</v>
      </c>
      <c r="B24" s="451" t="s">
        <v>30</v>
      </c>
      <c r="C24" s="452">
        <v>185.5</v>
      </c>
      <c r="D24" s="451">
        <v>1.58</v>
      </c>
      <c r="E24" s="453" t="s">
        <v>30</v>
      </c>
      <c r="F24" s="454" t="s">
        <v>30</v>
      </c>
      <c r="G24" s="452" t="s">
        <v>30</v>
      </c>
      <c r="H24" s="455" t="s">
        <v>30</v>
      </c>
    </row>
    <row r="25" spans="1:8" ht="30.75" customHeight="1" thickBot="1">
      <c r="A25" s="456" t="s">
        <v>635</v>
      </c>
      <c r="B25" s="457">
        <v>103.32</v>
      </c>
      <c r="C25" s="458">
        <v>102.67</v>
      </c>
      <c r="D25" s="457">
        <v>9.17</v>
      </c>
      <c r="E25" s="459">
        <v>85.04</v>
      </c>
      <c r="F25" s="460">
        <v>2.6819476288542751E-2</v>
      </c>
      <c r="G25" s="458">
        <v>6.4900000000000091</v>
      </c>
      <c r="H25" s="461">
        <v>8.2622533418205135E-2</v>
      </c>
    </row>
    <row r="26" spans="1:8" ht="15" customHeight="1">
      <c r="A26" s="447"/>
      <c r="B26" s="427"/>
      <c r="C26" s="427"/>
      <c r="D26" s="427"/>
      <c r="E26" s="428"/>
      <c r="F26" s="448"/>
      <c r="G26" s="427"/>
      <c r="H26" s="448"/>
    </row>
    <row r="27" spans="1:8" ht="30" customHeight="1" thickBot="1">
      <c r="A27" s="450" t="s">
        <v>636</v>
      </c>
      <c r="B27" s="451">
        <v>6.47</v>
      </c>
      <c r="C27" s="452">
        <v>6.97</v>
      </c>
      <c r="D27" s="451">
        <v>13.9</v>
      </c>
      <c r="E27" s="453">
        <v>8.1</v>
      </c>
      <c r="F27" s="454">
        <v>2.5545361939933709E-3</v>
      </c>
      <c r="G27" s="452">
        <v>1.08</v>
      </c>
      <c r="H27" s="455">
        <v>0.15384615384615397</v>
      </c>
    </row>
    <row r="28" spans="1:8" ht="30.75" customHeight="1" thickBot="1">
      <c r="A28" s="456" t="s">
        <v>637</v>
      </c>
      <c r="B28" s="457">
        <v>9.02</v>
      </c>
      <c r="C28" s="458">
        <v>9.27</v>
      </c>
      <c r="D28" s="457">
        <v>3.98</v>
      </c>
      <c r="E28" s="459">
        <v>8.16</v>
      </c>
      <c r="F28" s="460">
        <v>2.5734586843192478E-3</v>
      </c>
      <c r="G28" s="458">
        <v>1.67</v>
      </c>
      <c r="H28" s="461">
        <v>0.25731895223420653</v>
      </c>
    </row>
    <row r="29" spans="1:8" ht="20" customHeight="1">
      <c r="A29" s="112" t="s">
        <v>720</v>
      </c>
      <c r="B29" s="201"/>
      <c r="C29" s="201"/>
      <c r="D29" s="201"/>
      <c r="E29" s="462"/>
      <c r="F29" s="201"/>
    </row>
    <row r="30" spans="1:8" ht="12.75" customHeight="1">
      <c r="A30" s="115"/>
      <c r="B30" s="203"/>
      <c r="C30" s="203"/>
      <c r="D30" s="203"/>
      <c r="E30" s="463"/>
      <c r="F30" s="203"/>
    </row>
    <row r="31" spans="1:8">
      <c r="A31" s="115" t="s">
        <v>638</v>
      </c>
    </row>
    <row r="32" spans="1:8">
      <c r="A32" s="115" t="s">
        <v>639</v>
      </c>
    </row>
    <row r="33" spans="1:1">
      <c r="A33" s="172" t="s">
        <v>640</v>
      </c>
    </row>
    <row r="34" spans="1:1">
      <c r="A34" s="172" t="s">
        <v>641</v>
      </c>
    </row>
    <row r="35" spans="1:1">
      <c r="A35" s="172" t="s">
        <v>642</v>
      </c>
    </row>
    <row r="36" spans="1:1">
      <c r="A36" s="172" t="s">
        <v>643</v>
      </c>
    </row>
    <row r="38" spans="1:1">
      <c r="A38" s="3" t="s">
        <v>644</v>
      </c>
    </row>
    <row r="41" spans="1:1">
      <c r="A41" s="3" t="s">
        <v>719</v>
      </c>
    </row>
  </sheetData>
  <pageMargins left="0.59055118110236227" right="0.51181102362204722" top="0.47244094488188981" bottom="0.37" header="0.31496062992125984" footer="0.25"/>
  <pageSetup paperSize="9" scale="71" orientation="landscape" horizontalDpi="1200" verticalDpi="12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AC1A-9BCF-CA45-9358-176DF49BBEDE}">
  <sheetPr>
    <pageSetUpPr fitToPage="1"/>
  </sheetPr>
  <dimension ref="A1:J33"/>
  <sheetViews>
    <sheetView zoomScaleNormal="100" workbookViewId="0">
      <selection activeCell="D6" sqref="D6"/>
    </sheetView>
  </sheetViews>
  <sheetFormatPr baseColWidth="10" defaultColWidth="11.3984375" defaultRowHeight="13"/>
  <cols>
    <col min="1" max="1" width="19.3984375" style="3" customWidth="1"/>
    <col min="2" max="2" width="16.59765625" style="3" customWidth="1"/>
    <col min="3" max="3" width="17.3984375" style="3" customWidth="1"/>
    <col min="4" max="5" width="15.3984375" style="3" customWidth="1"/>
    <col min="6" max="6" width="16.796875" style="3" customWidth="1"/>
    <col min="7" max="7" width="15.59765625" style="3" customWidth="1"/>
    <col min="8" max="16384" width="11.3984375" style="3"/>
  </cols>
  <sheetData>
    <row r="1" spans="1:10" s="2" customFormat="1" ht="14" customHeight="1"/>
    <row r="2" spans="1:10" s="2" customFormat="1" ht="24" customHeight="1">
      <c r="A2" s="180" t="s">
        <v>1630</v>
      </c>
      <c r="G2" s="207"/>
    </row>
    <row r="3" spans="1:10" ht="24" customHeight="1">
      <c r="A3" s="92" t="s">
        <v>469</v>
      </c>
      <c r="B3" s="182" t="s">
        <v>399</v>
      </c>
      <c r="C3" s="183" t="s">
        <v>400</v>
      </c>
      <c r="D3" s="182" t="s">
        <v>401</v>
      </c>
      <c r="E3" s="183" t="s">
        <v>402</v>
      </c>
      <c r="F3" s="182" t="s">
        <v>278</v>
      </c>
      <c r="G3" s="94" t="s">
        <v>279</v>
      </c>
    </row>
    <row r="4" spans="1:10" ht="15" customHeight="1">
      <c r="A4" s="184"/>
      <c r="B4" s="185" t="s">
        <v>403</v>
      </c>
      <c r="C4" s="186" t="s">
        <v>404</v>
      </c>
      <c r="D4" s="185" t="s">
        <v>405</v>
      </c>
      <c r="E4" s="187" t="s">
        <v>406</v>
      </c>
      <c r="F4" s="185"/>
      <c r="G4" s="95" t="s">
        <v>282</v>
      </c>
    </row>
    <row r="5" spans="1:10" ht="15" customHeight="1">
      <c r="A5" s="184"/>
      <c r="B5" s="185" t="s">
        <v>407</v>
      </c>
      <c r="C5" s="186" t="s">
        <v>408</v>
      </c>
      <c r="D5" s="185"/>
      <c r="E5" s="187" t="s">
        <v>466</v>
      </c>
      <c r="F5" s="185"/>
      <c r="G5" s="95" t="s">
        <v>283</v>
      </c>
    </row>
    <row r="6" spans="1:10" ht="24" customHeight="1">
      <c r="A6" s="188"/>
      <c r="B6" s="189"/>
      <c r="C6" s="190"/>
      <c r="D6" s="189"/>
      <c r="E6" s="191" t="s">
        <v>410</v>
      </c>
      <c r="F6" s="189"/>
      <c r="G6" s="97"/>
    </row>
    <row r="7" spans="1:10" ht="1.25" customHeight="1" thickBot="1">
      <c r="A7" s="192">
        <v>1996</v>
      </c>
      <c r="B7" s="311">
        <v>8068.747832</v>
      </c>
      <c r="C7" s="312">
        <v>2578.7974989999998</v>
      </c>
      <c r="D7" s="311">
        <v>25.416930000000001</v>
      </c>
      <c r="E7" s="312">
        <v>107.523248</v>
      </c>
      <c r="F7" s="311">
        <v>10780.485509</v>
      </c>
      <c r="G7" s="101" t="s">
        <v>30</v>
      </c>
    </row>
    <row r="8" spans="1:10" ht="0.75" hidden="1" customHeight="1" thickBot="1">
      <c r="A8" s="194">
        <v>1997</v>
      </c>
      <c r="B8" s="313">
        <v>7130.3436650000003</v>
      </c>
      <c r="C8" s="314">
        <v>3864.390214</v>
      </c>
      <c r="D8" s="313">
        <v>13.596114</v>
      </c>
      <c r="E8" s="314">
        <v>352.16520000000003</v>
      </c>
      <c r="F8" s="313">
        <v>11360.495192</v>
      </c>
      <c r="G8" s="197">
        <v>5.3801814632168828E-2</v>
      </c>
      <c r="H8" s="9"/>
      <c r="I8" s="9"/>
      <c r="J8" s="9"/>
    </row>
    <row r="9" spans="1:10" ht="19.5" hidden="1" customHeight="1" thickBot="1">
      <c r="A9" s="194">
        <v>1998</v>
      </c>
      <c r="B9" s="313">
        <v>7021.0225700000001</v>
      </c>
      <c r="C9" s="314">
        <v>4312.7338319999999</v>
      </c>
      <c r="D9" s="313">
        <v>6.4190870000000002</v>
      </c>
      <c r="E9" s="314">
        <v>586.68436299999996</v>
      </c>
      <c r="F9" s="313">
        <v>11926.859852</v>
      </c>
      <c r="G9" s="197">
        <v>4.9853870841724421E-2</v>
      </c>
    </row>
    <row r="10" spans="1:10" ht="20" hidden="1" customHeight="1" thickBot="1">
      <c r="A10" s="194">
        <v>1999</v>
      </c>
      <c r="B10" s="313">
        <v>7777.7143260000003</v>
      </c>
      <c r="C10" s="314">
        <v>3929.1822109999998</v>
      </c>
      <c r="D10" s="313">
        <v>6.4800399999999998</v>
      </c>
      <c r="E10" s="314">
        <v>717.23275599999999</v>
      </c>
      <c r="F10" s="313">
        <v>12430.609334000001</v>
      </c>
      <c r="G10" s="197">
        <v>4.2236555828693498E-2</v>
      </c>
    </row>
    <row r="11" spans="1:10" ht="0.5" hidden="1" customHeight="1" thickBot="1">
      <c r="A11" s="194">
        <v>2000</v>
      </c>
      <c r="B11" s="313">
        <v>8082.7115553000003</v>
      </c>
      <c r="C11" s="314">
        <v>4300.2223146999995</v>
      </c>
      <c r="D11" s="313">
        <v>6.28484658</v>
      </c>
      <c r="E11" s="314">
        <v>801.09118021000006</v>
      </c>
      <c r="F11" s="313">
        <v>13190.30989679</v>
      </c>
      <c r="G11" s="197">
        <v>6.111531159716195E-2</v>
      </c>
    </row>
    <row r="12" spans="1:10" ht="20" customHeight="1" thickBot="1">
      <c r="A12" s="194">
        <v>2001</v>
      </c>
      <c r="B12" s="313">
        <v>8576.2604756000001</v>
      </c>
      <c r="C12" s="314">
        <v>4525.6886304</v>
      </c>
      <c r="D12" s="313">
        <v>7.0934559400000001</v>
      </c>
      <c r="E12" s="314">
        <v>877.22872129999996</v>
      </c>
      <c r="F12" s="313">
        <v>13986.271283239999</v>
      </c>
      <c r="G12" s="197">
        <v>6.0344403784152512E-2</v>
      </c>
    </row>
    <row r="13" spans="1:10" ht="20" customHeight="1" thickBot="1">
      <c r="A13" s="194">
        <v>2002</v>
      </c>
      <c r="B13" s="313">
        <v>8890.6642347999987</v>
      </c>
      <c r="C13" s="314">
        <v>4785.7639721999994</v>
      </c>
      <c r="D13" s="313">
        <v>6.6999405400000001</v>
      </c>
      <c r="E13" s="314">
        <v>909.62889640999992</v>
      </c>
      <c r="F13" s="313">
        <v>14592.757043950001</v>
      </c>
      <c r="G13" s="197">
        <v>4.3362934153634278E-2</v>
      </c>
    </row>
    <row r="14" spans="1:10" ht="20" customHeight="1" thickBot="1">
      <c r="A14" s="194">
        <v>2003</v>
      </c>
      <c r="B14" s="313">
        <v>9320.4810839999991</v>
      </c>
      <c r="C14" s="314">
        <v>5132.6037123000006</v>
      </c>
      <c r="D14" s="313">
        <v>7.0683550799999999</v>
      </c>
      <c r="E14" s="314">
        <v>875.46655299999998</v>
      </c>
      <c r="F14" s="313">
        <v>15335.619704379998</v>
      </c>
      <c r="G14" s="197">
        <v>5.0906258371373338E-2</v>
      </c>
    </row>
    <row r="15" spans="1:10" ht="20" customHeight="1" thickBot="1">
      <c r="A15" s="194">
        <v>2004</v>
      </c>
      <c r="B15" s="313">
        <v>9988.6658920000009</v>
      </c>
      <c r="C15" s="314">
        <v>5289.8342951999994</v>
      </c>
      <c r="D15" s="313">
        <v>7.2944575399999998</v>
      </c>
      <c r="E15" s="314">
        <v>1021.7139006</v>
      </c>
      <c r="F15" s="313">
        <v>16307.508545340002</v>
      </c>
      <c r="G15" s="197">
        <v>6.3374604984656954E-2</v>
      </c>
    </row>
    <row r="16" spans="1:10" ht="20" customHeight="1" thickBot="1">
      <c r="A16" s="194">
        <v>2005</v>
      </c>
      <c r="B16" s="313">
        <v>10948.37887789</v>
      </c>
      <c r="C16" s="314">
        <v>5106.1971250400002</v>
      </c>
      <c r="D16" s="313">
        <v>7.7069186199999997</v>
      </c>
      <c r="E16" s="314">
        <v>1290.43711553</v>
      </c>
      <c r="F16" s="313">
        <v>17352.720037080002</v>
      </c>
      <c r="G16" s="197">
        <v>6.4093879750789812E-2</v>
      </c>
    </row>
    <row r="17" spans="1:7" ht="20" customHeight="1" thickBot="1">
      <c r="A17" s="194">
        <v>2006</v>
      </c>
      <c r="B17" s="313">
        <v>10882.30509285</v>
      </c>
      <c r="C17" s="314">
        <v>4819.3397623999999</v>
      </c>
      <c r="D17" s="313">
        <v>7.6050231300000002</v>
      </c>
      <c r="E17" s="314">
        <v>1854.6657244100002</v>
      </c>
      <c r="F17" s="313">
        <v>17563.915602789999</v>
      </c>
      <c r="G17" s="197">
        <v>1.2170747021717962E-2</v>
      </c>
    </row>
    <row r="18" spans="1:7" ht="20" customHeight="1" thickBot="1">
      <c r="A18" s="194">
        <v>2007</v>
      </c>
      <c r="B18" s="313">
        <v>10974.96309465</v>
      </c>
      <c r="C18" s="314">
        <v>4774.9719946599998</v>
      </c>
      <c r="D18" s="313">
        <v>7.66488031</v>
      </c>
      <c r="E18" s="314">
        <v>2666.0220249899999</v>
      </c>
      <c r="F18" s="313">
        <v>18423.621994609999</v>
      </c>
      <c r="G18" s="197">
        <v>4.8947308291747725E-2</v>
      </c>
    </row>
    <row r="19" spans="1:7" ht="20" customHeight="1" thickBot="1">
      <c r="A19" s="194">
        <v>2008</v>
      </c>
      <c r="B19" s="313">
        <v>11138.471106950001</v>
      </c>
      <c r="C19" s="314">
        <v>4743.4199530100004</v>
      </c>
      <c r="D19" s="313">
        <v>8.7684434000000007</v>
      </c>
      <c r="E19" s="314">
        <v>3540.7977514200002</v>
      </c>
      <c r="F19" s="313">
        <v>19431.457254780002</v>
      </c>
      <c r="G19" s="197">
        <v>5.470342696267072E-2</v>
      </c>
    </row>
    <row r="20" spans="1:7" ht="20" customHeight="1" thickBot="1">
      <c r="A20" s="194">
        <v>2009</v>
      </c>
      <c r="B20" s="313">
        <v>11053.462400930001</v>
      </c>
      <c r="C20" s="314">
        <v>4569.8885413900007</v>
      </c>
      <c r="D20" s="313">
        <v>8.6721991899999988</v>
      </c>
      <c r="E20" s="314">
        <v>4641.8274524099998</v>
      </c>
      <c r="F20" s="313">
        <v>20273.85059392</v>
      </c>
      <c r="G20" s="197">
        <v>4.3352041388083462E-2</v>
      </c>
    </row>
    <row r="21" spans="1:7" ht="20" customHeight="1" thickBot="1">
      <c r="A21" s="194">
        <v>2010</v>
      </c>
      <c r="B21" s="313">
        <v>10500.479477049999</v>
      </c>
      <c r="C21" s="314">
        <v>4179.16763292</v>
      </c>
      <c r="D21" s="313">
        <v>7.3919347100000001</v>
      </c>
      <c r="E21" s="314">
        <v>6196.7078858500008</v>
      </c>
      <c r="F21" s="313">
        <v>20883.74693053</v>
      </c>
      <c r="G21" s="197">
        <v>3.0082905750173694E-2</v>
      </c>
    </row>
    <row r="22" spans="1:7" ht="30" customHeight="1" thickBot="1">
      <c r="A22" s="198">
        <v>2011</v>
      </c>
      <c r="B22" s="315">
        <v>9989.2136328300003</v>
      </c>
      <c r="C22" s="316">
        <v>3809.5485399200002</v>
      </c>
      <c r="D22" s="315">
        <v>7.0775843399999996</v>
      </c>
      <c r="E22" s="316">
        <v>7550.5660808599996</v>
      </c>
      <c r="F22" s="315">
        <v>21356.405837950002</v>
      </c>
      <c r="G22" s="109">
        <v>2.2632859371084502E-2</v>
      </c>
    </row>
    <row r="23" spans="1:7" ht="20" customHeight="1">
      <c r="A23" s="112" t="s">
        <v>720</v>
      </c>
      <c r="B23" s="112"/>
      <c r="C23" s="112"/>
      <c r="D23" s="112"/>
      <c r="E23" s="112"/>
      <c r="F23" s="112"/>
      <c r="G23" s="112"/>
    </row>
    <row r="24" spans="1:7" ht="16.5" customHeight="1">
      <c r="A24" s="115"/>
      <c r="B24" s="115"/>
      <c r="C24" s="115"/>
      <c r="D24" s="115"/>
      <c r="E24" s="115"/>
      <c r="F24" s="115"/>
      <c r="G24" s="115"/>
    </row>
    <row r="25" spans="1:7">
      <c r="A25" s="115" t="s">
        <v>1631</v>
      </c>
    </row>
    <row r="27" spans="1:7">
      <c r="A27" s="3" t="s">
        <v>1632</v>
      </c>
    </row>
    <row r="30" spans="1:7">
      <c r="A30" s="3" t="s">
        <v>719</v>
      </c>
    </row>
    <row r="32" spans="1:7" ht="14">
      <c r="F32" s="971"/>
    </row>
    <row r="33" spans="6:6" ht="14">
      <c r="F33" s="972"/>
    </row>
  </sheetData>
  <pageMargins left="0.57999999999999996" right="0.61" top="1.01" bottom="0.49" header="0.57999999999999996" footer="0.4921259845"/>
  <pageSetup paperSize="9" scale="77"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D74E-3CC4-D34E-8FC6-D8380E8628EF}">
  <sheetPr>
    <pageSetUpPr fitToPage="1"/>
  </sheetPr>
  <dimension ref="A1:J59"/>
  <sheetViews>
    <sheetView zoomScaleNormal="100" workbookViewId="0">
      <selection activeCell="E6" sqref="E6"/>
    </sheetView>
  </sheetViews>
  <sheetFormatPr baseColWidth="10" defaultColWidth="11.3984375" defaultRowHeight="13"/>
  <cols>
    <col min="1" max="1" width="24.19921875" style="3" customWidth="1"/>
    <col min="2" max="2" width="17" style="3" customWidth="1"/>
    <col min="3" max="3" width="16.59765625" style="3" customWidth="1"/>
    <col min="4" max="4" width="19.19921875" style="3" customWidth="1"/>
    <col min="5" max="5" width="16.3984375" style="3" customWidth="1"/>
    <col min="6" max="6" width="20" style="3" customWidth="1"/>
    <col min="7" max="7" width="16.3984375" style="3" customWidth="1"/>
    <col min="8" max="8" width="14.19921875" style="3" customWidth="1"/>
    <col min="9" max="10" width="13.3984375" style="3" customWidth="1"/>
    <col min="11" max="16384" width="11.3984375" style="3"/>
  </cols>
  <sheetData>
    <row r="1" spans="1:10" s="2" customFormat="1" ht="14" customHeight="1"/>
    <row r="2" spans="1:10" s="2" customFormat="1" ht="24.5" customHeight="1">
      <c r="A2" s="1843" t="s">
        <v>1633</v>
      </c>
      <c r="B2" s="1847"/>
      <c r="C2" s="1847"/>
      <c r="D2" s="1847"/>
      <c r="E2" s="1847"/>
      <c r="F2" s="1847"/>
      <c r="G2" s="180"/>
    </row>
    <row r="3" spans="1:10" ht="24" customHeight="1">
      <c r="A3" s="92" t="s">
        <v>1611</v>
      </c>
      <c r="B3" s="182" t="s">
        <v>399</v>
      </c>
      <c r="C3" s="183" t="s">
        <v>400</v>
      </c>
      <c r="D3" s="182" t="s">
        <v>401</v>
      </c>
      <c r="E3" s="183" t="s">
        <v>402</v>
      </c>
      <c r="F3" s="182" t="s">
        <v>683</v>
      </c>
      <c r="G3" s="94" t="s">
        <v>279</v>
      </c>
    </row>
    <row r="4" spans="1:10" ht="15" customHeight="1">
      <c r="A4" s="184"/>
      <c r="B4" s="185" t="s">
        <v>403</v>
      </c>
      <c r="C4" s="186" t="s">
        <v>404</v>
      </c>
      <c r="D4" s="185" t="s">
        <v>405</v>
      </c>
      <c r="E4" s="187" t="s">
        <v>406</v>
      </c>
      <c r="F4" s="185"/>
      <c r="G4" s="95" t="s">
        <v>282</v>
      </c>
    </row>
    <row r="5" spans="1:10" ht="15" customHeight="1">
      <c r="A5" s="184"/>
      <c r="B5" s="185" t="s">
        <v>407</v>
      </c>
      <c r="C5" s="186" t="s">
        <v>408</v>
      </c>
      <c r="D5" s="185"/>
      <c r="E5" s="187" t="s">
        <v>466</v>
      </c>
      <c r="F5" s="185"/>
      <c r="G5" s="95" t="s">
        <v>283</v>
      </c>
    </row>
    <row r="6" spans="1:10" ht="24" customHeight="1">
      <c r="A6" s="408" t="s">
        <v>721</v>
      </c>
      <c r="B6" s="189"/>
      <c r="C6" s="190"/>
      <c r="D6" s="189"/>
      <c r="E6" s="191" t="s">
        <v>410</v>
      </c>
      <c r="F6" s="189"/>
      <c r="G6" s="522"/>
    </row>
    <row r="7" spans="1:10" ht="1.25" customHeight="1" thickBot="1">
      <c r="A7" s="192">
        <v>1996</v>
      </c>
      <c r="B7" s="100">
        <v>1693.472957927004</v>
      </c>
      <c r="C7" s="193">
        <v>1112.5875100399426</v>
      </c>
      <c r="D7" s="100">
        <v>908.57038606702895</v>
      </c>
      <c r="E7" s="193">
        <v>879.61661091952851</v>
      </c>
      <c r="F7" s="100">
        <v>1490.5270087783663</v>
      </c>
      <c r="G7" s="101" t="s">
        <v>30</v>
      </c>
    </row>
    <row r="8" spans="1:10" ht="0.75" hidden="1" customHeight="1" thickBot="1">
      <c r="A8" s="194">
        <v>1997</v>
      </c>
      <c r="B8" s="195">
        <v>1740.7565036180117</v>
      </c>
      <c r="C8" s="196">
        <v>1408.0072046657929</v>
      </c>
      <c r="D8" s="195">
        <v>1179.3463740854293</v>
      </c>
      <c r="E8" s="196">
        <v>916.51587762677957</v>
      </c>
      <c r="F8" s="195">
        <v>1569.8943852604398</v>
      </c>
      <c r="G8" s="197">
        <v>5.3247862007628349E-2</v>
      </c>
      <c r="H8" s="9"/>
      <c r="I8" s="9"/>
      <c r="J8" s="9"/>
    </row>
    <row r="9" spans="1:10" ht="19.5" hidden="1" customHeight="1" thickBot="1">
      <c r="A9" s="194">
        <v>1998</v>
      </c>
      <c r="B9" s="195">
        <v>1748.6257046580097</v>
      </c>
      <c r="C9" s="196">
        <v>1582.236200997007</v>
      </c>
      <c r="D9" s="195">
        <v>542.85146212992356</v>
      </c>
      <c r="E9" s="196">
        <v>1187.8496276871122</v>
      </c>
      <c r="F9" s="195">
        <v>1645.8523332821831</v>
      </c>
      <c r="G9" s="197">
        <v>4.8384113437759779E-2</v>
      </c>
    </row>
    <row r="10" spans="1:10" ht="22.25" hidden="1" customHeight="1" thickBot="1">
      <c r="A10" s="194">
        <v>1999</v>
      </c>
      <c r="B10" s="195">
        <v>1943.9724380280036</v>
      </c>
      <c r="C10" s="196">
        <v>1446.076835760324</v>
      </c>
      <c r="D10" s="195">
        <v>631.35948452726836</v>
      </c>
      <c r="E10" s="196">
        <v>1322.850287189882</v>
      </c>
      <c r="F10" s="195">
        <v>1709.7272154599079</v>
      </c>
      <c r="G10" s="197">
        <v>3.880960696537377E-2</v>
      </c>
    </row>
    <row r="11" spans="1:10" ht="22.25" hidden="1" customHeight="1" thickBot="1">
      <c r="A11" s="194">
        <v>2000</v>
      </c>
      <c r="B11" s="195">
        <v>2061.7572370412531</v>
      </c>
      <c r="C11" s="196">
        <v>1559.5200327769257</v>
      </c>
      <c r="D11" s="195">
        <v>640.85618858059308</v>
      </c>
      <c r="E11" s="196">
        <v>1386.9243548352326</v>
      </c>
      <c r="F11" s="195">
        <v>1815.5684428845086</v>
      </c>
      <c r="G11" s="197">
        <v>6.1905329965827281E-2</v>
      </c>
    </row>
    <row r="12" spans="1:10" ht="22.5" customHeight="1" thickBot="1">
      <c r="A12" s="194">
        <v>2001</v>
      </c>
      <c r="B12" s="195">
        <v>2215.2521849633595</v>
      </c>
      <c r="C12" s="196">
        <v>1601.456447034876</v>
      </c>
      <c r="D12" s="195">
        <v>761.4942224833801</v>
      </c>
      <c r="E12" s="196">
        <v>1476.0910392091953</v>
      </c>
      <c r="F12" s="195">
        <v>1915.6520340553755</v>
      </c>
      <c r="G12" s="197">
        <v>5.5125209717711163E-2</v>
      </c>
    </row>
    <row r="13" spans="1:10" ht="22.5" customHeight="1" thickBot="1">
      <c r="A13" s="194">
        <v>2002</v>
      </c>
      <c r="B13" s="195">
        <v>2336.5480943488155</v>
      </c>
      <c r="C13" s="196">
        <v>1608.7398764542932</v>
      </c>
      <c r="D13" s="195">
        <v>759.86194884606937</v>
      </c>
      <c r="E13" s="196">
        <v>1636.2590696884934</v>
      </c>
      <c r="F13" s="195">
        <v>1986.8602053785678</v>
      </c>
      <c r="G13" s="197">
        <v>3.7171767135833575E-2</v>
      </c>
    </row>
    <row r="14" spans="1:10" ht="22.5" customHeight="1" thickBot="1">
      <c r="A14" s="194">
        <v>2003</v>
      </c>
      <c r="B14" s="195">
        <v>2543.8057035018146</v>
      </c>
      <c r="C14" s="196">
        <v>1656.5311093343439</v>
      </c>
      <c r="D14" s="195">
        <v>852.25259235500948</v>
      </c>
      <c r="E14" s="196">
        <v>1454.7088463142236</v>
      </c>
      <c r="F14" s="195">
        <v>2080.1097733239922</v>
      </c>
      <c r="G14" s="197">
        <v>4.6933129816074295E-2</v>
      </c>
    </row>
    <row r="15" spans="1:10" ht="22.5" customHeight="1" thickBot="1">
      <c r="A15" s="194">
        <v>2004</v>
      </c>
      <c r="B15" s="195">
        <v>2758.2074827327442</v>
      </c>
      <c r="C15" s="196">
        <v>1757.4292603708973</v>
      </c>
      <c r="D15" s="195">
        <v>905.21341172647249</v>
      </c>
      <c r="E15" s="196">
        <v>1373.0910592494565</v>
      </c>
      <c r="F15" s="195">
        <v>2208.6199102683881</v>
      </c>
      <c r="G15" s="197">
        <v>6.1780459181747037E-2</v>
      </c>
    </row>
    <row r="16" spans="1:10" ht="22.5" customHeight="1" thickBot="1">
      <c r="A16" s="194">
        <v>2005</v>
      </c>
      <c r="B16" s="195">
        <v>3045.7444736931438</v>
      </c>
      <c r="C16" s="196">
        <v>1742.6322440668202</v>
      </c>
      <c r="D16" s="195">
        <v>1002.5097658133579</v>
      </c>
      <c r="E16" s="196">
        <v>1428.4762573055013</v>
      </c>
      <c r="F16" s="195">
        <v>2333.6518397093009</v>
      </c>
      <c r="G16" s="197">
        <v>5.6610885766088748E-2</v>
      </c>
    </row>
    <row r="17" spans="1:7" ht="22.5" customHeight="1" thickBot="1">
      <c r="A17" s="194">
        <v>2006</v>
      </c>
      <c r="B17" s="195">
        <v>3255.1789461574645</v>
      </c>
      <c r="C17" s="196">
        <v>1735.686558346925</v>
      </c>
      <c r="D17" s="195">
        <v>1057.4282552437587</v>
      </c>
      <c r="E17" s="196">
        <v>1372.2570154496282</v>
      </c>
      <c r="F17" s="195">
        <v>2348.6103301629255</v>
      </c>
      <c r="G17" s="197">
        <v>6.409906653208397E-3</v>
      </c>
    </row>
    <row r="18" spans="1:7" ht="22.5" customHeight="1" thickBot="1">
      <c r="A18" s="194">
        <v>2007</v>
      </c>
      <c r="B18" s="195">
        <v>3503.0279381745177</v>
      </c>
      <c r="C18" s="196">
        <v>1860.6542092302925</v>
      </c>
      <c r="D18" s="195">
        <v>1116.1951590251049</v>
      </c>
      <c r="E18" s="196">
        <v>1455.6986782891856</v>
      </c>
      <c r="F18" s="195">
        <v>2444.2340609903572</v>
      </c>
      <c r="G18" s="197">
        <v>4.071502607280042E-2</v>
      </c>
    </row>
    <row r="19" spans="1:7" ht="22.5" customHeight="1" thickBot="1">
      <c r="A19" s="194">
        <v>2008</v>
      </c>
      <c r="B19" s="195">
        <v>3779.2804890017851</v>
      </c>
      <c r="C19" s="196">
        <v>1995.0917014086594</v>
      </c>
      <c r="D19" s="195">
        <v>1346.7554924819322</v>
      </c>
      <c r="E19" s="196">
        <v>1550.0860006459327</v>
      </c>
      <c r="F19" s="195">
        <v>2551.5464001640853</v>
      </c>
      <c r="G19" s="197">
        <v>4.3904281053283034E-2</v>
      </c>
    </row>
    <row r="20" spans="1:7" ht="22.5" customHeight="1" thickBot="1">
      <c r="A20" s="194">
        <v>2009</v>
      </c>
      <c r="B20" s="195">
        <v>4022.2406746329993</v>
      </c>
      <c r="C20" s="196">
        <v>2093.8863767697767</v>
      </c>
      <c r="D20" s="195">
        <v>1408.5627057694212</v>
      </c>
      <c r="E20" s="196">
        <v>1674.5944131607669</v>
      </c>
      <c r="F20" s="195">
        <v>2629.9453520972111</v>
      </c>
      <c r="G20" s="197">
        <v>3.0726053787649699E-2</v>
      </c>
    </row>
    <row r="21" spans="1:7" ht="22.5" customHeight="1" thickBot="1">
      <c r="A21" s="194">
        <v>2010</v>
      </c>
      <c r="B21" s="195">
        <v>4355.9418749750675</v>
      </c>
      <c r="C21" s="196">
        <v>2365.6789656687006</v>
      </c>
      <c r="D21" s="195">
        <v>1299.9711091531651</v>
      </c>
      <c r="E21" s="196">
        <v>1721.2284164085715</v>
      </c>
      <c r="F21" s="195">
        <v>2684.4029573344997</v>
      </c>
      <c r="G21" s="197">
        <v>2.0706744037043201E-2</v>
      </c>
    </row>
    <row r="22" spans="1:7" ht="22.5" customHeight="1" thickBot="1">
      <c r="A22" s="198">
        <v>2011</v>
      </c>
      <c r="B22" s="199">
        <v>4581.455604693796</v>
      </c>
      <c r="C22" s="200">
        <v>2469.5726932898706</v>
      </c>
      <c r="D22" s="199">
        <v>1343.7160852234513</v>
      </c>
      <c r="E22" s="200">
        <v>1826.3512923944886</v>
      </c>
      <c r="F22" s="199">
        <v>2716.1425185588296</v>
      </c>
      <c r="G22" s="929">
        <v>1.1823694776378124E-2</v>
      </c>
    </row>
    <row r="23" spans="1:7" ht="20" customHeight="1">
      <c r="A23" s="112" t="s">
        <v>720</v>
      </c>
      <c r="B23" s="112"/>
      <c r="C23" s="112"/>
      <c r="D23" s="112"/>
      <c r="E23" s="112"/>
      <c r="F23" s="112"/>
      <c r="G23" s="796"/>
    </row>
    <row r="24" spans="1:7">
      <c r="G24" s="797"/>
    </row>
    <row r="25" spans="1:7">
      <c r="A25" s="3" t="s">
        <v>1634</v>
      </c>
      <c r="G25" s="797"/>
    </row>
    <row r="26" spans="1:7">
      <c r="G26" s="797"/>
    </row>
    <row r="27" spans="1:7">
      <c r="G27" s="797"/>
    </row>
    <row r="28" spans="1:7" ht="18">
      <c r="A28" s="952" t="s">
        <v>1613</v>
      </c>
      <c r="G28" s="797"/>
    </row>
    <row r="29" spans="1:7" ht="9.5" customHeight="1">
      <c r="G29" s="797"/>
    </row>
    <row r="30" spans="1:7" ht="18" customHeight="1">
      <c r="A30" s="92" t="s">
        <v>469</v>
      </c>
      <c r="B30" s="182" t="s">
        <v>349</v>
      </c>
      <c r="C30" s="94" t="s">
        <v>279</v>
      </c>
      <c r="D30" s="182" t="s">
        <v>459</v>
      </c>
      <c r="E30" s="94" t="s">
        <v>279</v>
      </c>
      <c r="F30" s="182" t="s">
        <v>1597</v>
      </c>
      <c r="G30" s="94" t="s">
        <v>279</v>
      </c>
    </row>
    <row r="31" spans="1:7" ht="18" customHeight="1">
      <c r="A31" s="953"/>
      <c r="B31" s="185" t="s">
        <v>460</v>
      </c>
      <c r="C31" s="95" t="s">
        <v>282</v>
      </c>
      <c r="D31" s="185" t="s">
        <v>461</v>
      </c>
      <c r="E31" s="95" t="s">
        <v>282</v>
      </c>
      <c r="F31" s="185" t="s">
        <v>1598</v>
      </c>
      <c r="G31" s="95" t="s">
        <v>282</v>
      </c>
    </row>
    <row r="32" spans="1:7" ht="18" customHeight="1">
      <c r="A32" s="184"/>
      <c r="B32" s="185"/>
      <c r="C32" s="784" t="s">
        <v>283</v>
      </c>
      <c r="D32" s="185"/>
      <c r="E32" s="784" t="s">
        <v>283</v>
      </c>
      <c r="F32" s="185"/>
      <c r="G32" s="784" t="s">
        <v>283</v>
      </c>
    </row>
    <row r="33" spans="1:7" ht="18" customHeight="1">
      <c r="A33" s="188"/>
      <c r="B33" s="189"/>
      <c r="C33" s="190"/>
      <c r="D33" s="189"/>
      <c r="E33" s="191"/>
      <c r="F33" s="189"/>
      <c r="G33" s="474"/>
    </row>
    <row r="34" spans="1:7" ht="1.5" customHeight="1" thickBot="1">
      <c r="A34" s="192">
        <v>1996</v>
      </c>
      <c r="B34" s="100" t="s">
        <v>30</v>
      </c>
      <c r="C34" s="954" t="s">
        <v>30</v>
      </c>
      <c r="D34" s="100" t="s">
        <v>30</v>
      </c>
      <c r="E34" s="954" t="s">
        <v>30</v>
      </c>
      <c r="F34" s="100" t="s">
        <v>30</v>
      </c>
      <c r="G34" s="101" t="s">
        <v>30</v>
      </c>
    </row>
    <row r="35" spans="1:7" ht="0.75" hidden="1" customHeight="1" thickBot="1">
      <c r="A35" s="194">
        <v>1997</v>
      </c>
      <c r="B35" s="195">
        <v>514.44000000000005</v>
      </c>
      <c r="C35" s="197" t="s">
        <v>30</v>
      </c>
      <c r="D35" s="195">
        <v>710.67</v>
      </c>
      <c r="E35" s="197" t="s">
        <v>30</v>
      </c>
      <c r="F35" s="195">
        <v>1974.25</v>
      </c>
      <c r="G35" s="197" t="s">
        <v>30</v>
      </c>
    </row>
    <row r="36" spans="1:7" ht="18" hidden="1" customHeight="1" thickBot="1">
      <c r="A36" s="194">
        <v>1998</v>
      </c>
      <c r="B36" s="195">
        <v>551.9</v>
      </c>
      <c r="C36" s="197">
        <v>7.2817043775756041E-2</v>
      </c>
      <c r="D36" s="195">
        <v>720.82</v>
      </c>
      <c r="E36" s="197">
        <v>1.4282296987350174E-2</v>
      </c>
      <c r="F36" s="195">
        <v>2092.48</v>
      </c>
      <c r="G36" s="197">
        <v>5.9886032670634526E-2</v>
      </c>
    </row>
    <row r="37" spans="1:7" ht="21.5" hidden="1" customHeight="1" thickBot="1">
      <c r="A37" s="194">
        <v>1999</v>
      </c>
      <c r="B37" s="195">
        <v>566.42999999999995</v>
      </c>
      <c r="C37" s="197">
        <v>2.6327233194419319E-2</v>
      </c>
      <c r="D37" s="195">
        <v>737.62</v>
      </c>
      <c r="E37" s="197">
        <v>2.3306789489747626E-2</v>
      </c>
      <c r="F37" s="195">
        <v>2185.0300000000002</v>
      </c>
      <c r="G37" s="197">
        <v>4.4229813427129727E-2</v>
      </c>
    </row>
    <row r="38" spans="1:7" ht="0.5" customHeight="1" thickBot="1">
      <c r="A38" s="194">
        <v>2000</v>
      </c>
      <c r="B38" s="195">
        <v>597.91</v>
      </c>
      <c r="C38" s="197">
        <v>5.5576152393058242E-2</v>
      </c>
      <c r="D38" s="195">
        <v>787.29</v>
      </c>
      <c r="E38" s="197">
        <v>6.7338195818985369E-2</v>
      </c>
      <c r="F38" s="195">
        <v>2348.13</v>
      </c>
      <c r="G38" s="197">
        <v>7.4644284060173094E-2</v>
      </c>
    </row>
    <row r="39" spans="1:7" ht="21.75" customHeight="1" thickBot="1">
      <c r="A39" s="194">
        <v>2001</v>
      </c>
      <c r="B39" s="195">
        <v>627.16</v>
      </c>
      <c r="C39" s="197">
        <v>4.8920406081182755E-2</v>
      </c>
      <c r="D39" s="195">
        <v>820.79</v>
      </c>
      <c r="E39" s="197">
        <v>4.2551029480877522E-2</v>
      </c>
      <c r="F39" s="195">
        <v>2475.4499999999998</v>
      </c>
      <c r="G39" s="197">
        <v>5.4221870169028019E-2</v>
      </c>
    </row>
    <row r="40" spans="1:7" ht="21.75" customHeight="1" thickBot="1">
      <c r="A40" s="194">
        <v>2002</v>
      </c>
      <c r="B40" s="195">
        <v>640.42999999999995</v>
      </c>
      <c r="C40" s="197">
        <v>2.1158874928247862E-2</v>
      </c>
      <c r="D40" s="195">
        <v>831.97</v>
      </c>
      <c r="E40" s="197">
        <v>1.3621023647949038E-2</v>
      </c>
      <c r="F40" s="195">
        <v>2560.0700000000002</v>
      </c>
      <c r="G40" s="197">
        <v>3.4183683774667406E-2</v>
      </c>
    </row>
    <row r="41" spans="1:7" ht="21.75" customHeight="1" thickBot="1">
      <c r="A41" s="194">
        <v>2003</v>
      </c>
      <c r="B41" s="195">
        <v>664.36</v>
      </c>
      <c r="C41" s="197">
        <v>3.73655200412224E-2</v>
      </c>
      <c r="D41" s="195">
        <v>853.64</v>
      </c>
      <c r="E41" s="197">
        <v>2.6046612257653479E-2</v>
      </c>
      <c r="F41" s="195">
        <v>2673.16</v>
      </c>
      <c r="G41" s="197">
        <v>4.417457335150976E-2</v>
      </c>
    </row>
    <row r="42" spans="1:7" ht="21.75" customHeight="1" thickBot="1">
      <c r="A42" s="194">
        <v>2004</v>
      </c>
      <c r="B42" s="195">
        <v>701.54</v>
      </c>
      <c r="C42" s="197">
        <v>5.5963634174242882E-2</v>
      </c>
      <c r="D42" s="195">
        <v>876.55</v>
      </c>
      <c r="E42" s="197">
        <v>2.6838011339674672E-2</v>
      </c>
      <c r="F42" s="195">
        <v>2810.53</v>
      </c>
      <c r="G42" s="197">
        <v>5.1388618713432921E-2</v>
      </c>
    </row>
    <row r="43" spans="1:7" ht="21.75" customHeight="1" thickBot="1">
      <c r="A43" s="194">
        <v>2005</v>
      </c>
      <c r="B43" s="195">
        <v>754.24</v>
      </c>
      <c r="C43" s="197">
        <v>7.5120449297260361E-2</v>
      </c>
      <c r="D43" s="195">
        <v>890.22</v>
      </c>
      <c r="E43" s="197">
        <v>1.5595231304546209E-2</v>
      </c>
      <c r="F43" s="195">
        <v>2951.91</v>
      </c>
      <c r="G43" s="197">
        <v>5.0303679377199151E-2</v>
      </c>
    </row>
    <row r="44" spans="1:7" ht="21.75" customHeight="1" thickBot="1">
      <c r="A44" s="194">
        <v>2006</v>
      </c>
      <c r="B44" s="195">
        <v>763.04</v>
      </c>
      <c r="C44" s="197">
        <v>1.1667373780229084E-2</v>
      </c>
      <c r="D44" s="195">
        <v>867.53</v>
      </c>
      <c r="E44" s="197">
        <v>-2.5488081597807355E-2</v>
      </c>
      <c r="F44" s="195">
        <v>2973.8</v>
      </c>
      <c r="G44" s="197">
        <v>7.4155377365843211E-3</v>
      </c>
    </row>
    <row r="45" spans="1:7" ht="21.75" customHeight="1" thickBot="1">
      <c r="A45" s="194">
        <v>2007</v>
      </c>
      <c r="B45" s="195">
        <v>810.32</v>
      </c>
      <c r="C45" s="197">
        <v>6.1962675613336238E-2</v>
      </c>
      <c r="D45" s="195">
        <v>881.08</v>
      </c>
      <c r="E45" s="197">
        <v>1.5619056401507736E-2</v>
      </c>
      <c r="F45" s="195">
        <v>3078.72</v>
      </c>
      <c r="G45" s="197">
        <v>3.5281458067119464E-2</v>
      </c>
    </row>
    <row r="46" spans="1:7" ht="21.75" customHeight="1" thickBot="1">
      <c r="A46" s="194">
        <v>2008</v>
      </c>
      <c r="B46" s="195">
        <v>832.01939676998109</v>
      </c>
      <c r="C46" s="197">
        <v>2.6778799449576729E-2</v>
      </c>
      <c r="D46" s="195">
        <v>911.28491306252249</v>
      </c>
      <c r="E46" s="197">
        <v>3.428169185831309E-2</v>
      </c>
      <c r="F46" s="195">
        <v>3207.8085629331267</v>
      </c>
      <c r="G46" s="197">
        <v>4.1929296244259673E-2</v>
      </c>
    </row>
    <row r="47" spans="1:7" ht="21.75" customHeight="1" thickBot="1">
      <c r="A47" s="194">
        <v>2009</v>
      </c>
      <c r="B47" s="195">
        <v>865.61555000898773</v>
      </c>
      <c r="C47" s="197">
        <v>4.0379050499822267E-2</v>
      </c>
      <c r="D47" s="195">
        <v>949.75755898656007</v>
      </c>
      <c r="E47" s="197">
        <v>4.2218021359251789E-2</v>
      </c>
      <c r="F47" s="195">
        <v>3306.4958915508864</v>
      </c>
      <c r="G47" s="197">
        <v>3.0764718866989726E-2</v>
      </c>
    </row>
    <row r="48" spans="1:7" ht="21.75" customHeight="1" thickBot="1">
      <c r="A48" s="194">
        <v>2010</v>
      </c>
      <c r="B48" s="195">
        <v>868.29367891662014</v>
      </c>
      <c r="C48" s="197">
        <v>3.0939011061026367E-3</v>
      </c>
      <c r="D48" s="195">
        <v>1007.5237667050255</v>
      </c>
      <c r="E48" s="197">
        <v>6.0822056294139948E-2</v>
      </c>
      <c r="F48" s="195">
        <v>3366.6352662663126</v>
      </c>
      <c r="G48" s="197">
        <v>1.8188250246764515E-2</v>
      </c>
    </row>
    <row r="49" spans="1:7" ht="24.5" customHeight="1" thickBot="1">
      <c r="A49" s="955">
        <v>2011</v>
      </c>
      <c r="B49" s="224">
        <v>888.07828191465956</v>
      </c>
      <c r="C49" s="929">
        <v>2.2785612147637524E-2</v>
      </c>
      <c r="D49" s="224">
        <v>968.30193982533649</v>
      </c>
      <c r="E49" s="929">
        <v>-3.8928934657252667E-2</v>
      </c>
      <c r="F49" s="224">
        <v>3403.1378773997608</v>
      </c>
      <c r="G49" s="929">
        <v>1.084246086863172E-2</v>
      </c>
    </row>
    <row r="50" spans="1:7" ht="15" customHeight="1">
      <c r="A50" s="112" t="s">
        <v>720</v>
      </c>
    </row>
    <row r="52" spans="1:7">
      <c r="A52" s="115" t="s">
        <v>1635</v>
      </c>
    </row>
    <row r="54" spans="1:7">
      <c r="A54" s="115" t="s">
        <v>1631</v>
      </c>
    </row>
    <row r="55" spans="1:7">
      <c r="A55" s="3" t="s">
        <v>1636</v>
      </c>
    </row>
    <row r="56" spans="1:7">
      <c r="A56" s="3" t="s">
        <v>1637</v>
      </c>
    </row>
    <row r="59" spans="1:7">
      <c r="A59" s="3" t="s">
        <v>719</v>
      </c>
    </row>
  </sheetData>
  <mergeCells count="1">
    <mergeCell ref="A2:F2"/>
  </mergeCells>
  <pageMargins left="0.37" right="0.31" top="0.47244094488188981" bottom="0.47244094488188981" header="0.35433070866141736" footer="0.51181102362204722"/>
  <pageSetup paperSize="9" scale="68" orientation="portrait" horizontalDpi="1200" verticalDpi="12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1A10-06A8-FF40-9120-F49677D3EB75}">
  <sheetPr>
    <pageSetUpPr fitToPage="1"/>
  </sheetPr>
  <dimension ref="A1:I19"/>
  <sheetViews>
    <sheetView zoomScaleNormal="100" workbookViewId="0">
      <selection activeCell="J10" sqref="J10"/>
    </sheetView>
  </sheetViews>
  <sheetFormatPr baseColWidth="10" defaultColWidth="11.3984375" defaultRowHeight="13"/>
  <cols>
    <col min="1" max="1" width="30.59765625" style="3" customWidth="1"/>
    <col min="2" max="2" width="16.3984375" style="3" customWidth="1"/>
    <col min="3" max="3" width="17.3984375" style="3" customWidth="1"/>
    <col min="4" max="4" width="17.19921875" style="3" customWidth="1"/>
    <col min="5" max="5" width="18.19921875" style="3" customWidth="1"/>
    <col min="6" max="6" width="13.3984375" style="3" customWidth="1"/>
    <col min="7" max="7" width="15.3984375" style="3" customWidth="1"/>
    <col min="8" max="8" width="11.3984375" style="3"/>
    <col min="9" max="9" width="15.796875" style="3" hidden="1" customWidth="1"/>
    <col min="10" max="16384" width="11.3984375" style="3"/>
  </cols>
  <sheetData>
    <row r="1" spans="1:9" ht="14" customHeight="1">
      <c r="A1" s="126"/>
      <c r="B1" s="115"/>
      <c r="C1" s="115"/>
      <c r="D1" s="115"/>
      <c r="E1" s="115"/>
      <c r="F1" s="115"/>
      <c r="G1" s="115"/>
      <c r="I1" s="115"/>
    </row>
    <row r="2" spans="1:9" ht="24" customHeight="1">
      <c r="A2" s="181" t="s">
        <v>1638</v>
      </c>
      <c r="B2" s="436"/>
      <c r="C2" s="436"/>
      <c r="D2" s="436"/>
      <c r="E2" s="436"/>
      <c r="F2" s="436"/>
      <c r="G2" s="207">
        <v>2011</v>
      </c>
      <c r="I2" s="115"/>
    </row>
    <row r="3" spans="1:9" ht="24" customHeight="1">
      <c r="A3" s="92" t="s">
        <v>414</v>
      </c>
      <c r="B3" s="182" t="s">
        <v>346</v>
      </c>
      <c r="C3" s="183" t="s">
        <v>347</v>
      </c>
      <c r="D3" s="182" t="s">
        <v>349</v>
      </c>
      <c r="E3" s="183" t="s">
        <v>278</v>
      </c>
      <c r="F3" s="182" t="s">
        <v>415</v>
      </c>
      <c r="G3" s="94" t="s">
        <v>279</v>
      </c>
      <c r="I3" s="183" t="s">
        <v>278</v>
      </c>
    </row>
    <row r="4" spans="1:9" ht="15" customHeight="1">
      <c r="A4" s="184"/>
      <c r="B4" s="185"/>
      <c r="C4" s="186"/>
      <c r="D4" s="185"/>
      <c r="E4" s="187"/>
      <c r="F4" s="185" t="s">
        <v>416</v>
      </c>
      <c r="G4" s="95" t="s">
        <v>282</v>
      </c>
      <c r="I4" s="187">
        <v>1999</v>
      </c>
    </row>
    <row r="5" spans="1:9" ht="15" customHeight="1">
      <c r="A5" s="95"/>
      <c r="B5" s="185"/>
      <c r="C5" s="186"/>
      <c r="D5" s="185"/>
      <c r="E5" s="186"/>
      <c r="F5" s="185" t="s">
        <v>417</v>
      </c>
      <c r="G5" s="95" t="s">
        <v>283</v>
      </c>
      <c r="I5" s="186"/>
    </row>
    <row r="6" spans="1:9" ht="24" customHeight="1">
      <c r="A6" s="231"/>
      <c r="B6" s="135"/>
      <c r="C6" s="136"/>
      <c r="D6" s="135"/>
      <c r="E6" s="136"/>
      <c r="F6" s="189"/>
      <c r="G6" s="97"/>
      <c r="I6" s="136"/>
    </row>
    <row r="7" spans="1:9" ht="36" customHeight="1" thickBot="1">
      <c r="A7" s="960" t="s">
        <v>418</v>
      </c>
      <c r="B7" s="230">
        <v>4194124053.6199999</v>
      </c>
      <c r="C7" s="233">
        <v>6122070124.3400002</v>
      </c>
      <c r="D7" s="230">
        <v>679535329.71000004</v>
      </c>
      <c r="E7" s="233">
        <v>10995729507.669998</v>
      </c>
      <c r="F7" s="234">
        <v>0.44103744480865731</v>
      </c>
      <c r="G7" s="101">
        <v>-4.8123239140464215E-2</v>
      </c>
      <c r="I7" s="964">
        <v>6794064715</v>
      </c>
    </row>
    <row r="8" spans="1:9" ht="31.5" customHeight="1" thickBot="1">
      <c r="A8" s="960" t="s">
        <v>419</v>
      </c>
      <c r="B8" s="230">
        <v>2050699374.8499999</v>
      </c>
      <c r="C8" s="233">
        <v>2618174193.8600001</v>
      </c>
      <c r="D8" s="230">
        <v>57089738.420000002</v>
      </c>
      <c r="E8" s="233">
        <v>4725963307.1300001</v>
      </c>
      <c r="F8" s="234">
        <v>0.18955784423236119</v>
      </c>
      <c r="G8" s="101">
        <v>-8.9597276788398808E-2</v>
      </c>
      <c r="I8" s="964">
        <v>5396193285</v>
      </c>
    </row>
    <row r="9" spans="1:9" ht="33" customHeight="1" thickBot="1">
      <c r="A9" s="960" t="s">
        <v>330</v>
      </c>
      <c r="B9" s="230">
        <v>4889758.68</v>
      </c>
      <c r="C9" s="233">
        <v>3381038.93</v>
      </c>
      <c r="D9" s="230">
        <v>25013.47</v>
      </c>
      <c r="E9" s="233">
        <v>8295811.0799999991</v>
      </c>
      <c r="F9" s="234">
        <v>3.327440274687006E-4</v>
      </c>
      <c r="G9" s="101">
        <v>-3.9737106628306873E-2</v>
      </c>
      <c r="I9" s="964">
        <v>15330070</v>
      </c>
    </row>
    <row r="10" spans="1:9" ht="34.5" customHeight="1" thickBot="1">
      <c r="A10" s="960" t="s">
        <v>1605</v>
      </c>
      <c r="B10" s="230">
        <v>3470592244</v>
      </c>
      <c r="C10" s="233">
        <v>4990205404.29</v>
      </c>
      <c r="D10" s="230">
        <v>740723821.14999998</v>
      </c>
      <c r="E10" s="233">
        <v>9201521469.4400005</v>
      </c>
      <c r="F10" s="234">
        <v>0.36907196693071054</v>
      </c>
      <c r="G10" s="101">
        <v>0.22017935230306065</v>
      </c>
      <c r="I10" s="964">
        <v>828254703</v>
      </c>
    </row>
    <row r="11" spans="1:9" s="382" customFormat="1" ht="38.25" customHeight="1" thickBot="1">
      <c r="A11" s="241" t="s">
        <v>278</v>
      </c>
      <c r="B11" s="242">
        <v>9720305431.1499996</v>
      </c>
      <c r="C11" s="243">
        <v>13733830761.42</v>
      </c>
      <c r="D11" s="242">
        <v>1477373902.77</v>
      </c>
      <c r="E11" s="243">
        <v>24931510095.34</v>
      </c>
      <c r="F11" s="973">
        <v>1</v>
      </c>
      <c r="G11" s="965">
        <v>2.6306453948791157E-2</v>
      </c>
      <c r="I11" s="966">
        <v>13033842773</v>
      </c>
    </row>
    <row r="12" spans="1:9" ht="19.5" customHeight="1">
      <c r="A12" s="112" t="s">
        <v>720</v>
      </c>
      <c r="B12" s="112"/>
      <c r="C12" s="112"/>
      <c r="D12" s="112"/>
      <c r="E12" s="112"/>
      <c r="F12" s="112"/>
      <c r="G12" s="112"/>
      <c r="I12" s="112"/>
    </row>
    <row r="14" spans="1:9">
      <c r="A14" s="3" t="s">
        <v>1639</v>
      </c>
    </row>
    <row r="16" spans="1:9">
      <c r="A16" s="115" t="s">
        <v>666</v>
      </c>
    </row>
    <row r="19" spans="1:1">
      <c r="A19" s="3" t="s">
        <v>719</v>
      </c>
    </row>
  </sheetData>
  <pageMargins left="0.59055118110236227" right="0.62992125984251968" top="1.0236220472440944" bottom="0.47244094488188981" header="0.59055118110236227" footer="0.51181102362204722"/>
  <pageSetup paperSize="9" scale="70"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9A3E-6510-6D44-8D62-2B4683935F24}">
  <sheetPr>
    <pageSetUpPr fitToPage="1"/>
  </sheetPr>
  <dimension ref="A1:G52"/>
  <sheetViews>
    <sheetView zoomScaleNormal="100" workbookViewId="0">
      <selection activeCell="A3" sqref="A3"/>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121"/>
      <c r="B1" s="121"/>
      <c r="C1" s="121"/>
      <c r="D1" s="121"/>
      <c r="E1" s="121"/>
      <c r="F1" s="121"/>
    </row>
    <row r="2" spans="1:7" s="2" customFormat="1" ht="20.25" customHeight="1">
      <c r="A2" s="122" t="s">
        <v>1699</v>
      </c>
      <c r="B2" s="122"/>
      <c r="C2" s="121"/>
      <c r="D2" s="121"/>
      <c r="E2" s="121"/>
      <c r="F2" s="91">
        <v>2011</v>
      </c>
      <c r="G2" s="91"/>
    </row>
    <row r="3" spans="1:7" s="2" customFormat="1" ht="6" customHeight="1">
      <c r="A3" s="123"/>
      <c r="B3" s="123"/>
      <c r="C3" s="124"/>
      <c r="D3" s="124"/>
      <c r="E3" s="124"/>
      <c r="F3" s="124"/>
      <c r="G3" s="126"/>
    </row>
    <row r="4" spans="1:7" s="2" customFormat="1" ht="81.75" customHeight="1">
      <c r="A4" s="127" t="s">
        <v>312</v>
      </c>
      <c r="B4" s="128"/>
      <c r="C4" s="129" t="s">
        <v>1693</v>
      </c>
      <c r="D4" s="130" t="s">
        <v>1694</v>
      </c>
      <c r="E4" s="129" t="s">
        <v>1695</v>
      </c>
      <c r="F4" s="131" t="s">
        <v>683</v>
      </c>
    </row>
    <row r="5" spans="1:7" ht="8.25" customHeight="1">
      <c r="A5" s="134"/>
      <c r="B5" s="520"/>
      <c r="C5" s="136"/>
      <c r="D5" s="135"/>
      <c r="E5" s="136"/>
      <c r="F5" s="135"/>
    </row>
    <row r="6" spans="1:7" ht="47.25" customHeight="1" thickBot="1">
      <c r="A6" s="139" t="s">
        <v>319</v>
      </c>
      <c r="B6" s="140" t="s">
        <v>320</v>
      </c>
      <c r="C6" s="141">
        <v>88.437367018767489</v>
      </c>
      <c r="D6" s="142">
        <v>338.53952297585494</v>
      </c>
      <c r="E6" s="141">
        <v>633.77183171145123</v>
      </c>
      <c r="F6" s="142">
        <v>461.61305816298312</v>
      </c>
    </row>
    <row r="7" spans="1:7" ht="19.5" customHeight="1" thickBot="1">
      <c r="A7" s="145"/>
      <c r="B7" s="146"/>
      <c r="C7" s="147"/>
      <c r="D7" s="148"/>
      <c r="E7" s="147"/>
      <c r="F7" s="148"/>
    </row>
    <row r="8" spans="1:7" ht="21" customHeight="1" thickBot="1">
      <c r="A8" s="151" t="s">
        <v>321</v>
      </c>
      <c r="B8" s="152" t="s">
        <v>322</v>
      </c>
      <c r="C8" s="147">
        <v>158.47519876925969</v>
      </c>
      <c r="D8" s="148">
        <v>400.33853337968679</v>
      </c>
      <c r="E8" s="147">
        <v>691.88616589511798</v>
      </c>
      <c r="F8" s="148">
        <v>681.89642228768173</v>
      </c>
    </row>
    <row r="9" spans="1:7" ht="20" customHeight="1" thickBot="1">
      <c r="A9" s="153" t="s">
        <v>323</v>
      </c>
      <c r="B9" s="152" t="s">
        <v>324</v>
      </c>
      <c r="C9" s="147">
        <v>213.66954580212331</v>
      </c>
      <c r="D9" s="148">
        <v>408.1124465112685</v>
      </c>
      <c r="E9" s="147">
        <v>655.02309613698674</v>
      </c>
      <c r="F9" s="148">
        <v>566.79539511472206</v>
      </c>
    </row>
    <row r="10" spans="1:7" ht="20" customHeight="1" thickBot="1">
      <c r="A10" s="153" t="s">
        <v>325</v>
      </c>
      <c r="B10" s="152" t="s">
        <v>326</v>
      </c>
      <c r="C10" s="147">
        <v>221.54757173494752</v>
      </c>
      <c r="D10" s="148">
        <v>390.33939058474084</v>
      </c>
      <c r="E10" s="147">
        <v>607.1575042294412</v>
      </c>
      <c r="F10" s="148">
        <v>581.99342905815058</v>
      </c>
    </row>
    <row r="11" spans="1:7" ht="20" customHeight="1" thickBot="1">
      <c r="A11" s="153"/>
      <c r="B11" s="152" t="s">
        <v>327</v>
      </c>
      <c r="C11" s="147">
        <v>251.59586890992131</v>
      </c>
      <c r="D11" s="148">
        <v>380.5909309762971</v>
      </c>
      <c r="E11" s="147">
        <v>521.46497635820663</v>
      </c>
      <c r="F11" s="148">
        <v>447.38481062002126</v>
      </c>
    </row>
    <row r="12" spans="1:7" ht="20" customHeight="1" thickBot="1">
      <c r="A12" s="153"/>
      <c r="B12" s="152" t="s">
        <v>328</v>
      </c>
      <c r="C12" s="147">
        <v>245.0706675048761</v>
      </c>
      <c r="D12" s="148">
        <v>415.80570706056778</v>
      </c>
      <c r="E12" s="147">
        <v>518.06805586605981</v>
      </c>
      <c r="F12" s="148">
        <v>501.03193988524242</v>
      </c>
    </row>
    <row r="13" spans="1:7" ht="20" customHeight="1" thickBot="1">
      <c r="A13" s="153"/>
      <c r="B13" s="152" t="s">
        <v>329</v>
      </c>
      <c r="C13" s="147">
        <v>239.71496278783724</v>
      </c>
      <c r="D13" s="154" t="s">
        <v>30</v>
      </c>
      <c r="E13" s="155" t="s">
        <v>30</v>
      </c>
      <c r="F13" s="148">
        <v>239.71496278783727</v>
      </c>
    </row>
    <row r="14" spans="1:7" ht="20" customHeight="1" thickBot="1">
      <c r="A14" s="157"/>
      <c r="B14" s="152" t="s">
        <v>278</v>
      </c>
      <c r="C14" s="147">
        <v>229.96136599066898</v>
      </c>
      <c r="D14" s="148">
        <v>403.20758508318477</v>
      </c>
      <c r="E14" s="147">
        <v>624.13278999529973</v>
      </c>
      <c r="F14" s="148">
        <v>594.28475480059626</v>
      </c>
    </row>
    <row r="15" spans="1:7" ht="18.75" customHeight="1" thickBot="1">
      <c r="A15" s="158"/>
      <c r="B15" s="159"/>
      <c r="C15" s="147"/>
      <c r="D15" s="148"/>
      <c r="E15" s="147"/>
      <c r="F15" s="148"/>
    </row>
    <row r="16" spans="1:7" ht="20" customHeight="1" thickBot="1">
      <c r="A16" s="158" t="s">
        <v>330</v>
      </c>
      <c r="B16" s="159"/>
      <c r="C16" s="147">
        <v>66.954657618753856</v>
      </c>
      <c r="D16" s="148">
        <v>184.06729096989969</v>
      </c>
      <c r="E16" s="147">
        <v>233.89987050863735</v>
      </c>
      <c r="F16" s="148">
        <v>231.45610961860717</v>
      </c>
    </row>
    <row r="17" spans="1:6" ht="20.25" customHeight="1" thickBot="1">
      <c r="A17" s="158"/>
      <c r="B17" s="159"/>
      <c r="C17" s="147"/>
      <c r="D17" s="148"/>
      <c r="E17" s="147"/>
      <c r="F17" s="148"/>
    </row>
    <row r="18" spans="1:6" ht="58.5" customHeight="1" thickBot="1">
      <c r="A18" s="151" t="s">
        <v>1696</v>
      </c>
      <c r="B18" s="152" t="s">
        <v>320</v>
      </c>
      <c r="C18" s="147">
        <v>76.819161642756967</v>
      </c>
      <c r="D18" s="148">
        <v>318.92723649781897</v>
      </c>
      <c r="E18" s="147">
        <v>545.99035234383086</v>
      </c>
      <c r="F18" s="148">
        <v>346.97272662440605</v>
      </c>
    </row>
    <row r="19" spans="1:6" ht="20" customHeight="1" thickBot="1">
      <c r="A19" s="107"/>
      <c r="B19" s="152" t="s">
        <v>322</v>
      </c>
      <c r="C19" s="147">
        <v>132.32956334149631</v>
      </c>
      <c r="D19" s="148">
        <v>368.87054133775018</v>
      </c>
      <c r="E19" s="147">
        <v>566.68556884834754</v>
      </c>
      <c r="F19" s="148">
        <v>547.85120886354389</v>
      </c>
    </row>
    <row r="20" spans="1:6" ht="20" customHeight="1" thickBot="1">
      <c r="A20" s="107"/>
      <c r="B20" s="152" t="s">
        <v>324</v>
      </c>
      <c r="C20" s="147">
        <v>184.54882296791246</v>
      </c>
      <c r="D20" s="148">
        <v>356.27398303448234</v>
      </c>
      <c r="E20" s="147">
        <v>521.94130005567945</v>
      </c>
      <c r="F20" s="148">
        <v>475.07904780212698</v>
      </c>
    </row>
    <row r="21" spans="1:6" ht="20" customHeight="1" thickBot="1">
      <c r="A21" s="107"/>
      <c r="B21" s="152" t="s">
        <v>326</v>
      </c>
      <c r="C21" s="147">
        <v>173.49252890780397</v>
      </c>
      <c r="D21" s="148">
        <v>339.05214516433591</v>
      </c>
      <c r="E21" s="147">
        <v>485.12887324004521</v>
      </c>
      <c r="F21" s="148">
        <v>457.8396403133122</v>
      </c>
    </row>
    <row r="22" spans="1:6" ht="20" customHeight="1" thickBot="1">
      <c r="A22" s="107"/>
      <c r="B22" s="152" t="s">
        <v>327</v>
      </c>
      <c r="C22" s="147">
        <v>203.72882844974882</v>
      </c>
      <c r="D22" s="148">
        <v>308.67089768557918</v>
      </c>
      <c r="E22" s="147">
        <v>429.42372007659208</v>
      </c>
      <c r="F22" s="148">
        <v>391.56209066223255</v>
      </c>
    </row>
    <row r="23" spans="1:6" ht="20" customHeight="1" thickBot="1">
      <c r="A23" s="107"/>
      <c r="B23" s="152" t="s">
        <v>328</v>
      </c>
      <c r="C23" s="147">
        <v>198.89004205676534</v>
      </c>
      <c r="D23" s="148">
        <v>296.10472279907282</v>
      </c>
      <c r="E23" s="147">
        <v>373.61690499529408</v>
      </c>
      <c r="F23" s="148">
        <v>361.70172996833423</v>
      </c>
    </row>
    <row r="24" spans="1:6" ht="20" customHeight="1" thickBot="1">
      <c r="A24" s="107"/>
      <c r="B24" s="152" t="s">
        <v>329</v>
      </c>
      <c r="C24" s="147">
        <v>216.88202264448671</v>
      </c>
      <c r="D24" s="154" t="s">
        <v>30</v>
      </c>
      <c r="E24" s="155" t="s">
        <v>30</v>
      </c>
      <c r="F24" s="148">
        <v>216.88202264448671</v>
      </c>
    </row>
    <row r="25" spans="1:6" ht="20" customHeight="1" thickBot="1">
      <c r="A25" s="107"/>
      <c r="B25" s="152" t="s">
        <v>316</v>
      </c>
      <c r="C25" s="147">
        <v>87.691732922414076</v>
      </c>
      <c r="D25" s="148">
        <v>327.654064784426</v>
      </c>
      <c r="E25" s="147">
        <v>499.74590553515156</v>
      </c>
      <c r="F25" s="148">
        <v>399.26485796677258</v>
      </c>
    </row>
    <row r="26" spans="1:6" ht="39.75" customHeight="1" thickBot="1">
      <c r="A26" s="160"/>
      <c r="B26" s="161" t="s">
        <v>332</v>
      </c>
      <c r="C26" s="149">
        <v>88.798563919197434</v>
      </c>
      <c r="D26" s="150">
        <v>331.91724949299771</v>
      </c>
      <c r="E26" s="149">
        <v>468.23965117027012</v>
      </c>
      <c r="F26" s="150">
        <v>379.97207482871988</v>
      </c>
    </row>
    <row r="27" spans="1:6" ht="45" customHeight="1" thickBot="1">
      <c r="A27" s="160"/>
      <c r="B27" s="162" t="s">
        <v>333</v>
      </c>
      <c r="C27" s="149">
        <v>87.908435021462907</v>
      </c>
      <c r="D27" s="150">
        <v>323.21239719090039</v>
      </c>
      <c r="E27" s="149">
        <v>502.07564938608868</v>
      </c>
      <c r="F27" s="150">
        <v>400.57870007790297</v>
      </c>
    </row>
    <row r="28" spans="1:6" ht="45" customHeight="1" thickBot="1">
      <c r="A28" s="163"/>
      <c r="B28" s="162" t="s">
        <v>334</v>
      </c>
      <c r="C28" s="149">
        <v>193.91622980768369</v>
      </c>
      <c r="D28" s="150">
        <v>333.20795235205844</v>
      </c>
      <c r="E28" s="149">
        <v>473.30623927666329</v>
      </c>
      <c r="F28" s="150">
        <v>446.71242532936873</v>
      </c>
    </row>
    <row r="29" spans="1:6" ht="15.75" customHeight="1" thickBot="1">
      <c r="A29" s="164"/>
      <c r="B29" s="165"/>
      <c r="C29" s="147"/>
      <c r="D29" s="148"/>
      <c r="E29" s="147"/>
      <c r="F29" s="148"/>
    </row>
    <row r="30" spans="1:6" ht="27.75" customHeight="1" thickBot="1">
      <c r="A30" s="166" t="s">
        <v>335</v>
      </c>
      <c r="B30" s="167"/>
      <c r="C30" s="168">
        <v>94.253149219340926</v>
      </c>
      <c r="D30" s="169">
        <v>340.38455041895793</v>
      </c>
      <c r="E30" s="168">
        <v>563.24136721120567</v>
      </c>
      <c r="F30" s="169">
        <v>454.68758890719317</v>
      </c>
    </row>
    <row r="31" spans="1:6" ht="15.75" customHeight="1">
      <c r="A31" s="172" t="s">
        <v>720</v>
      </c>
      <c r="B31" s="172"/>
      <c r="C31" s="172"/>
      <c r="D31" s="172"/>
      <c r="E31" s="172"/>
      <c r="F31" s="172"/>
    </row>
    <row r="32" spans="1:6" ht="13.5" customHeight="1">
      <c r="A32" s="173"/>
      <c r="B32" s="173"/>
      <c r="C32" s="172"/>
      <c r="D32" s="172"/>
      <c r="E32" s="172"/>
      <c r="F32" s="172"/>
    </row>
    <row r="33" spans="1:6" ht="13.5" customHeight="1">
      <c r="A33" s="172" t="s">
        <v>1700</v>
      </c>
      <c r="B33" s="172"/>
      <c r="C33" s="172"/>
      <c r="D33" s="172"/>
      <c r="E33" s="172"/>
      <c r="F33" s="172"/>
    </row>
    <row r="34" spans="1:6" ht="16.5" customHeight="1">
      <c r="A34" s="172"/>
      <c r="B34" s="172"/>
      <c r="C34" s="172"/>
      <c r="D34" s="172"/>
      <c r="E34" s="172"/>
      <c r="F34" s="172"/>
    </row>
    <row r="35" spans="1:6" ht="12" customHeight="1">
      <c r="A35" s="172" t="s">
        <v>1558</v>
      </c>
      <c r="B35" s="172"/>
      <c r="C35" s="61"/>
      <c r="D35" s="61"/>
      <c r="E35" s="61"/>
      <c r="F35" s="61"/>
    </row>
    <row r="36" spans="1:6" ht="12" customHeight="1">
      <c r="A36" s="115" t="s">
        <v>697</v>
      </c>
      <c r="B36" s="115"/>
    </row>
    <row r="37" spans="1:6" ht="12" customHeight="1">
      <c r="A37" s="115" t="s">
        <v>339</v>
      </c>
      <c r="B37" s="115"/>
    </row>
    <row r="38" spans="1:6" ht="12" customHeight="1">
      <c r="A38" s="115" t="s">
        <v>340</v>
      </c>
      <c r="B38" s="115"/>
    </row>
    <row r="39" spans="1:6" ht="12" customHeight="1">
      <c r="A39" s="115" t="s">
        <v>341</v>
      </c>
      <c r="B39" s="115"/>
    </row>
    <row r="40" spans="1:6" ht="12" customHeight="1">
      <c r="A40" s="115" t="s">
        <v>342</v>
      </c>
      <c r="B40" s="115"/>
    </row>
    <row r="41" spans="1:6" ht="12" customHeight="1">
      <c r="A41" s="3" t="s">
        <v>343</v>
      </c>
    </row>
    <row r="42" spans="1:6" ht="12" customHeight="1">
      <c r="A42" s="513" t="s">
        <v>1701</v>
      </c>
    </row>
    <row r="43" spans="1:6" ht="12" customHeight="1"/>
    <row r="44" spans="1:6" ht="12" customHeight="1"/>
    <row r="45" spans="1:6" ht="12" customHeight="1">
      <c r="A45" s="172" t="s">
        <v>719</v>
      </c>
      <c r="B45" s="172"/>
      <c r="C45" s="115"/>
      <c r="D45" s="115"/>
      <c r="E45" s="115"/>
      <c r="F45" s="115"/>
    </row>
    <row r="50" spans="1:7">
      <c r="A50" s="49"/>
      <c r="B50" s="49"/>
      <c r="C50" s="174"/>
      <c r="D50" s="175"/>
      <c r="E50" s="174"/>
      <c r="F50" s="175"/>
      <c r="G50" s="175"/>
    </row>
    <row r="51" spans="1:7">
      <c r="A51" s="177"/>
      <c r="B51" s="177"/>
      <c r="C51" s="177"/>
      <c r="D51" s="178"/>
      <c r="E51" s="177"/>
      <c r="F51" s="179"/>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36C80-C1EC-A141-8DF9-CD4141971BA6}">
  <sheetPr>
    <pageSetUpPr fitToPage="1"/>
  </sheetPr>
  <dimension ref="A1:G52"/>
  <sheetViews>
    <sheetView topLeftCell="A10" zoomScaleNormal="100" workbookViewId="0">
      <selection activeCell="I19" sqref="I19"/>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121"/>
      <c r="B1" s="121"/>
      <c r="C1" s="121"/>
      <c r="D1" s="121"/>
      <c r="E1" s="121"/>
      <c r="F1" s="121"/>
    </row>
    <row r="2" spans="1:7" s="2" customFormat="1" ht="20.25" customHeight="1">
      <c r="A2" s="122" t="s">
        <v>695</v>
      </c>
      <c r="B2" s="122"/>
      <c r="C2" s="121"/>
      <c r="D2" s="121"/>
      <c r="E2" s="121"/>
      <c r="F2" s="91">
        <v>2011</v>
      </c>
      <c r="G2" s="91"/>
    </row>
    <row r="3" spans="1:7" s="2" customFormat="1" ht="6" customHeight="1">
      <c r="A3" s="123"/>
      <c r="B3" s="123"/>
      <c r="C3" s="124"/>
      <c r="D3" s="124"/>
      <c r="E3" s="124"/>
      <c r="F3" s="124"/>
      <c r="G3" s="126"/>
    </row>
    <row r="4" spans="1:7" s="2" customFormat="1" ht="81.75" customHeight="1">
      <c r="A4" s="127" t="s">
        <v>312</v>
      </c>
      <c r="B4" s="128"/>
      <c r="C4" s="129" t="s">
        <v>1693</v>
      </c>
      <c r="D4" s="130" t="s">
        <v>1694</v>
      </c>
      <c r="E4" s="129" t="s">
        <v>1695</v>
      </c>
      <c r="F4" s="131" t="s">
        <v>683</v>
      </c>
    </row>
    <row r="5" spans="1:7" ht="8.25" customHeight="1">
      <c r="A5" s="134"/>
      <c r="B5" s="520"/>
      <c r="C5" s="136"/>
      <c r="D5" s="135"/>
      <c r="E5" s="136"/>
      <c r="F5" s="135"/>
    </row>
    <row r="6" spans="1:7" ht="47.25" customHeight="1" thickBot="1">
      <c r="A6" s="139" t="s">
        <v>319</v>
      </c>
      <c r="B6" s="140" t="s">
        <v>320</v>
      </c>
      <c r="C6" s="141">
        <v>1123.051156260344</v>
      </c>
      <c r="D6" s="142">
        <v>2084.1504571523215</v>
      </c>
      <c r="E6" s="141">
        <v>7031.3087593161545</v>
      </c>
      <c r="F6" s="142">
        <v>5043.0686628567782</v>
      </c>
    </row>
    <row r="7" spans="1:7" ht="19.5" customHeight="1" thickBot="1">
      <c r="A7" s="145"/>
      <c r="B7" s="146"/>
      <c r="C7" s="147"/>
      <c r="D7" s="148"/>
      <c r="E7" s="147"/>
      <c r="F7" s="148"/>
    </row>
    <row r="8" spans="1:7" ht="23.25" customHeight="1" thickBot="1">
      <c r="A8" s="151" t="s">
        <v>321</v>
      </c>
      <c r="B8" s="152" t="s">
        <v>322</v>
      </c>
      <c r="C8" s="147">
        <v>1117.5069581837174</v>
      </c>
      <c r="D8" s="148">
        <v>1817.7803680928932</v>
      </c>
      <c r="E8" s="147">
        <v>5457.0130976198889</v>
      </c>
      <c r="F8" s="148">
        <v>5343.1883829334502</v>
      </c>
    </row>
    <row r="9" spans="1:7" ht="20" customHeight="1" thickBot="1">
      <c r="A9" s="153" t="s">
        <v>323</v>
      </c>
      <c r="B9" s="152" t="s">
        <v>324</v>
      </c>
      <c r="C9" s="147">
        <v>1046.4484570326526</v>
      </c>
      <c r="D9" s="148">
        <v>976.68482422218676</v>
      </c>
      <c r="E9" s="147">
        <v>2744.6366010920856</v>
      </c>
      <c r="F9" s="148">
        <v>2342.0668412451419</v>
      </c>
    </row>
    <row r="10" spans="1:7" ht="20" customHeight="1" thickBot="1">
      <c r="A10" s="153" t="s">
        <v>325</v>
      </c>
      <c r="B10" s="152" t="s">
        <v>326</v>
      </c>
      <c r="C10" s="147">
        <v>864.66460384668892</v>
      </c>
      <c r="D10" s="148">
        <v>764.33275811663646</v>
      </c>
      <c r="E10" s="147">
        <v>1799.0181642501545</v>
      </c>
      <c r="F10" s="148">
        <v>1699.3630813200307</v>
      </c>
    </row>
    <row r="11" spans="1:7" ht="20" customHeight="1" thickBot="1">
      <c r="A11" s="153"/>
      <c r="B11" s="152" t="s">
        <v>327</v>
      </c>
      <c r="C11" s="147">
        <v>856.87553208894997</v>
      </c>
      <c r="D11" s="148">
        <v>668.91351938724119</v>
      </c>
      <c r="E11" s="147">
        <v>1254.3451581000509</v>
      </c>
      <c r="F11" s="148">
        <v>1117.2567294897358</v>
      </c>
    </row>
    <row r="12" spans="1:7" ht="20" customHeight="1" thickBot="1">
      <c r="A12" s="153"/>
      <c r="B12" s="152" t="s">
        <v>328</v>
      </c>
      <c r="C12" s="147">
        <v>694.51092469484524</v>
      </c>
      <c r="D12" s="148">
        <v>685.68625432059241</v>
      </c>
      <c r="E12" s="147">
        <v>1114.0586679156195</v>
      </c>
      <c r="F12" s="148">
        <v>1063.0656046936654</v>
      </c>
    </row>
    <row r="13" spans="1:7" ht="20" customHeight="1" thickBot="1">
      <c r="A13" s="153"/>
      <c r="B13" s="152" t="s">
        <v>329</v>
      </c>
      <c r="C13" s="147">
        <v>621.00996914739198</v>
      </c>
      <c r="D13" s="154" t="s">
        <v>30</v>
      </c>
      <c r="E13" s="155" t="s">
        <v>30</v>
      </c>
      <c r="F13" s="148">
        <v>621.0099691473921</v>
      </c>
    </row>
    <row r="14" spans="1:7" ht="20" customHeight="1" thickBot="1">
      <c r="A14" s="157"/>
      <c r="B14" s="152" t="s">
        <v>278</v>
      </c>
      <c r="C14" s="147">
        <v>856.1981626434175</v>
      </c>
      <c r="D14" s="148">
        <v>941.89131382596497</v>
      </c>
      <c r="E14" s="147">
        <v>3307.5088522068595</v>
      </c>
      <c r="F14" s="148">
        <v>3063.8574480904663</v>
      </c>
    </row>
    <row r="15" spans="1:7" ht="18.75" customHeight="1" thickBot="1">
      <c r="A15" s="158"/>
      <c r="B15" s="159"/>
      <c r="C15" s="147"/>
      <c r="D15" s="148"/>
      <c r="E15" s="147"/>
      <c r="F15" s="148"/>
    </row>
    <row r="16" spans="1:7" ht="20" customHeight="1" thickBot="1">
      <c r="A16" s="158" t="s">
        <v>330</v>
      </c>
      <c r="B16" s="159"/>
      <c r="C16" s="147">
        <v>770.79734731647125</v>
      </c>
      <c r="D16" s="148">
        <v>682.70408026755854</v>
      </c>
      <c r="E16" s="147">
        <v>1606.5614159034285</v>
      </c>
      <c r="F16" s="148">
        <v>1575.1721948420584</v>
      </c>
    </row>
    <row r="17" spans="1:6" ht="20.25" customHeight="1" thickBot="1">
      <c r="A17" s="158"/>
      <c r="B17" s="159"/>
      <c r="C17" s="147"/>
      <c r="D17" s="148"/>
      <c r="E17" s="147"/>
      <c r="F17" s="148"/>
    </row>
    <row r="18" spans="1:6" ht="58.5" customHeight="1" thickBot="1">
      <c r="A18" s="151" t="s">
        <v>331</v>
      </c>
      <c r="B18" s="152" t="s">
        <v>320</v>
      </c>
      <c r="C18" s="1010">
        <v>919.15951858446022</v>
      </c>
      <c r="D18" s="148">
        <v>1719.0340344812814</v>
      </c>
      <c r="E18" s="147">
        <v>4803.6029002995765</v>
      </c>
      <c r="F18" s="1011">
        <v>3055.2547713957661</v>
      </c>
    </row>
    <row r="19" spans="1:6" ht="20" customHeight="1" thickBot="1">
      <c r="A19" s="107"/>
      <c r="B19" s="152" t="s">
        <v>322</v>
      </c>
      <c r="C19" s="1010">
        <v>773.79018719616658</v>
      </c>
      <c r="D19" s="148">
        <v>1416.3961988774615</v>
      </c>
      <c r="E19" s="147">
        <v>3319.5987630742807</v>
      </c>
      <c r="F19" s="1011">
        <v>3148.4373605995161</v>
      </c>
    </row>
    <row r="20" spans="1:6" ht="20" customHeight="1" thickBot="1">
      <c r="A20" s="107"/>
      <c r="B20" s="152" t="s">
        <v>324</v>
      </c>
      <c r="C20" s="147">
        <v>824.88802628680514</v>
      </c>
      <c r="D20" s="148">
        <v>787.33870895299094</v>
      </c>
      <c r="E20" s="147">
        <v>1637.5992199119107</v>
      </c>
      <c r="F20" s="148">
        <v>1449.8083418106808</v>
      </c>
    </row>
    <row r="21" spans="1:6" ht="20" customHeight="1" thickBot="1">
      <c r="A21" s="107"/>
      <c r="B21" s="152" t="s">
        <v>326</v>
      </c>
      <c r="C21" s="147">
        <v>560.36469708501079</v>
      </c>
      <c r="D21" s="148">
        <v>615.94362436108463</v>
      </c>
      <c r="E21" s="147">
        <v>1192.8703576196274</v>
      </c>
      <c r="F21" s="148">
        <v>1097.1053632168432</v>
      </c>
    </row>
    <row r="22" spans="1:6" ht="20" customHeight="1" thickBot="1">
      <c r="A22" s="107"/>
      <c r="B22" s="152" t="s">
        <v>327</v>
      </c>
      <c r="C22" s="147">
        <v>601.23539982488808</v>
      </c>
      <c r="D22" s="148">
        <v>493.61583713326598</v>
      </c>
      <c r="E22" s="147">
        <v>934.23601062636146</v>
      </c>
      <c r="F22" s="148">
        <v>847.8823510693079</v>
      </c>
    </row>
    <row r="23" spans="1:6" ht="20" customHeight="1" thickBot="1">
      <c r="A23" s="107"/>
      <c r="B23" s="152" t="s">
        <v>328</v>
      </c>
      <c r="C23" s="147">
        <v>499.99428221701021</v>
      </c>
      <c r="D23" s="148">
        <v>444.21406903824629</v>
      </c>
      <c r="E23" s="147">
        <v>761.67308789655067</v>
      </c>
      <c r="F23" s="148">
        <v>722.44130248360159</v>
      </c>
    </row>
    <row r="24" spans="1:6" ht="20" customHeight="1" thickBot="1">
      <c r="A24" s="107"/>
      <c r="B24" s="152" t="s">
        <v>329</v>
      </c>
      <c r="C24" s="147">
        <v>481.42532218192872</v>
      </c>
      <c r="D24" s="154" t="s">
        <v>30</v>
      </c>
      <c r="E24" s="155" t="s">
        <v>30</v>
      </c>
      <c r="F24" s="148">
        <v>481.42532218192872</v>
      </c>
    </row>
    <row r="25" spans="1:6" ht="20" customHeight="1" thickBot="1">
      <c r="A25" s="107"/>
      <c r="B25" s="152" t="s">
        <v>316</v>
      </c>
      <c r="C25" s="147">
        <v>890.05972443975645</v>
      </c>
      <c r="D25" s="148">
        <v>1105.0304793869366</v>
      </c>
      <c r="E25" s="147">
        <v>2775.2582286099487</v>
      </c>
      <c r="F25" s="148">
        <v>2225.6161503612607</v>
      </c>
    </row>
    <row r="26" spans="1:6" ht="39.75" customHeight="1" thickBot="1">
      <c r="A26" s="160"/>
      <c r="B26" s="161" t="s">
        <v>332</v>
      </c>
      <c r="C26" s="149">
        <v>948.89246131823882</v>
      </c>
      <c r="D26" s="150">
        <v>1105.3073169094391</v>
      </c>
      <c r="E26" s="149">
        <v>2390.0752129015868</v>
      </c>
      <c r="F26" s="150">
        <v>1972.177455547006</v>
      </c>
    </row>
    <row r="27" spans="1:6" ht="45" customHeight="1" thickBot="1">
      <c r="A27" s="160"/>
      <c r="B27" s="162" t="s">
        <v>333</v>
      </c>
      <c r="C27" s="149">
        <v>879.37345212821697</v>
      </c>
      <c r="D27" s="150">
        <v>1083.527742846333</v>
      </c>
      <c r="E27" s="149">
        <v>2983.2649792431798</v>
      </c>
      <c r="F27" s="150">
        <v>2374.8715814088414</v>
      </c>
    </row>
    <row r="28" spans="1:6" ht="45" customHeight="1" thickBot="1">
      <c r="A28" s="163"/>
      <c r="B28" s="162" t="s">
        <v>334</v>
      </c>
      <c r="C28" s="149">
        <v>605.75701325720024</v>
      </c>
      <c r="D28" s="150">
        <v>714.2701324200583</v>
      </c>
      <c r="E28" s="149">
        <v>1615.5786261951298</v>
      </c>
      <c r="F28" s="150">
        <v>1472.5701969199342</v>
      </c>
    </row>
    <row r="29" spans="1:6" ht="15.75" customHeight="1" thickBot="1">
      <c r="A29" s="164"/>
      <c r="B29" s="165"/>
      <c r="C29" s="147"/>
      <c r="D29" s="148"/>
      <c r="E29" s="147"/>
      <c r="F29" s="148"/>
    </row>
    <row r="30" spans="1:6" ht="27.75" customHeight="1" thickBot="1">
      <c r="A30" s="166" t="s">
        <v>335</v>
      </c>
      <c r="B30" s="167"/>
      <c r="C30" s="168">
        <v>982.33140164896679</v>
      </c>
      <c r="D30" s="169">
        <v>1308.6863446204329</v>
      </c>
      <c r="E30" s="168">
        <v>3966.3791669201073</v>
      </c>
      <c r="F30" s="169">
        <v>3170.8301074660226</v>
      </c>
    </row>
    <row r="31" spans="1:6" ht="15.75" customHeight="1">
      <c r="A31" s="172" t="s">
        <v>720</v>
      </c>
      <c r="B31" s="172"/>
      <c r="C31" s="172"/>
      <c r="D31" s="172"/>
      <c r="E31" s="172"/>
      <c r="F31" s="172"/>
    </row>
    <row r="32" spans="1:6" ht="13.5" customHeight="1">
      <c r="A32" s="173"/>
      <c r="B32" s="173"/>
      <c r="C32" s="172"/>
      <c r="D32" s="172"/>
      <c r="E32" s="172"/>
      <c r="F32" s="172"/>
    </row>
    <row r="33" spans="1:6" ht="13.5" customHeight="1">
      <c r="A33" s="172" t="s">
        <v>696</v>
      </c>
      <c r="B33" s="172"/>
      <c r="C33" s="172"/>
      <c r="D33" s="172"/>
      <c r="E33" s="172"/>
      <c r="F33" s="172"/>
    </row>
    <row r="34" spans="1:6" ht="16.5" customHeight="1">
      <c r="A34" s="172"/>
      <c r="B34" s="172"/>
      <c r="C34" s="172"/>
      <c r="D34" s="172"/>
      <c r="E34" s="172"/>
      <c r="F34" s="172"/>
    </row>
    <row r="35" spans="1:6" ht="12" customHeight="1">
      <c r="A35" s="172" t="s">
        <v>1558</v>
      </c>
      <c r="B35" s="172"/>
      <c r="C35" s="61"/>
      <c r="D35" s="61"/>
      <c r="E35" s="61"/>
      <c r="F35" s="61"/>
    </row>
    <row r="36" spans="1:6" ht="12" customHeight="1">
      <c r="A36" s="115" t="s">
        <v>697</v>
      </c>
      <c r="B36" s="115"/>
    </row>
    <row r="37" spans="1:6" ht="12" customHeight="1">
      <c r="A37" s="115" t="s">
        <v>339</v>
      </c>
      <c r="B37" s="115"/>
    </row>
    <row r="38" spans="1:6" ht="12" customHeight="1">
      <c r="A38" s="115" t="s">
        <v>340</v>
      </c>
      <c r="B38" s="115"/>
    </row>
    <row r="39" spans="1:6" ht="12" customHeight="1">
      <c r="A39" s="115" t="s">
        <v>341</v>
      </c>
      <c r="B39" s="115"/>
    </row>
    <row r="40" spans="1:6" ht="12" customHeight="1">
      <c r="A40" s="115" t="s">
        <v>342</v>
      </c>
      <c r="B40" s="115"/>
    </row>
    <row r="41" spans="1:6" ht="12" customHeight="1">
      <c r="A41" s="3" t="s">
        <v>343</v>
      </c>
    </row>
    <row r="42" spans="1:6" ht="12" customHeight="1">
      <c r="A42" s="115" t="s">
        <v>698</v>
      </c>
    </row>
    <row r="43" spans="1:6" ht="12" customHeight="1"/>
    <row r="44" spans="1:6" ht="12" customHeight="1"/>
    <row r="45" spans="1:6" ht="12" customHeight="1">
      <c r="A45" s="172" t="s">
        <v>719</v>
      </c>
      <c r="B45" s="172"/>
      <c r="C45" s="115"/>
      <c r="D45" s="115"/>
      <c r="E45" s="115"/>
      <c r="F45" s="115"/>
    </row>
    <row r="50" spans="1:7">
      <c r="A50" s="49"/>
      <c r="B50" s="49"/>
      <c r="C50" s="174"/>
      <c r="D50" s="175"/>
      <c r="E50" s="174"/>
      <c r="F50" s="175"/>
      <c r="G50" s="175"/>
    </row>
    <row r="51" spans="1:7">
      <c r="A51" s="177"/>
      <c r="B51" s="177"/>
      <c r="C51" s="177"/>
      <c r="D51" s="178"/>
      <c r="E51" s="177"/>
      <c r="F51" s="179"/>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64EC-73E1-9141-90C1-E1F09B0E84B7}">
  <sheetPr>
    <pageSetUpPr fitToPage="1"/>
  </sheetPr>
  <dimension ref="A1:Q42"/>
  <sheetViews>
    <sheetView topLeftCell="A20" zoomScaleNormal="100" workbookViewId="0">
      <selection activeCell="A39" sqref="A39"/>
    </sheetView>
  </sheetViews>
  <sheetFormatPr baseColWidth="10" defaultColWidth="11.3984375" defaultRowHeight="13"/>
  <cols>
    <col min="1" max="1" width="15.796875" style="3" customWidth="1"/>
    <col min="2" max="17" width="12" style="3" customWidth="1"/>
    <col min="18" max="16384" width="11.3984375" style="3"/>
  </cols>
  <sheetData>
    <row r="1" spans="1:17" s="2" customFormat="1" ht="14" customHeight="1"/>
    <row r="2" spans="1:17" s="2" customFormat="1" ht="27" customHeight="1">
      <c r="A2" s="181" t="s">
        <v>1640</v>
      </c>
      <c r="B2" s="436"/>
      <c r="C2" s="436"/>
      <c r="D2" s="436"/>
      <c r="E2" s="436"/>
      <c r="F2" s="436"/>
      <c r="G2" s="436"/>
      <c r="H2" s="436"/>
      <c r="I2" s="181"/>
      <c r="J2" s="181"/>
      <c r="K2" s="181"/>
      <c r="L2" s="181"/>
      <c r="M2" s="181"/>
      <c r="N2" s="181"/>
      <c r="O2" s="181"/>
      <c r="P2" s="181"/>
      <c r="Q2" s="181"/>
    </row>
    <row r="3" spans="1:17" ht="24" customHeight="1">
      <c r="A3" s="530" t="s">
        <v>191</v>
      </c>
      <c r="B3" s="186">
        <v>1996</v>
      </c>
      <c r="C3" s="185">
        <v>1997</v>
      </c>
      <c r="D3" s="186">
        <v>1998</v>
      </c>
      <c r="E3" s="538">
        <v>1999</v>
      </c>
      <c r="F3" s="539">
        <v>2000</v>
      </c>
      <c r="G3" s="185">
        <v>2001</v>
      </c>
      <c r="H3" s="186">
        <v>2002</v>
      </c>
      <c r="I3" s="185">
        <v>2003</v>
      </c>
      <c r="J3" s="186">
        <v>2004</v>
      </c>
      <c r="K3" s="185">
        <v>2005</v>
      </c>
      <c r="L3" s="186">
        <v>2006</v>
      </c>
      <c r="M3" s="185">
        <v>2007</v>
      </c>
      <c r="N3" s="186">
        <v>2008</v>
      </c>
      <c r="O3" s="185">
        <v>2009</v>
      </c>
      <c r="P3" s="186">
        <v>2010</v>
      </c>
      <c r="Q3" s="185">
        <v>2011</v>
      </c>
    </row>
    <row r="4" spans="1:17" ht="15" customHeight="1">
      <c r="A4" s="531"/>
      <c r="B4" s="186"/>
      <c r="C4" s="185"/>
      <c r="D4" s="186"/>
      <c r="E4" s="96"/>
      <c r="F4" s="187"/>
      <c r="G4" s="185"/>
      <c r="H4" s="186"/>
      <c r="I4" s="185"/>
      <c r="J4" s="186"/>
      <c r="K4" s="185"/>
      <c r="L4" s="186"/>
      <c r="M4" s="185"/>
      <c r="N4" s="186"/>
      <c r="O4" s="185"/>
      <c r="P4" s="186"/>
      <c r="Q4" s="185"/>
    </row>
    <row r="5" spans="1:17" ht="16" customHeight="1">
      <c r="A5" s="532"/>
      <c r="B5" s="190"/>
      <c r="C5" s="189"/>
      <c r="D5" s="190"/>
      <c r="E5" s="98"/>
      <c r="F5" s="191"/>
      <c r="G5" s="189"/>
      <c r="H5" s="190"/>
      <c r="I5" s="189"/>
      <c r="J5" s="190"/>
      <c r="K5" s="189"/>
      <c r="L5" s="190"/>
      <c r="M5" s="189"/>
      <c r="N5" s="190"/>
      <c r="O5" s="189"/>
      <c r="P5" s="190"/>
      <c r="Q5" s="189"/>
    </row>
    <row r="6" spans="1:17" ht="30" customHeight="1" thickBot="1">
      <c r="A6" s="533" t="s">
        <v>362</v>
      </c>
      <c r="B6" s="411">
        <v>1764.7891593009206</v>
      </c>
      <c r="C6" s="410">
        <v>1833.2666140835515</v>
      </c>
      <c r="D6" s="411">
        <v>2004.0536087867604</v>
      </c>
      <c r="E6" s="410">
        <v>2071.8255537815062</v>
      </c>
      <c r="F6" s="411">
        <v>2147.6958422845059</v>
      </c>
      <c r="G6" s="410">
        <v>2257.0911041054319</v>
      </c>
      <c r="H6" s="193">
        <v>2336.8675136098163</v>
      </c>
      <c r="I6" s="100">
        <v>2384.1286100622524</v>
      </c>
      <c r="J6" s="193">
        <v>2585.8685115983717</v>
      </c>
      <c r="K6" s="100">
        <v>2682.8669516214177</v>
      </c>
      <c r="L6" s="193">
        <v>2685.9971326628015</v>
      </c>
      <c r="M6" s="100">
        <v>2804.6840157324332</v>
      </c>
      <c r="N6" s="193">
        <v>2933.3671790687717</v>
      </c>
      <c r="O6" s="100">
        <v>3046.8018739153263</v>
      </c>
      <c r="P6" s="193">
        <v>3105.1162817873551</v>
      </c>
      <c r="Q6" s="100">
        <v>3125.6378415801637</v>
      </c>
    </row>
    <row r="7" spans="1:17" ht="20" customHeight="1" thickBot="1">
      <c r="A7" s="534" t="s">
        <v>363</v>
      </c>
      <c r="B7" s="196">
        <v>1667.1256409042089</v>
      </c>
      <c r="C7" s="195">
        <v>1815.2747869586308</v>
      </c>
      <c r="D7" s="196">
        <v>1839.7260174575008</v>
      </c>
      <c r="E7" s="195">
        <v>1935.3573535232781</v>
      </c>
      <c r="F7" s="196">
        <v>2103.3250055370208</v>
      </c>
      <c r="G7" s="195">
        <v>2175.5125309022833</v>
      </c>
      <c r="H7" s="193">
        <v>2260.0641819083248</v>
      </c>
      <c r="I7" s="100">
        <v>2409.9035236479958</v>
      </c>
      <c r="J7" s="193">
        <v>2729.9312091019838</v>
      </c>
      <c r="K7" s="100">
        <v>2891.5575879145185</v>
      </c>
      <c r="L7" s="193">
        <v>2959.0491349857143</v>
      </c>
      <c r="M7" s="100">
        <v>3106.5378674967187</v>
      </c>
      <c r="N7" s="193">
        <v>3241.0945015719262</v>
      </c>
      <c r="O7" s="100">
        <v>3300.4971014282719</v>
      </c>
      <c r="P7" s="193">
        <v>3341.560866737178</v>
      </c>
      <c r="Q7" s="100">
        <v>3447.4233523177322</v>
      </c>
    </row>
    <row r="8" spans="1:17" ht="20" customHeight="1" thickBot="1">
      <c r="A8" s="534" t="s">
        <v>364</v>
      </c>
      <c r="B8" s="196">
        <v>1313.0777938742947</v>
      </c>
      <c r="C8" s="195">
        <v>1349.6077744679262</v>
      </c>
      <c r="D8" s="196">
        <v>1478.8539933073373</v>
      </c>
      <c r="E8" s="195">
        <v>1550.0308937947714</v>
      </c>
      <c r="F8" s="196">
        <v>1662.1694480450008</v>
      </c>
      <c r="G8" s="195">
        <v>1783.2815978377855</v>
      </c>
      <c r="H8" s="193">
        <v>1837.2939614239938</v>
      </c>
      <c r="I8" s="100">
        <v>1946.4094699967836</v>
      </c>
      <c r="J8" s="193">
        <v>2120.2163432752677</v>
      </c>
      <c r="K8" s="100">
        <v>2280.5558878801321</v>
      </c>
      <c r="L8" s="193">
        <v>2267.5402295653716</v>
      </c>
      <c r="M8" s="100">
        <v>2373.7104855953066</v>
      </c>
      <c r="N8" s="193">
        <v>2479.7994255544868</v>
      </c>
      <c r="O8" s="100">
        <v>2612.4136778482543</v>
      </c>
      <c r="P8" s="193">
        <v>2672.2238768692082</v>
      </c>
      <c r="Q8" s="100">
        <v>2704.1415946049869</v>
      </c>
    </row>
    <row r="9" spans="1:17" ht="20" customHeight="1" thickBot="1">
      <c r="A9" s="534" t="s">
        <v>365</v>
      </c>
      <c r="B9" s="196">
        <v>1360.164764767984</v>
      </c>
      <c r="C9" s="195">
        <v>1388.4535112380079</v>
      </c>
      <c r="D9" s="196">
        <v>1415.8049440959276</v>
      </c>
      <c r="E9" s="195">
        <v>1523.7132765014937</v>
      </c>
      <c r="F9" s="196">
        <v>1629.5395510727981</v>
      </c>
      <c r="G9" s="195">
        <v>1797.5126486685865</v>
      </c>
      <c r="H9" s="193">
        <v>1720.5769299215417</v>
      </c>
      <c r="I9" s="100">
        <v>1856.3827644953262</v>
      </c>
      <c r="J9" s="193">
        <v>1985.8355082717899</v>
      </c>
      <c r="K9" s="100">
        <v>2200.9559775431248</v>
      </c>
      <c r="L9" s="193">
        <v>2215.1758351301783</v>
      </c>
      <c r="M9" s="100">
        <v>2384.9353436420333</v>
      </c>
      <c r="N9" s="193">
        <v>2446.5913350274182</v>
      </c>
      <c r="O9" s="100">
        <v>2553.06042756323</v>
      </c>
      <c r="P9" s="193">
        <v>2582.5624653117247</v>
      </c>
      <c r="Q9" s="100">
        <v>2556.8452366022493</v>
      </c>
    </row>
    <row r="10" spans="1:17" ht="20" customHeight="1" thickBot="1">
      <c r="A10" s="534" t="s">
        <v>366</v>
      </c>
      <c r="B10" s="196">
        <v>1371.9253611913928</v>
      </c>
      <c r="C10" s="195">
        <v>1372.5298987047629</v>
      </c>
      <c r="D10" s="196">
        <v>1441.35635512423</v>
      </c>
      <c r="E10" s="195">
        <v>1578.1459662769164</v>
      </c>
      <c r="F10" s="196">
        <v>1658.2974792333002</v>
      </c>
      <c r="G10" s="195">
        <v>1842.9405140981062</v>
      </c>
      <c r="H10" s="193">
        <v>1833.0429076328351</v>
      </c>
      <c r="I10" s="100">
        <v>1968.0201058778482</v>
      </c>
      <c r="J10" s="193">
        <v>2116.3513353801436</v>
      </c>
      <c r="K10" s="100">
        <v>2245.1730891404022</v>
      </c>
      <c r="L10" s="193">
        <v>2294.7011656127092</v>
      </c>
      <c r="M10" s="100">
        <v>2397.6143591771793</v>
      </c>
      <c r="N10" s="193">
        <v>2482.2071821133236</v>
      </c>
      <c r="O10" s="100">
        <v>2643.0734277269235</v>
      </c>
      <c r="P10" s="193">
        <v>2637.4815442137851</v>
      </c>
      <c r="Q10" s="100">
        <v>2708.4309327014175</v>
      </c>
    </row>
    <row r="11" spans="1:17" ht="20" customHeight="1" thickBot="1">
      <c r="A11" s="534" t="s">
        <v>367</v>
      </c>
      <c r="B11" s="196">
        <v>1312.3038680409452</v>
      </c>
      <c r="C11" s="195">
        <v>1326.6794346179558</v>
      </c>
      <c r="D11" s="196">
        <v>1433.0014611234565</v>
      </c>
      <c r="E11" s="195">
        <v>1521.8418623800551</v>
      </c>
      <c r="F11" s="196">
        <v>1622.8558718243928</v>
      </c>
      <c r="G11" s="195">
        <v>1669.4763841666706</v>
      </c>
      <c r="H11" s="193">
        <v>1688.9872385529304</v>
      </c>
      <c r="I11" s="100">
        <v>1806.181925764178</v>
      </c>
      <c r="J11" s="193">
        <v>1928.9374265271724</v>
      </c>
      <c r="K11" s="100">
        <v>2103.2486917912147</v>
      </c>
      <c r="L11" s="193">
        <v>2160.6136255664719</v>
      </c>
      <c r="M11" s="100">
        <v>2331.9220258634741</v>
      </c>
      <c r="N11" s="193">
        <v>2399.6177246476059</v>
      </c>
      <c r="O11" s="100">
        <v>2462.4760602617575</v>
      </c>
      <c r="P11" s="193">
        <v>2426.232797147286</v>
      </c>
      <c r="Q11" s="100">
        <v>2497.6229119350396</v>
      </c>
    </row>
    <row r="12" spans="1:17" ht="20" customHeight="1" thickBot="1">
      <c r="A12" s="534" t="s">
        <v>368</v>
      </c>
      <c r="B12" s="196">
        <v>1261.9811209846498</v>
      </c>
      <c r="C12" s="195">
        <v>1231.4186602765733</v>
      </c>
      <c r="D12" s="196">
        <v>1303.547456755462</v>
      </c>
      <c r="E12" s="195">
        <v>1389.5288833492557</v>
      </c>
      <c r="F12" s="196">
        <v>1528.9877266481972</v>
      </c>
      <c r="G12" s="195">
        <v>1583.7096707217024</v>
      </c>
      <c r="H12" s="193">
        <v>1652.9221015298683</v>
      </c>
      <c r="I12" s="100">
        <v>1743.8144735938365</v>
      </c>
      <c r="J12" s="193">
        <v>1790.6657322854433</v>
      </c>
      <c r="K12" s="100">
        <v>1904.4938524951672</v>
      </c>
      <c r="L12" s="193">
        <v>2030.8040560395414</v>
      </c>
      <c r="M12" s="100">
        <v>2197.0468754026911</v>
      </c>
      <c r="N12" s="193">
        <v>2280.5079428344202</v>
      </c>
      <c r="O12" s="100">
        <v>2360.9095334465687</v>
      </c>
      <c r="P12" s="193">
        <v>2404.2257322113096</v>
      </c>
      <c r="Q12" s="100">
        <v>2417.800003031954</v>
      </c>
    </row>
    <row r="13" spans="1:17" ht="20" customHeight="1" thickBot="1">
      <c r="A13" s="534" t="s">
        <v>369</v>
      </c>
      <c r="B13" s="196">
        <v>1405.9161429425933</v>
      </c>
      <c r="C13" s="195">
        <v>1469.7801018893024</v>
      </c>
      <c r="D13" s="196">
        <v>1539.5855804433099</v>
      </c>
      <c r="E13" s="195">
        <v>1681.6095306418788</v>
      </c>
      <c r="F13" s="196">
        <v>1791.2462754467747</v>
      </c>
      <c r="G13" s="195">
        <v>1935.0699658593126</v>
      </c>
      <c r="H13" s="193">
        <v>1978.5395888807245</v>
      </c>
      <c r="I13" s="100">
        <v>2028.2984890121379</v>
      </c>
      <c r="J13" s="193">
        <v>2196.5620293145362</v>
      </c>
      <c r="K13" s="100">
        <v>2352.9092514919353</v>
      </c>
      <c r="L13" s="193">
        <v>2347.3104587598168</v>
      </c>
      <c r="M13" s="100">
        <v>2411.1177277226166</v>
      </c>
      <c r="N13" s="193">
        <v>2580.595347071333</v>
      </c>
      <c r="O13" s="100">
        <v>2673.5548664214757</v>
      </c>
      <c r="P13" s="193">
        <v>2752.5398481168463</v>
      </c>
      <c r="Q13" s="100">
        <v>2746.3379549335937</v>
      </c>
    </row>
    <row r="14" spans="1:17" ht="20" customHeight="1" thickBot="1">
      <c r="A14" s="534" t="s">
        <v>370</v>
      </c>
      <c r="B14" s="196">
        <v>1280.8423321391788</v>
      </c>
      <c r="C14" s="195">
        <v>1369.8501053345833</v>
      </c>
      <c r="D14" s="196">
        <v>1488.9130137116751</v>
      </c>
      <c r="E14" s="195">
        <v>1580.5480949563857</v>
      </c>
      <c r="F14" s="196">
        <v>1681.441178411276</v>
      </c>
      <c r="G14" s="195">
        <v>1847.2978584832631</v>
      </c>
      <c r="H14" s="193">
        <v>1949.4358904576882</v>
      </c>
      <c r="I14" s="100">
        <v>1999.7701238511841</v>
      </c>
      <c r="J14" s="193">
        <v>2102.8485982237198</v>
      </c>
      <c r="K14" s="100">
        <v>2218.4072786491465</v>
      </c>
      <c r="L14" s="193">
        <v>2237.8223918859167</v>
      </c>
      <c r="M14" s="100">
        <v>2359.354258274011</v>
      </c>
      <c r="N14" s="193">
        <v>2451.1938794280691</v>
      </c>
      <c r="O14" s="100">
        <v>2585.4154392154037</v>
      </c>
      <c r="P14" s="193">
        <v>2620.7546302986038</v>
      </c>
      <c r="Q14" s="100">
        <v>2615.6089723441887</v>
      </c>
    </row>
    <row r="15" spans="1:17" ht="20" customHeight="1" thickBot="1">
      <c r="A15" s="534" t="s">
        <v>371</v>
      </c>
      <c r="B15" s="196">
        <v>1664.3130318147939</v>
      </c>
      <c r="C15" s="195">
        <v>1693.899908744108</v>
      </c>
      <c r="D15" s="196">
        <v>1877.0189711724497</v>
      </c>
      <c r="E15" s="195">
        <v>1952.8897952725201</v>
      </c>
      <c r="F15" s="196">
        <v>1992.2699090467606</v>
      </c>
      <c r="G15" s="195">
        <v>2131.0799457829739</v>
      </c>
      <c r="H15" s="193">
        <v>2212.4037106510764</v>
      </c>
      <c r="I15" s="100">
        <v>2267.2994025292651</v>
      </c>
      <c r="J15" s="193">
        <v>2374.2489163222604</v>
      </c>
      <c r="K15" s="100">
        <v>2524.8419768627564</v>
      </c>
      <c r="L15" s="193">
        <v>2591.1503244074711</v>
      </c>
      <c r="M15" s="100">
        <v>2693.257124369673</v>
      </c>
      <c r="N15" s="193">
        <v>2774.2239381555355</v>
      </c>
      <c r="O15" s="100">
        <v>2865.1135681024634</v>
      </c>
      <c r="P15" s="193">
        <v>2902.9331697944999</v>
      </c>
      <c r="Q15" s="100">
        <v>2961.8515277070114</v>
      </c>
    </row>
    <row r="16" spans="1:17" ht="20" customHeight="1" thickBot="1">
      <c r="A16" s="534" t="s">
        <v>372</v>
      </c>
      <c r="B16" s="196">
        <v>1653.9292986944772</v>
      </c>
      <c r="C16" s="195">
        <v>1692.3675087298018</v>
      </c>
      <c r="D16" s="196">
        <v>1788.5928147900208</v>
      </c>
      <c r="E16" s="195">
        <v>1876.5639473157041</v>
      </c>
      <c r="F16" s="196">
        <v>1979.8511175193896</v>
      </c>
      <c r="G16" s="195">
        <v>2032.3474440058872</v>
      </c>
      <c r="H16" s="193">
        <v>2132.690423641202</v>
      </c>
      <c r="I16" s="100">
        <v>2293.9363324416036</v>
      </c>
      <c r="J16" s="193">
        <v>2430.3377921315732</v>
      </c>
      <c r="K16" s="100">
        <v>2566.5748700876543</v>
      </c>
      <c r="L16" s="193">
        <v>2643.8060660034976</v>
      </c>
      <c r="M16" s="100">
        <v>2774.1482872850943</v>
      </c>
      <c r="N16" s="193">
        <v>2910.9267774027958</v>
      </c>
      <c r="O16" s="100">
        <v>2957.4007826331435</v>
      </c>
      <c r="P16" s="193">
        <v>2966.7614158627234</v>
      </c>
      <c r="Q16" s="100">
        <v>3005.7982702807999</v>
      </c>
    </row>
    <row r="17" spans="1:17" ht="20" customHeight="1" thickBot="1">
      <c r="A17" s="534" t="s">
        <v>373</v>
      </c>
      <c r="B17" s="196">
        <v>2453.4506123995247</v>
      </c>
      <c r="C17" s="195">
        <v>2574.7041070457108</v>
      </c>
      <c r="D17" s="196">
        <v>2778.6511176028916</v>
      </c>
      <c r="E17" s="195">
        <v>2900.5480006344451</v>
      </c>
      <c r="F17" s="196">
        <v>3035.7989165036206</v>
      </c>
      <c r="G17" s="195">
        <v>3205.7849330937206</v>
      </c>
      <c r="H17" s="193">
        <v>3293.0214389051375</v>
      </c>
      <c r="I17" s="100">
        <v>3423.1951887932514</v>
      </c>
      <c r="J17" s="193">
        <v>3534.9303970671813</v>
      </c>
      <c r="K17" s="100">
        <v>3836.6418283741455</v>
      </c>
      <c r="L17" s="193">
        <v>3888.2941731247565</v>
      </c>
      <c r="M17" s="100">
        <v>4037.5299003821051</v>
      </c>
      <c r="N17" s="193">
        <v>4224.4735389574053</v>
      </c>
      <c r="O17" s="100">
        <v>4264.2457587352592</v>
      </c>
      <c r="P17" s="193">
        <v>4260.7340994343349</v>
      </c>
      <c r="Q17" s="100">
        <v>4336.9424320852031</v>
      </c>
    </row>
    <row r="18" spans="1:17" ht="20" customHeight="1" thickBot="1">
      <c r="A18" s="534" t="s">
        <v>374</v>
      </c>
      <c r="B18" s="196">
        <v>1820.6049206738633</v>
      </c>
      <c r="C18" s="195">
        <v>1894.9830698054327</v>
      </c>
      <c r="D18" s="196">
        <v>1977.9553975094373</v>
      </c>
      <c r="E18" s="195">
        <v>2121.6154554590025</v>
      </c>
      <c r="F18" s="196">
        <v>2251.2901118120703</v>
      </c>
      <c r="G18" s="195">
        <v>2373.2617036964507</v>
      </c>
      <c r="H18" s="193">
        <v>2451.0871621504775</v>
      </c>
      <c r="I18" s="100">
        <v>2536.6270497192859</v>
      </c>
      <c r="J18" s="193">
        <v>2646.6476572497613</v>
      </c>
      <c r="K18" s="100">
        <v>2852.930138987821</v>
      </c>
      <c r="L18" s="193">
        <v>2866.2823454195332</v>
      </c>
      <c r="M18" s="100">
        <v>3026.4431526829344</v>
      </c>
      <c r="N18" s="193">
        <v>3232.6222472961954</v>
      </c>
      <c r="O18" s="100">
        <v>3342.2257627081567</v>
      </c>
      <c r="P18" s="193">
        <v>3394.0744830284352</v>
      </c>
      <c r="Q18" s="100">
        <v>3432.0414896310281</v>
      </c>
    </row>
    <row r="19" spans="1:17" ht="20" customHeight="1" thickBot="1">
      <c r="A19" s="534" t="s">
        <v>375</v>
      </c>
      <c r="B19" s="196">
        <v>1603.1985072621362</v>
      </c>
      <c r="C19" s="195">
        <v>1702.6493257056502</v>
      </c>
      <c r="D19" s="196">
        <v>1744.8438983588499</v>
      </c>
      <c r="E19" s="195">
        <v>1985.2077609053488</v>
      </c>
      <c r="F19" s="196">
        <v>2094.5287804389732</v>
      </c>
      <c r="G19" s="195">
        <v>2212.8602151266746</v>
      </c>
      <c r="H19" s="193">
        <v>2225.2582168236499</v>
      </c>
      <c r="I19" s="100">
        <v>2269.723821545294</v>
      </c>
      <c r="J19" s="193">
        <v>2502.998869501324</v>
      </c>
      <c r="K19" s="100">
        <v>2596.3526252028255</v>
      </c>
      <c r="L19" s="193">
        <v>2630.3877064360317</v>
      </c>
      <c r="M19" s="100">
        <v>2739.9827637896874</v>
      </c>
      <c r="N19" s="193">
        <v>2845.0252565039837</v>
      </c>
      <c r="O19" s="100">
        <v>2930.8300135912746</v>
      </c>
      <c r="P19" s="193">
        <v>3038.1625052148493</v>
      </c>
      <c r="Q19" s="100">
        <v>3041.2502447088523</v>
      </c>
    </row>
    <row r="20" spans="1:17" ht="20" customHeight="1" thickBot="1">
      <c r="A20" s="534" t="s">
        <v>376</v>
      </c>
      <c r="B20" s="196">
        <v>1266.229321216058</v>
      </c>
      <c r="C20" s="195">
        <v>1369.2490486542663</v>
      </c>
      <c r="D20" s="196">
        <v>1366.920355151437</v>
      </c>
      <c r="E20" s="195">
        <v>1502.9802164667458</v>
      </c>
      <c r="F20" s="196">
        <v>1583.6306546590849</v>
      </c>
      <c r="G20" s="195">
        <v>1647.3283385086513</v>
      </c>
      <c r="H20" s="193">
        <v>1699.3836587528899</v>
      </c>
      <c r="I20" s="100">
        <v>1862.6412259161218</v>
      </c>
      <c r="J20" s="193">
        <v>1990.6417878831089</v>
      </c>
      <c r="K20" s="100">
        <v>2102.1692180072532</v>
      </c>
      <c r="L20" s="193">
        <v>2094.9507881415475</v>
      </c>
      <c r="M20" s="100">
        <v>2204.1055945303278</v>
      </c>
      <c r="N20" s="193">
        <v>2315.161685335368</v>
      </c>
      <c r="O20" s="100">
        <v>2442.4814549790062</v>
      </c>
      <c r="P20" s="193">
        <v>2522.3260390107089</v>
      </c>
      <c r="Q20" s="100">
        <v>2553.9406970387963</v>
      </c>
    </row>
    <row r="21" spans="1:17" ht="20" customHeight="1" thickBot="1">
      <c r="A21" s="534" t="s">
        <v>377</v>
      </c>
      <c r="B21" s="196">
        <v>1111.970246486788</v>
      </c>
      <c r="C21" s="195">
        <v>1128.6982842819168</v>
      </c>
      <c r="D21" s="196">
        <v>1162.7389791379435</v>
      </c>
      <c r="E21" s="195">
        <v>1314.686475045437</v>
      </c>
      <c r="F21" s="196">
        <v>1394.0297272461971</v>
      </c>
      <c r="G21" s="195">
        <v>1456.6556209568064</v>
      </c>
      <c r="H21" s="193">
        <v>1595.9069827050362</v>
      </c>
      <c r="I21" s="100">
        <v>1655.1191680478576</v>
      </c>
      <c r="J21" s="193">
        <v>1736.2287203020521</v>
      </c>
      <c r="K21" s="100">
        <v>1857.9295026229306</v>
      </c>
      <c r="L21" s="193">
        <v>1836.737234845046</v>
      </c>
      <c r="M21" s="100">
        <v>1868.7722481712538</v>
      </c>
      <c r="N21" s="193">
        <v>2121.9410134076425</v>
      </c>
      <c r="O21" s="100">
        <v>2098.4610120647276</v>
      </c>
      <c r="P21" s="193">
        <v>2150.3556517168563</v>
      </c>
      <c r="Q21" s="100">
        <v>2267.9551239400512</v>
      </c>
    </row>
    <row r="22" spans="1:17" ht="20" customHeight="1" thickBot="1">
      <c r="A22" s="534" t="s">
        <v>378</v>
      </c>
      <c r="B22" s="196">
        <v>1328.3629652911261</v>
      </c>
      <c r="C22" s="195">
        <v>1426.6549273536687</v>
      </c>
      <c r="D22" s="196">
        <v>1491.8733384007237</v>
      </c>
      <c r="E22" s="195">
        <v>1604.5114328167786</v>
      </c>
      <c r="F22" s="196">
        <v>1668.380920804668</v>
      </c>
      <c r="G22" s="195">
        <v>1747.9960351192121</v>
      </c>
      <c r="H22" s="193">
        <v>1852.6583525780329</v>
      </c>
      <c r="I22" s="100">
        <v>2017.040453297921</v>
      </c>
      <c r="J22" s="193">
        <v>2156.34277241769</v>
      </c>
      <c r="K22" s="100">
        <v>2250.3442807519109</v>
      </c>
      <c r="L22" s="193">
        <v>2259.4908722455143</v>
      </c>
      <c r="M22" s="100">
        <v>2347.4638183876004</v>
      </c>
      <c r="N22" s="193">
        <v>2460.9344112946401</v>
      </c>
      <c r="O22" s="100">
        <v>2588.8900456408364</v>
      </c>
      <c r="P22" s="193">
        <v>2648.8100475702108</v>
      </c>
      <c r="Q22" s="100">
        <v>2679.8308983877241</v>
      </c>
    </row>
    <row r="23" spans="1:17" ht="20" customHeight="1" thickBot="1">
      <c r="A23" s="534" t="s">
        <v>379</v>
      </c>
      <c r="B23" s="196">
        <v>1287.3048973703474</v>
      </c>
      <c r="C23" s="195">
        <v>1235.1705388748824</v>
      </c>
      <c r="D23" s="196">
        <v>1374.9634451894976</v>
      </c>
      <c r="E23" s="195">
        <v>1592.7811073384662</v>
      </c>
      <c r="F23" s="196">
        <v>1744.802621453694</v>
      </c>
      <c r="G23" s="195">
        <v>1820.1531532136034</v>
      </c>
      <c r="H23" s="193">
        <v>1892.8087524284656</v>
      </c>
      <c r="I23" s="100">
        <v>2012.6622941161957</v>
      </c>
      <c r="J23" s="193">
        <v>2188.6912303034992</v>
      </c>
      <c r="K23" s="100">
        <v>2280.6123080226821</v>
      </c>
      <c r="L23" s="193">
        <v>2322.2671522768032</v>
      </c>
      <c r="M23" s="100">
        <v>2493.7151956347811</v>
      </c>
      <c r="N23" s="193">
        <v>2579.2236164170772</v>
      </c>
      <c r="O23" s="100">
        <v>2687.4299907425798</v>
      </c>
      <c r="P23" s="193">
        <v>2711.8467238692633</v>
      </c>
      <c r="Q23" s="100">
        <v>2743.9571289717915</v>
      </c>
    </row>
    <row r="24" spans="1:17" ht="20" customHeight="1" thickBot="1">
      <c r="A24" s="534" t="s">
        <v>380</v>
      </c>
      <c r="B24" s="196">
        <v>1429.4682702806792</v>
      </c>
      <c r="C24" s="195">
        <v>1485.8653554058658</v>
      </c>
      <c r="D24" s="196">
        <v>1639.933354457901</v>
      </c>
      <c r="E24" s="195">
        <v>1738.1777471817395</v>
      </c>
      <c r="F24" s="196">
        <v>1852.0108004551998</v>
      </c>
      <c r="G24" s="195">
        <v>1922.2732444785506</v>
      </c>
      <c r="H24" s="193">
        <v>2012.6510667334403</v>
      </c>
      <c r="I24" s="100">
        <v>2114.4542305938699</v>
      </c>
      <c r="J24" s="193">
        <v>2237.9775523220655</v>
      </c>
      <c r="K24" s="100">
        <v>2393.148719176334</v>
      </c>
      <c r="L24" s="193">
        <v>2460.3605422599139</v>
      </c>
      <c r="M24" s="100">
        <v>2545.4850890291586</v>
      </c>
      <c r="N24" s="193">
        <v>2686.1960767776472</v>
      </c>
      <c r="O24" s="100">
        <v>2770.6436120190019</v>
      </c>
      <c r="P24" s="193">
        <v>2840.7292951121085</v>
      </c>
      <c r="Q24" s="100">
        <v>2884.8375522189335</v>
      </c>
    </row>
    <row r="25" spans="1:17" ht="20" customHeight="1" thickBot="1">
      <c r="A25" s="534" t="s">
        <v>381</v>
      </c>
      <c r="B25" s="196">
        <v>1342.7065202674826</v>
      </c>
      <c r="C25" s="195">
        <v>1570.3374919877879</v>
      </c>
      <c r="D25" s="196">
        <v>1652.8766113199713</v>
      </c>
      <c r="E25" s="195">
        <v>1750.8887056472636</v>
      </c>
      <c r="F25" s="196">
        <v>1855.7014022051633</v>
      </c>
      <c r="G25" s="195">
        <v>1940.1143816253782</v>
      </c>
      <c r="H25" s="193">
        <v>2057.2066579469329</v>
      </c>
      <c r="I25" s="100">
        <v>2180.743431865571</v>
      </c>
      <c r="J25" s="193">
        <v>2223.0911545620074</v>
      </c>
      <c r="K25" s="100">
        <v>2312.0825959535628</v>
      </c>
      <c r="L25" s="193">
        <v>2311.7021270214186</v>
      </c>
      <c r="M25" s="100">
        <v>2427.3283603554028</v>
      </c>
      <c r="N25" s="193">
        <v>2562.013551141245</v>
      </c>
      <c r="O25" s="100">
        <v>2632.2536979719862</v>
      </c>
      <c r="P25" s="193">
        <v>2672.8888973418875</v>
      </c>
      <c r="Q25" s="100">
        <v>2722.7529519413197</v>
      </c>
    </row>
    <row r="26" spans="1:17" ht="20" customHeight="1" thickBot="1">
      <c r="A26" s="534" t="s">
        <v>382</v>
      </c>
      <c r="B26" s="196">
        <v>2171.4885093364283</v>
      </c>
      <c r="C26" s="195">
        <v>2199.3910586957236</v>
      </c>
      <c r="D26" s="196">
        <v>2327.1740152251377</v>
      </c>
      <c r="E26" s="195">
        <v>2390.0451126756438</v>
      </c>
      <c r="F26" s="196">
        <v>2550.9286155601239</v>
      </c>
      <c r="G26" s="195">
        <v>2710.2819571003133</v>
      </c>
      <c r="H26" s="193">
        <v>2882.1202091901027</v>
      </c>
      <c r="I26" s="100">
        <v>3020.8162217619511</v>
      </c>
      <c r="J26" s="193">
        <v>3050.2880576765479</v>
      </c>
      <c r="K26" s="100">
        <v>3276.4763876393613</v>
      </c>
      <c r="L26" s="193">
        <v>3245.9822850833443</v>
      </c>
      <c r="M26" s="100">
        <v>3336.369455109575</v>
      </c>
      <c r="N26" s="193">
        <v>3340.0329329967103</v>
      </c>
      <c r="O26" s="100">
        <v>3477.2111258161954</v>
      </c>
      <c r="P26" s="193">
        <v>3545.460109774614</v>
      </c>
      <c r="Q26" s="100">
        <v>3609.3718437959019</v>
      </c>
    </row>
    <row r="27" spans="1:17" ht="20" customHeight="1" thickBot="1">
      <c r="A27" s="534" t="s">
        <v>383</v>
      </c>
      <c r="B27" s="196">
        <v>2196.0001181427256</v>
      </c>
      <c r="C27" s="195">
        <v>2312.9153985116523</v>
      </c>
      <c r="D27" s="196">
        <v>2379.5547012687334</v>
      </c>
      <c r="E27" s="195">
        <v>2437.7819765844547</v>
      </c>
      <c r="F27" s="196">
        <v>2594.6791528273025</v>
      </c>
      <c r="G27" s="195">
        <v>2747.8435999827625</v>
      </c>
      <c r="H27" s="193">
        <v>2831.9989479288188</v>
      </c>
      <c r="I27" s="100">
        <v>2935.9248909263811</v>
      </c>
      <c r="J27" s="193">
        <v>3069.0220677756661</v>
      </c>
      <c r="K27" s="100">
        <v>3208.854431950394</v>
      </c>
      <c r="L27" s="193">
        <v>3190.9622853292644</v>
      </c>
      <c r="M27" s="100">
        <v>3249.9276698724689</v>
      </c>
      <c r="N27" s="193">
        <v>3349.0148696133601</v>
      </c>
      <c r="O27" s="100">
        <v>3399.4617964424519</v>
      </c>
      <c r="P27" s="193">
        <v>3473.400812699404</v>
      </c>
      <c r="Q27" s="100">
        <v>3504.9561831890187</v>
      </c>
    </row>
    <row r="28" spans="1:17" ht="20" customHeight="1" thickBot="1">
      <c r="A28" s="534" t="s">
        <v>384</v>
      </c>
      <c r="B28" s="196">
        <v>1529.2997069405549</v>
      </c>
      <c r="C28" s="195">
        <v>1598.9573470309633</v>
      </c>
      <c r="D28" s="196">
        <v>1649.5762930398494</v>
      </c>
      <c r="E28" s="195">
        <v>1710.1863281875196</v>
      </c>
      <c r="F28" s="196">
        <v>1852.5767623993836</v>
      </c>
      <c r="G28" s="195">
        <v>1962.6067804986258</v>
      </c>
      <c r="H28" s="193">
        <v>2056.3896568427044</v>
      </c>
      <c r="I28" s="100">
        <v>2174.3919070359843</v>
      </c>
      <c r="J28" s="193">
        <v>2221.4019009546096</v>
      </c>
      <c r="K28" s="100">
        <v>2384.5717452383997</v>
      </c>
      <c r="L28" s="193">
        <v>2506.3494831859234</v>
      </c>
      <c r="M28" s="100">
        <v>2601.183630094059</v>
      </c>
      <c r="N28" s="193">
        <v>2685.0130994253459</v>
      </c>
      <c r="O28" s="100">
        <v>2772.6803746341357</v>
      </c>
      <c r="P28" s="193">
        <v>2857.2402468470991</v>
      </c>
      <c r="Q28" s="100">
        <v>2879.208823232093</v>
      </c>
    </row>
    <row r="29" spans="1:17" ht="20" customHeight="1" thickBot="1">
      <c r="A29" s="534" t="s">
        <v>385</v>
      </c>
      <c r="B29" s="196">
        <v>2076.9407549335065</v>
      </c>
      <c r="C29" s="195">
        <v>2239.5702695784876</v>
      </c>
      <c r="D29" s="196">
        <v>2352.8812450395053</v>
      </c>
      <c r="E29" s="195">
        <v>2208.6202351022771</v>
      </c>
      <c r="F29" s="196">
        <v>2582.3656434851941</v>
      </c>
      <c r="G29" s="195">
        <v>2681.6386618188403</v>
      </c>
      <c r="H29" s="193">
        <v>2768.6498386638364</v>
      </c>
      <c r="I29" s="100">
        <v>2947.4871467642047</v>
      </c>
      <c r="J29" s="193">
        <v>3089.0427829699011</v>
      </c>
      <c r="K29" s="100">
        <v>3090.594905291804</v>
      </c>
      <c r="L29" s="193">
        <v>2969.3815428561275</v>
      </c>
      <c r="M29" s="100">
        <v>3005.1200689069051</v>
      </c>
      <c r="N29" s="193">
        <v>3133.1891093413942</v>
      </c>
      <c r="O29" s="100">
        <v>3124.3192345399266</v>
      </c>
      <c r="P29" s="193">
        <v>3183.8834861973864</v>
      </c>
      <c r="Q29" s="100">
        <v>3235.2275940259201</v>
      </c>
    </row>
    <row r="30" spans="1:17" ht="20" customHeight="1" thickBot="1">
      <c r="A30" s="534" t="s">
        <v>386</v>
      </c>
      <c r="B30" s="196">
        <v>2367.8867616486314</v>
      </c>
      <c r="C30" s="195">
        <v>2588.4460852643429</v>
      </c>
      <c r="D30" s="196">
        <v>2916.0616485222708</v>
      </c>
      <c r="E30" s="195">
        <v>2922.7889453391044</v>
      </c>
      <c r="F30" s="196">
        <v>3007.6568963366376</v>
      </c>
      <c r="G30" s="195">
        <v>3241.8734679181912</v>
      </c>
      <c r="H30" s="193">
        <v>3312.0719892329316</v>
      </c>
      <c r="I30" s="100">
        <v>3345.0817824763403</v>
      </c>
      <c r="J30" s="193">
        <v>3489.8691106706706</v>
      </c>
      <c r="K30" s="100">
        <v>3736.5440264802141</v>
      </c>
      <c r="L30" s="193">
        <v>3656.1251890050253</v>
      </c>
      <c r="M30" s="100">
        <v>3713.3158063285728</v>
      </c>
      <c r="N30" s="193">
        <v>3908.4760970527641</v>
      </c>
      <c r="O30" s="100">
        <v>3903.8897362927628</v>
      </c>
      <c r="P30" s="193">
        <v>3969.8319747555565</v>
      </c>
      <c r="Q30" s="100">
        <v>4070.1311814047353</v>
      </c>
    </row>
    <row r="31" spans="1:17" ht="20" customHeight="1" thickBot="1">
      <c r="A31" s="534" t="s">
        <v>387</v>
      </c>
      <c r="B31" s="196">
        <v>1956.0836898079381</v>
      </c>
      <c r="C31" s="195">
        <v>2103.4193264962059</v>
      </c>
      <c r="D31" s="196">
        <v>2148.2711078745106</v>
      </c>
      <c r="E31" s="195">
        <v>2397.5427637320863</v>
      </c>
      <c r="F31" s="196">
        <v>2415.5255599055658</v>
      </c>
      <c r="G31" s="195">
        <v>2508.1569315714173</v>
      </c>
      <c r="H31" s="193">
        <v>2589.3093434875859</v>
      </c>
      <c r="I31" s="100">
        <v>2494.2878799690366</v>
      </c>
      <c r="J31" s="193">
        <v>2694.2839102553153</v>
      </c>
      <c r="K31" s="100">
        <v>2916.9959025146595</v>
      </c>
      <c r="L31" s="193">
        <v>2819.9830079575136</v>
      </c>
      <c r="M31" s="100">
        <v>2971.4432956011915</v>
      </c>
      <c r="N31" s="193">
        <v>3094.6149252458663</v>
      </c>
      <c r="O31" s="100">
        <v>3159.7885826584602</v>
      </c>
      <c r="P31" s="193">
        <v>3281.9554548860724</v>
      </c>
      <c r="Q31" s="100">
        <v>3293.5016910460072</v>
      </c>
    </row>
    <row r="32" spans="1:17" ht="30" customHeight="1" thickBot="1">
      <c r="A32" s="535" t="s">
        <v>444</v>
      </c>
      <c r="B32" s="200">
        <v>1722.6034666050571</v>
      </c>
      <c r="C32" s="199">
        <v>1815.591817475673</v>
      </c>
      <c r="D32" s="200">
        <v>1935.2609068839854</v>
      </c>
      <c r="E32" s="199">
        <v>2010.9299604622613</v>
      </c>
      <c r="F32" s="200">
        <v>2130.500577485856</v>
      </c>
      <c r="G32" s="199">
        <v>2244.3977236150963</v>
      </c>
      <c r="H32" s="536">
        <v>2327.6302215005462</v>
      </c>
      <c r="I32" s="224">
        <v>2431.2115563163397</v>
      </c>
      <c r="J32" s="225">
        <v>2592.2163089311493</v>
      </c>
      <c r="K32" s="224">
        <v>2736.4276577385417</v>
      </c>
      <c r="L32" s="225">
        <v>2754.9413018779796</v>
      </c>
      <c r="M32" s="224">
        <v>2862.8111062906178</v>
      </c>
      <c r="N32" s="225">
        <v>2983.6153319253076</v>
      </c>
      <c r="O32" s="224">
        <v>3068.7220287020409</v>
      </c>
      <c r="P32" s="225">
        <v>3122.5601098540819</v>
      </c>
      <c r="Q32" s="224">
        <v>3170.8302082139126</v>
      </c>
    </row>
    <row r="33" spans="1:8" ht="20" customHeight="1">
      <c r="A33" s="112" t="s">
        <v>720</v>
      </c>
      <c r="B33" s="201"/>
      <c r="C33" s="201"/>
      <c r="D33" s="201"/>
      <c r="E33" s="201"/>
      <c r="F33" s="537"/>
      <c r="G33" s="201"/>
      <c r="H33" s="202"/>
    </row>
    <row r="34" spans="1:8" ht="15.75" customHeight="1">
      <c r="A34" s="115"/>
      <c r="B34" s="203"/>
      <c r="C34" s="203"/>
      <c r="D34" s="203"/>
      <c r="E34" s="203"/>
      <c r="F34" s="203"/>
      <c r="G34" s="203"/>
      <c r="H34" s="204"/>
    </row>
    <row r="35" spans="1:8" ht="14.25" customHeight="1">
      <c r="A35" s="172" t="s">
        <v>1641</v>
      </c>
      <c r="B35" s="203"/>
      <c r="C35" s="203"/>
      <c r="D35" s="203"/>
      <c r="E35" s="203"/>
      <c r="F35" s="203"/>
      <c r="G35" s="203"/>
      <c r="H35" s="204"/>
    </row>
    <row r="36" spans="1:8" ht="14.25" customHeight="1">
      <c r="A36" s="172" t="s">
        <v>1642</v>
      </c>
      <c r="B36" s="203"/>
      <c r="C36" s="203"/>
      <c r="D36" s="203"/>
      <c r="E36" s="203"/>
      <c r="F36" s="203"/>
      <c r="G36" s="203"/>
      <c r="H36" s="204"/>
    </row>
    <row r="37" spans="1:8" ht="13.5" customHeight="1">
      <c r="A37" s="115"/>
      <c r="B37" s="203"/>
      <c r="C37" s="203"/>
      <c r="D37" s="203"/>
      <c r="E37" s="203"/>
      <c r="F37" s="203"/>
      <c r="G37" s="203"/>
      <c r="H37" s="204"/>
    </row>
    <row r="38" spans="1:8" ht="12.75" customHeight="1">
      <c r="A38" s="115" t="s">
        <v>1643</v>
      </c>
      <c r="B38" s="203"/>
      <c r="C38" s="203"/>
      <c r="D38" s="203"/>
      <c r="E38" s="203"/>
      <c r="F38" s="203"/>
      <c r="G38" s="203"/>
      <c r="H38" s="204"/>
    </row>
    <row r="39" spans="1:8" ht="12.75" customHeight="1">
      <c r="A39" s="3" t="s">
        <v>714</v>
      </c>
      <c r="B39" s="203"/>
      <c r="C39" s="203"/>
      <c r="D39" s="203"/>
      <c r="E39" s="203"/>
      <c r="F39" s="203"/>
      <c r="G39" s="203"/>
      <c r="H39" s="204"/>
    </row>
    <row r="41" spans="1:8">
      <c r="A41" s="115"/>
    </row>
    <row r="42" spans="1:8">
      <c r="A42" s="115" t="s">
        <v>719</v>
      </c>
    </row>
  </sheetData>
  <pageMargins left="0.43307086614173229" right="0.47244094488188981" top="0.47" bottom="0.47244094488188981" header="0.32" footer="0.51181102362204722"/>
  <pageSetup paperSize="9" scale="66" orientation="landscape"/>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2C803-996D-4A4B-BB93-DDB69FDA5FEB}">
  <sheetPr>
    <pageSetUpPr fitToPage="1"/>
  </sheetPr>
  <dimension ref="A1:Q41"/>
  <sheetViews>
    <sheetView topLeftCell="C1" zoomScaleNormal="100" workbookViewId="0">
      <selection activeCell="H14" sqref="H14"/>
    </sheetView>
  </sheetViews>
  <sheetFormatPr baseColWidth="10" defaultColWidth="11.3984375" defaultRowHeight="13"/>
  <cols>
    <col min="1" max="1" width="15.796875" style="3" customWidth="1"/>
    <col min="2" max="17" width="11.796875" style="3" customWidth="1"/>
    <col min="18" max="16384" width="11.3984375" style="3"/>
  </cols>
  <sheetData>
    <row r="1" spans="1:17" s="2" customFormat="1" ht="14" customHeight="1"/>
    <row r="2" spans="1:17" s="2" customFormat="1" ht="26" customHeight="1">
      <c r="A2" s="181" t="s">
        <v>1644</v>
      </c>
      <c r="B2" s="436"/>
      <c r="C2" s="436"/>
      <c r="D2" s="436"/>
      <c r="E2" s="436"/>
      <c r="F2" s="436"/>
      <c r="G2" s="436"/>
      <c r="H2" s="436"/>
      <c r="I2" s="181"/>
      <c r="J2" s="181"/>
      <c r="K2" s="181"/>
      <c r="L2" s="181"/>
      <c r="M2" s="181"/>
      <c r="N2" s="181"/>
      <c r="O2" s="181"/>
      <c r="P2" s="181"/>
      <c r="Q2" s="181"/>
    </row>
    <row r="3" spans="1:17" ht="24" customHeight="1">
      <c r="A3" s="530" t="s">
        <v>191</v>
      </c>
      <c r="B3" s="186">
        <v>1996</v>
      </c>
      <c r="C3" s="185">
        <v>1997</v>
      </c>
      <c r="D3" s="186">
        <v>1998</v>
      </c>
      <c r="E3" s="538">
        <v>1999</v>
      </c>
      <c r="F3" s="539">
        <v>2000</v>
      </c>
      <c r="G3" s="185">
        <v>2001</v>
      </c>
      <c r="H3" s="186">
        <v>2002</v>
      </c>
      <c r="I3" s="185">
        <v>2003</v>
      </c>
      <c r="J3" s="186">
        <v>2004</v>
      </c>
      <c r="K3" s="185">
        <v>2005</v>
      </c>
      <c r="L3" s="186">
        <v>2006</v>
      </c>
      <c r="M3" s="185">
        <v>2007</v>
      </c>
      <c r="N3" s="186">
        <v>2008</v>
      </c>
      <c r="O3" s="185">
        <v>2009</v>
      </c>
      <c r="P3" s="186">
        <v>2010</v>
      </c>
      <c r="Q3" s="185">
        <v>2011</v>
      </c>
    </row>
    <row r="4" spans="1:17" ht="15" customHeight="1">
      <c r="A4" s="531"/>
      <c r="B4" s="186"/>
      <c r="C4" s="185"/>
      <c r="D4" s="186"/>
      <c r="E4" s="96"/>
      <c r="F4" s="187"/>
      <c r="G4" s="185"/>
      <c r="H4" s="186"/>
      <c r="I4" s="185"/>
      <c r="J4" s="186"/>
      <c r="K4" s="185"/>
      <c r="L4" s="186"/>
      <c r="M4" s="185"/>
      <c r="N4" s="186"/>
      <c r="O4" s="185"/>
      <c r="P4" s="186"/>
      <c r="Q4" s="185"/>
    </row>
    <row r="5" spans="1:17" ht="16" customHeight="1">
      <c r="A5" s="532"/>
      <c r="B5" s="190"/>
      <c r="C5" s="189"/>
      <c r="D5" s="190"/>
      <c r="E5" s="98"/>
      <c r="F5" s="191"/>
      <c r="G5" s="189"/>
      <c r="H5" s="190"/>
      <c r="I5" s="189"/>
      <c r="J5" s="190"/>
      <c r="K5" s="189"/>
      <c r="L5" s="190"/>
      <c r="M5" s="189"/>
      <c r="N5" s="190"/>
      <c r="O5" s="189"/>
      <c r="P5" s="190"/>
      <c r="Q5" s="189"/>
    </row>
    <row r="6" spans="1:17" ht="30" customHeight="1" thickBot="1">
      <c r="A6" s="533" t="s">
        <v>362</v>
      </c>
      <c r="B6" s="411">
        <v>233.35235496236601</v>
      </c>
      <c r="C6" s="410">
        <v>241.12615278522208</v>
      </c>
      <c r="D6" s="411">
        <v>288.02905364226785</v>
      </c>
      <c r="E6" s="410">
        <v>298.65160195944532</v>
      </c>
      <c r="F6" s="411">
        <v>312.9842329100602</v>
      </c>
      <c r="G6" s="410">
        <v>324.62998357200581</v>
      </c>
      <c r="H6" s="193">
        <v>336.36283542835167</v>
      </c>
      <c r="I6" s="100">
        <v>349.20490600771882</v>
      </c>
      <c r="J6" s="193">
        <v>389.260493927075</v>
      </c>
      <c r="K6" s="100">
        <v>406.53365759860662</v>
      </c>
      <c r="L6" s="193">
        <v>410.94161685251174</v>
      </c>
      <c r="M6" s="100">
        <v>426.9588857994363</v>
      </c>
      <c r="N6" s="193">
        <v>442.66141955891999</v>
      </c>
      <c r="O6" s="100">
        <v>450.51595207203582</v>
      </c>
      <c r="P6" s="193">
        <v>450.08688048681188</v>
      </c>
      <c r="Q6" s="100">
        <v>464.92625202393612</v>
      </c>
    </row>
    <row r="7" spans="1:17" ht="20" customHeight="1" thickBot="1">
      <c r="A7" s="534" t="s">
        <v>363</v>
      </c>
      <c r="B7" s="196">
        <v>237.6077132116302</v>
      </c>
      <c r="C7" s="195">
        <v>254.29196483611372</v>
      </c>
      <c r="D7" s="196">
        <v>290.23031121517556</v>
      </c>
      <c r="E7" s="195">
        <v>305.20165981480295</v>
      </c>
      <c r="F7" s="196">
        <v>321.67071389780745</v>
      </c>
      <c r="G7" s="195">
        <v>327.5433148690322</v>
      </c>
      <c r="H7" s="193">
        <v>337.12449180637987</v>
      </c>
      <c r="I7" s="100">
        <v>353.20712208069472</v>
      </c>
      <c r="J7" s="193">
        <v>388.04958315794829</v>
      </c>
      <c r="K7" s="100">
        <v>406.41314713126121</v>
      </c>
      <c r="L7" s="193">
        <v>411.94314916193935</v>
      </c>
      <c r="M7" s="100">
        <v>428.12210531071014</v>
      </c>
      <c r="N7" s="193">
        <v>442.20792301242318</v>
      </c>
      <c r="O7" s="100">
        <v>448.87438233297325</v>
      </c>
      <c r="P7" s="193">
        <v>441.792342530935</v>
      </c>
      <c r="Q7" s="100">
        <v>459.4180388230651</v>
      </c>
    </row>
    <row r="8" spans="1:17" ht="20" customHeight="1" thickBot="1">
      <c r="A8" s="534" t="s">
        <v>364</v>
      </c>
      <c r="B8" s="196">
        <v>179.58188015983001</v>
      </c>
      <c r="C8" s="195">
        <v>185.37108979831305</v>
      </c>
      <c r="D8" s="196">
        <v>223.46252715353921</v>
      </c>
      <c r="E8" s="195">
        <v>231.83313402359317</v>
      </c>
      <c r="F8" s="196">
        <v>242.07565128594979</v>
      </c>
      <c r="G8" s="195">
        <v>253.79626568388267</v>
      </c>
      <c r="H8" s="193">
        <v>261.14130835872152</v>
      </c>
      <c r="I8" s="100">
        <v>272.02762715132553</v>
      </c>
      <c r="J8" s="193">
        <v>314.8156455265314</v>
      </c>
      <c r="K8" s="100">
        <v>332.80849069109854</v>
      </c>
      <c r="L8" s="193">
        <v>333.45356513572938</v>
      </c>
      <c r="M8" s="100">
        <v>349.49195040990344</v>
      </c>
      <c r="N8" s="193">
        <v>362.63087179782042</v>
      </c>
      <c r="O8" s="100">
        <v>373.99902367675031</v>
      </c>
      <c r="P8" s="193">
        <v>379.87019714343432</v>
      </c>
      <c r="Q8" s="100">
        <v>397.75270208962581</v>
      </c>
    </row>
    <row r="9" spans="1:17" ht="20" customHeight="1" thickBot="1">
      <c r="A9" s="534" t="s">
        <v>365</v>
      </c>
      <c r="B9" s="196">
        <v>189.59337489112431</v>
      </c>
      <c r="C9" s="195">
        <v>199.6587939094577</v>
      </c>
      <c r="D9" s="196">
        <v>231.04149489699967</v>
      </c>
      <c r="E9" s="195">
        <v>247.66979927619195</v>
      </c>
      <c r="F9" s="196">
        <v>257.20746139396988</v>
      </c>
      <c r="G9" s="195">
        <v>273.27696231366895</v>
      </c>
      <c r="H9" s="193">
        <v>273.39404246303752</v>
      </c>
      <c r="I9" s="100">
        <v>285.63528903150814</v>
      </c>
      <c r="J9" s="193">
        <v>319.18624012833834</v>
      </c>
      <c r="K9" s="100">
        <v>340.94681606129916</v>
      </c>
      <c r="L9" s="193">
        <v>345.66780687385381</v>
      </c>
      <c r="M9" s="100">
        <v>375.44264100406508</v>
      </c>
      <c r="N9" s="193">
        <v>377.7500809772564</v>
      </c>
      <c r="O9" s="100">
        <v>383.73173683185132</v>
      </c>
      <c r="P9" s="193">
        <v>386.42642646622971</v>
      </c>
      <c r="Q9" s="100">
        <v>397.33980203053397</v>
      </c>
    </row>
    <row r="10" spans="1:17" ht="20" customHeight="1" thickBot="1">
      <c r="A10" s="534" t="s">
        <v>366</v>
      </c>
      <c r="B10" s="196">
        <v>188.02085864401874</v>
      </c>
      <c r="C10" s="195">
        <v>195.19080343355449</v>
      </c>
      <c r="D10" s="196">
        <v>231.07689134369252</v>
      </c>
      <c r="E10" s="195">
        <v>249.54171604600674</v>
      </c>
      <c r="F10" s="196">
        <v>256.80376828818021</v>
      </c>
      <c r="G10" s="195">
        <v>280.35701774313293</v>
      </c>
      <c r="H10" s="193">
        <v>286.45054334520023</v>
      </c>
      <c r="I10" s="100">
        <v>306.68619909340146</v>
      </c>
      <c r="J10" s="193">
        <v>337.15627769081289</v>
      </c>
      <c r="K10" s="100">
        <v>361.59632200614965</v>
      </c>
      <c r="L10" s="193">
        <v>370.41582299334982</v>
      </c>
      <c r="M10" s="100">
        <v>385.24276817589748</v>
      </c>
      <c r="N10" s="193">
        <v>401.06924226144611</v>
      </c>
      <c r="O10" s="100">
        <v>419.43124787342049</v>
      </c>
      <c r="P10" s="193">
        <v>417.76350066581199</v>
      </c>
      <c r="Q10" s="100">
        <v>439.99973966427484</v>
      </c>
    </row>
    <row r="11" spans="1:17" ht="20" customHeight="1" thickBot="1">
      <c r="A11" s="534" t="s">
        <v>367</v>
      </c>
      <c r="B11" s="196">
        <v>178.51445208136647</v>
      </c>
      <c r="C11" s="195">
        <v>189.64128645372716</v>
      </c>
      <c r="D11" s="196">
        <v>228.0300155206462</v>
      </c>
      <c r="E11" s="195">
        <v>243.86399097037565</v>
      </c>
      <c r="F11" s="196">
        <v>253.47438550439165</v>
      </c>
      <c r="G11" s="195">
        <v>258.85314232185783</v>
      </c>
      <c r="H11" s="193">
        <v>267.3999382203092</v>
      </c>
      <c r="I11" s="100">
        <v>275.17617507846808</v>
      </c>
      <c r="J11" s="193">
        <v>310.87344221905232</v>
      </c>
      <c r="K11" s="100">
        <v>333.9060218883842</v>
      </c>
      <c r="L11" s="193">
        <v>335.96305749964631</v>
      </c>
      <c r="M11" s="100">
        <v>355.98020170099699</v>
      </c>
      <c r="N11" s="193">
        <v>371.31082792927918</v>
      </c>
      <c r="O11" s="100">
        <v>376.32553235799469</v>
      </c>
      <c r="P11" s="193">
        <v>374.8804186781565</v>
      </c>
      <c r="Q11" s="100">
        <v>396.56336949927976</v>
      </c>
    </row>
    <row r="12" spans="1:17" ht="20" customHeight="1" thickBot="1">
      <c r="A12" s="534" t="s">
        <v>368</v>
      </c>
      <c r="B12" s="196">
        <v>177.92915606091447</v>
      </c>
      <c r="C12" s="195">
        <v>182.790763053099</v>
      </c>
      <c r="D12" s="196">
        <v>213.52836442886678</v>
      </c>
      <c r="E12" s="195">
        <v>227.25407330511803</v>
      </c>
      <c r="F12" s="196">
        <v>243.36842434049117</v>
      </c>
      <c r="G12" s="195">
        <v>249.754000725369</v>
      </c>
      <c r="H12" s="193">
        <v>264.52697997760174</v>
      </c>
      <c r="I12" s="100">
        <v>273.60031904227685</v>
      </c>
      <c r="J12" s="193">
        <v>301.3052953791971</v>
      </c>
      <c r="K12" s="100">
        <v>317.90270985290749</v>
      </c>
      <c r="L12" s="193">
        <v>334.55339690649794</v>
      </c>
      <c r="M12" s="100">
        <v>349.2970571527012</v>
      </c>
      <c r="N12" s="193">
        <v>367.87176441720248</v>
      </c>
      <c r="O12" s="100">
        <v>378.36458346712379</v>
      </c>
      <c r="P12" s="193">
        <v>383.50721454307291</v>
      </c>
      <c r="Q12" s="100">
        <v>390.64903055720464</v>
      </c>
    </row>
    <row r="13" spans="1:17" ht="20" customHeight="1" thickBot="1">
      <c r="A13" s="534" t="s">
        <v>369</v>
      </c>
      <c r="B13" s="196">
        <v>202.44912420656647</v>
      </c>
      <c r="C13" s="195">
        <v>207.59861680664721</v>
      </c>
      <c r="D13" s="196">
        <v>243.63195342533959</v>
      </c>
      <c r="E13" s="195">
        <v>263.86720716437958</v>
      </c>
      <c r="F13" s="196">
        <v>271.99305546167852</v>
      </c>
      <c r="G13" s="195">
        <v>288.56309152093741</v>
      </c>
      <c r="H13" s="193">
        <v>295.12606460770166</v>
      </c>
      <c r="I13" s="100">
        <v>309.65214527230773</v>
      </c>
      <c r="J13" s="193">
        <v>351.93899902510861</v>
      </c>
      <c r="K13" s="100">
        <v>378.28984618651111</v>
      </c>
      <c r="L13" s="193">
        <v>384.38664599749586</v>
      </c>
      <c r="M13" s="100">
        <v>380.51833358133649</v>
      </c>
      <c r="N13" s="193">
        <v>399.89770699623432</v>
      </c>
      <c r="O13" s="100">
        <v>409.22404812160858</v>
      </c>
      <c r="P13" s="193">
        <v>415.89317790064797</v>
      </c>
      <c r="Q13" s="100">
        <v>425.37201598719065</v>
      </c>
    </row>
    <row r="14" spans="1:17" ht="20" customHeight="1" thickBot="1">
      <c r="A14" s="534" t="s">
        <v>370</v>
      </c>
      <c r="B14" s="196">
        <v>186.77842057375869</v>
      </c>
      <c r="C14" s="195">
        <v>208.67020291070639</v>
      </c>
      <c r="D14" s="196">
        <v>246.11438702257215</v>
      </c>
      <c r="E14" s="195">
        <v>259.17815791736621</v>
      </c>
      <c r="F14" s="196">
        <v>271.15526670975078</v>
      </c>
      <c r="G14" s="195">
        <v>282.57219148644072</v>
      </c>
      <c r="H14" s="193">
        <v>293.31429498906846</v>
      </c>
      <c r="I14" s="100">
        <v>302.96829654711496</v>
      </c>
      <c r="J14" s="193">
        <v>331.49187870019614</v>
      </c>
      <c r="K14" s="100">
        <v>349.57643835558292</v>
      </c>
      <c r="L14" s="193">
        <v>355.47894546396446</v>
      </c>
      <c r="M14" s="100">
        <v>369.7225911365681</v>
      </c>
      <c r="N14" s="193">
        <v>384.07581337563897</v>
      </c>
      <c r="O14" s="100">
        <v>399.66443353648992</v>
      </c>
      <c r="P14" s="193">
        <v>398.36630919634536</v>
      </c>
      <c r="Q14" s="100">
        <v>415.73174256788059</v>
      </c>
    </row>
    <row r="15" spans="1:17" ht="20" customHeight="1" thickBot="1">
      <c r="A15" s="534" t="s">
        <v>371</v>
      </c>
      <c r="B15" s="196">
        <v>236.41111931924934</v>
      </c>
      <c r="C15" s="195">
        <v>250.32683485975099</v>
      </c>
      <c r="D15" s="196">
        <v>295.5563547540869</v>
      </c>
      <c r="E15" s="195">
        <v>308.53341422500898</v>
      </c>
      <c r="F15" s="196">
        <v>311.86589912896557</v>
      </c>
      <c r="G15" s="195">
        <v>328.42898245840456</v>
      </c>
      <c r="H15" s="193">
        <v>340.34822486756639</v>
      </c>
      <c r="I15" s="100">
        <v>346.50692394962357</v>
      </c>
      <c r="J15" s="193">
        <v>370.59988068369989</v>
      </c>
      <c r="K15" s="100">
        <v>388.16630227150836</v>
      </c>
      <c r="L15" s="193">
        <v>391.96475376295848</v>
      </c>
      <c r="M15" s="100">
        <v>406.10705466921991</v>
      </c>
      <c r="N15" s="193">
        <v>413.02910980457409</v>
      </c>
      <c r="O15" s="100">
        <v>423.07649463467123</v>
      </c>
      <c r="P15" s="193">
        <v>420.37141213536597</v>
      </c>
      <c r="Q15" s="100">
        <v>435.34744823768494</v>
      </c>
    </row>
    <row r="16" spans="1:17" ht="20" customHeight="1" thickBot="1">
      <c r="A16" s="534" t="s">
        <v>372</v>
      </c>
      <c r="B16" s="196">
        <v>222.03730834172188</v>
      </c>
      <c r="C16" s="195">
        <v>234.51924006812987</v>
      </c>
      <c r="D16" s="196">
        <v>273.19762237178929</v>
      </c>
      <c r="E16" s="195">
        <v>286.54799681487748</v>
      </c>
      <c r="F16" s="196">
        <v>302.13721717341218</v>
      </c>
      <c r="G16" s="195">
        <v>311.51283491587697</v>
      </c>
      <c r="H16" s="193">
        <v>324.00898462665532</v>
      </c>
      <c r="I16" s="100">
        <v>337.23386810636634</v>
      </c>
      <c r="J16" s="193">
        <v>365.90723821575921</v>
      </c>
      <c r="K16" s="100">
        <v>389.21286319664887</v>
      </c>
      <c r="L16" s="193">
        <v>396.50644375843922</v>
      </c>
      <c r="M16" s="100">
        <v>411.41761610787898</v>
      </c>
      <c r="N16" s="193">
        <v>431.20492121828511</v>
      </c>
      <c r="O16" s="100">
        <v>433.56137010910197</v>
      </c>
      <c r="P16" s="193">
        <v>432.83516394968956</v>
      </c>
      <c r="Q16" s="100">
        <v>447.93788232235937</v>
      </c>
    </row>
    <row r="17" spans="1:17" ht="20" customHeight="1" thickBot="1">
      <c r="A17" s="534" t="s">
        <v>373</v>
      </c>
      <c r="B17" s="196">
        <v>272.8488325513008</v>
      </c>
      <c r="C17" s="195">
        <v>294.22515233484864</v>
      </c>
      <c r="D17" s="196">
        <v>351.21798398738792</v>
      </c>
      <c r="E17" s="195">
        <v>364.42760172274484</v>
      </c>
      <c r="F17" s="196">
        <v>370.39134274356957</v>
      </c>
      <c r="G17" s="195">
        <v>392.37582957068526</v>
      </c>
      <c r="H17" s="193">
        <v>396.18449151435743</v>
      </c>
      <c r="I17" s="100">
        <v>418.3832474602541</v>
      </c>
      <c r="J17" s="193">
        <v>446.98786250878084</v>
      </c>
      <c r="K17" s="100">
        <v>469.00007995425813</v>
      </c>
      <c r="L17" s="193">
        <v>468.00178609834074</v>
      </c>
      <c r="M17" s="100">
        <v>474.37828727358328</v>
      </c>
      <c r="N17" s="193">
        <v>488.22264214640381</v>
      </c>
      <c r="O17" s="100">
        <v>486.58326690914828</v>
      </c>
      <c r="P17" s="193">
        <v>486.53748843341646</v>
      </c>
      <c r="Q17" s="100">
        <v>542.38626219356308</v>
      </c>
    </row>
    <row r="18" spans="1:17" ht="20" customHeight="1" thickBot="1">
      <c r="A18" s="534" t="s">
        <v>374</v>
      </c>
      <c r="B18" s="196">
        <v>244.00898768079105</v>
      </c>
      <c r="C18" s="195">
        <v>263.59866478576328</v>
      </c>
      <c r="D18" s="196">
        <v>305.67107758536281</v>
      </c>
      <c r="E18" s="195">
        <v>322.66615301145885</v>
      </c>
      <c r="F18" s="196">
        <v>334.74259361880286</v>
      </c>
      <c r="G18" s="195">
        <v>351.03465657829429</v>
      </c>
      <c r="H18" s="193">
        <v>365.52851672511406</v>
      </c>
      <c r="I18" s="100">
        <v>383.48774622409474</v>
      </c>
      <c r="J18" s="193">
        <v>415.44185689878486</v>
      </c>
      <c r="K18" s="100">
        <v>443.01200779340797</v>
      </c>
      <c r="L18" s="193">
        <v>451.53305346928482</v>
      </c>
      <c r="M18" s="100">
        <v>473.29031085911447</v>
      </c>
      <c r="N18" s="193">
        <v>491.00712171621171</v>
      </c>
      <c r="O18" s="100">
        <v>496.92906664060547</v>
      </c>
      <c r="P18" s="193">
        <v>491.99580639889427</v>
      </c>
      <c r="Q18" s="100">
        <v>517.11381391790371</v>
      </c>
    </row>
    <row r="19" spans="1:17" ht="20" customHeight="1" thickBot="1">
      <c r="A19" s="534" t="s">
        <v>375</v>
      </c>
      <c r="B19" s="196">
        <v>222.64829733491706</v>
      </c>
      <c r="C19" s="195">
        <v>234.17222487940489</v>
      </c>
      <c r="D19" s="196">
        <v>267.83543445046939</v>
      </c>
      <c r="E19" s="195">
        <v>291.65075431647347</v>
      </c>
      <c r="F19" s="196">
        <v>304.42752625478488</v>
      </c>
      <c r="G19" s="195">
        <v>320.58970750917047</v>
      </c>
      <c r="H19" s="193">
        <v>324.78125799661234</v>
      </c>
      <c r="I19" s="100">
        <v>332.4739578155959</v>
      </c>
      <c r="J19" s="193">
        <v>374.20785181571046</v>
      </c>
      <c r="K19" s="100">
        <v>394.49213534015098</v>
      </c>
      <c r="L19" s="193">
        <v>407.21727133935156</v>
      </c>
      <c r="M19" s="100">
        <v>421.00835772791334</v>
      </c>
      <c r="N19" s="193">
        <v>430.15016565176074</v>
      </c>
      <c r="O19" s="100">
        <v>436.48673225009907</v>
      </c>
      <c r="P19" s="193">
        <v>437.94792943029097</v>
      </c>
      <c r="Q19" s="100">
        <v>448.91412354158552</v>
      </c>
    </row>
    <row r="20" spans="1:17" ht="20" customHeight="1" thickBot="1">
      <c r="A20" s="534" t="s">
        <v>376</v>
      </c>
      <c r="B20" s="196">
        <v>182.14749716421738</v>
      </c>
      <c r="C20" s="195">
        <v>188.79514196149626</v>
      </c>
      <c r="D20" s="196">
        <v>216.44350034098602</v>
      </c>
      <c r="E20" s="195">
        <v>229.62698042307284</v>
      </c>
      <c r="F20" s="196">
        <v>241.98349547653311</v>
      </c>
      <c r="G20" s="195">
        <v>254.95271426425484</v>
      </c>
      <c r="H20" s="193">
        <v>264.76605423019578</v>
      </c>
      <c r="I20" s="100">
        <v>283.29617470802941</v>
      </c>
      <c r="J20" s="193">
        <v>319.51328079608584</v>
      </c>
      <c r="K20" s="100">
        <v>338.04503402853993</v>
      </c>
      <c r="L20" s="193">
        <v>342.03791626091311</v>
      </c>
      <c r="M20" s="100">
        <v>353.15659648063411</v>
      </c>
      <c r="N20" s="193">
        <v>367.09197170155244</v>
      </c>
      <c r="O20" s="100">
        <v>377.34542488670513</v>
      </c>
      <c r="P20" s="193">
        <v>380.90846329446413</v>
      </c>
      <c r="Q20" s="100">
        <v>398.28619462998171</v>
      </c>
    </row>
    <row r="21" spans="1:17" ht="20" customHeight="1" thickBot="1">
      <c r="A21" s="534" t="s">
        <v>377</v>
      </c>
      <c r="B21" s="196">
        <v>157.39716198436213</v>
      </c>
      <c r="C21" s="195">
        <v>153.21501816150158</v>
      </c>
      <c r="D21" s="196">
        <v>176.19673363609945</v>
      </c>
      <c r="E21" s="195">
        <v>193.02690675696454</v>
      </c>
      <c r="F21" s="196">
        <v>209.41757247183909</v>
      </c>
      <c r="G21" s="195">
        <v>224.87005774466866</v>
      </c>
      <c r="H21" s="193">
        <v>239.03084633068306</v>
      </c>
      <c r="I21" s="100">
        <v>245.9792033171293</v>
      </c>
      <c r="J21" s="193">
        <v>274.7106335211231</v>
      </c>
      <c r="K21" s="100">
        <v>293.11371686665984</v>
      </c>
      <c r="L21" s="193">
        <v>295.92433225573495</v>
      </c>
      <c r="M21" s="100">
        <v>308.42929598410979</v>
      </c>
      <c r="N21" s="193">
        <v>340.31431596128891</v>
      </c>
      <c r="O21" s="100">
        <v>342.42358695596681</v>
      </c>
      <c r="P21" s="193">
        <v>348.09662618392349</v>
      </c>
      <c r="Q21" s="100">
        <v>373.3623111373841</v>
      </c>
    </row>
    <row r="22" spans="1:17" ht="20" customHeight="1" thickBot="1">
      <c r="A22" s="534" t="s">
        <v>378</v>
      </c>
      <c r="B22" s="196">
        <v>189.85490562184896</v>
      </c>
      <c r="C22" s="195">
        <v>201.74454467196119</v>
      </c>
      <c r="D22" s="196">
        <v>235.52252887290842</v>
      </c>
      <c r="E22" s="195">
        <v>252.2707487750472</v>
      </c>
      <c r="F22" s="196">
        <v>261.3854633196936</v>
      </c>
      <c r="G22" s="195">
        <v>274.86573038734196</v>
      </c>
      <c r="H22" s="193">
        <v>287.88528097620951</v>
      </c>
      <c r="I22" s="100">
        <v>304.60188537958857</v>
      </c>
      <c r="J22" s="193">
        <v>343.30152619425371</v>
      </c>
      <c r="K22" s="100">
        <v>362.09876670688323</v>
      </c>
      <c r="L22" s="193">
        <v>371.26240171984045</v>
      </c>
      <c r="M22" s="100">
        <v>371.28536395652509</v>
      </c>
      <c r="N22" s="193">
        <v>387.93251706008141</v>
      </c>
      <c r="O22" s="100">
        <v>400.85100322578364</v>
      </c>
      <c r="P22" s="193">
        <v>405.43029900858028</v>
      </c>
      <c r="Q22" s="100">
        <v>425.45078411133426</v>
      </c>
    </row>
    <row r="23" spans="1:17" ht="20" customHeight="1" thickBot="1">
      <c r="A23" s="534" t="s">
        <v>379</v>
      </c>
      <c r="B23" s="196">
        <v>182.81328847222653</v>
      </c>
      <c r="C23" s="195">
        <v>173.66858262166511</v>
      </c>
      <c r="D23" s="196">
        <v>216.2915030518875</v>
      </c>
      <c r="E23" s="195">
        <v>238.90713217656003</v>
      </c>
      <c r="F23" s="196">
        <v>255.53328134115009</v>
      </c>
      <c r="G23" s="195">
        <v>268.91773678022491</v>
      </c>
      <c r="H23" s="193">
        <v>284.02544197576526</v>
      </c>
      <c r="I23" s="100">
        <v>294.28046670179197</v>
      </c>
      <c r="J23" s="193">
        <v>344.92066653901338</v>
      </c>
      <c r="K23" s="100">
        <v>359.41517796564017</v>
      </c>
      <c r="L23" s="193">
        <v>364.74597406984253</v>
      </c>
      <c r="M23" s="100">
        <v>367.69609212743808</v>
      </c>
      <c r="N23" s="193">
        <v>380.33362416821592</v>
      </c>
      <c r="O23" s="100">
        <v>392.31713740851865</v>
      </c>
      <c r="P23" s="193">
        <v>393.07080980562023</v>
      </c>
      <c r="Q23" s="100">
        <v>411.83702921706305</v>
      </c>
    </row>
    <row r="24" spans="1:17" ht="20" customHeight="1" thickBot="1">
      <c r="A24" s="534" t="s">
        <v>380</v>
      </c>
      <c r="B24" s="196">
        <v>200.87186324123422</v>
      </c>
      <c r="C24" s="195">
        <v>206.93301112714244</v>
      </c>
      <c r="D24" s="196">
        <v>246.20994355120661</v>
      </c>
      <c r="E24" s="195">
        <v>260.43510706738448</v>
      </c>
      <c r="F24" s="196">
        <v>274.33485885573441</v>
      </c>
      <c r="G24" s="195">
        <v>286.10750661734505</v>
      </c>
      <c r="H24" s="193">
        <v>299.92768220867697</v>
      </c>
      <c r="I24" s="100">
        <v>309.93435854180279</v>
      </c>
      <c r="J24" s="193">
        <v>345.18784655107629</v>
      </c>
      <c r="K24" s="100">
        <v>367.24479202465523</v>
      </c>
      <c r="L24" s="193">
        <v>374.55378500482584</v>
      </c>
      <c r="M24" s="100">
        <v>386.30527919272117</v>
      </c>
      <c r="N24" s="193">
        <v>402.61815271893693</v>
      </c>
      <c r="O24" s="100">
        <v>411.36913635652763</v>
      </c>
      <c r="P24" s="193">
        <v>414.80628449684991</v>
      </c>
      <c r="Q24" s="100">
        <v>431.09941705649862</v>
      </c>
    </row>
    <row r="25" spans="1:17" ht="20" customHeight="1" thickBot="1">
      <c r="A25" s="534" t="s">
        <v>381</v>
      </c>
      <c r="B25" s="196">
        <v>177.92178571585623</v>
      </c>
      <c r="C25" s="195">
        <v>202.07640346015182</v>
      </c>
      <c r="D25" s="196">
        <v>234.78927831962437</v>
      </c>
      <c r="E25" s="195">
        <v>249.15240587320409</v>
      </c>
      <c r="F25" s="196">
        <v>261.86199082286089</v>
      </c>
      <c r="G25" s="195">
        <v>275.48017608434634</v>
      </c>
      <c r="H25" s="193">
        <v>288.09521673651739</v>
      </c>
      <c r="I25" s="100">
        <v>307.91738634208173</v>
      </c>
      <c r="J25" s="193">
        <v>335.804604806719</v>
      </c>
      <c r="K25" s="100">
        <v>352.70547782392464</v>
      </c>
      <c r="L25" s="193">
        <v>362.16557234624338</v>
      </c>
      <c r="M25" s="100">
        <v>377.10589457551396</v>
      </c>
      <c r="N25" s="193">
        <v>391.7979561776915</v>
      </c>
      <c r="O25" s="100">
        <v>400.59955829122237</v>
      </c>
      <c r="P25" s="193">
        <v>401.88218001412952</v>
      </c>
      <c r="Q25" s="100">
        <v>419.35699428379877</v>
      </c>
    </row>
    <row r="26" spans="1:17" ht="20" customHeight="1" thickBot="1">
      <c r="A26" s="534" t="s">
        <v>382</v>
      </c>
      <c r="B26" s="196">
        <v>274.685846405451</v>
      </c>
      <c r="C26" s="195">
        <v>288.86326680580942</v>
      </c>
      <c r="D26" s="196">
        <v>350.59222592715628</v>
      </c>
      <c r="E26" s="195">
        <v>371.1793743774972</v>
      </c>
      <c r="F26" s="196">
        <v>384.82426358125031</v>
      </c>
      <c r="G26" s="195">
        <v>401.86707367914369</v>
      </c>
      <c r="H26" s="193">
        <v>418.66660167433292</v>
      </c>
      <c r="I26" s="100">
        <v>423.27563970057872</v>
      </c>
      <c r="J26" s="193">
        <v>445.75338787702094</v>
      </c>
      <c r="K26" s="100">
        <v>477.87272906901626</v>
      </c>
      <c r="L26" s="193">
        <v>469.75283360733874</v>
      </c>
      <c r="M26" s="100">
        <v>474.52145046912983</v>
      </c>
      <c r="N26" s="193">
        <v>474.56797687566586</v>
      </c>
      <c r="O26" s="100">
        <v>485.04982740636706</v>
      </c>
      <c r="P26" s="193">
        <v>486.43955680505178</v>
      </c>
      <c r="Q26" s="100">
        <v>500.99841195883732</v>
      </c>
    </row>
    <row r="27" spans="1:17" ht="20" customHeight="1" thickBot="1">
      <c r="A27" s="534" t="s">
        <v>383</v>
      </c>
      <c r="B27" s="196">
        <v>297.92578868154919</v>
      </c>
      <c r="C27" s="195">
        <v>315.21305480329238</v>
      </c>
      <c r="D27" s="196">
        <v>360.49080935832012</v>
      </c>
      <c r="E27" s="195">
        <v>370.87566666329349</v>
      </c>
      <c r="F27" s="196">
        <v>392.85442097156647</v>
      </c>
      <c r="G27" s="195">
        <v>413.64298778568673</v>
      </c>
      <c r="H27" s="193">
        <v>421.60291558296649</v>
      </c>
      <c r="I27" s="100">
        <v>421.58948730521797</v>
      </c>
      <c r="J27" s="193">
        <v>440.37474568421067</v>
      </c>
      <c r="K27" s="100">
        <v>452.94939064697701</v>
      </c>
      <c r="L27" s="193">
        <v>457.97141570633721</v>
      </c>
      <c r="M27" s="100">
        <v>468.97399530498024</v>
      </c>
      <c r="N27" s="193">
        <v>478.35789930379451</v>
      </c>
      <c r="O27" s="100">
        <v>474.52889136233489</v>
      </c>
      <c r="P27" s="193">
        <v>471.26917591697656</v>
      </c>
      <c r="Q27" s="100">
        <v>478.98409575565353</v>
      </c>
    </row>
    <row r="28" spans="1:17" ht="20" customHeight="1" thickBot="1">
      <c r="A28" s="534" t="s">
        <v>384</v>
      </c>
      <c r="B28" s="196">
        <v>222.65932497994868</v>
      </c>
      <c r="C28" s="195">
        <v>237.11203720033882</v>
      </c>
      <c r="D28" s="196">
        <v>273.06383742196681</v>
      </c>
      <c r="E28" s="195">
        <v>276.59700419576598</v>
      </c>
      <c r="F28" s="196">
        <v>296.22330278323102</v>
      </c>
      <c r="G28" s="195">
        <v>307.08772204781963</v>
      </c>
      <c r="H28" s="193">
        <v>317.23299596450192</v>
      </c>
      <c r="I28" s="100">
        <v>322.78017100526881</v>
      </c>
      <c r="J28" s="193">
        <v>347.965868451804</v>
      </c>
      <c r="K28" s="100">
        <v>365.71522982610782</v>
      </c>
      <c r="L28" s="193">
        <v>373.61976618289145</v>
      </c>
      <c r="M28" s="100">
        <v>383.34347766057817</v>
      </c>
      <c r="N28" s="193">
        <v>392.30936706911098</v>
      </c>
      <c r="O28" s="100">
        <v>397.79263488074866</v>
      </c>
      <c r="P28" s="193">
        <v>402.82987469265618</v>
      </c>
      <c r="Q28" s="100">
        <v>418.13891527653328</v>
      </c>
    </row>
    <row r="29" spans="1:17" ht="20" customHeight="1" thickBot="1">
      <c r="A29" s="534" t="s">
        <v>385</v>
      </c>
      <c r="B29" s="196">
        <v>258.01694682038283</v>
      </c>
      <c r="C29" s="195">
        <v>278.24133695950013</v>
      </c>
      <c r="D29" s="196">
        <v>331.12048728808713</v>
      </c>
      <c r="E29" s="195">
        <v>326.87490511353712</v>
      </c>
      <c r="F29" s="196">
        <v>355.25336161642372</v>
      </c>
      <c r="G29" s="195">
        <v>365.77496638861567</v>
      </c>
      <c r="H29" s="193">
        <v>381.28454593334482</v>
      </c>
      <c r="I29" s="100">
        <v>387.44095610783324</v>
      </c>
      <c r="J29" s="193">
        <v>408.183570011337</v>
      </c>
      <c r="K29" s="100">
        <v>415.17506897250178</v>
      </c>
      <c r="L29" s="193">
        <v>404.55241842062469</v>
      </c>
      <c r="M29" s="100">
        <v>405.89087932730945</v>
      </c>
      <c r="N29" s="193">
        <v>426.3751871590166</v>
      </c>
      <c r="O29" s="100">
        <v>423.66678533300365</v>
      </c>
      <c r="P29" s="193">
        <v>418.25054453111716</v>
      </c>
      <c r="Q29" s="100">
        <v>423.47520140824128</v>
      </c>
    </row>
    <row r="30" spans="1:17" ht="20" customHeight="1" thickBot="1">
      <c r="A30" s="534" t="s">
        <v>386</v>
      </c>
      <c r="B30" s="196">
        <v>297.18116917660109</v>
      </c>
      <c r="C30" s="195">
        <v>329.12460372797113</v>
      </c>
      <c r="D30" s="196">
        <v>393.38859336059659</v>
      </c>
      <c r="E30" s="195">
        <v>405.57356456628122</v>
      </c>
      <c r="F30" s="196">
        <v>409.31447251490636</v>
      </c>
      <c r="G30" s="195">
        <v>436.78852685410175</v>
      </c>
      <c r="H30" s="193">
        <v>464.72184639424086</v>
      </c>
      <c r="I30" s="100">
        <v>452.32329732259041</v>
      </c>
      <c r="J30" s="193">
        <v>479.4898603693855</v>
      </c>
      <c r="K30" s="100">
        <v>503.20564072566685</v>
      </c>
      <c r="L30" s="193">
        <v>488.6066162416746</v>
      </c>
      <c r="M30" s="100">
        <v>497.44387507258716</v>
      </c>
      <c r="N30" s="193">
        <v>510.401474562781</v>
      </c>
      <c r="O30" s="100">
        <v>508.4046224559338</v>
      </c>
      <c r="P30" s="193">
        <v>507.53758391856809</v>
      </c>
      <c r="Q30" s="100">
        <v>523.2073549387834</v>
      </c>
    </row>
    <row r="31" spans="1:17" ht="20" customHeight="1" thickBot="1">
      <c r="A31" s="534" t="s">
        <v>387</v>
      </c>
      <c r="B31" s="196">
        <v>239.03400533198146</v>
      </c>
      <c r="C31" s="195">
        <v>258.36344588864176</v>
      </c>
      <c r="D31" s="196">
        <v>299.93685925166142</v>
      </c>
      <c r="E31" s="195">
        <v>323.48129708966235</v>
      </c>
      <c r="F31" s="196">
        <v>327.82938166562008</v>
      </c>
      <c r="G31" s="195">
        <v>340.57416926268752</v>
      </c>
      <c r="H31" s="193">
        <v>360.22427370980677</v>
      </c>
      <c r="I31" s="100">
        <v>361.84466792373314</v>
      </c>
      <c r="J31" s="193">
        <v>384.82629965994056</v>
      </c>
      <c r="K31" s="100">
        <v>419.74898313957601</v>
      </c>
      <c r="L31" s="193">
        <v>410.8356598087089</v>
      </c>
      <c r="M31" s="100">
        <v>424.04746018637525</v>
      </c>
      <c r="N31" s="193">
        <v>432.06132431516517</v>
      </c>
      <c r="O31" s="100">
        <v>434.79945679784441</v>
      </c>
      <c r="P31" s="193">
        <v>429.5224291542504</v>
      </c>
      <c r="Q31" s="100">
        <v>446.5118249044906</v>
      </c>
    </row>
    <row r="32" spans="1:17" ht="30" customHeight="1" thickBot="1">
      <c r="A32" s="535" t="s">
        <v>444</v>
      </c>
      <c r="B32" s="200">
        <v>232.07645782669101</v>
      </c>
      <c r="C32" s="199">
        <v>245.69743221523299</v>
      </c>
      <c r="D32" s="200">
        <v>289.40857360180235</v>
      </c>
      <c r="E32" s="199">
        <v>301.20274500235337</v>
      </c>
      <c r="F32" s="200">
        <v>314.93213457244246</v>
      </c>
      <c r="G32" s="199">
        <v>328.74586532074136</v>
      </c>
      <c r="H32" s="536">
        <v>340.77001638747834</v>
      </c>
      <c r="I32" s="224">
        <v>351.10178317952932</v>
      </c>
      <c r="J32" s="225">
        <v>383.59639857337424</v>
      </c>
      <c r="K32" s="224">
        <v>402.775818236345</v>
      </c>
      <c r="L32" s="225">
        <v>406.3302873531361</v>
      </c>
      <c r="M32" s="224">
        <v>418.57781696455777</v>
      </c>
      <c r="N32" s="225">
        <v>432.06970918600427</v>
      </c>
      <c r="O32" s="224">
        <v>438.77662885550035</v>
      </c>
      <c r="P32" s="225">
        <v>438.157107571305</v>
      </c>
      <c r="Q32" s="224">
        <v>454.68760451818554</v>
      </c>
    </row>
    <row r="33" spans="1:8" ht="20" customHeight="1">
      <c r="A33" s="112" t="s">
        <v>720</v>
      </c>
      <c r="B33" s="201"/>
      <c r="C33" s="201"/>
      <c r="D33" s="201"/>
      <c r="E33" s="201"/>
      <c r="F33" s="537"/>
      <c r="G33" s="201"/>
      <c r="H33" s="202"/>
    </row>
    <row r="34" spans="1:8" ht="15.75" customHeight="1">
      <c r="A34" s="115"/>
      <c r="B34" s="203"/>
      <c r="C34" s="203"/>
      <c r="D34" s="203"/>
      <c r="E34" s="203"/>
      <c r="F34" s="203"/>
      <c r="G34" s="203"/>
      <c r="H34" s="204"/>
    </row>
    <row r="35" spans="1:8" ht="14.25" customHeight="1">
      <c r="A35" s="172" t="s">
        <v>1645</v>
      </c>
      <c r="B35" s="203"/>
      <c r="C35" s="203"/>
      <c r="D35" s="203"/>
      <c r="E35" s="203"/>
      <c r="F35" s="203"/>
      <c r="G35" s="203"/>
      <c r="H35" s="204"/>
    </row>
    <row r="36" spans="1:8" ht="13.5" customHeight="1">
      <c r="A36" s="115"/>
      <c r="B36" s="203"/>
      <c r="C36" s="203"/>
      <c r="D36" s="203"/>
      <c r="E36" s="203"/>
      <c r="F36" s="203"/>
      <c r="G36" s="203"/>
      <c r="H36" s="204"/>
    </row>
    <row r="37" spans="1:8" ht="12.75" customHeight="1">
      <c r="A37" s="115" t="s">
        <v>710</v>
      </c>
      <c r="B37" s="203"/>
      <c r="C37" s="203"/>
      <c r="D37" s="203"/>
      <c r="E37" s="203"/>
      <c r="F37" s="203"/>
      <c r="G37" s="203"/>
      <c r="H37" s="204"/>
    </row>
    <row r="38" spans="1:8" ht="12.75" customHeight="1">
      <c r="A38" s="3" t="s">
        <v>714</v>
      </c>
      <c r="B38" s="203"/>
      <c r="C38" s="203"/>
      <c r="D38" s="203"/>
      <c r="E38" s="203"/>
      <c r="F38" s="203"/>
      <c r="G38" s="203"/>
      <c r="H38" s="204"/>
    </row>
    <row r="40" spans="1:8">
      <c r="A40" s="115"/>
    </row>
    <row r="41" spans="1:8">
      <c r="A41" s="115" t="s">
        <v>719</v>
      </c>
    </row>
  </sheetData>
  <pageMargins left="0.43307086614173229" right="0.47244094488188981" top="0.56000000000000005" bottom="0.47244094488188981" header="0.42" footer="0.51181102362204722"/>
  <pageSetup paperSize="9" scale="67" orientation="landscape"/>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B2CD-D018-F54E-A0BC-50267947764F}">
  <sheetPr>
    <pageSetUpPr fitToPage="1"/>
  </sheetPr>
  <dimension ref="A1:G13"/>
  <sheetViews>
    <sheetView zoomScale="115" zoomScaleNormal="115" workbookViewId="0">
      <selection activeCell="F20" sqref="F20"/>
    </sheetView>
  </sheetViews>
  <sheetFormatPr baseColWidth="10" defaultColWidth="11.59765625" defaultRowHeight="13"/>
  <cols>
    <col min="1" max="1" width="5.59765625" style="541" customWidth="1"/>
    <col min="2" max="16384" width="11.59765625" style="541"/>
  </cols>
  <sheetData>
    <row r="1" spans="1:7" ht="16">
      <c r="A1" s="540" t="s">
        <v>747</v>
      </c>
    </row>
    <row r="2" spans="1:7" ht="16">
      <c r="A2" s="540"/>
    </row>
    <row r="3" spans="1:7">
      <c r="A3" s="550" t="s">
        <v>220</v>
      </c>
      <c r="B3" s="551" t="s">
        <v>748</v>
      </c>
      <c r="G3" s="894" t="s">
        <v>1479</v>
      </c>
    </row>
    <row r="4" spans="1:7">
      <c r="A4" s="543">
        <v>3.02</v>
      </c>
      <c r="B4" s="551" t="s">
        <v>749</v>
      </c>
      <c r="G4" s="894" t="s">
        <v>1480</v>
      </c>
    </row>
    <row r="5" spans="1:7">
      <c r="A5" s="543">
        <v>3.03</v>
      </c>
      <c r="B5" s="551" t="s">
        <v>750</v>
      </c>
      <c r="G5" s="894" t="s">
        <v>1481</v>
      </c>
    </row>
    <row r="6" spans="1:7">
      <c r="A6" s="543">
        <v>3.04</v>
      </c>
      <c r="B6" s="551" t="s">
        <v>751</v>
      </c>
      <c r="G6" s="894" t="s">
        <v>1482</v>
      </c>
    </row>
    <row r="7" spans="1:7">
      <c r="A7" s="543">
        <v>3.05</v>
      </c>
      <c r="B7" s="551" t="s">
        <v>752</v>
      </c>
      <c r="G7" s="894" t="s">
        <v>1483</v>
      </c>
    </row>
    <row r="8" spans="1:7">
      <c r="A8" s="543">
        <v>3.06</v>
      </c>
      <c r="B8" s="551" t="s">
        <v>753</v>
      </c>
      <c r="G8" s="894" t="s">
        <v>1484</v>
      </c>
    </row>
    <row r="9" spans="1:7">
      <c r="A9" s="543">
        <v>3.07</v>
      </c>
      <c r="B9" s="551" t="s">
        <v>754</v>
      </c>
      <c r="G9" s="894" t="s">
        <v>1485</v>
      </c>
    </row>
    <row r="10" spans="1:7">
      <c r="A10" s="543">
        <v>3.08</v>
      </c>
      <c r="B10" s="551" t="s">
        <v>755</v>
      </c>
      <c r="G10" s="894" t="s">
        <v>1486</v>
      </c>
    </row>
    <row r="11" spans="1:7">
      <c r="A11" s="543"/>
      <c r="B11" s="543"/>
    </row>
    <row r="12" spans="1:7">
      <c r="A12" s="543"/>
      <c r="B12" s="543"/>
    </row>
    <row r="13" spans="1:7">
      <c r="A13" s="548" t="s">
        <v>719</v>
      </c>
    </row>
  </sheetData>
  <pageMargins left="0.57999999999999996" right="0.6" top="0.65" bottom="0.984251969" header="0.34" footer="0.4921259845"/>
  <pageSetup paperSize="9"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42E1-CCC4-904E-8C2C-6F11944B27D7}">
  <sheetPr>
    <pageSetUpPr fitToPage="1"/>
  </sheetPr>
  <dimension ref="A1:I17"/>
  <sheetViews>
    <sheetView zoomScaleNormal="100" workbookViewId="0">
      <selection activeCell="G15" sqref="G15"/>
    </sheetView>
  </sheetViews>
  <sheetFormatPr baseColWidth="10" defaultColWidth="11.3984375" defaultRowHeight="13"/>
  <cols>
    <col min="1" max="1" width="20.59765625" style="3" customWidth="1"/>
    <col min="2" max="2" width="17.3984375" style="3" customWidth="1"/>
    <col min="3" max="3" width="17.19921875" style="3" customWidth="1"/>
    <col min="4" max="4" width="16.59765625" style="3" customWidth="1"/>
    <col min="5" max="5" width="18.3984375" style="3" customWidth="1"/>
    <col min="6" max="7" width="15.19921875" style="3" customWidth="1"/>
    <col min="8" max="8" width="11.3984375" style="3"/>
    <col min="9" max="9" width="15.796875" style="3" hidden="1" customWidth="1"/>
    <col min="10" max="16384" width="11.3984375" style="3"/>
  </cols>
  <sheetData>
    <row r="1" spans="1:9" ht="14" customHeight="1">
      <c r="A1" s="126"/>
      <c r="B1" s="115"/>
      <c r="C1" s="115"/>
      <c r="D1" s="115"/>
      <c r="E1" s="115"/>
      <c r="F1" s="115"/>
      <c r="G1" s="115"/>
      <c r="I1" s="115"/>
    </row>
    <row r="2" spans="1:9" ht="23" customHeight="1">
      <c r="A2" s="246" t="s">
        <v>1604</v>
      </c>
      <c r="B2" s="115"/>
      <c r="C2" s="115"/>
      <c r="D2" s="115"/>
      <c r="E2" s="115"/>
      <c r="F2" s="115"/>
      <c r="G2" s="207">
        <v>2011</v>
      </c>
      <c r="I2" s="115"/>
    </row>
    <row r="3" spans="1:9" ht="24" customHeight="1">
      <c r="A3" s="92" t="s">
        <v>414</v>
      </c>
      <c r="B3" s="182" t="s">
        <v>346</v>
      </c>
      <c r="C3" s="183" t="s">
        <v>347</v>
      </c>
      <c r="D3" s="182" t="s">
        <v>349</v>
      </c>
      <c r="E3" s="183" t="s">
        <v>278</v>
      </c>
      <c r="F3" s="182"/>
      <c r="G3" s="94" t="s">
        <v>279</v>
      </c>
      <c r="I3" s="183" t="s">
        <v>278</v>
      </c>
    </row>
    <row r="4" spans="1:9" ht="15" customHeight="1">
      <c r="A4" s="184"/>
      <c r="B4" s="185"/>
      <c r="C4" s="186"/>
      <c r="D4" s="185"/>
      <c r="E4" s="187" t="s">
        <v>280</v>
      </c>
      <c r="F4" s="185" t="s">
        <v>281</v>
      </c>
      <c r="G4" s="95" t="s">
        <v>282</v>
      </c>
      <c r="I4" s="187">
        <v>1999</v>
      </c>
    </row>
    <row r="5" spans="1:9" ht="15" customHeight="1">
      <c r="A5" s="95"/>
      <c r="B5" s="185"/>
      <c r="C5" s="186"/>
      <c r="D5" s="185"/>
      <c r="E5" s="186"/>
      <c r="F5" s="185"/>
      <c r="G5" s="95" t="s">
        <v>283</v>
      </c>
      <c r="I5" s="186"/>
    </row>
    <row r="6" spans="1:9" ht="24" customHeight="1">
      <c r="A6" s="231"/>
      <c r="B6" s="135"/>
      <c r="C6" s="136"/>
      <c r="D6" s="135"/>
      <c r="E6" s="136"/>
      <c r="F6" s="189"/>
      <c r="G6" s="97"/>
      <c r="I6" s="136"/>
    </row>
    <row r="7" spans="1:9" ht="40.5" customHeight="1" thickBot="1">
      <c r="A7" s="960" t="s">
        <v>418</v>
      </c>
      <c r="B7" s="961">
        <v>2922852653.1500001</v>
      </c>
      <c r="C7" s="962">
        <v>3852374842.0799999</v>
      </c>
      <c r="D7" s="961">
        <v>625904386.80999994</v>
      </c>
      <c r="E7" s="962">
        <v>7401131882.039999</v>
      </c>
      <c r="F7" s="963">
        <v>0.31319337343310494</v>
      </c>
      <c r="G7" s="864">
        <v>-2.4836617770028688E-2</v>
      </c>
      <c r="I7" s="964">
        <v>6794064715</v>
      </c>
    </row>
    <row r="8" spans="1:9" ht="36.75" customHeight="1" thickBot="1">
      <c r="A8" s="960" t="s">
        <v>419</v>
      </c>
      <c r="B8" s="961">
        <v>2686062491.4699998</v>
      </c>
      <c r="C8" s="962">
        <v>2590562742.4299998</v>
      </c>
      <c r="D8" s="961">
        <v>50406928.850000001</v>
      </c>
      <c r="E8" s="962">
        <v>5327032162.75</v>
      </c>
      <c r="F8" s="963">
        <v>0.22542378652742737</v>
      </c>
      <c r="G8" s="864">
        <v>-6.112329987923984E-2</v>
      </c>
      <c r="I8" s="964">
        <v>5396193285</v>
      </c>
    </row>
    <row r="9" spans="1:9" ht="36.75" customHeight="1" thickBot="1">
      <c r="A9" s="960" t="s">
        <v>330</v>
      </c>
      <c r="B9" s="961">
        <v>10195268.470000001</v>
      </c>
      <c r="C9" s="962">
        <v>5667389.9800000004</v>
      </c>
      <c r="D9" s="961">
        <v>29097.08</v>
      </c>
      <c r="E9" s="962">
        <v>15891755.530000001</v>
      </c>
      <c r="F9" s="963">
        <v>6.724907221681639E-4</v>
      </c>
      <c r="G9" s="864">
        <v>-9.5801016281551361E-3</v>
      </c>
      <c r="I9" s="964">
        <v>15330070</v>
      </c>
    </row>
    <row r="10" spans="1:9" ht="36.75" customHeight="1" thickBot="1">
      <c r="A10" s="960" t="s">
        <v>1605</v>
      </c>
      <c r="B10" s="961">
        <v>4856656067.1199999</v>
      </c>
      <c r="C10" s="962">
        <v>5326614953.1199999</v>
      </c>
      <c r="D10" s="961">
        <v>703862437.73000002</v>
      </c>
      <c r="E10" s="962">
        <v>10887133457.969999</v>
      </c>
      <c r="F10" s="963">
        <v>0.46071034931729937</v>
      </c>
      <c r="G10" s="864">
        <v>0.24113375234332379</v>
      </c>
      <c r="I10" s="964">
        <v>828254703</v>
      </c>
    </row>
    <row r="11" spans="1:9" s="382" customFormat="1" ht="38.25" customHeight="1" thickBot="1">
      <c r="A11" s="241" t="s">
        <v>278</v>
      </c>
      <c r="B11" s="242">
        <v>10475766480.200001</v>
      </c>
      <c r="C11" s="243">
        <v>11775219927.58</v>
      </c>
      <c r="D11" s="242">
        <v>1380202850.49</v>
      </c>
      <c r="E11" s="243">
        <v>23631189258.290001</v>
      </c>
      <c r="F11" s="251">
        <v>1</v>
      </c>
      <c r="G11" s="965">
        <v>7.1639283310112392E-2</v>
      </c>
      <c r="I11" s="966">
        <v>13033842773</v>
      </c>
    </row>
    <row r="12" spans="1:9" ht="19.5" customHeight="1">
      <c r="A12" s="112" t="s">
        <v>720</v>
      </c>
      <c r="B12" s="112"/>
      <c r="C12" s="112"/>
      <c r="D12" s="112"/>
      <c r="E12" s="112"/>
      <c r="F12" s="112"/>
      <c r="G12" s="112"/>
      <c r="I12" s="112"/>
    </row>
    <row r="14" spans="1:9">
      <c r="A14" s="3" t="s">
        <v>1606</v>
      </c>
    </row>
    <row r="17" spans="1:1">
      <c r="A17" s="3" t="s">
        <v>719</v>
      </c>
    </row>
  </sheetData>
  <pageMargins left="0.55118110236220474" right="0.59055118110236227" top="0.94488188976377963" bottom="0.47244094488188981" header="0.59055118110236227" footer="0.51181102362204722"/>
  <pageSetup paperSize="9" scale="75" orientation="portrait" horizontalDpi="4294967292" verticalDpi="429496729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5A85-D8E8-434D-81DD-CF7320CB01F4}">
  <sheetPr>
    <pageSetUpPr fitToPage="1"/>
  </sheetPr>
  <dimension ref="A1:K30"/>
  <sheetViews>
    <sheetView zoomScaleNormal="100" workbookViewId="0">
      <selection activeCell="D6" sqref="D6"/>
    </sheetView>
  </sheetViews>
  <sheetFormatPr baseColWidth="10" defaultColWidth="11.3984375" defaultRowHeight="13"/>
  <cols>
    <col min="1" max="1" width="14.3984375" style="3" customWidth="1"/>
    <col min="2" max="2" width="17" style="3" customWidth="1"/>
    <col min="3" max="3" width="16.3984375" style="3" customWidth="1"/>
    <col min="4" max="4" width="15.59765625" style="3" customWidth="1"/>
    <col min="5" max="5" width="17" style="3" customWidth="1"/>
    <col min="6" max="6" width="18" style="3" customWidth="1"/>
    <col min="7" max="7" width="14.59765625" style="3" customWidth="1"/>
    <col min="8" max="16384" width="11.3984375" style="3"/>
  </cols>
  <sheetData>
    <row r="1" spans="1:11" s="2" customFormat="1" ht="14" customHeight="1"/>
    <row r="2" spans="1:11" s="2" customFormat="1" ht="23" customHeight="1">
      <c r="A2" s="180" t="s">
        <v>1602</v>
      </c>
      <c r="G2" s="207"/>
    </row>
    <row r="3" spans="1:11" ht="24" customHeight="1">
      <c r="A3" s="92" t="s">
        <v>1379</v>
      </c>
      <c r="B3" s="182" t="s">
        <v>399</v>
      </c>
      <c r="C3" s="183" t="s">
        <v>400</v>
      </c>
      <c r="D3" s="182" t="s">
        <v>401</v>
      </c>
      <c r="E3" s="183" t="s">
        <v>402</v>
      </c>
      <c r="F3" s="182" t="s">
        <v>278</v>
      </c>
      <c r="G3" s="94" t="s">
        <v>279</v>
      </c>
    </row>
    <row r="4" spans="1:11" ht="15" customHeight="1">
      <c r="A4" s="184"/>
      <c r="B4" s="185" t="s">
        <v>403</v>
      </c>
      <c r="C4" s="186" t="s">
        <v>404</v>
      </c>
      <c r="D4" s="185" t="s">
        <v>405</v>
      </c>
      <c r="E4" s="187" t="s">
        <v>1593</v>
      </c>
      <c r="F4" s="185"/>
      <c r="G4" s="95" t="s">
        <v>282</v>
      </c>
    </row>
    <row r="5" spans="1:11" ht="15" customHeight="1">
      <c r="A5" s="184"/>
      <c r="B5" s="185" t="s">
        <v>407</v>
      </c>
      <c r="C5" s="186" t="s">
        <v>408</v>
      </c>
      <c r="D5" s="185"/>
      <c r="E5" s="187" t="s">
        <v>1594</v>
      </c>
      <c r="F5" s="185"/>
      <c r="G5" s="95" t="s">
        <v>283</v>
      </c>
    </row>
    <row r="6" spans="1:11" ht="24" customHeight="1">
      <c r="A6" s="188"/>
      <c r="B6" s="189"/>
      <c r="C6" s="190"/>
      <c r="D6" s="189"/>
      <c r="E6" s="191" t="s">
        <v>410</v>
      </c>
      <c r="F6" s="189"/>
      <c r="G6" s="97"/>
    </row>
    <row r="7" spans="1:11" ht="1.25" customHeight="1" thickBot="1">
      <c r="A7" s="192">
        <v>1996</v>
      </c>
      <c r="B7" s="311">
        <v>7263.8791936000007</v>
      </c>
      <c r="C7" s="312">
        <v>3689.7169425000002</v>
      </c>
      <c r="D7" s="311">
        <v>38.020066050000004</v>
      </c>
      <c r="E7" s="312">
        <v>139.01961795</v>
      </c>
      <c r="F7" s="311">
        <v>11130.635820099998</v>
      </c>
      <c r="G7" s="101" t="s">
        <v>30</v>
      </c>
    </row>
    <row r="8" spans="1:11" ht="0.75" hidden="1" customHeight="1" thickBot="1">
      <c r="A8" s="194">
        <v>1997</v>
      </c>
      <c r="B8" s="313">
        <v>6540.5888779999996</v>
      </c>
      <c r="C8" s="314">
        <v>4995.2965729999996</v>
      </c>
      <c r="D8" s="313">
        <v>16.474356</v>
      </c>
      <c r="E8" s="314">
        <v>488.324321</v>
      </c>
      <c r="F8" s="313">
        <v>12040.684128000001</v>
      </c>
      <c r="G8" s="197">
        <v>8.1760675904660518E-2</v>
      </c>
      <c r="I8" s="9"/>
      <c r="J8" s="9"/>
      <c r="K8" s="9"/>
    </row>
    <row r="9" spans="1:11" ht="19.5" hidden="1" customHeight="1" thickBot="1">
      <c r="A9" s="194">
        <v>1998</v>
      </c>
      <c r="B9" s="313">
        <v>6687.4913850000003</v>
      </c>
      <c r="C9" s="314">
        <v>5281.0341630000003</v>
      </c>
      <c r="D9" s="313">
        <v>17.124804000000001</v>
      </c>
      <c r="E9" s="314">
        <v>722.61979599999995</v>
      </c>
      <c r="F9" s="313">
        <v>12708.270148</v>
      </c>
      <c r="G9" s="197">
        <v>5.5444193444752932E-2</v>
      </c>
    </row>
    <row r="10" spans="1:11" ht="20" hidden="1" customHeight="1" thickBot="1">
      <c r="A10" s="194">
        <v>1999</v>
      </c>
      <c r="B10" s="313">
        <v>6794.0647150000004</v>
      </c>
      <c r="C10" s="314">
        <v>5396.1932850000003</v>
      </c>
      <c r="D10" s="313">
        <v>15.330069999999999</v>
      </c>
      <c r="E10" s="314">
        <v>828.25470299999995</v>
      </c>
      <c r="F10" s="313">
        <v>13033.842773</v>
      </c>
      <c r="G10" s="197">
        <v>2.5618956884642552E-2</v>
      </c>
    </row>
    <row r="11" spans="1:11" ht="20" hidden="1" customHeight="1" thickBot="1">
      <c r="A11" s="194">
        <v>2000</v>
      </c>
      <c r="B11" s="313">
        <v>6892.0663969999996</v>
      </c>
      <c r="C11" s="314">
        <v>5620.0400929999996</v>
      </c>
      <c r="D11" s="313">
        <v>15.057027</v>
      </c>
      <c r="E11" s="314">
        <v>914.49116700000002</v>
      </c>
      <c r="F11" s="313">
        <v>13441.654683999999</v>
      </c>
      <c r="G11" s="197">
        <v>3.1288693450008065E-2</v>
      </c>
    </row>
    <row r="12" spans="1:11" ht="20" customHeight="1" thickBot="1">
      <c r="A12" s="194">
        <v>2001</v>
      </c>
      <c r="B12" s="313">
        <v>7135.0009239999999</v>
      </c>
      <c r="C12" s="314">
        <v>5862.0969020000002</v>
      </c>
      <c r="D12" s="313">
        <v>14.859370999999999</v>
      </c>
      <c r="E12" s="314">
        <v>985.35521000000006</v>
      </c>
      <c r="F12" s="313">
        <v>13997.312406999999</v>
      </c>
      <c r="G12" s="197">
        <v>4.1338491135426647E-2</v>
      </c>
    </row>
    <row r="13" spans="1:11" ht="20" customHeight="1" thickBot="1">
      <c r="A13" s="194">
        <v>2002</v>
      </c>
      <c r="B13" s="313">
        <v>7607.4934620000004</v>
      </c>
      <c r="C13" s="314">
        <v>6653.7724580000004</v>
      </c>
      <c r="D13" s="313">
        <v>15.940357000000001</v>
      </c>
      <c r="E13" s="314">
        <v>1077.8389540000001</v>
      </c>
      <c r="F13" s="313">
        <v>15355.045231</v>
      </c>
      <c r="G13" s="197">
        <v>9.6999537091206456E-2</v>
      </c>
    </row>
    <row r="14" spans="1:11" ht="20" customHeight="1" thickBot="1">
      <c r="A14" s="194">
        <v>2003</v>
      </c>
      <c r="B14" s="313">
        <v>8119.6939160000002</v>
      </c>
      <c r="C14" s="314">
        <v>7519.6442960000004</v>
      </c>
      <c r="D14" s="313">
        <v>16.399234</v>
      </c>
      <c r="E14" s="314">
        <v>1164.373707</v>
      </c>
      <c r="F14" s="313">
        <v>16820.111153000002</v>
      </c>
      <c r="G14" s="197">
        <v>9.541267381239682E-2</v>
      </c>
    </row>
    <row r="15" spans="1:11" ht="20" customHeight="1" thickBot="1">
      <c r="A15" s="194">
        <v>2004</v>
      </c>
      <c r="B15" s="313">
        <v>8488.1709709999996</v>
      </c>
      <c r="C15" s="314">
        <v>7961.8606556000004</v>
      </c>
      <c r="D15" s="313">
        <v>16.728842</v>
      </c>
      <c r="E15" s="314">
        <v>1562.9443670000001</v>
      </c>
      <c r="F15" s="313">
        <v>18029.704835599998</v>
      </c>
      <c r="G15" s="197">
        <v>7.1913536812998835E-2</v>
      </c>
    </row>
    <row r="16" spans="1:11" ht="20" customHeight="1" thickBot="1">
      <c r="A16" s="194">
        <v>2005</v>
      </c>
      <c r="B16" s="313">
        <v>8881.818765</v>
      </c>
      <c r="C16" s="314">
        <v>7722.8551509999998</v>
      </c>
      <c r="D16" s="313">
        <v>16.867663</v>
      </c>
      <c r="E16" s="314">
        <v>1874.8780380000001</v>
      </c>
      <c r="F16" s="313">
        <v>18496.419617</v>
      </c>
      <c r="G16" s="197">
        <v>2.588588031005723E-2</v>
      </c>
    </row>
    <row r="17" spans="1:7" ht="20" customHeight="1" thickBot="1">
      <c r="A17" s="194">
        <v>2006</v>
      </c>
      <c r="B17" s="313">
        <v>8791.2609179999999</v>
      </c>
      <c r="C17" s="314">
        <v>7672.0020180000001</v>
      </c>
      <c r="D17" s="313">
        <v>16.96679</v>
      </c>
      <c r="E17" s="314">
        <v>2834.4584479999999</v>
      </c>
      <c r="F17" s="313">
        <v>19314.688173999999</v>
      </c>
      <c r="G17" s="197">
        <v>4.4239294628022563E-2</v>
      </c>
    </row>
    <row r="18" spans="1:7" ht="20" customHeight="1" thickBot="1">
      <c r="A18" s="194">
        <v>2007</v>
      </c>
      <c r="B18" s="313">
        <v>8532.4678672199989</v>
      </c>
      <c r="C18" s="314">
        <v>7230.4641675700004</v>
      </c>
      <c r="D18" s="313">
        <v>16.854145679999998</v>
      </c>
      <c r="E18" s="314">
        <v>3909.3553057999998</v>
      </c>
      <c r="F18" s="313">
        <v>19689.14148627</v>
      </c>
      <c r="G18" s="197">
        <v>1.9386971660979802E-2</v>
      </c>
    </row>
    <row r="19" spans="1:7" ht="20" customHeight="1" thickBot="1">
      <c r="A19" s="194">
        <v>2008</v>
      </c>
      <c r="B19" s="313">
        <v>8154.0754505200002</v>
      </c>
      <c r="C19" s="314">
        <v>6692.2544465000001</v>
      </c>
      <c r="D19" s="313">
        <v>16.346897350000003</v>
      </c>
      <c r="E19" s="314">
        <v>4829.5904296099998</v>
      </c>
      <c r="F19" s="313">
        <v>19692.267223980001</v>
      </c>
      <c r="G19" s="197">
        <v>1.5875439323642659E-4</v>
      </c>
    </row>
    <row r="20" spans="1:7" ht="20" customHeight="1" thickBot="1">
      <c r="A20" s="194">
        <v>2009</v>
      </c>
      <c r="B20" s="313">
        <v>7763.2344209800003</v>
      </c>
      <c r="C20" s="314">
        <v>6192.48310683</v>
      </c>
      <c r="D20" s="313">
        <v>15.900914239999999</v>
      </c>
      <c r="E20" s="314">
        <v>6153.1486775000003</v>
      </c>
      <c r="F20" s="313">
        <v>20124.767119550004</v>
      </c>
      <c r="G20" s="197">
        <v>2.196293045644504E-2</v>
      </c>
    </row>
    <row r="21" spans="1:7" ht="20" customHeight="1" thickBot="1">
      <c r="A21" s="194">
        <v>2010</v>
      </c>
      <c r="B21" s="313">
        <v>7589.6326881299992</v>
      </c>
      <c r="C21" s="314">
        <v>5673.83572525</v>
      </c>
      <c r="D21" s="313">
        <v>16.045472789999998</v>
      </c>
      <c r="E21" s="314">
        <v>8771.9260212000008</v>
      </c>
      <c r="F21" s="313">
        <v>22051.439907370004</v>
      </c>
      <c r="G21" s="197">
        <v>9.5736401637579904E-2</v>
      </c>
    </row>
    <row r="22" spans="1:7" ht="30" customHeight="1" thickBot="1">
      <c r="A22" s="957">
        <v>2011</v>
      </c>
      <c r="B22" s="958">
        <v>7401.1318820399993</v>
      </c>
      <c r="C22" s="959">
        <v>5327.0321627499998</v>
      </c>
      <c r="D22" s="958">
        <v>15.891755530000001</v>
      </c>
      <c r="E22" s="959">
        <v>10887.13345797</v>
      </c>
      <c r="F22" s="958">
        <v>23631.18925829</v>
      </c>
      <c r="G22" s="109">
        <v>7.1639283310112267E-2</v>
      </c>
    </row>
    <row r="23" spans="1:7" ht="20" customHeight="1">
      <c r="A23" s="112" t="s">
        <v>720</v>
      </c>
      <c r="B23" s="201"/>
      <c r="C23" s="201"/>
      <c r="D23" s="201"/>
      <c r="E23" s="201"/>
      <c r="F23" s="201"/>
      <c r="G23" s="202"/>
    </row>
    <row r="24" spans="1:7" ht="14.25" customHeight="1">
      <c r="A24" s="115"/>
      <c r="B24" s="203"/>
      <c r="C24" s="203"/>
      <c r="D24" s="203"/>
      <c r="E24" s="203"/>
      <c r="F24" s="203"/>
      <c r="G24" s="204"/>
    </row>
    <row r="25" spans="1:7" ht="12.75" customHeight="1">
      <c r="A25" s="206" t="s">
        <v>593</v>
      </c>
    </row>
    <row r="27" spans="1:7">
      <c r="A27" s="3" t="s">
        <v>1603</v>
      </c>
    </row>
    <row r="30" spans="1:7">
      <c r="A30" s="3" t="s">
        <v>719</v>
      </c>
    </row>
  </sheetData>
  <pageMargins left="0.56000000000000005" right="0.51" top="0.94" bottom="0.49" header="0.51" footer="0.4921259845"/>
  <pageSetup paperSize="9" scale="83" orientation="portrait" horizontalDpi="4294967292" verticalDpi="429496729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14097-EB01-234F-808D-9B2E0EC1C84C}">
  <sheetPr>
    <pageSetUpPr fitToPage="1"/>
  </sheetPr>
  <dimension ref="A1:G51"/>
  <sheetViews>
    <sheetView zoomScaleNormal="100" workbookViewId="0">
      <selection activeCell="A3" sqref="A3"/>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121"/>
      <c r="B1" s="121"/>
      <c r="C1" s="121"/>
      <c r="D1" s="121"/>
      <c r="E1" s="121"/>
      <c r="F1" s="121"/>
    </row>
    <row r="2" spans="1:7" s="2" customFormat="1" ht="18.5" customHeight="1">
      <c r="A2" s="122" t="s">
        <v>1702</v>
      </c>
      <c r="B2" s="122"/>
      <c r="C2" s="121"/>
      <c r="D2" s="121"/>
      <c r="E2" s="121"/>
      <c r="F2" s="91">
        <v>2011</v>
      </c>
      <c r="G2" s="91"/>
    </row>
    <row r="3" spans="1:7" s="2" customFormat="1" ht="7.25" customHeight="1">
      <c r="A3" s="123"/>
      <c r="B3" s="123"/>
      <c r="C3" s="124"/>
      <c r="D3" s="124"/>
      <c r="E3" s="124"/>
      <c r="F3" s="124"/>
      <c r="G3" s="126"/>
    </row>
    <row r="4" spans="1:7" s="2" customFormat="1" ht="81.75" customHeight="1">
      <c r="A4" s="127" t="s">
        <v>312</v>
      </c>
      <c r="B4" s="128"/>
      <c r="C4" s="129" t="s">
        <v>1693</v>
      </c>
      <c r="D4" s="130" t="s">
        <v>1694</v>
      </c>
      <c r="E4" s="129" t="s">
        <v>1695</v>
      </c>
      <c r="F4" s="131" t="s">
        <v>683</v>
      </c>
    </row>
    <row r="5" spans="1:7" ht="8.25" customHeight="1">
      <c r="A5" s="134"/>
      <c r="B5" s="520"/>
      <c r="C5" s="136"/>
      <c r="D5" s="135"/>
      <c r="E5" s="136"/>
      <c r="F5" s="135"/>
    </row>
    <row r="6" spans="1:7" ht="47.25" customHeight="1" thickBot="1">
      <c r="A6" s="139" t="s">
        <v>319</v>
      </c>
      <c r="B6" s="140" t="s">
        <v>320</v>
      </c>
      <c r="C6" s="141">
        <v>1035.0317932147761</v>
      </c>
      <c r="D6" s="142">
        <v>3752.6570810391954</v>
      </c>
      <c r="E6" s="141">
        <v>4360.4745952702688</v>
      </c>
      <c r="F6" s="142">
        <v>3394.564555374136</v>
      </c>
    </row>
    <row r="7" spans="1:7" ht="19.5" customHeight="1" thickBot="1">
      <c r="A7" s="145"/>
      <c r="B7" s="146"/>
      <c r="C7" s="147"/>
      <c r="D7" s="148"/>
      <c r="E7" s="147"/>
      <c r="F7" s="148"/>
    </row>
    <row r="8" spans="1:7" ht="22.5" customHeight="1" thickBot="1">
      <c r="A8" s="151" t="s">
        <v>321</v>
      </c>
      <c r="B8" s="152" t="s">
        <v>322</v>
      </c>
      <c r="C8" s="147">
        <v>964.90607879559423</v>
      </c>
      <c r="D8" s="148">
        <v>3716.348855603524</v>
      </c>
      <c r="E8" s="147">
        <v>4329.4897906683373</v>
      </c>
      <c r="F8" s="148">
        <v>4297.9651707170824</v>
      </c>
    </row>
    <row r="9" spans="1:7" ht="20" customHeight="1" thickBot="1">
      <c r="A9" s="153" t="s">
        <v>323</v>
      </c>
      <c r="B9" s="152" t="s">
        <v>324</v>
      </c>
      <c r="C9" s="147">
        <v>889.32211885780896</v>
      </c>
      <c r="D9" s="148">
        <v>3173.2942792272725</v>
      </c>
      <c r="E9" s="147">
        <v>3769.297130491736</v>
      </c>
      <c r="F9" s="148">
        <v>3271.897141763091</v>
      </c>
    </row>
    <row r="10" spans="1:7" ht="20" customHeight="1" thickBot="1">
      <c r="A10" s="153" t="s">
        <v>325</v>
      </c>
      <c r="B10" s="152" t="s">
        <v>326</v>
      </c>
      <c r="C10" s="147">
        <v>750.2995713359461</v>
      </c>
      <c r="D10" s="148">
        <v>2786.7469347979468</v>
      </c>
      <c r="E10" s="147">
        <v>3345.0593880260271</v>
      </c>
      <c r="F10" s="148">
        <v>3244.1319883569022</v>
      </c>
    </row>
    <row r="11" spans="1:7" ht="20" customHeight="1" thickBot="1">
      <c r="A11" s="153"/>
      <c r="B11" s="152" t="s">
        <v>327</v>
      </c>
      <c r="C11" s="147">
        <v>730.48017717348796</v>
      </c>
      <c r="D11" s="148">
        <v>2469.6589055860341</v>
      </c>
      <c r="E11" s="147">
        <v>2860.8760272499035</v>
      </c>
      <c r="F11" s="148">
        <v>2329.4432077536912</v>
      </c>
    </row>
    <row r="12" spans="1:7" ht="20" customHeight="1" thickBot="1">
      <c r="A12" s="153"/>
      <c r="B12" s="152" t="s">
        <v>328</v>
      </c>
      <c r="C12" s="147">
        <v>638.63400684032013</v>
      </c>
      <c r="D12" s="148">
        <v>2284.0289818524225</v>
      </c>
      <c r="E12" s="147">
        <v>2634.7045473709104</v>
      </c>
      <c r="F12" s="148">
        <v>2546.5246382473483</v>
      </c>
    </row>
    <row r="13" spans="1:7" ht="20" customHeight="1" thickBot="1">
      <c r="A13" s="153"/>
      <c r="B13" s="152" t="s">
        <v>329</v>
      </c>
      <c r="C13" s="147">
        <v>613.37321733596673</v>
      </c>
      <c r="D13" s="154" t="s">
        <v>30</v>
      </c>
      <c r="E13" s="155" t="s">
        <v>30</v>
      </c>
      <c r="F13" s="148">
        <v>613.37321733596673</v>
      </c>
    </row>
    <row r="14" spans="1:7" ht="20" customHeight="1" thickBot="1">
      <c r="A14" s="157"/>
      <c r="B14" s="152" t="s">
        <v>278</v>
      </c>
      <c r="C14" s="147">
        <v>753.42794189383608</v>
      </c>
      <c r="D14" s="148">
        <v>2787.0211748751981</v>
      </c>
      <c r="E14" s="147">
        <v>3626.5511209859887</v>
      </c>
      <c r="F14" s="148">
        <v>3454.0913551945878</v>
      </c>
    </row>
    <row r="15" spans="1:7" ht="18.75" customHeight="1" thickBot="1">
      <c r="A15" s="158"/>
      <c r="B15" s="159"/>
      <c r="C15" s="147"/>
      <c r="D15" s="148"/>
      <c r="E15" s="147"/>
      <c r="F15" s="148"/>
    </row>
    <row r="16" spans="1:7" ht="20" customHeight="1" thickBot="1">
      <c r="A16" s="158" t="s">
        <v>330</v>
      </c>
      <c r="B16" s="159"/>
      <c r="C16" s="147">
        <v>897.53177051202954</v>
      </c>
      <c r="D16" s="148">
        <v>2610.9721070234114</v>
      </c>
      <c r="E16" s="147">
        <v>3045.015867611809</v>
      </c>
      <c r="F16" s="148">
        <v>3019.459664395612</v>
      </c>
    </row>
    <row r="17" spans="1:6" ht="20.25" customHeight="1" thickBot="1">
      <c r="A17" s="158"/>
      <c r="B17" s="159"/>
      <c r="C17" s="147"/>
      <c r="D17" s="148"/>
      <c r="E17" s="147"/>
      <c r="F17" s="148"/>
    </row>
    <row r="18" spans="1:6" ht="58.5" customHeight="1" thickBot="1">
      <c r="A18" s="151" t="s">
        <v>1696</v>
      </c>
      <c r="B18" s="152" t="s">
        <v>320</v>
      </c>
      <c r="C18" s="147">
        <v>868.39559078977288</v>
      </c>
      <c r="D18" s="148">
        <v>3159.565906511139</v>
      </c>
      <c r="E18" s="147">
        <v>3681.8660000816258</v>
      </c>
      <c r="F18" s="148">
        <v>2558.3122747265388</v>
      </c>
    </row>
    <row r="19" spans="1:6" ht="20" customHeight="1" thickBot="1">
      <c r="A19" s="107"/>
      <c r="B19" s="152" t="s">
        <v>322</v>
      </c>
      <c r="C19" s="147">
        <v>786.83893309120549</v>
      </c>
      <c r="D19" s="148">
        <v>3108.6898015262072</v>
      </c>
      <c r="E19" s="147">
        <v>3581.3341235842295</v>
      </c>
      <c r="F19" s="148">
        <v>3525.526791963161</v>
      </c>
    </row>
    <row r="20" spans="1:6" ht="20" customHeight="1" thickBot="1">
      <c r="A20" s="107"/>
      <c r="B20" s="152" t="s">
        <v>324</v>
      </c>
      <c r="C20" s="147">
        <v>750.57772083119175</v>
      </c>
      <c r="D20" s="148">
        <v>2643.7852848787438</v>
      </c>
      <c r="E20" s="147">
        <v>3089.8885415007603</v>
      </c>
      <c r="F20" s="148">
        <v>2881.6076866588828</v>
      </c>
    </row>
    <row r="21" spans="1:6" ht="20" customHeight="1" thickBot="1">
      <c r="A21" s="107"/>
      <c r="B21" s="152" t="s">
        <v>326</v>
      </c>
      <c r="C21" s="147">
        <v>570.12908332753204</v>
      </c>
      <c r="D21" s="148">
        <v>2286.6151414599713</v>
      </c>
      <c r="E21" s="147">
        <v>2700.3826417890405</v>
      </c>
      <c r="F21" s="148">
        <v>2598.0356230505572</v>
      </c>
    </row>
    <row r="22" spans="1:6" ht="20" customHeight="1" thickBot="1">
      <c r="A22" s="107"/>
      <c r="B22" s="152" t="s">
        <v>327</v>
      </c>
      <c r="C22" s="147">
        <v>594.38654230314773</v>
      </c>
      <c r="D22" s="148">
        <v>2049.5310194662925</v>
      </c>
      <c r="E22" s="147">
        <v>2369.3465912934685</v>
      </c>
      <c r="F22" s="148">
        <v>2144.7580399443514</v>
      </c>
    </row>
    <row r="23" spans="1:6" ht="20" customHeight="1" thickBot="1">
      <c r="A23" s="107"/>
      <c r="B23" s="152" t="s">
        <v>328</v>
      </c>
      <c r="C23" s="147">
        <v>570.05512550650553</v>
      </c>
      <c r="D23" s="148">
        <v>2098.0621672982379</v>
      </c>
      <c r="E23" s="147">
        <v>2357.1799203405849</v>
      </c>
      <c r="F23" s="148">
        <v>2291.9908729182803</v>
      </c>
    </row>
    <row r="24" spans="1:6" ht="20" customHeight="1" thickBot="1">
      <c r="A24" s="107"/>
      <c r="B24" s="152" t="s">
        <v>329</v>
      </c>
      <c r="C24" s="147">
        <v>595.13378047814365</v>
      </c>
      <c r="D24" s="154" t="s">
        <v>30</v>
      </c>
      <c r="E24" s="155" t="s">
        <v>30</v>
      </c>
      <c r="F24" s="148">
        <v>595.13378047814365</v>
      </c>
    </row>
    <row r="25" spans="1:6" ht="20" customHeight="1" thickBot="1">
      <c r="A25" s="107"/>
      <c r="B25" s="152" t="s">
        <v>316</v>
      </c>
      <c r="C25" s="147">
        <v>845.4949086335871</v>
      </c>
      <c r="D25" s="148">
        <v>2696.1752899266085</v>
      </c>
      <c r="E25" s="147">
        <v>3140.1482207005511</v>
      </c>
      <c r="F25" s="148">
        <v>2632.9810008432919</v>
      </c>
    </row>
    <row r="26" spans="1:6" ht="39.75" customHeight="1" thickBot="1">
      <c r="A26" s="160"/>
      <c r="B26" s="161" t="s">
        <v>332</v>
      </c>
      <c r="C26" s="149">
        <v>818.85529594145908</v>
      </c>
      <c r="D26" s="150">
        <v>2559.4042140941278</v>
      </c>
      <c r="E26" s="149">
        <v>2981.4976083969832</v>
      </c>
      <c r="F26" s="150">
        <v>2516.6505018648072</v>
      </c>
    </row>
    <row r="27" spans="1:6" ht="45" customHeight="1" thickBot="1">
      <c r="A27" s="160"/>
      <c r="B27" s="162" t="s">
        <v>333</v>
      </c>
      <c r="C27" s="149">
        <v>818.96340046599255</v>
      </c>
      <c r="D27" s="150">
        <v>2664.0695769140671</v>
      </c>
      <c r="E27" s="149">
        <v>3124.3151498342668</v>
      </c>
      <c r="F27" s="150">
        <v>2609.4878936083282</v>
      </c>
    </row>
    <row r="28" spans="1:6" ht="45" customHeight="1" thickBot="1">
      <c r="A28" s="163"/>
      <c r="B28" s="162" t="s">
        <v>334</v>
      </c>
      <c r="C28" s="149">
        <v>621.75714871032972</v>
      </c>
      <c r="D28" s="150">
        <v>2401.2671706633719</v>
      </c>
      <c r="E28" s="149">
        <v>2830.4281088265298</v>
      </c>
      <c r="F28" s="150">
        <v>2700.7321007086948</v>
      </c>
    </row>
    <row r="29" spans="1:6" ht="15.75" customHeight="1" thickBot="1">
      <c r="A29" s="164"/>
      <c r="B29" s="165"/>
      <c r="C29" s="147"/>
      <c r="D29" s="148"/>
      <c r="E29" s="147"/>
      <c r="F29" s="148"/>
    </row>
    <row r="30" spans="1:6" ht="27.75" customHeight="1" thickBot="1">
      <c r="A30" s="166" t="s">
        <v>335</v>
      </c>
      <c r="B30" s="167"/>
      <c r="C30" s="168">
        <v>917.72069217115052</v>
      </c>
      <c r="D30" s="169">
        <v>2952.216463436273</v>
      </c>
      <c r="E30" s="168">
        <v>3563.1173495752987</v>
      </c>
      <c r="F30" s="169">
        <v>3005.4531830980982</v>
      </c>
    </row>
    <row r="31" spans="1:6" ht="15.75" customHeight="1">
      <c r="A31" s="172" t="s">
        <v>720</v>
      </c>
      <c r="B31" s="172"/>
      <c r="C31" s="172"/>
      <c r="D31" s="172"/>
      <c r="E31" s="172"/>
      <c r="F31" s="172"/>
    </row>
    <row r="32" spans="1:6" ht="13.5" customHeight="1">
      <c r="A32" s="173"/>
      <c r="B32" s="173"/>
      <c r="C32" s="172"/>
      <c r="D32" s="172"/>
      <c r="E32" s="172"/>
      <c r="F32" s="172"/>
    </row>
    <row r="33" spans="1:6" ht="13.5" customHeight="1">
      <c r="A33" s="172" t="s">
        <v>1703</v>
      </c>
      <c r="B33" s="172"/>
      <c r="C33" s="172"/>
      <c r="D33" s="172"/>
      <c r="E33" s="172"/>
      <c r="F33" s="172"/>
    </row>
    <row r="34" spans="1:6" ht="16.5" customHeight="1">
      <c r="A34" s="172"/>
      <c r="B34" s="172"/>
      <c r="C34" s="172"/>
      <c r="D34" s="172"/>
      <c r="E34" s="172"/>
      <c r="F34" s="172"/>
    </row>
    <row r="35" spans="1:6" ht="12" customHeight="1">
      <c r="A35" s="172" t="s">
        <v>1558</v>
      </c>
      <c r="B35" s="172"/>
      <c r="C35" s="61"/>
      <c r="D35" s="61"/>
      <c r="E35" s="61"/>
      <c r="F35" s="61"/>
    </row>
    <row r="36" spans="1:6" ht="12" customHeight="1">
      <c r="A36" s="115" t="s">
        <v>697</v>
      </c>
      <c r="B36" s="115"/>
    </row>
    <row r="37" spans="1:6" ht="12" customHeight="1">
      <c r="A37" s="115" t="s">
        <v>339</v>
      </c>
      <c r="B37" s="115"/>
    </row>
    <row r="38" spans="1:6" ht="12" customHeight="1">
      <c r="A38" s="115" t="s">
        <v>340</v>
      </c>
      <c r="B38" s="115"/>
    </row>
    <row r="39" spans="1:6" ht="12" customHeight="1">
      <c r="A39" s="115" t="s">
        <v>341</v>
      </c>
      <c r="B39" s="115"/>
    </row>
    <row r="40" spans="1:6" ht="12" customHeight="1">
      <c r="A40" s="115" t="s">
        <v>342</v>
      </c>
      <c r="B40" s="115"/>
    </row>
    <row r="41" spans="1:6" ht="12" customHeight="1">
      <c r="A41" s="3" t="s">
        <v>343</v>
      </c>
    </row>
    <row r="42" spans="1:6" ht="12" customHeight="1"/>
    <row r="43" spans="1:6" ht="12" customHeight="1"/>
    <row r="44" spans="1:6" ht="12" customHeight="1">
      <c r="A44" s="172" t="s">
        <v>719</v>
      </c>
      <c r="B44" s="172"/>
      <c r="C44" s="115"/>
      <c r="D44" s="115"/>
      <c r="E44" s="115"/>
      <c r="F44" s="115"/>
    </row>
    <row r="49" spans="1:7">
      <c r="A49" s="49"/>
      <c r="B49" s="49"/>
      <c r="C49" s="174"/>
      <c r="D49" s="175"/>
      <c r="E49" s="174"/>
      <c r="F49" s="175"/>
      <c r="G49" s="175"/>
    </row>
    <row r="50" spans="1:7">
      <c r="A50" s="177"/>
      <c r="B50" s="177"/>
      <c r="C50" s="177"/>
      <c r="D50" s="178"/>
      <c r="E50" s="177"/>
      <c r="F50" s="179"/>
      <c r="G50" s="4"/>
    </row>
    <row r="51" spans="1:7">
      <c r="A51" s="4"/>
      <c r="B51" s="4"/>
      <c r="C51" s="4"/>
      <c r="D51" s="4"/>
      <c r="E51" s="4"/>
      <c r="F51" s="4"/>
      <c r="G51"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57BA5-6916-E449-8380-CB3AFA897B3D}">
  <sheetPr>
    <pageSetUpPr fitToPage="1"/>
  </sheetPr>
  <dimension ref="A1:H44"/>
  <sheetViews>
    <sheetView zoomScaleNormal="100" workbookViewId="0">
      <selection activeCell="F41" sqref="F41"/>
    </sheetView>
  </sheetViews>
  <sheetFormatPr baseColWidth="10" defaultColWidth="11.3984375" defaultRowHeight="13"/>
  <cols>
    <col min="1" max="1" width="20.59765625" style="3" customWidth="1"/>
    <col min="2" max="4" width="17" style="8" customWidth="1"/>
    <col min="5" max="5" width="17.3984375" style="8" customWidth="1"/>
    <col min="6" max="6" width="17.3984375" style="396" customWidth="1"/>
    <col min="7" max="7" width="11.3984375" style="3"/>
    <col min="8" max="8" width="0" style="3" hidden="1" customWidth="1"/>
    <col min="9" max="16384" width="11.3984375" style="3"/>
  </cols>
  <sheetData>
    <row r="1" spans="1:8" s="2" customFormat="1" ht="14" customHeight="1">
      <c r="B1" s="406"/>
      <c r="C1" s="406"/>
      <c r="D1" s="406"/>
      <c r="E1" s="406"/>
      <c r="F1" s="514"/>
    </row>
    <row r="2" spans="1:8" s="2" customFormat="1" ht="28.25" customHeight="1">
      <c r="A2" s="1843" t="s">
        <v>699</v>
      </c>
      <c r="B2" s="1847"/>
      <c r="C2" s="1847"/>
      <c r="D2" s="1847"/>
      <c r="E2" s="1847"/>
      <c r="F2" s="515">
        <v>2011</v>
      </c>
      <c r="G2" s="515"/>
    </row>
    <row r="3" spans="1:8" ht="27" customHeight="1">
      <c r="A3" s="92" t="s">
        <v>191</v>
      </c>
      <c r="B3" s="182" t="s">
        <v>349</v>
      </c>
      <c r="C3" s="183" t="s">
        <v>700</v>
      </c>
      <c r="D3" s="182" t="s">
        <v>348</v>
      </c>
      <c r="E3" s="183" t="s">
        <v>701</v>
      </c>
      <c r="F3" s="304" t="s">
        <v>279</v>
      </c>
    </row>
    <row r="4" spans="1:8" ht="20.25" customHeight="1">
      <c r="A4" s="95"/>
      <c r="B4" s="185"/>
      <c r="C4" s="186" t="s">
        <v>348</v>
      </c>
      <c r="D4" s="211"/>
      <c r="E4" s="186" t="s">
        <v>702</v>
      </c>
      <c r="F4" s="211" t="s">
        <v>282</v>
      </c>
    </row>
    <row r="5" spans="1:8" ht="20.25" customHeight="1">
      <c r="A5" s="95"/>
      <c r="B5" s="185" t="s">
        <v>460</v>
      </c>
      <c r="C5" s="186" t="s">
        <v>461</v>
      </c>
      <c r="D5" s="185" t="s">
        <v>462</v>
      </c>
      <c r="E5" s="186"/>
      <c r="F5" s="211" t="s">
        <v>283</v>
      </c>
    </row>
    <row r="6" spans="1:8" ht="24" customHeight="1">
      <c r="A6" s="97"/>
      <c r="B6" s="521"/>
      <c r="C6" s="522"/>
      <c r="D6" s="521"/>
      <c r="E6" s="191"/>
      <c r="F6" s="213"/>
    </row>
    <row r="7" spans="1:8" ht="30" customHeight="1" thickBot="1">
      <c r="A7" s="99" t="s">
        <v>362</v>
      </c>
      <c r="B7" s="230">
        <v>928.63276190791805</v>
      </c>
      <c r="C7" s="233">
        <v>2966.3990314968669</v>
      </c>
      <c r="D7" s="230">
        <v>3446.1839381500304</v>
      </c>
      <c r="E7" s="233">
        <v>2947.375923834792</v>
      </c>
      <c r="F7" s="523">
        <v>6.1612129070761822E-2</v>
      </c>
      <c r="H7" s="306">
        <v>172.8785586534616</v>
      </c>
    </row>
    <row r="8" spans="1:8" ht="20" customHeight="1" thickBot="1">
      <c r="A8" s="103" t="s">
        <v>363</v>
      </c>
      <c r="B8" s="230">
        <v>963.63802699804035</v>
      </c>
      <c r="C8" s="233">
        <v>3074.9913210914369</v>
      </c>
      <c r="D8" s="230">
        <v>3892.9128654400356</v>
      </c>
      <c r="E8" s="233">
        <v>3295.3220655909427</v>
      </c>
      <c r="F8" s="220">
        <v>7.4446403248501353E-2</v>
      </c>
      <c r="H8" s="306">
        <v>161.49387493756916</v>
      </c>
    </row>
    <row r="9" spans="1:8" ht="20" customHeight="1" thickBot="1">
      <c r="A9" s="103" t="s">
        <v>364</v>
      </c>
      <c r="B9" s="230">
        <v>770.12675408798043</v>
      </c>
      <c r="C9" s="233">
        <v>2460.1487251105532</v>
      </c>
      <c r="D9" s="230">
        <v>3081.5384031159097</v>
      </c>
      <c r="E9" s="233">
        <v>2566.0498148764823</v>
      </c>
      <c r="F9" s="220">
        <v>6.8339842091479294E-2</v>
      </c>
      <c r="H9" s="306">
        <v>129.41591119853354</v>
      </c>
    </row>
    <row r="10" spans="1:8" ht="20" customHeight="1" thickBot="1">
      <c r="A10" s="103" t="s">
        <v>365</v>
      </c>
      <c r="B10" s="230">
        <v>721.43506014557965</v>
      </c>
      <c r="C10" s="233">
        <v>2306.5545755911389</v>
      </c>
      <c r="D10" s="230">
        <v>2889.9512293956423</v>
      </c>
      <c r="E10" s="233">
        <v>2408.0723911271975</v>
      </c>
      <c r="F10" s="220">
        <v>8.5524168000484263E-2</v>
      </c>
      <c r="H10" s="306">
        <v>126.90557061409594</v>
      </c>
    </row>
    <row r="11" spans="1:8" ht="20" customHeight="1" thickBot="1">
      <c r="A11" s="103" t="s">
        <v>366</v>
      </c>
      <c r="B11" s="230">
        <v>775.2117339421111</v>
      </c>
      <c r="C11" s="233">
        <v>2454.1748841152657</v>
      </c>
      <c r="D11" s="230">
        <v>3008.9244108632224</v>
      </c>
      <c r="E11" s="233">
        <v>2522.5622645774943</v>
      </c>
      <c r="F11" s="220">
        <v>6.1106328180247853E-2</v>
      </c>
      <c r="H11" s="306">
        <v>131.64111605385247</v>
      </c>
    </row>
    <row r="12" spans="1:8" ht="20" customHeight="1" thickBot="1">
      <c r="A12" s="103" t="s">
        <v>367</v>
      </c>
      <c r="B12" s="230">
        <v>729.63676141190467</v>
      </c>
      <c r="C12" s="233">
        <v>2281.6467947879896</v>
      </c>
      <c r="D12" s="230">
        <v>2852.72243026558</v>
      </c>
      <c r="E12" s="233">
        <v>2375.5218943472978</v>
      </c>
      <c r="F12" s="220">
        <v>8.0292550727842249E-2</v>
      </c>
      <c r="H12" s="306">
        <v>125.19129183854066</v>
      </c>
    </row>
    <row r="13" spans="1:8" ht="20" customHeight="1" thickBot="1">
      <c r="A13" s="103" t="s">
        <v>368</v>
      </c>
      <c r="B13" s="230">
        <v>668.87298090452259</v>
      </c>
      <c r="C13" s="233">
        <v>2122.3386405184383</v>
      </c>
      <c r="D13" s="230">
        <v>2641.6977136103337</v>
      </c>
      <c r="E13" s="233">
        <v>2236.0843756082245</v>
      </c>
      <c r="F13" s="220">
        <v>9.1350562493405577E-2</v>
      </c>
      <c r="H13" s="306">
        <v>117.8833340734285</v>
      </c>
    </row>
    <row r="14" spans="1:8" ht="20" customHeight="1" thickBot="1">
      <c r="A14" s="103" t="s">
        <v>369</v>
      </c>
      <c r="B14" s="230">
        <v>782.82796990073655</v>
      </c>
      <c r="C14" s="233">
        <v>2506.0809922733688</v>
      </c>
      <c r="D14" s="230">
        <v>3102.2145092826063</v>
      </c>
      <c r="E14" s="233">
        <v>2616.4591018354249</v>
      </c>
      <c r="F14" s="220">
        <v>7.4423189113947685E-2</v>
      </c>
      <c r="H14" s="306">
        <v>140.25371771237261</v>
      </c>
    </row>
    <row r="15" spans="1:8" ht="20" customHeight="1" thickBot="1">
      <c r="A15" s="103" t="s">
        <v>370</v>
      </c>
      <c r="B15" s="230">
        <v>767.25948940815988</v>
      </c>
      <c r="C15" s="233">
        <v>2475.6616040145573</v>
      </c>
      <c r="D15" s="230">
        <v>2944.0883514261759</v>
      </c>
      <c r="E15" s="233">
        <v>2491.4256055843312</v>
      </c>
      <c r="F15" s="220">
        <v>7.0210427990137755E-2</v>
      </c>
      <c r="H15" s="306">
        <v>131.3336445580656</v>
      </c>
    </row>
    <row r="16" spans="1:8" ht="20" customHeight="1" thickBot="1">
      <c r="A16" s="103" t="s">
        <v>371</v>
      </c>
      <c r="B16" s="230">
        <v>879.71355620439635</v>
      </c>
      <c r="C16" s="233">
        <v>2789.337555541787</v>
      </c>
      <c r="D16" s="230">
        <v>3348.7503480780651</v>
      </c>
      <c r="E16" s="233">
        <v>2752.9327196134404</v>
      </c>
      <c r="F16" s="220">
        <v>5.8208591923603802E-2</v>
      </c>
      <c r="H16" s="306">
        <v>163.19734143075968</v>
      </c>
    </row>
    <row r="17" spans="1:8" ht="20" customHeight="1" thickBot="1">
      <c r="A17" s="103" t="s">
        <v>372</v>
      </c>
      <c r="B17" s="230">
        <v>871.48567016954235</v>
      </c>
      <c r="C17" s="233">
        <v>2750.3371670009788</v>
      </c>
      <c r="D17" s="230">
        <v>3337.8845401882536</v>
      </c>
      <c r="E17" s="233">
        <v>2834.2621938929856</v>
      </c>
      <c r="F17" s="220">
        <v>5.7753293906696028E-2</v>
      </c>
      <c r="H17" s="306">
        <v>156.59253023292777</v>
      </c>
    </row>
    <row r="18" spans="1:8" ht="20" customHeight="1" thickBot="1">
      <c r="A18" s="103" t="s">
        <v>373</v>
      </c>
      <c r="B18" s="230">
        <v>1265.7675555436538</v>
      </c>
      <c r="C18" s="233">
        <v>4023.097432293825</v>
      </c>
      <c r="D18" s="230">
        <v>4826.2901633447982</v>
      </c>
      <c r="E18" s="233">
        <v>4213.1756987740328</v>
      </c>
      <c r="F18" s="220">
        <v>6.2993611622235227E-2</v>
      </c>
      <c r="H18" s="306">
        <v>239.48436004651805</v>
      </c>
    </row>
    <row r="19" spans="1:8" ht="20" customHeight="1" thickBot="1">
      <c r="A19" s="103" t="s">
        <v>374</v>
      </c>
      <c r="B19" s="230">
        <v>1000.4346492473268</v>
      </c>
      <c r="C19" s="233">
        <v>3102.1062828381923</v>
      </c>
      <c r="D19" s="230">
        <v>3804.6902280444042</v>
      </c>
      <c r="E19" s="233">
        <v>3243.0385745899566</v>
      </c>
      <c r="F19" s="220">
        <v>7.6416321509374885E-2</v>
      </c>
      <c r="H19" s="306">
        <v>177.06647582891381</v>
      </c>
    </row>
    <row r="20" spans="1:8" ht="20" customHeight="1" thickBot="1">
      <c r="A20" s="103" t="s">
        <v>375</v>
      </c>
      <c r="B20" s="230">
        <v>861.99488582826245</v>
      </c>
      <c r="C20" s="233">
        <v>2780.7751978977331</v>
      </c>
      <c r="D20" s="230">
        <v>3350.919876638292</v>
      </c>
      <c r="E20" s="233">
        <v>2857.6918336619397</v>
      </c>
      <c r="F20" s="220">
        <v>5.638645842900495E-2</v>
      </c>
      <c r="H20" s="306">
        <v>165.60622548393192</v>
      </c>
    </row>
    <row r="21" spans="1:8" ht="20" customHeight="1" thickBot="1">
      <c r="A21" s="103" t="s">
        <v>376</v>
      </c>
      <c r="B21" s="230">
        <v>708.40531907865443</v>
      </c>
      <c r="C21" s="233">
        <v>2245.7998581822417</v>
      </c>
      <c r="D21" s="230">
        <v>2755.2055655072118</v>
      </c>
      <c r="E21" s="233">
        <v>2311.3404754148719</v>
      </c>
      <c r="F21" s="220">
        <v>5.550970024955771E-2</v>
      </c>
      <c r="H21" s="306">
        <v>125.02923450612184</v>
      </c>
    </row>
    <row r="22" spans="1:8" ht="20" customHeight="1" thickBot="1">
      <c r="A22" s="103" t="s">
        <v>377</v>
      </c>
      <c r="B22" s="230">
        <v>644.25267740275024</v>
      </c>
      <c r="C22" s="233">
        <v>2050.862673191657</v>
      </c>
      <c r="D22" s="230">
        <v>2569.051769889677</v>
      </c>
      <c r="E22" s="233">
        <v>2100.6724768157483</v>
      </c>
      <c r="F22" s="220">
        <v>7.2146817323136311E-2</v>
      </c>
      <c r="H22" s="306">
        <v>109.87124540182084</v>
      </c>
    </row>
    <row r="23" spans="1:8" ht="20" customHeight="1" thickBot="1">
      <c r="A23" s="103" t="s">
        <v>378</v>
      </c>
      <c r="B23" s="230">
        <v>792.94576892664747</v>
      </c>
      <c r="C23" s="233">
        <v>2478.1760115922657</v>
      </c>
      <c r="D23" s="230">
        <v>3059.185253493511</v>
      </c>
      <c r="E23" s="233">
        <v>2551.6856928849529</v>
      </c>
      <c r="F23" s="220">
        <v>6.8084913187328747E-2</v>
      </c>
      <c r="H23" s="306">
        <v>134.24530167185685</v>
      </c>
    </row>
    <row r="24" spans="1:8" ht="20" customHeight="1" thickBot="1">
      <c r="A24" s="103" t="s">
        <v>379</v>
      </c>
      <c r="B24" s="230">
        <v>810.98419122669009</v>
      </c>
      <c r="C24" s="233">
        <v>2575.4694052485825</v>
      </c>
      <c r="D24" s="230">
        <v>3068.2561482664423</v>
      </c>
      <c r="E24" s="233">
        <v>2633.4601943736357</v>
      </c>
      <c r="F24" s="220">
        <v>4.1415558209935428E-2</v>
      </c>
      <c r="H24" s="306">
        <v>132.91701511018809</v>
      </c>
    </row>
    <row r="25" spans="1:8" ht="20" customHeight="1" thickBot="1">
      <c r="A25" s="103" t="s">
        <v>380</v>
      </c>
      <c r="B25" s="230">
        <v>860.36189171774527</v>
      </c>
      <c r="C25" s="233">
        <v>2768.5743895758392</v>
      </c>
      <c r="D25" s="230">
        <v>3319.0393676009085</v>
      </c>
      <c r="E25" s="233">
        <v>2796.1245676731214</v>
      </c>
      <c r="F25" s="220">
        <v>6.3699005465489011E-2</v>
      </c>
      <c r="H25" s="306">
        <v>145.05617363699608</v>
      </c>
    </row>
    <row r="26" spans="1:8" ht="20" customHeight="1" thickBot="1">
      <c r="A26" s="103" t="s">
        <v>381</v>
      </c>
      <c r="B26" s="230">
        <v>817.98237494856073</v>
      </c>
      <c r="C26" s="233">
        <v>2520.9800093905233</v>
      </c>
      <c r="D26" s="230">
        <v>3113.2068418453509</v>
      </c>
      <c r="E26" s="233">
        <v>2598.8359363478257</v>
      </c>
      <c r="F26" s="220">
        <v>4.3166920111282439E-2</v>
      </c>
      <c r="H26" s="306">
        <v>145.7338374894791</v>
      </c>
    </row>
    <row r="27" spans="1:8" ht="20" customHeight="1" thickBot="1">
      <c r="A27" s="103" t="s">
        <v>382</v>
      </c>
      <c r="B27" s="230">
        <v>1037.7106255207186</v>
      </c>
      <c r="C27" s="233">
        <v>3391.1949295628665</v>
      </c>
      <c r="D27" s="230">
        <v>4019.7497310285503</v>
      </c>
      <c r="E27" s="233">
        <v>3448.0707009371499</v>
      </c>
      <c r="F27" s="220">
        <v>5.8209742992920796E-2</v>
      </c>
      <c r="H27" s="306">
        <v>199.67764846714121</v>
      </c>
    </row>
    <row r="28" spans="1:8" ht="20" customHeight="1" thickBot="1">
      <c r="A28" s="103" t="s">
        <v>383</v>
      </c>
      <c r="B28" s="230">
        <v>1031.4176019822476</v>
      </c>
      <c r="C28" s="233">
        <v>3451.373072521636</v>
      </c>
      <c r="D28" s="230">
        <v>3967.4629306531137</v>
      </c>
      <c r="E28" s="233">
        <v>3308.0510513450499</v>
      </c>
      <c r="F28" s="220">
        <v>5.3190673016164008E-2</v>
      </c>
      <c r="H28" s="306">
        <v>203.24357993536964</v>
      </c>
    </row>
    <row r="29" spans="1:8" ht="20" customHeight="1" thickBot="1">
      <c r="A29" s="103" t="s">
        <v>384</v>
      </c>
      <c r="B29" s="230">
        <v>851.77412675751521</v>
      </c>
      <c r="C29" s="233">
        <v>2858.2407164724932</v>
      </c>
      <c r="D29" s="230">
        <v>3253.9762499399267</v>
      </c>
      <c r="E29" s="233">
        <v>2758.7597357230779</v>
      </c>
      <c r="F29" s="220">
        <v>7.4166739575553267E-2</v>
      </c>
      <c r="H29" s="306">
        <v>144.85185631308477</v>
      </c>
    </row>
    <row r="30" spans="1:8" ht="20" customHeight="1" thickBot="1">
      <c r="A30" s="103" t="s">
        <v>385</v>
      </c>
      <c r="B30" s="230">
        <v>893.31484237191546</v>
      </c>
      <c r="C30" s="233">
        <v>3159.164107165936</v>
      </c>
      <c r="D30" s="230">
        <v>3712.6857500190599</v>
      </c>
      <c r="E30" s="233">
        <v>3090.0521795018044</v>
      </c>
      <c r="F30" s="220">
        <v>3.8817685305680971E-2</v>
      </c>
      <c r="H30" s="306">
        <v>184.5803903521614</v>
      </c>
    </row>
    <row r="31" spans="1:8" ht="20" customHeight="1" thickBot="1">
      <c r="A31" s="103" t="s">
        <v>386</v>
      </c>
      <c r="B31" s="230">
        <v>1111.7675599645902</v>
      </c>
      <c r="C31" s="233">
        <v>3878.0472064685023</v>
      </c>
      <c r="D31" s="230">
        <v>4474.4185474059286</v>
      </c>
      <c r="E31" s="233">
        <v>3727.8868506990025</v>
      </c>
      <c r="F31" s="220">
        <v>2.9274031735949696E-2</v>
      </c>
      <c r="H31" s="306">
        <v>244.01642882305748</v>
      </c>
    </row>
    <row r="32" spans="1:8" ht="20" customHeight="1" thickBot="1">
      <c r="A32" s="145" t="s">
        <v>387</v>
      </c>
      <c r="B32" s="230">
        <v>862.97214802249687</v>
      </c>
      <c r="C32" s="233">
        <v>3010.8160982311629</v>
      </c>
      <c r="D32" s="230">
        <v>3650.5042467034041</v>
      </c>
      <c r="E32" s="233">
        <v>3009.3957843509947</v>
      </c>
      <c r="F32" s="220">
        <v>5.8930406151283268E-2</v>
      </c>
      <c r="H32" s="306">
        <v>200.58331332206401</v>
      </c>
    </row>
    <row r="33" spans="1:8" ht="20" customHeight="1" thickBot="1">
      <c r="A33" s="222" t="s">
        <v>443</v>
      </c>
      <c r="B33" s="230">
        <v>818.3817426220761</v>
      </c>
      <c r="C33" s="233">
        <v>2911.9782305770996</v>
      </c>
      <c r="D33" s="230">
        <v>3053.1212149734174</v>
      </c>
      <c r="E33" s="233">
        <v>2842.3265401832236</v>
      </c>
      <c r="F33" s="220">
        <v>2.6001407014054193E-3</v>
      </c>
      <c r="H33" s="306">
        <v>244.01642882305748</v>
      </c>
    </row>
    <row r="34" spans="1:8" ht="20" hidden="1" customHeight="1" thickBot="1">
      <c r="A34" s="145" t="s">
        <v>309</v>
      </c>
      <c r="B34" s="100" t="s">
        <v>30</v>
      </c>
      <c r="C34" s="193" t="s">
        <v>30</v>
      </c>
      <c r="D34" s="100" t="s">
        <v>30</v>
      </c>
      <c r="E34" s="193" t="s">
        <v>30</v>
      </c>
      <c r="F34" s="220" t="s">
        <v>30</v>
      </c>
      <c r="H34" s="306">
        <v>200.58331332206401</v>
      </c>
    </row>
    <row r="35" spans="1:8" s="482" customFormat="1" ht="30" customHeight="1" thickBot="1">
      <c r="A35" s="107" t="s">
        <v>444</v>
      </c>
      <c r="B35" s="524">
        <v>917.72072268156774</v>
      </c>
      <c r="C35" s="525">
        <v>2952.2169073771702</v>
      </c>
      <c r="D35" s="524">
        <v>3563.1174309275543</v>
      </c>
      <c r="E35" s="525">
        <v>3005.4532863037525</v>
      </c>
      <c r="F35" s="526">
        <v>6.031214244097971E-2</v>
      </c>
      <c r="H35" s="527">
        <v>167.9825427102873</v>
      </c>
    </row>
    <row r="36" spans="1:8" ht="20" customHeight="1">
      <c r="A36" s="112" t="s">
        <v>720</v>
      </c>
      <c r="B36" s="432"/>
      <c r="C36" s="432"/>
      <c r="D36" s="432"/>
      <c r="E36" s="432"/>
      <c r="F36" s="528"/>
    </row>
    <row r="37" spans="1:8" ht="14.25" customHeight="1">
      <c r="A37" s="115"/>
      <c r="B37" s="529"/>
      <c r="C37" s="529"/>
      <c r="D37" s="529"/>
      <c r="E37" s="529"/>
      <c r="F37" s="516"/>
    </row>
    <row r="38" spans="1:8" ht="18.5" customHeight="1">
      <c r="A38" s="115" t="s">
        <v>703</v>
      </c>
      <c r="B38" s="529"/>
      <c r="C38" s="529"/>
      <c r="D38" s="529"/>
      <c r="E38" s="529"/>
      <c r="F38" s="516"/>
    </row>
    <row r="39" spans="1:8" ht="9.75" customHeight="1">
      <c r="A39" s="115"/>
      <c r="B39" s="529"/>
      <c r="C39" s="529"/>
      <c r="D39" s="529"/>
      <c r="E39" s="529"/>
      <c r="F39" s="516"/>
    </row>
    <row r="40" spans="1:8" ht="15.75" customHeight="1">
      <c r="A40" s="115" t="s">
        <v>704</v>
      </c>
    </row>
    <row r="41" spans="1:8" ht="15.75" customHeight="1">
      <c r="A41" s="115" t="s">
        <v>686</v>
      </c>
    </row>
    <row r="42" spans="1:8" ht="12" customHeight="1">
      <c r="A42" s="115"/>
    </row>
    <row r="43" spans="1:8" ht="12" customHeight="1"/>
    <row r="44" spans="1:8">
      <c r="A44" s="115" t="s">
        <v>719</v>
      </c>
    </row>
  </sheetData>
  <mergeCells count="1">
    <mergeCell ref="A2:E2"/>
  </mergeCells>
  <pageMargins left="0.55000000000000004" right="0.78740157480314965" top="1.1000000000000001" bottom="0.49" header="0.92" footer="0.4921259845"/>
  <pageSetup paperSize="9" scale="85" orientation="portrait" horizontalDpi="4294967292" verticalDpi="4294967292"/>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3E10-271B-8C42-97CE-4EE425C29C6E}">
  <sheetPr>
    <pageSetUpPr fitToPage="1"/>
  </sheetPr>
  <dimension ref="A1:K58"/>
  <sheetViews>
    <sheetView topLeftCell="A29" zoomScaleNormal="100" workbookViewId="0">
      <selection activeCell="I49" sqref="I49"/>
    </sheetView>
  </sheetViews>
  <sheetFormatPr baseColWidth="10" defaultColWidth="11.3984375" defaultRowHeight="13"/>
  <cols>
    <col min="1" max="1" width="23.3984375" style="3" customWidth="1"/>
    <col min="2" max="2" width="18.796875" style="3" customWidth="1"/>
    <col min="3" max="3" width="15.3984375" style="3" customWidth="1"/>
    <col min="4" max="4" width="19.3984375" style="3" customWidth="1"/>
    <col min="5" max="5" width="15.3984375" style="3" customWidth="1"/>
    <col min="6" max="6" width="20" style="3" customWidth="1"/>
    <col min="7" max="7" width="16.3984375" style="3" customWidth="1"/>
    <col min="8" max="8" width="13.796875" style="3" customWidth="1"/>
    <col min="9" max="9" width="13.59765625" style="3" customWidth="1"/>
    <col min="10" max="10" width="13.796875" style="3" customWidth="1"/>
    <col min="11" max="16384" width="11.3984375" style="3"/>
  </cols>
  <sheetData>
    <row r="1" spans="1:11" s="2" customFormat="1" ht="8.25" customHeight="1"/>
    <row r="2" spans="1:11" s="2" customFormat="1" ht="24.5" customHeight="1">
      <c r="A2" s="181" t="s">
        <v>1592</v>
      </c>
      <c r="B2" s="436"/>
      <c r="C2" s="436"/>
      <c r="D2" s="436"/>
      <c r="E2" s="436"/>
      <c r="F2" s="180"/>
      <c r="G2" s="180"/>
    </row>
    <row r="3" spans="1:11" ht="24" customHeight="1">
      <c r="A3" s="92" t="s">
        <v>1379</v>
      </c>
      <c r="B3" s="182" t="s">
        <v>399</v>
      </c>
      <c r="C3" s="183" t="s">
        <v>400</v>
      </c>
      <c r="D3" s="182" t="s">
        <v>401</v>
      </c>
      <c r="E3" s="183" t="s">
        <v>402</v>
      </c>
      <c r="F3" s="182" t="s">
        <v>683</v>
      </c>
      <c r="G3" s="94" t="s">
        <v>279</v>
      </c>
    </row>
    <row r="4" spans="1:11" ht="15" customHeight="1">
      <c r="A4" s="184"/>
      <c r="B4" s="185" t="s">
        <v>403</v>
      </c>
      <c r="C4" s="186" t="s">
        <v>404</v>
      </c>
      <c r="D4" s="185" t="s">
        <v>472</v>
      </c>
      <c r="E4" s="187" t="s">
        <v>1593</v>
      </c>
      <c r="F4" s="185"/>
      <c r="G4" s="95" t="s">
        <v>282</v>
      </c>
    </row>
    <row r="5" spans="1:11" ht="15" customHeight="1">
      <c r="A5" s="184"/>
      <c r="B5" s="185" t="s">
        <v>407</v>
      </c>
      <c r="C5" s="186" t="s">
        <v>408</v>
      </c>
      <c r="D5" s="185" t="s">
        <v>474</v>
      </c>
      <c r="E5" s="187" t="s">
        <v>1594</v>
      </c>
      <c r="F5" s="185"/>
      <c r="G5" s="95" t="s">
        <v>283</v>
      </c>
    </row>
    <row r="6" spans="1:11" ht="20.25" customHeight="1">
      <c r="A6" s="408" t="s">
        <v>721</v>
      </c>
      <c r="B6" s="189"/>
      <c r="C6" s="190"/>
      <c r="D6" s="189"/>
      <c r="E6" s="191" t="s">
        <v>410</v>
      </c>
      <c r="F6" s="189"/>
      <c r="G6" s="522"/>
    </row>
    <row r="7" spans="1:11" ht="1.25" customHeight="1" thickBot="1">
      <c r="A7" s="192">
        <v>1996</v>
      </c>
      <c r="B7" s="100">
        <v>1524.5463513417667</v>
      </c>
      <c r="C7" s="193">
        <v>1591.881526355354</v>
      </c>
      <c r="D7" s="100">
        <v>1359.088238474134</v>
      </c>
      <c r="E7" s="193">
        <v>1137.2770798904471</v>
      </c>
      <c r="F7" s="100">
        <v>1538.9405008830074</v>
      </c>
      <c r="G7" s="101" t="s">
        <v>30</v>
      </c>
    </row>
    <row r="8" spans="1:11" ht="19.5" hidden="1" customHeight="1" thickBot="1">
      <c r="A8" s="194">
        <v>1997</v>
      </c>
      <c r="B8" s="195">
        <v>1596.7748981305942</v>
      </c>
      <c r="C8" s="196">
        <v>1820.0543916502945</v>
      </c>
      <c r="D8" s="195">
        <v>1429.0086986460665</v>
      </c>
      <c r="E8" s="196">
        <v>1270.8735771137619</v>
      </c>
      <c r="F8" s="195">
        <v>1663.893341996396</v>
      </c>
      <c r="G8" s="197">
        <v>8.1194068933590158E-2</v>
      </c>
      <c r="I8" s="9"/>
      <c r="J8" s="9"/>
      <c r="K8" s="9"/>
    </row>
    <row r="9" spans="1:11" ht="19.5" hidden="1" customHeight="1" thickBot="1">
      <c r="A9" s="194">
        <v>1998</v>
      </c>
      <c r="B9" s="195">
        <v>1665.5565653402912</v>
      </c>
      <c r="C9" s="196">
        <v>1937.4811057809607</v>
      </c>
      <c r="D9" s="195">
        <v>1448.2169878271459</v>
      </c>
      <c r="E9" s="196">
        <v>1463.0710596518434</v>
      </c>
      <c r="F9" s="195">
        <v>1753.6807220915252</v>
      </c>
      <c r="G9" s="197">
        <v>5.3962220912188608E-2</v>
      </c>
    </row>
    <row r="10" spans="1:11" ht="20" hidden="1" customHeight="1" thickBot="1">
      <c r="A10" s="194">
        <v>1999</v>
      </c>
      <c r="B10" s="195">
        <v>1698.1180433399416</v>
      </c>
      <c r="C10" s="196">
        <v>1985.9900541831798</v>
      </c>
      <c r="D10" s="195">
        <v>1493.6302697798037</v>
      </c>
      <c r="E10" s="196">
        <v>1527.6216147396292</v>
      </c>
      <c r="F10" s="195">
        <v>1792.6961372402147</v>
      </c>
      <c r="G10" s="197">
        <v>2.2247729964299134E-2</v>
      </c>
    </row>
    <row r="11" spans="1:11" ht="20" hidden="1" customHeight="1" thickBot="1">
      <c r="A11" s="194">
        <v>2000</v>
      </c>
      <c r="B11" s="195">
        <v>1758.0451704632812</v>
      </c>
      <c r="C11" s="196">
        <v>2038.1607144334851</v>
      </c>
      <c r="D11" s="195">
        <v>1535.3433088803986</v>
      </c>
      <c r="E11" s="196">
        <v>1583.2530710258736</v>
      </c>
      <c r="F11" s="195">
        <v>1850.1631679231971</v>
      </c>
      <c r="G11" s="197">
        <v>3.2056202659894506E-2</v>
      </c>
    </row>
    <row r="12" spans="1:11" ht="20" customHeight="1" thickBot="1">
      <c r="A12" s="194">
        <v>2001</v>
      </c>
      <c r="B12" s="195">
        <v>1842.9742230994177</v>
      </c>
      <c r="C12" s="196">
        <v>2074.3537866389079</v>
      </c>
      <c r="D12" s="195">
        <v>1595.1792853069078</v>
      </c>
      <c r="E12" s="196">
        <v>1658.0330212983067</v>
      </c>
      <c r="F12" s="195">
        <v>1917.1693080707569</v>
      </c>
      <c r="G12" s="197">
        <v>3.6216340974279504E-2</v>
      </c>
    </row>
    <row r="13" spans="1:11" ht="20" customHeight="1" thickBot="1">
      <c r="A13" s="194">
        <v>2002</v>
      </c>
      <c r="B13" s="195">
        <v>1999.3225217818947</v>
      </c>
      <c r="C13" s="196">
        <v>2236.6776923608968</v>
      </c>
      <c r="D13" s="195">
        <v>1807.8492038743398</v>
      </c>
      <c r="E13" s="196">
        <v>1938.8414423486433</v>
      </c>
      <c r="F13" s="195">
        <v>2090.6453445046668</v>
      </c>
      <c r="G13" s="197">
        <v>9.0485506785250136E-2</v>
      </c>
    </row>
    <row r="14" spans="1:11" ht="20" customHeight="1" thickBot="1">
      <c r="A14" s="194">
        <v>2003</v>
      </c>
      <c r="B14" s="195">
        <v>2216.0796496496105</v>
      </c>
      <c r="C14" s="196">
        <v>2426.9395460837259</v>
      </c>
      <c r="D14" s="195">
        <v>1977.301650220651</v>
      </c>
      <c r="E14" s="196">
        <v>1934.7726722030034</v>
      </c>
      <c r="F14" s="195">
        <v>2281.4625632725915</v>
      </c>
      <c r="G14" s="197">
        <v>9.1271921978299364E-2</v>
      </c>
    </row>
    <row r="15" spans="1:11" ht="20" customHeight="1" thickBot="1">
      <c r="A15" s="194">
        <v>2004</v>
      </c>
      <c r="B15" s="195">
        <v>2343.8682619528158</v>
      </c>
      <c r="C15" s="196">
        <v>2645.1462345444088</v>
      </c>
      <c r="D15" s="195">
        <v>2075.9841086714919</v>
      </c>
      <c r="E15" s="196">
        <v>2100.4541508082671</v>
      </c>
      <c r="F15" s="195">
        <v>2441.8690220833437</v>
      </c>
      <c r="G15" s="197">
        <v>7.0308608781491921E-2</v>
      </c>
    </row>
    <row r="16" spans="1:11" ht="20" customHeight="1" thickBot="1">
      <c r="A16" s="194">
        <v>2005</v>
      </c>
      <c r="B16" s="195">
        <v>2470.8502609985521</v>
      </c>
      <c r="C16" s="196">
        <v>2635.6398124159059</v>
      </c>
      <c r="D16" s="195">
        <v>2194.1314013904234</v>
      </c>
      <c r="E16" s="196">
        <v>2075.4315686877048</v>
      </c>
      <c r="F16" s="195">
        <v>2487.4606144678528</v>
      </c>
      <c r="G16" s="197">
        <v>1.8670777167897112E-2</v>
      </c>
    </row>
    <row r="17" spans="1:7" ht="20" customHeight="1" thickBot="1">
      <c r="A17" s="194">
        <v>2006</v>
      </c>
      <c r="B17" s="195">
        <v>2629.69</v>
      </c>
      <c r="C17" s="196">
        <v>2763.07</v>
      </c>
      <c r="D17" s="195">
        <v>2359.12</v>
      </c>
      <c r="E17" s="196">
        <v>2097.1999999999998</v>
      </c>
      <c r="F17" s="195">
        <v>2582.7199999999998</v>
      </c>
      <c r="G17" s="197">
        <v>3.8295836717208154E-2</v>
      </c>
    </row>
    <row r="18" spans="1:7" ht="20" customHeight="1" thickBot="1">
      <c r="A18" s="194">
        <v>2007</v>
      </c>
      <c r="B18" s="195">
        <v>2723.42</v>
      </c>
      <c r="C18" s="196">
        <v>2817.48</v>
      </c>
      <c r="D18" s="195">
        <v>2454.38</v>
      </c>
      <c r="E18" s="196">
        <v>2134.58</v>
      </c>
      <c r="F18" s="195">
        <v>2612.13</v>
      </c>
      <c r="G18" s="197">
        <v>1.1387219675381033E-2</v>
      </c>
    </row>
    <row r="19" spans="1:7" ht="20" customHeight="1" thickBot="1">
      <c r="A19" s="194">
        <v>2008</v>
      </c>
      <c r="B19" s="195">
        <v>2766.67</v>
      </c>
      <c r="C19" s="196">
        <v>2814.77</v>
      </c>
      <c r="D19" s="195">
        <v>2510.7399999999998</v>
      </c>
      <c r="E19" s="196">
        <v>2114.29</v>
      </c>
      <c r="F19" s="195">
        <v>2585.79</v>
      </c>
      <c r="G19" s="197">
        <v>-1.0083724776332015E-2</v>
      </c>
    </row>
    <row r="20" spans="1:7" ht="20" customHeight="1" thickBot="1">
      <c r="A20" s="194">
        <v>2009</v>
      </c>
      <c r="B20" s="195">
        <v>2823.6745881888778</v>
      </c>
      <c r="C20" s="196">
        <v>2837.4638725119903</v>
      </c>
      <c r="D20" s="195">
        <v>2582.6714722167626</v>
      </c>
      <c r="E20" s="196">
        <v>2220.8587243287579</v>
      </c>
      <c r="F20" s="195">
        <v>2610.6060854467783</v>
      </c>
      <c r="G20" s="197">
        <v>9.5971000919556904E-3</v>
      </c>
    </row>
    <row r="21" spans="1:7" ht="20" customHeight="1" thickBot="1">
      <c r="A21" s="194">
        <v>2010</v>
      </c>
      <c r="B21" s="195">
        <v>3145.2431348976961</v>
      </c>
      <c r="C21" s="196">
        <v>3211.532192096673</v>
      </c>
      <c r="D21" s="195">
        <v>2821.8130817782608</v>
      </c>
      <c r="E21" s="196">
        <v>2440.6088467563409</v>
      </c>
      <c r="F21" s="195">
        <v>2834.4985554616119</v>
      </c>
      <c r="G21" s="197">
        <v>8.5762640048591132E-2</v>
      </c>
    </row>
    <row r="22" spans="1:7" ht="22.5" customHeight="1" thickBot="1">
      <c r="A22" s="198">
        <v>2011</v>
      </c>
      <c r="B22" s="199">
        <v>3394.564555374136</v>
      </c>
      <c r="C22" s="200">
        <v>3454.0913551945878</v>
      </c>
      <c r="D22" s="199">
        <v>3019.459664395612</v>
      </c>
      <c r="E22" s="200">
        <v>2632.9810008432919</v>
      </c>
      <c r="F22" s="199">
        <v>3005.4531830980982</v>
      </c>
      <c r="G22" s="929">
        <v>6.031212374657402E-2</v>
      </c>
    </row>
    <row r="23" spans="1:7" ht="20" customHeight="1">
      <c r="A23" s="112" t="s">
        <v>720</v>
      </c>
      <c r="B23" s="201"/>
      <c r="C23" s="201"/>
      <c r="D23" s="201"/>
      <c r="E23" s="201"/>
      <c r="F23" s="201"/>
      <c r="G23" s="796"/>
    </row>
    <row r="24" spans="1:7" ht="13.5" customHeight="1">
      <c r="A24" s="115"/>
      <c r="B24" s="203"/>
      <c r="C24" s="203"/>
      <c r="D24" s="203"/>
      <c r="E24" s="203"/>
      <c r="F24" s="203"/>
      <c r="G24" s="797"/>
    </row>
    <row r="25" spans="1:7">
      <c r="A25" s="3" t="s">
        <v>1595</v>
      </c>
      <c r="G25" s="797"/>
    </row>
    <row r="26" spans="1:7">
      <c r="G26" s="797"/>
    </row>
    <row r="27" spans="1:7">
      <c r="G27" s="797"/>
    </row>
    <row r="28" spans="1:7" ht="18">
      <c r="A28" s="952" t="s">
        <v>1596</v>
      </c>
      <c r="G28" s="797"/>
    </row>
    <row r="29" spans="1:7">
      <c r="G29" s="797"/>
    </row>
    <row r="30" spans="1:7" ht="19.5" customHeight="1">
      <c r="A30" s="92" t="s">
        <v>469</v>
      </c>
      <c r="B30" s="182" t="s">
        <v>349</v>
      </c>
      <c r="C30" s="783" t="s">
        <v>279</v>
      </c>
      <c r="D30" s="182" t="s">
        <v>459</v>
      </c>
      <c r="E30" s="783" t="s">
        <v>279</v>
      </c>
      <c r="F30" s="182" t="s">
        <v>1597</v>
      </c>
      <c r="G30" s="783" t="s">
        <v>279</v>
      </c>
    </row>
    <row r="31" spans="1:7" ht="19.5" customHeight="1">
      <c r="A31" s="953"/>
      <c r="B31" s="185" t="s">
        <v>460</v>
      </c>
      <c r="C31" s="784" t="s">
        <v>282</v>
      </c>
      <c r="D31" s="185" t="s">
        <v>461</v>
      </c>
      <c r="E31" s="784" t="s">
        <v>282</v>
      </c>
      <c r="F31" s="185" t="s">
        <v>1598</v>
      </c>
      <c r="G31" s="784" t="s">
        <v>282</v>
      </c>
    </row>
    <row r="32" spans="1:7" ht="19.5" customHeight="1">
      <c r="A32" s="184"/>
      <c r="B32" s="185"/>
      <c r="C32" s="784" t="s">
        <v>283</v>
      </c>
      <c r="D32" s="185"/>
      <c r="E32" s="784" t="s">
        <v>283</v>
      </c>
      <c r="F32" s="185"/>
      <c r="G32" s="784" t="s">
        <v>283</v>
      </c>
    </row>
    <row r="33" spans="1:7" ht="19.5" customHeight="1">
      <c r="A33" s="188"/>
      <c r="B33" s="189"/>
      <c r="C33" s="474"/>
      <c r="D33" s="189"/>
      <c r="E33" s="474"/>
      <c r="F33" s="189"/>
      <c r="G33" s="474"/>
    </row>
    <row r="34" spans="1:7" ht="1.25" customHeight="1" thickBot="1">
      <c r="A34" s="192">
        <v>1996</v>
      </c>
      <c r="B34" s="100" t="s">
        <v>30</v>
      </c>
      <c r="C34" s="954" t="s">
        <v>30</v>
      </c>
      <c r="D34" s="100" t="s">
        <v>30</v>
      </c>
      <c r="E34" s="954" t="s">
        <v>30</v>
      </c>
      <c r="F34" s="100" t="s">
        <v>30</v>
      </c>
      <c r="G34" s="101" t="s">
        <v>30</v>
      </c>
    </row>
    <row r="35" spans="1:7" ht="0.75" hidden="1" customHeight="1" thickBot="1">
      <c r="A35" s="194">
        <v>1997</v>
      </c>
      <c r="B35" s="100">
        <v>571.27</v>
      </c>
      <c r="C35" s="954" t="s">
        <v>30</v>
      </c>
      <c r="D35" s="100">
        <v>1459.12</v>
      </c>
      <c r="E35" s="954" t="s">
        <v>30</v>
      </c>
      <c r="F35" s="100">
        <v>2024.73</v>
      </c>
      <c r="G35" s="197" t="s">
        <v>30</v>
      </c>
    </row>
    <row r="36" spans="1:7" ht="19.5" hidden="1" customHeight="1" thickBot="1">
      <c r="A36" s="194">
        <v>1998</v>
      </c>
      <c r="B36" s="195">
        <v>588.77</v>
      </c>
      <c r="C36" s="197">
        <v>3.0633500796471091E-2</v>
      </c>
      <c r="D36" s="195">
        <v>1563.95</v>
      </c>
      <c r="E36" s="197">
        <v>7.1844673501836764E-2</v>
      </c>
      <c r="F36" s="195">
        <v>2142.38</v>
      </c>
      <c r="G36" s="197">
        <v>5.8106512967161184E-2</v>
      </c>
    </row>
    <row r="37" spans="1:7" ht="0.5" hidden="1" customHeight="1" thickBot="1">
      <c r="A37" s="194">
        <v>1999</v>
      </c>
      <c r="B37" s="195">
        <v>603.19000000000005</v>
      </c>
      <c r="C37" s="197">
        <v>2.4491737011057113E-2</v>
      </c>
      <c r="D37" s="195">
        <v>1581.32</v>
      </c>
      <c r="E37" s="197">
        <v>1.1106493174334098E-2</v>
      </c>
      <c r="F37" s="195">
        <v>2190.21</v>
      </c>
      <c r="G37" s="197">
        <v>2.2325637842026014E-2</v>
      </c>
    </row>
    <row r="38" spans="1:7" ht="19.25" hidden="1" customHeight="1" thickBot="1">
      <c r="A38" s="194">
        <v>2000</v>
      </c>
      <c r="B38" s="195">
        <v>621.73</v>
      </c>
      <c r="C38" s="197">
        <v>3.073658382930744E-2</v>
      </c>
      <c r="D38" s="195">
        <v>1566.95</v>
      </c>
      <c r="E38" s="197">
        <v>-9.0873447499556503E-3</v>
      </c>
      <c r="F38" s="195">
        <v>2256.67</v>
      </c>
      <c r="G38" s="197">
        <v>3.0344122253117334E-2</v>
      </c>
    </row>
    <row r="39" spans="1:7" ht="19.5" customHeight="1" thickBot="1">
      <c r="A39" s="194">
        <v>2001</v>
      </c>
      <c r="B39" s="195">
        <v>652.66999999999996</v>
      </c>
      <c r="C39" s="197">
        <v>4.9764367169028212E-2</v>
      </c>
      <c r="D39" s="195">
        <v>1580.79</v>
      </c>
      <c r="E39" s="197">
        <v>8.8324451960815065E-3</v>
      </c>
      <c r="F39" s="195">
        <v>2352.56</v>
      </c>
      <c r="G39" s="197">
        <v>4.2491813158326064E-2</v>
      </c>
    </row>
    <row r="40" spans="1:7" ht="19.5" customHeight="1" thickBot="1">
      <c r="A40" s="194">
        <v>2002</v>
      </c>
      <c r="B40" s="195">
        <v>712.31</v>
      </c>
      <c r="C40" s="197">
        <v>9.1378491427520858E-2</v>
      </c>
      <c r="D40" s="195">
        <v>1782.56</v>
      </c>
      <c r="E40" s="197">
        <v>0.12763871228942492</v>
      </c>
      <c r="F40" s="195">
        <v>2553.98</v>
      </c>
      <c r="G40" s="197">
        <v>8.5617370013942207E-2</v>
      </c>
    </row>
    <row r="41" spans="1:7" ht="19.5" customHeight="1" thickBot="1">
      <c r="A41" s="194">
        <v>2003</v>
      </c>
      <c r="B41" s="195">
        <v>775.13</v>
      </c>
      <c r="C41" s="197">
        <v>8.8191938903005695E-2</v>
      </c>
      <c r="D41" s="195">
        <v>2027.01</v>
      </c>
      <c r="E41" s="197">
        <v>0.13713423391077995</v>
      </c>
      <c r="F41" s="195">
        <v>2767.57</v>
      </c>
      <c r="G41" s="197">
        <v>8.3630255522752828E-2</v>
      </c>
    </row>
    <row r="42" spans="1:7" ht="19.5" customHeight="1" thickBot="1">
      <c r="A42" s="194">
        <v>2004</v>
      </c>
      <c r="B42" s="195">
        <v>811.85</v>
      </c>
      <c r="C42" s="197">
        <v>4.7372698773109123E-2</v>
      </c>
      <c r="D42" s="195">
        <v>2229.4699999999998</v>
      </c>
      <c r="E42" s="197">
        <v>9.9881105667954273E-2</v>
      </c>
      <c r="F42" s="195">
        <v>2944.97</v>
      </c>
      <c r="G42" s="197">
        <v>6.4099553037502144E-2</v>
      </c>
    </row>
    <row r="43" spans="1:7" ht="19.5" customHeight="1" thickBot="1">
      <c r="A43" s="194">
        <v>2005</v>
      </c>
      <c r="B43" s="195">
        <v>810.41</v>
      </c>
      <c r="C43" s="197">
        <v>-1.773726673646725E-3</v>
      </c>
      <c r="D43" s="195">
        <v>2295.98</v>
      </c>
      <c r="E43" s="197">
        <v>2.9832202272288999E-2</v>
      </c>
      <c r="F43" s="195">
        <v>3001.01</v>
      </c>
      <c r="G43" s="197">
        <v>1.9029056323154547E-2</v>
      </c>
    </row>
    <row r="44" spans="1:7" ht="19.5" customHeight="1" thickBot="1">
      <c r="A44" s="194">
        <v>2006</v>
      </c>
      <c r="B44" s="195">
        <v>831.45</v>
      </c>
      <c r="C44" s="197">
        <v>2.5962167298034355E-2</v>
      </c>
      <c r="D44" s="195">
        <v>2397.42</v>
      </c>
      <c r="E44" s="197">
        <v>4.4181569525866937E-2</v>
      </c>
      <c r="F44" s="195">
        <v>3120.11</v>
      </c>
      <c r="G44" s="197">
        <v>3.9686638831593291E-2</v>
      </c>
    </row>
    <row r="45" spans="1:7" ht="19.5" customHeight="1" thickBot="1">
      <c r="A45" s="194">
        <v>2007</v>
      </c>
      <c r="B45" s="195">
        <v>830.97</v>
      </c>
      <c r="C45" s="197">
        <v>-5.7730470864159056E-4</v>
      </c>
      <c r="D45" s="195">
        <v>2410.9299999999998</v>
      </c>
      <c r="E45" s="197">
        <v>5.6352245330395512E-3</v>
      </c>
      <c r="F45" s="195">
        <v>3148.34</v>
      </c>
      <c r="G45" s="197">
        <v>9.0477579316114998E-3</v>
      </c>
    </row>
    <row r="46" spans="1:7" ht="19.5" customHeight="1" thickBot="1">
      <c r="A46" s="194">
        <v>2008</v>
      </c>
      <c r="B46" s="195">
        <v>805.67</v>
      </c>
      <c r="C46" s="197">
        <v>-3.0446345836793176E-2</v>
      </c>
      <c r="D46" s="195">
        <v>2390.77</v>
      </c>
      <c r="E46" s="197">
        <v>-8.3619184298174831E-3</v>
      </c>
      <c r="F46" s="195">
        <v>3113.11</v>
      </c>
      <c r="G46" s="197">
        <v>-1.1190023949128713E-2</v>
      </c>
    </row>
    <row r="47" spans="1:7" ht="19.5" customHeight="1" thickBot="1">
      <c r="A47" s="194">
        <v>2009</v>
      </c>
      <c r="B47" s="195">
        <v>803.29852245883592</v>
      </c>
      <c r="C47" s="197">
        <v>-2.9434849766828419E-3</v>
      </c>
      <c r="D47" s="195">
        <v>2417.2719920855861</v>
      </c>
      <c r="E47" s="197">
        <v>1.1085128258086829E-2</v>
      </c>
      <c r="F47" s="195">
        <v>3124.0890560836219</v>
      </c>
      <c r="G47" s="197">
        <v>3.5267163973073945E-3</v>
      </c>
    </row>
    <row r="48" spans="1:7" ht="19.5" customHeight="1" thickBot="1">
      <c r="A48" s="194">
        <v>2010</v>
      </c>
      <c r="B48" s="195">
        <v>870.57920238879058</v>
      </c>
      <c r="C48" s="197">
        <v>8.3755513111132718E-2</v>
      </c>
      <c r="D48" s="195">
        <v>2689.4943448135232</v>
      </c>
      <c r="E48" s="197">
        <v>0.11261552428490584</v>
      </c>
      <c r="F48" s="195">
        <v>3377.364823956269</v>
      </c>
      <c r="G48" s="197">
        <v>8.1071878338242698E-2</v>
      </c>
    </row>
    <row r="49" spans="1:7" ht="21.75" customHeight="1" thickBot="1">
      <c r="A49" s="955">
        <v>2011</v>
      </c>
      <c r="B49" s="224">
        <v>917.72072268156774</v>
      </c>
      <c r="C49" s="929">
        <v>5.4149605416055291E-2</v>
      </c>
      <c r="D49" s="224">
        <v>2952.2169073771702</v>
      </c>
      <c r="E49" s="929">
        <v>9.7684742513136857E-2</v>
      </c>
      <c r="F49" s="224">
        <v>3563.1174309275543</v>
      </c>
      <c r="G49" s="929">
        <v>5.4999272111116992E-2</v>
      </c>
    </row>
    <row r="50" spans="1:7" ht="15" customHeight="1">
      <c r="A50" s="112" t="s">
        <v>720</v>
      </c>
    </row>
    <row r="52" spans="1:7">
      <c r="A52" s="956" t="s">
        <v>1599</v>
      </c>
    </row>
    <row r="53" spans="1:7">
      <c r="A53" s="61"/>
    </row>
    <row r="54" spans="1:7" ht="12" customHeight="1">
      <c r="A54" s="61" t="s">
        <v>1600</v>
      </c>
      <c r="B54" s="110"/>
      <c r="F54" s="110"/>
      <c r="G54" s="302"/>
    </row>
    <row r="55" spans="1:7">
      <c r="A55" s="61" t="s">
        <v>1601</v>
      </c>
    </row>
    <row r="58" spans="1:7">
      <c r="A58" s="3" t="s">
        <v>719</v>
      </c>
    </row>
  </sheetData>
  <pageMargins left="0.34" right="0.34" top="0.43307086614173229" bottom="0.35433070866141736" header="0.31496062992125984" footer="0.27559055118110237"/>
  <pageSetup paperSize="9" scale="67"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3C42-F96D-7148-AE46-923C2401E351}">
  <sheetPr>
    <pageSetUpPr fitToPage="1"/>
  </sheetPr>
  <dimension ref="A1:G44"/>
  <sheetViews>
    <sheetView zoomScaleNormal="100" workbookViewId="0">
      <selection activeCell="A22" sqref="A22:E24"/>
    </sheetView>
  </sheetViews>
  <sheetFormatPr baseColWidth="10" defaultColWidth="11.3984375" defaultRowHeight="13"/>
  <cols>
    <col min="1" max="1" width="21.3984375" style="3" customWidth="1"/>
    <col min="2" max="5" width="20.3984375" style="3" customWidth="1"/>
    <col min="6" max="6" width="11.3984375" style="3"/>
    <col min="7" max="7" width="14.59765625" style="3" customWidth="1"/>
    <col min="8" max="16384" width="11.3984375" style="3"/>
  </cols>
  <sheetData>
    <row r="1" spans="1:7" s="2" customFormat="1" ht="14" customHeight="1"/>
    <row r="2" spans="1:7" s="2" customFormat="1" ht="28" customHeight="1">
      <c r="A2" s="180" t="s">
        <v>705</v>
      </c>
      <c r="E2" s="180">
        <v>2011</v>
      </c>
    </row>
    <row r="3" spans="1:7" ht="27" customHeight="1">
      <c r="A3" s="92" t="s">
        <v>191</v>
      </c>
      <c r="B3" s="182" t="s">
        <v>349</v>
      </c>
      <c r="C3" s="183" t="s">
        <v>700</v>
      </c>
      <c r="D3" s="182" t="s">
        <v>348</v>
      </c>
      <c r="E3" s="183" t="s">
        <v>278</v>
      </c>
    </row>
    <row r="4" spans="1:7" ht="21.75" customHeight="1">
      <c r="A4" s="95"/>
      <c r="B4" s="185"/>
      <c r="C4" s="186" t="s">
        <v>348</v>
      </c>
      <c r="D4" s="211"/>
      <c r="E4" s="186"/>
    </row>
    <row r="5" spans="1:7" ht="21.75" customHeight="1">
      <c r="A5" s="95"/>
      <c r="B5" s="185" t="s">
        <v>460</v>
      </c>
      <c r="C5" s="186" t="s">
        <v>461</v>
      </c>
      <c r="D5" s="185" t="s">
        <v>462</v>
      </c>
      <c r="E5" s="186"/>
    </row>
    <row r="6" spans="1:7" ht="14.5" customHeight="1">
      <c r="A6" s="97"/>
      <c r="B6" s="213"/>
      <c r="C6" s="97"/>
      <c r="D6" s="213"/>
      <c r="E6" s="190"/>
    </row>
    <row r="7" spans="1:7" ht="25.25" customHeight="1" thickBot="1">
      <c r="A7" s="99" t="s">
        <v>362</v>
      </c>
      <c r="B7" s="215">
        <v>234268099.83000001</v>
      </c>
      <c r="C7" s="216">
        <v>310881288.25999999</v>
      </c>
      <c r="D7" s="215">
        <v>3504707826.4099998</v>
      </c>
      <c r="E7" s="216">
        <v>4049857214.5</v>
      </c>
      <c r="G7" s="306"/>
    </row>
    <row r="8" spans="1:7" ht="20" customHeight="1" thickBot="1">
      <c r="A8" s="103" t="s">
        <v>363</v>
      </c>
      <c r="B8" s="215">
        <v>170973929.84999999</v>
      </c>
      <c r="C8" s="216">
        <v>250979899.88</v>
      </c>
      <c r="D8" s="215">
        <v>2812134989.6300001</v>
      </c>
      <c r="E8" s="216">
        <v>3234088819.3600001</v>
      </c>
      <c r="G8" s="306"/>
    </row>
    <row r="9" spans="1:7" ht="20" customHeight="1" thickBot="1">
      <c r="A9" s="103" t="s">
        <v>364</v>
      </c>
      <c r="B9" s="215">
        <v>57991499.539999999</v>
      </c>
      <c r="C9" s="216">
        <v>87532928.090000004</v>
      </c>
      <c r="D9" s="215">
        <v>830947646.60000002</v>
      </c>
      <c r="E9" s="216">
        <v>976472074.23000002</v>
      </c>
      <c r="G9" s="306"/>
    </row>
    <row r="10" spans="1:7" ht="20" customHeight="1" thickBot="1">
      <c r="A10" s="103" t="s">
        <v>365</v>
      </c>
      <c r="B10" s="215">
        <v>5066609.57</v>
      </c>
      <c r="C10" s="216">
        <v>7542341.2000000002</v>
      </c>
      <c r="D10" s="215">
        <v>73029472.159999996</v>
      </c>
      <c r="E10" s="216">
        <v>85638422.929999992</v>
      </c>
      <c r="G10" s="306"/>
    </row>
    <row r="11" spans="1:7" ht="20" customHeight="1" thickBot="1">
      <c r="A11" s="103" t="s">
        <v>366</v>
      </c>
      <c r="B11" s="215">
        <v>22438836.98</v>
      </c>
      <c r="C11" s="216">
        <v>31088898.43</v>
      </c>
      <c r="D11" s="215">
        <v>318264165.27999997</v>
      </c>
      <c r="E11" s="216">
        <v>371791900.68999994</v>
      </c>
      <c r="G11" s="306"/>
    </row>
    <row r="12" spans="1:7" ht="20" customHeight="1" thickBot="1">
      <c r="A12" s="103" t="s">
        <v>367</v>
      </c>
      <c r="B12" s="215">
        <v>5247744.59</v>
      </c>
      <c r="C12" s="216">
        <v>7853542.3499999996</v>
      </c>
      <c r="D12" s="215">
        <v>72697266.469999999</v>
      </c>
      <c r="E12" s="216">
        <v>85798553.409999996</v>
      </c>
      <c r="G12" s="306"/>
    </row>
    <row r="13" spans="1:7" ht="20" customHeight="1" thickBot="1">
      <c r="A13" s="103" t="s">
        <v>368</v>
      </c>
      <c r="B13" s="215">
        <v>4991464.62</v>
      </c>
      <c r="C13" s="216">
        <v>7627409.1699999999</v>
      </c>
      <c r="D13" s="215">
        <v>78831878.900000006</v>
      </c>
      <c r="E13" s="216">
        <v>91450752.689999998</v>
      </c>
      <c r="G13" s="306"/>
    </row>
    <row r="14" spans="1:7" ht="20" customHeight="1" thickBot="1">
      <c r="A14" s="103" t="s">
        <v>369</v>
      </c>
      <c r="B14" s="215">
        <v>5671870.46</v>
      </c>
      <c r="C14" s="216">
        <v>9396224.8900000006</v>
      </c>
      <c r="D14" s="215">
        <v>87487629.859999999</v>
      </c>
      <c r="E14" s="216">
        <v>102555725.21000001</v>
      </c>
      <c r="G14" s="306"/>
    </row>
    <row r="15" spans="1:7" ht="20" customHeight="1" thickBot="1">
      <c r="A15" s="103" t="s">
        <v>370</v>
      </c>
      <c r="B15" s="215">
        <v>16711978.17</v>
      </c>
      <c r="C15" s="216">
        <v>21904158.739999998</v>
      </c>
      <c r="D15" s="215">
        <v>245161126.19</v>
      </c>
      <c r="E15" s="216">
        <v>283777263.10000002</v>
      </c>
      <c r="G15" s="306"/>
    </row>
    <row r="16" spans="1:7" ht="20" customHeight="1" thickBot="1">
      <c r="A16" s="103" t="s">
        <v>371</v>
      </c>
      <c r="B16" s="215">
        <v>54751154.859999999</v>
      </c>
      <c r="C16" s="216">
        <v>70679108</v>
      </c>
      <c r="D16" s="215">
        <v>650069865.66999996</v>
      </c>
      <c r="E16" s="216">
        <v>775500128.52999997</v>
      </c>
      <c r="G16" s="306"/>
    </row>
    <row r="17" spans="1:7" ht="20" customHeight="1" thickBot="1">
      <c r="A17" s="103" t="s">
        <v>372</v>
      </c>
      <c r="B17" s="215">
        <v>41156747.399999999</v>
      </c>
      <c r="C17" s="216">
        <v>62757220.979999997</v>
      </c>
      <c r="D17" s="215">
        <v>627044575.51999998</v>
      </c>
      <c r="E17" s="216">
        <v>730958543.89999998</v>
      </c>
      <c r="G17" s="306"/>
    </row>
    <row r="18" spans="1:7" ht="20" customHeight="1" thickBot="1">
      <c r="A18" s="103" t="s">
        <v>373</v>
      </c>
      <c r="B18" s="215">
        <v>35450668.369999997</v>
      </c>
      <c r="C18" s="216">
        <v>53186796.369999997</v>
      </c>
      <c r="D18" s="215">
        <v>669585983.64999998</v>
      </c>
      <c r="E18" s="216">
        <v>758223448.38999999</v>
      </c>
      <c r="G18" s="306"/>
    </row>
    <row r="19" spans="1:7" ht="20" customHeight="1" thickBot="1">
      <c r="A19" s="103" t="s">
        <v>374</v>
      </c>
      <c r="B19" s="215">
        <v>49263222.920000002</v>
      </c>
      <c r="C19" s="216">
        <v>66970783.140000001</v>
      </c>
      <c r="D19" s="215">
        <v>768674731</v>
      </c>
      <c r="E19" s="216">
        <v>884908737.05999994</v>
      </c>
      <c r="G19" s="306"/>
    </row>
    <row r="20" spans="1:7" ht="20" customHeight="1" thickBot="1">
      <c r="A20" s="103" t="s">
        <v>375</v>
      </c>
      <c r="B20" s="215">
        <v>11746266.390000001</v>
      </c>
      <c r="C20" s="216">
        <v>18878293.510000002</v>
      </c>
      <c r="D20" s="215">
        <v>188307355.13</v>
      </c>
      <c r="E20" s="216">
        <v>218931915.03</v>
      </c>
      <c r="G20" s="306"/>
    </row>
    <row r="21" spans="1:7" ht="20" customHeight="1" thickBot="1">
      <c r="A21" s="103" t="s">
        <v>376</v>
      </c>
      <c r="B21" s="215">
        <v>7398790.5899999999</v>
      </c>
      <c r="C21" s="216">
        <v>11180085.77</v>
      </c>
      <c r="D21" s="215">
        <v>105944707.31999999</v>
      </c>
      <c r="E21" s="216">
        <v>124523583.67999999</v>
      </c>
      <c r="G21" s="306"/>
    </row>
    <row r="22" spans="1:7" ht="20" customHeight="1" thickBot="1">
      <c r="A22" s="103" t="s">
        <v>377</v>
      </c>
      <c r="B22" s="215">
        <v>2190298.04</v>
      </c>
      <c r="C22" s="216">
        <v>3327483.67</v>
      </c>
      <c r="D22" s="215">
        <v>27601609.620000001</v>
      </c>
      <c r="E22" s="216">
        <v>33119391.330000002</v>
      </c>
      <c r="G22" s="306"/>
    </row>
    <row r="23" spans="1:7" ht="20" customHeight="1" thickBot="1">
      <c r="A23" s="103" t="s">
        <v>378</v>
      </c>
      <c r="B23" s="215">
        <v>76043792.629999995</v>
      </c>
      <c r="C23" s="216">
        <v>115696868.73</v>
      </c>
      <c r="D23" s="215">
        <v>1037385413.08</v>
      </c>
      <c r="E23" s="216">
        <v>1229126074.4400001</v>
      </c>
      <c r="G23" s="306"/>
    </row>
    <row r="24" spans="1:7" ht="20" customHeight="1" thickBot="1">
      <c r="A24" s="103" t="s">
        <v>379</v>
      </c>
      <c r="B24" s="215">
        <v>27547900.280000001</v>
      </c>
      <c r="C24" s="216">
        <v>47652674.18</v>
      </c>
      <c r="D24" s="215">
        <v>444433712.08999997</v>
      </c>
      <c r="E24" s="216">
        <v>519634286.54999995</v>
      </c>
      <c r="G24" s="306"/>
    </row>
    <row r="25" spans="1:7" ht="20" customHeight="1" thickBot="1">
      <c r="A25" s="103" t="s">
        <v>380</v>
      </c>
      <c r="B25" s="215">
        <v>102560979.34999999</v>
      </c>
      <c r="C25" s="216">
        <v>149190500.36000001</v>
      </c>
      <c r="D25" s="215">
        <v>1474075461.8800001</v>
      </c>
      <c r="E25" s="216">
        <v>1725826941.5900002</v>
      </c>
      <c r="G25" s="306"/>
    </row>
    <row r="26" spans="1:7" ht="20" customHeight="1" thickBot="1">
      <c r="A26" s="103" t="s">
        <v>381</v>
      </c>
      <c r="B26" s="215">
        <v>40867904.539999999</v>
      </c>
      <c r="C26" s="216">
        <v>60296119.200000003</v>
      </c>
      <c r="D26" s="215">
        <v>549786008.46000004</v>
      </c>
      <c r="E26" s="216">
        <v>650950032.20000005</v>
      </c>
      <c r="G26" s="306"/>
    </row>
    <row r="27" spans="1:7" ht="20" customHeight="1" thickBot="1">
      <c r="A27" s="103" t="s">
        <v>382</v>
      </c>
      <c r="B27" s="215">
        <v>61167821.689999998</v>
      </c>
      <c r="C27" s="216">
        <v>81143562.739999995</v>
      </c>
      <c r="D27" s="215">
        <v>1008593515.73</v>
      </c>
      <c r="E27" s="216">
        <v>1150904900.1600001</v>
      </c>
      <c r="G27" s="306"/>
    </row>
    <row r="28" spans="1:7" ht="20" customHeight="1" thickBot="1">
      <c r="A28" s="103" t="s">
        <v>383</v>
      </c>
      <c r="B28" s="215">
        <v>152518350.91999999</v>
      </c>
      <c r="C28" s="216">
        <v>205446295.46000001</v>
      </c>
      <c r="D28" s="215">
        <v>1974190074.05</v>
      </c>
      <c r="E28" s="216">
        <v>2332154720.4299998</v>
      </c>
      <c r="G28" s="306"/>
    </row>
    <row r="29" spans="1:7" ht="20" customHeight="1" thickBot="1">
      <c r="A29" s="103" t="s">
        <v>384</v>
      </c>
      <c r="B29" s="215">
        <v>51912336.659999996</v>
      </c>
      <c r="C29" s="216">
        <v>82596554.170000002</v>
      </c>
      <c r="D29" s="215">
        <v>744792861.91999996</v>
      </c>
      <c r="E29" s="216">
        <v>879301752.75</v>
      </c>
      <c r="G29" s="306"/>
    </row>
    <row r="30" spans="1:7" ht="20" customHeight="1" thickBot="1">
      <c r="A30" s="103" t="s">
        <v>385</v>
      </c>
      <c r="B30" s="215">
        <v>31540410.07</v>
      </c>
      <c r="C30" s="216">
        <v>47421391.030000001</v>
      </c>
      <c r="D30" s="215">
        <v>456298026.25</v>
      </c>
      <c r="E30" s="216">
        <v>535259827.35000002</v>
      </c>
      <c r="G30" s="306"/>
    </row>
    <row r="31" spans="1:7" ht="20" customHeight="1" thickBot="1">
      <c r="A31" s="103" t="s">
        <v>386</v>
      </c>
      <c r="B31" s="215">
        <v>97632825.579999998</v>
      </c>
      <c r="C31" s="216">
        <v>131651519.98</v>
      </c>
      <c r="D31" s="215">
        <v>1346427218.96</v>
      </c>
      <c r="E31" s="216">
        <v>1575711564.52</v>
      </c>
      <c r="G31" s="306"/>
    </row>
    <row r="32" spans="1:7" ht="20" customHeight="1" thickBot="1">
      <c r="A32" s="145" t="s">
        <v>387</v>
      </c>
      <c r="B32" s="215">
        <v>12799896.310000001</v>
      </c>
      <c r="C32" s="216">
        <v>19241041.789999999</v>
      </c>
      <c r="D32" s="215">
        <v>181227056.52000001</v>
      </c>
      <c r="E32" s="216">
        <v>213267994.62</v>
      </c>
      <c r="G32" s="306"/>
    </row>
    <row r="33" spans="1:7" ht="20" customHeight="1" thickBot="1">
      <c r="A33" s="222" t="s">
        <v>443</v>
      </c>
      <c r="B33" s="215">
        <v>291450.28999999998</v>
      </c>
      <c r="C33" s="216">
        <v>1107570.92</v>
      </c>
      <c r="D33" s="215">
        <v>10055668.439999999</v>
      </c>
      <c r="E33" s="216">
        <v>11454689.649999999</v>
      </c>
      <c r="G33" s="306"/>
    </row>
    <row r="34" spans="1:7" ht="0.5" customHeight="1" thickBot="1">
      <c r="A34" s="145" t="s">
        <v>309</v>
      </c>
      <c r="B34" s="215">
        <v>0</v>
      </c>
      <c r="C34" s="216">
        <v>0</v>
      </c>
      <c r="D34" s="215">
        <v>0</v>
      </c>
      <c r="E34" s="216">
        <v>0</v>
      </c>
      <c r="G34" s="306"/>
    </row>
    <row r="35" spans="1:7" ht="30" customHeight="1" thickBot="1">
      <c r="A35" s="107" t="s">
        <v>444</v>
      </c>
      <c r="B35" s="307">
        <v>1380202850.5</v>
      </c>
      <c r="C35" s="308">
        <v>1963230561.1500001</v>
      </c>
      <c r="D35" s="307">
        <v>20287755846.700001</v>
      </c>
      <c r="E35" s="308">
        <v>23631189258.350002</v>
      </c>
      <c r="G35" s="306"/>
    </row>
    <row r="36" spans="1:7" ht="20" customHeight="1">
      <c r="A36" s="112" t="s">
        <v>720</v>
      </c>
      <c r="B36" s="112"/>
      <c r="C36" s="112"/>
      <c r="D36" s="112"/>
      <c r="E36" s="112"/>
    </row>
    <row r="37" spans="1:7" ht="13.5" customHeight="1">
      <c r="A37" s="115"/>
      <c r="B37" s="115"/>
      <c r="C37" s="115"/>
      <c r="D37" s="115"/>
      <c r="E37" s="115"/>
    </row>
    <row r="38" spans="1:7" ht="13.5" customHeight="1">
      <c r="A38" s="115" t="s">
        <v>706</v>
      </c>
      <c r="B38" s="115"/>
      <c r="C38" s="115"/>
      <c r="D38" s="115"/>
      <c r="E38" s="115"/>
    </row>
    <row r="39" spans="1:7" ht="12.75" customHeight="1">
      <c r="A39" s="115"/>
      <c r="B39" s="115"/>
      <c r="C39" s="115"/>
      <c r="D39" s="115"/>
      <c r="E39" s="115"/>
    </row>
    <row r="40" spans="1:7" ht="12" customHeight="1">
      <c r="A40" s="115" t="s">
        <v>704</v>
      </c>
    </row>
    <row r="41" spans="1:7" ht="14.25" customHeight="1">
      <c r="A41" s="115" t="s">
        <v>686</v>
      </c>
    </row>
    <row r="42" spans="1:7" ht="14.25" customHeight="1">
      <c r="A42" s="115"/>
    </row>
    <row r="43" spans="1:7" ht="12" customHeight="1"/>
    <row r="44" spans="1:7">
      <c r="A44" s="115" t="s">
        <v>719</v>
      </c>
    </row>
  </sheetData>
  <pageMargins left="0.56000000000000005" right="1.03" top="0.81" bottom="0.49" header="0.44" footer="0.4921259845"/>
  <pageSetup paperSize="9" scale="83" orientation="portrait" horizontalDpi="1200" verticalDpi="12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92EA4-0658-FC45-AA09-BB1E54411082}">
  <sheetPr>
    <pageSetUpPr fitToPage="1"/>
  </sheetPr>
  <dimension ref="A1:J48"/>
  <sheetViews>
    <sheetView zoomScaleNormal="100" workbookViewId="0"/>
  </sheetViews>
  <sheetFormatPr baseColWidth="10" defaultColWidth="11.3984375" defaultRowHeight="13"/>
  <cols>
    <col min="1" max="1" width="22.59765625" style="3" customWidth="1"/>
    <col min="2" max="2" width="14.796875" style="118" customWidth="1"/>
    <col min="3" max="3" width="14.796875" style="119" customWidth="1"/>
    <col min="4" max="4" width="16" style="118" customWidth="1"/>
    <col min="5" max="5" width="15.796875" style="119" customWidth="1"/>
    <col min="6" max="6" width="16" style="118" customWidth="1"/>
    <col min="7" max="7" width="13.59765625" style="3" customWidth="1"/>
    <col min="8" max="8" width="15.59765625" style="3" customWidth="1"/>
    <col min="9" max="9" width="7.796875" style="3" customWidth="1"/>
    <col min="10" max="10" width="9" style="3" customWidth="1"/>
    <col min="11" max="16384" width="11.3984375" style="3"/>
  </cols>
  <sheetData>
    <row r="1" spans="1:10" s="2" customFormat="1" ht="18.75" customHeight="1">
      <c r="A1" s="86"/>
      <c r="B1" s="87"/>
      <c r="C1" s="88"/>
      <c r="D1" s="89"/>
      <c r="E1" s="88"/>
      <c r="F1" s="89"/>
    </row>
    <row r="2" spans="1:10" s="2" customFormat="1" ht="24" customHeight="1">
      <c r="A2" s="941" t="s">
        <v>1588</v>
      </c>
      <c r="B2" s="436"/>
      <c r="C2" s="436"/>
      <c r="D2" s="436"/>
      <c r="E2" s="436"/>
      <c r="F2" s="91"/>
      <c r="H2" s="91">
        <v>2011</v>
      </c>
    </row>
    <row r="3" spans="1:10" ht="27" customHeight="1">
      <c r="A3" s="92" t="s">
        <v>275</v>
      </c>
      <c r="B3" s="1849" t="s">
        <v>276</v>
      </c>
      <c r="C3" s="1850"/>
      <c r="D3" s="1851" t="s">
        <v>277</v>
      </c>
      <c r="E3" s="1850"/>
      <c r="F3" s="1849" t="s">
        <v>683</v>
      </c>
      <c r="G3" s="1850"/>
      <c r="H3" s="1850"/>
    </row>
    <row r="4" spans="1:10" ht="17.5" customHeight="1">
      <c r="A4" s="95"/>
      <c r="B4" s="96" t="s">
        <v>1045</v>
      </c>
      <c r="C4" s="942" t="s">
        <v>1589</v>
      </c>
      <c r="D4" s="96" t="s">
        <v>280</v>
      </c>
      <c r="E4" s="942" t="s">
        <v>1589</v>
      </c>
      <c r="F4" s="96" t="s">
        <v>1045</v>
      </c>
      <c r="G4" s="942" t="s">
        <v>281</v>
      </c>
      <c r="H4" s="96" t="s">
        <v>1589</v>
      </c>
    </row>
    <row r="5" spans="1:10" ht="18.5" customHeight="1">
      <c r="A5" s="95"/>
      <c r="B5" s="96"/>
      <c r="C5" s="942" t="s">
        <v>1590</v>
      </c>
      <c r="D5" s="96"/>
      <c r="E5" s="942" t="s">
        <v>1590</v>
      </c>
      <c r="F5" s="96"/>
      <c r="G5" s="942"/>
      <c r="H5" s="96" t="s">
        <v>1590</v>
      </c>
    </row>
    <row r="6" spans="1:10" ht="17.5" customHeight="1">
      <c r="A6" s="97"/>
      <c r="B6" s="98"/>
      <c r="C6" s="943"/>
      <c r="D6" s="98"/>
      <c r="E6" s="943"/>
      <c r="F6" s="98"/>
      <c r="G6" s="944"/>
      <c r="H6" s="98"/>
    </row>
    <row r="7" spans="1:10" ht="30" customHeight="1" thickBot="1">
      <c r="A7" s="99" t="s">
        <v>284</v>
      </c>
      <c r="B7" s="311">
        <v>207.38982243999999</v>
      </c>
      <c r="C7" s="945">
        <v>920.40213357376797</v>
      </c>
      <c r="D7" s="311">
        <v>196.87352380999999</v>
      </c>
      <c r="E7" s="945">
        <v>919.25864361745585</v>
      </c>
      <c r="F7" s="311">
        <v>404.26334630999997</v>
      </c>
      <c r="G7" s="946">
        <v>1.7107194305395611E-2</v>
      </c>
      <c r="H7" s="100">
        <v>919.84492759301691</v>
      </c>
      <c r="I7" s="102"/>
      <c r="J7" s="102"/>
    </row>
    <row r="8" spans="1:10" ht="20" customHeight="1" thickBot="1">
      <c r="A8" s="103" t="s">
        <v>285</v>
      </c>
      <c r="B8" s="311">
        <v>180.94540484000001</v>
      </c>
      <c r="C8" s="945">
        <v>917.75171058909496</v>
      </c>
      <c r="D8" s="311">
        <v>171.26066656999998</v>
      </c>
      <c r="E8" s="945">
        <v>915.26292286788828</v>
      </c>
      <c r="F8" s="311">
        <v>352.20607141000005</v>
      </c>
      <c r="G8" s="946">
        <v>1.4904288885321261E-2</v>
      </c>
      <c r="H8" s="100">
        <v>916.53986975989983</v>
      </c>
      <c r="I8" s="102"/>
      <c r="J8" s="102"/>
    </row>
    <row r="9" spans="1:10" ht="20" customHeight="1" thickBot="1">
      <c r="A9" s="103" t="s">
        <v>286</v>
      </c>
      <c r="B9" s="311">
        <v>197.14450071000002</v>
      </c>
      <c r="C9" s="945">
        <v>920.57910411589489</v>
      </c>
      <c r="D9" s="311">
        <v>186.87292406999998</v>
      </c>
      <c r="E9" s="945">
        <v>918.90934621953181</v>
      </c>
      <c r="F9" s="311">
        <v>384.01742474999998</v>
      </c>
      <c r="G9" s="946">
        <v>1.6250448530197067E-2</v>
      </c>
      <c r="H9" s="100">
        <v>919.76577682407503</v>
      </c>
      <c r="I9" s="102"/>
      <c r="J9" s="102"/>
    </row>
    <row r="10" spans="1:10" ht="20" customHeight="1" thickBot="1">
      <c r="A10" s="103" t="s">
        <v>287</v>
      </c>
      <c r="B10" s="311">
        <v>122.88204786</v>
      </c>
      <c r="C10" s="945">
        <v>910.35614245680483</v>
      </c>
      <c r="D10" s="311">
        <v>116.83396015000001</v>
      </c>
      <c r="E10" s="945">
        <v>915.06090121867453</v>
      </c>
      <c r="F10" s="311">
        <v>239.71600801</v>
      </c>
      <c r="G10" s="946">
        <v>1.0144051803292066E-2</v>
      </c>
      <c r="H10" s="100">
        <v>912.64314685602471</v>
      </c>
      <c r="I10" s="102"/>
      <c r="J10" s="102"/>
    </row>
    <row r="11" spans="1:10" ht="20" customHeight="1" thickBot="1">
      <c r="A11" s="104" t="s">
        <v>288</v>
      </c>
      <c r="B11" s="947">
        <v>708.36177587999998</v>
      </c>
      <c r="C11" s="948">
        <v>918.01662184441489</v>
      </c>
      <c r="D11" s="947">
        <v>671.84107463999999</v>
      </c>
      <c r="E11" s="948">
        <v>917.4088700749486</v>
      </c>
      <c r="F11" s="947">
        <v>1380.2028505000001</v>
      </c>
      <c r="G11" s="949">
        <v>5.840598352505235E-2</v>
      </c>
      <c r="H11" s="105">
        <v>917.72070437531715</v>
      </c>
      <c r="I11" s="102"/>
      <c r="J11" s="102"/>
    </row>
    <row r="12" spans="1:10" ht="20" customHeight="1" thickBot="1">
      <c r="A12" s="103" t="s">
        <v>289</v>
      </c>
      <c r="B12" s="311">
        <v>277.41092951000002</v>
      </c>
      <c r="C12" s="945">
        <v>2947.0091426984618</v>
      </c>
      <c r="D12" s="311">
        <v>280.67751056000003</v>
      </c>
      <c r="E12" s="945">
        <v>3085.2724700744711</v>
      </c>
      <c r="F12" s="311">
        <v>558.08844008000005</v>
      </c>
      <c r="G12" s="946">
        <v>2.3616604055720029E-2</v>
      </c>
      <c r="H12" s="100">
        <v>3014.9605868798258</v>
      </c>
      <c r="I12" s="102"/>
      <c r="J12" s="102"/>
    </row>
    <row r="13" spans="1:10" ht="20" customHeight="1" thickBot="1">
      <c r="A13" s="103" t="s">
        <v>290</v>
      </c>
      <c r="B13" s="311">
        <v>694.0257048200001</v>
      </c>
      <c r="C13" s="945">
        <v>2853.526527275003</v>
      </c>
      <c r="D13" s="311">
        <v>711.11394491999999</v>
      </c>
      <c r="E13" s="945">
        <v>3004.5541697057724</v>
      </c>
      <c r="F13" s="311">
        <v>1405.13964975</v>
      </c>
      <c r="G13" s="946">
        <v>5.9461232965839557E-2</v>
      </c>
      <c r="H13" s="100">
        <v>2928.0113567835469</v>
      </c>
      <c r="I13" s="102"/>
      <c r="J13" s="102"/>
    </row>
    <row r="14" spans="1:10" ht="20" customHeight="1" thickBot="1">
      <c r="A14" s="104" t="s">
        <v>291</v>
      </c>
      <c r="B14" s="947">
        <v>971.43663433000006</v>
      </c>
      <c r="C14" s="948">
        <v>2879.6113635542401</v>
      </c>
      <c r="D14" s="947">
        <v>991.79145547999997</v>
      </c>
      <c r="E14" s="948">
        <v>3026.9659745095405</v>
      </c>
      <c r="F14" s="947">
        <v>1963.2280898499998</v>
      </c>
      <c r="G14" s="949">
        <v>8.3077837022405912E-2</v>
      </c>
      <c r="H14" s="105">
        <v>2952.2142566058833</v>
      </c>
      <c r="I14" s="102"/>
      <c r="J14" s="102"/>
    </row>
    <row r="15" spans="1:10" ht="20" customHeight="1" thickBot="1">
      <c r="A15" s="103" t="s">
        <v>292</v>
      </c>
      <c r="B15" s="311">
        <v>815.25266113999999</v>
      </c>
      <c r="C15" s="945">
        <v>3070.794805132386</v>
      </c>
      <c r="D15" s="311">
        <v>840.92707083000005</v>
      </c>
      <c r="E15" s="945">
        <v>3244.786845434814</v>
      </c>
      <c r="F15" s="311">
        <v>1656.17973201</v>
      </c>
      <c r="G15" s="946">
        <v>7.0084485122791501E-2</v>
      </c>
      <c r="H15" s="100">
        <v>3156.7424771468359</v>
      </c>
      <c r="I15" s="102"/>
      <c r="J15" s="102"/>
    </row>
    <row r="16" spans="1:10" ht="20" customHeight="1" thickBot="1">
      <c r="A16" s="103" t="s">
        <v>293</v>
      </c>
      <c r="B16" s="311">
        <v>816.73938290000001</v>
      </c>
      <c r="C16" s="945">
        <v>3020.7335523774263</v>
      </c>
      <c r="D16" s="311">
        <v>872.96729813000002</v>
      </c>
      <c r="E16" s="945">
        <v>3268.6275527093426</v>
      </c>
      <c r="F16" s="311">
        <v>1689.7066810199999</v>
      </c>
      <c r="G16" s="946">
        <v>7.150324355443359E-2</v>
      </c>
      <c r="H16" s="100">
        <v>3143.9187563773089</v>
      </c>
      <c r="I16" s="102"/>
      <c r="J16" s="102"/>
    </row>
    <row r="17" spans="1:10" ht="20" customHeight="1" thickBot="1">
      <c r="A17" s="103" t="s">
        <v>294</v>
      </c>
      <c r="B17" s="311">
        <v>861.77614335999999</v>
      </c>
      <c r="C17" s="945">
        <v>3067.2000687345176</v>
      </c>
      <c r="D17" s="311">
        <v>934.33883370000001</v>
      </c>
      <c r="E17" s="945">
        <v>3354.0539187976483</v>
      </c>
      <c r="F17" s="311">
        <v>1796.11497706</v>
      </c>
      <c r="G17" s="946">
        <v>7.600611875367673E-2</v>
      </c>
      <c r="H17" s="100">
        <v>3210.0128852678113</v>
      </c>
      <c r="I17" s="102"/>
      <c r="J17" s="102"/>
    </row>
    <row r="18" spans="1:10" ht="20" customHeight="1" thickBot="1">
      <c r="A18" s="103" t="s">
        <v>295</v>
      </c>
      <c r="B18" s="311">
        <v>1004.25425983</v>
      </c>
      <c r="C18" s="945">
        <v>3159.3860307249893</v>
      </c>
      <c r="D18" s="311">
        <v>1079.09019818</v>
      </c>
      <c r="E18" s="945">
        <v>3427.8377008456841</v>
      </c>
      <c r="F18" s="311">
        <v>2083.3444579699999</v>
      </c>
      <c r="G18" s="946">
        <v>8.8160796106981326E-2</v>
      </c>
      <c r="H18" s="100">
        <v>3292.9623437014307</v>
      </c>
      <c r="I18" s="102"/>
      <c r="J18" s="102"/>
    </row>
    <row r="19" spans="1:10" ht="20" customHeight="1" thickBot="1">
      <c r="A19" s="103" t="s">
        <v>296</v>
      </c>
      <c r="B19" s="311">
        <v>1075.2633716400001</v>
      </c>
      <c r="C19" s="945">
        <v>3275.0579913040642</v>
      </c>
      <c r="D19" s="311">
        <v>1116.85956779</v>
      </c>
      <c r="E19" s="945">
        <v>3493.7622333497225</v>
      </c>
      <c r="F19" s="311">
        <v>2192.12293942</v>
      </c>
      <c r="G19" s="946">
        <v>9.2763970338325161E-2</v>
      </c>
      <c r="H19" s="100">
        <v>3382.9510333417584</v>
      </c>
      <c r="I19" s="102"/>
      <c r="J19" s="102"/>
    </row>
    <row r="20" spans="1:10" ht="20" customHeight="1" thickBot="1">
      <c r="A20" s="103" t="s">
        <v>297</v>
      </c>
      <c r="B20" s="311">
        <v>970.28366327000003</v>
      </c>
      <c r="C20" s="945">
        <v>3409.3745825879118</v>
      </c>
      <c r="D20" s="311">
        <v>998.06218815</v>
      </c>
      <c r="E20" s="945">
        <v>3595.1202638682671</v>
      </c>
      <c r="F20" s="311">
        <v>1968.3458514200001</v>
      </c>
      <c r="G20" s="946">
        <v>8.3294405114432604E-2</v>
      </c>
      <c r="H20" s="100">
        <v>3501.0953611202453</v>
      </c>
      <c r="I20" s="102"/>
      <c r="J20" s="102"/>
    </row>
    <row r="21" spans="1:10" ht="20" customHeight="1" thickBot="1">
      <c r="A21" s="103" t="s">
        <v>298</v>
      </c>
      <c r="B21" s="311">
        <v>856.25017954999998</v>
      </c>
      <c r="C21" s="945">
        <v>3555.2150189440499</v>
      </c>
      <c r="D21" s="311">
        <v>897.50653321000004</v>
      </c>
      <c r="E21" s="945">
        <v>3723.8682124956927</v>
      </c>
      <c r="F21" s="311">
        <v>1753.7567127899999</v>
      </c>
      <c r="G21" s="946">
        <v>7.4213645941287446E-2</v>
      </c>
      <c r="H21" s="100">
        <v>3639.5715675453853</v>
      </c>
      <c r="I21" s="102"/>
      <c r="J21" s="102"/>
    </row>
    <row r="22" spans="1:10" ht="20" customHeight="1" thickBot="1">
      <c r="A22" s="103" t="s">
        <v>299</v>
      </c>
      <c r="B22" s="311">
        <v>835.41929052</v>
      </c>
      <c r="C22" s="945">
        <v>3739.7006863539709</v>
      </c>
      <c r="D22" s="311">
        <v>897.22236076000002</v>
      </c>
      <c r="E22" s="945">
        <v>3896.1049551166607</v>
      </c>
      <c r="F22" s="311">
        <v>1732.6416512599999</v>
      </c>
      <c r="G22" s="946">
        <v>7.3320120808076136E-2</v>
      </c>
      <c r="H22" s="100">
        <v>3819.0915851516161</v>
      </c>
      <c r="I22" s="102"/>
      <c r="J22" s="102"/>
    </row>
    <row r="23" spans="1:10" ht="20" customHeight="1" thickBot="1">
      <c r="A23" s="103" t="s">
        <v>300</v>
      </c>
      <c r="B23" s="311">
        <v>740.04744413000003</v>
      </c>
      <c r="C23" s="945">
        <v>3924.521255700532</v>
      </c>
      <c r="D23" s="311">
        <v>823.13427075999994</v>
      </c>
      <c r="E23" s="945">
        <v>4057.0908166439372</v>
      </c>
      <c r="F23" s="311">
        <v>1563.1817148599998</v>
      </c>
      <c r="G23" s="946">
        <v>6.6149092107512797E-2</v>
      </c>
      <c r="H23" s="100">
        <v>3993.2304216189973</v>
      </c>
      <c r="I23" s="102"/>
      <c r="J23" s="102"/>
    </row>
    <row r="24" spans="1:10" ht="20" customHeight="1" thickBot="1">
      <c r="A24" s="103" t="s">
        <v>301</v>
      </c>
      <c r="B24" s="311">
        <v>552.38788462000002</v>
      </c>
      <c r="C24" s="945">
        <v>4058.0433749997151</v>
      </c>
      <c r="D24" s="311">
        <v>678.00566161999996</v>
      </c>
      <c r="E24" s="945">
        <v>4185.3190826672007</v>
      </c>
      <c r="F24" s="311">
        <v>1230.39354626</v>
      </c>
      <c r="G24" s="946">
        <v>5.2066509764241563E-2</v>
      </c>
      <c r="H24" s="100">
        <v>4127.2049416561313</v>
      </c>
      <c r="I24" s="102"/>
      <c r="J24" s="102"/>
    </row>
    <row r="25" spans="1:10" ht="20" customHeight="1" thickBot="1">
      <c r="A25" s="103" t="s">
        <v>302</v>
      </c>
      <c r="B25" s="311">
        <v>448.69841197000005</v>
      </c>
      <c r="C25" s="945">
        <v>4173.6789772803904</v>
      </c>
      <c r="D25" s="311">
        <v>615.84453408000002</v>
      </c>
      <c r="E25" s="945">
        <v>4302.767546203896</v>
      </c>
      <c r="F25" s="311">
        <v>1064.54294607</v>
      </c>
      <c r="G25" s="946">
        <v>4.5048217185865831E-2</v>
      </c>
      <c r="H25" s="100">
        <v>4247.3973265338354</v>
      </c>
      <c r="I25" s="102"/>
      <c r="J25" s="102"/>
    </row>
    <row r="26" spans="1:10" ht="20" customHeight="1" thickBot="1">
      <c r="A26" s="103" t="s">
        <v>303</v>
      </c>
      <c r="B26" s="311">
        <v>305.64056065</v>
      </c>
      <c r="C26" s="945">
        <v>4271.8540160441617</v>
      </c>
      <c r="D26" s="311">
        <v>512.49240904999999</v>
      </c>
      <c r="E26" s="945">
        <v>4401.9908549754873</v>
      </c>
      <c r="F26" s="311">
        <v>818.1329697000001</v>
      </c>
      <c r="G26" s="946">
        <v>3.4620897016905815E-2</v>
      </c>
      <c r="H26" s="100">
        <v>4352.4570904446273</v>
      </c>
      <c r="I26" s="102"/>
      <c r="J26" s="102"/>
    </row>
    <row r="27" spans="1:10" ht="20" customHeight="1" thickBot="1">
      <c r="A27" s="103" t="s">
        <v>304</v>
      </c>
      <c r="B27" s="311">
        <v>162.05422658000001</v>
      </c>
      <c r="C27" s="945">
        <v>4349.7670856434861</v>
      </c>
      <c r="D27" s="311">
        <v>343.47044283999998</v>
      </c>
      <c r="E27" s="945">
        <v>4478.6826720438085</v>
      </c>
      <c r="F27" s="311">
        <v>505.52466939999999</v>
      </c>
      <c r="G27" s="946">
        <v>2.1392265275925058E-2</v>
      </c>
      <c r="H27" s="100">
        <v>4436.5315528629717</v>
      </c>
      <c r="I27" s="102"/>
      <c r="J27" s="102"/>
    </row>
    <row r="28" spans="1:10" ht="20" customHeight="1" thickBot="1">
      <c r="A28" s="103" t="s">
        <v>305</v>
      </c>
      <c r="B28" s="311">
        <v>49.938856210000004</v>
      </c>
      <c r="C28" s="945">
        <v>4407.5493332038877</v>
      </c>
      <c r="D28" s="311">
        <v>134.78776119</v>
      </c>
      <c r="E28" s="945">
        <v>4541.3666169137468</v>
      </c>
      <c r="F28" s="311">
        <v>184.72661740000001</v>
      </c>
      <c r="G28" s="946">
        <v>7.8170681712434621E-3</v>
      </c>
      <c r="H28" s="100">
        <v>4504.3967599351281</v>
      </c>
      <c r="I28" s="102"/>
      <c r="J28" s="102"/>
    </row>
    <row r="29" spans="1:10" ht="20" customHeight="1" thickBot="1">
      <c r="A29" s="103" t="s">
        <v>306</v>
      </c>
      <c r="B29" s="311">
        <v>9.5468999499999985</v>
      </c>
      <c r="C29" s="945">
        <v>4485.3977326116774</v>
      </c>
      <c r="D29" s="311">
        <v>34.419945929999997</v>
      </c>
      <c r="E29" s="945">
        <v>4627.2759565449442</v>
      </c>
      <c r="F29" s="311">
        <v>43.966845829999997</v>
      </c>
      <c r="G29" s="946">
        <v>1.8605430877535317E-3</v>
      </c>
      <c r="H29" s="100">
        <v>4595.7446675293668</v>
      </c>
      <c r="I29" s="102"/>
      <c r="J29" s="102"/>
    </row>
    <row r="30" spans="1:10" ht="20" customHeight="1" thickBot="1">
      <c r="A30" s="103" t="s">
        <v>307</v>
      </c>
      <c r="B30" s="311">
        <v>0.77660967000000003</v>
      </c>
      <c r="C30" s="945">
        <v>4558.9061931317883</v>
      </c>
      <c r="D30" s="311">
        <v>4.2993958899999996</v>
      </c>
      <c r="E30" s="945">
        <v>4725.9611427440805</v>
      </c>
      <c r="F30" s="311">
        <v>5.0760055599999996</v>
      </c>
      <c r="G30" s="946">
        <v>2.1480110478183228E-4</v>
      </c>
      <c r="H30" s="100">
        <v>4699.6135136886742</v>
      </c>
      <c r="I30" s="102"/>
      <c r="J30" s="102"/>
    </row>
    <row r="31" spans="1:10" ht="20" customHeight="1" thickBot="1">
      <c r="A31" s="104" t="s">
        <v>308</v>
      </c>
      <c r="B31" s="947">
        <v>9504.3298459199996</v>
      </c>
      <c r="C31" s="948">
        <v>3435.5434622517723</v>
      </c>
      <c r="D31" s="947">
        <v>10783.4284721</v>
      </c>
      <c r="E31" s="948">
        <v>3683.6807600407346</v>
      </c>
      <c r="F31" s="947">
        <v>20287.758318009997</v>
      </c>
      <c r="G31" s="949">
        <v>0.85851617945338798</v>
      </c>
      <c r="H31" s="105">
        <v>3563.1177147723588</v>
      </c>
      <c r="I31" s="102"/>
      <c r="J31" s="102"/>
    </row>
    <row r="32" spans="1:10" ht="20" customHeight="1" thickBot="1">
      <c r="A32" s="103" t="s">
        <v>309</v>
      </c>
      <c r="B32" s="311">
        <v>0</v>
      </c>
      <c r="C32" s="945" t="s">
        <v>30</v>
      </c>
      <c r="D32" s="311">
        <v>0</v>
      </c>
      <c r="E32" s="945" t="s">
        <v>30</v>
      </c>
      <c r="F32" s="311" t="s">
        <v>30</v>
      </c>
      <c r="G32" s="946" t="s">
        <v>30</v>
      </c>
      <c r="H32" s="100" t="s">
        <v>30</v>
      </c>
      <c r="I32" s="102"/>
      <c r="J32" s="102"/>
    </row>
    <row r="33" spans="1:10" s="110" customFormat="1" ht="24.75" customHeight="1" thickBot="1">
      <c r="A33" s="107" t="s">
        <v>278</v>
      </c>
      <c r="B33" s="858">
        <v>11184.128256139998</v>
      </c>
      <c r="C33" s="950">
        <v>2885.8971927222851</v>
      </c>
      <c r="D33" s="858">
        <v>12447.061002190001</v>
      </c>
      <c r="E33" s="950">
        <v>3121.6545820261308</v>
      </c>
      <c r="F33" s="858">
        <v>23631.18925834</v>
      </c>
      <c r="G33" s="951">
        <v>1</v>
      </c>
      <c r="H33" s="224">
        <v>3005.4532786577111</v>
      </c>
      <c r="I33" s="111"/>
      <c r="J33" s="111"/>
    </row>
    <row r="34" spans="1:10" ht="20" customHeight="1">
      <c r="A34" s="112" t="s">
        <v>720</v>
      </c>
      <c r="B34" s="113"/>
      <c r="C34" s="114"/>
      <c r="D34" s="113"/>
      <c r="E34" s="114"/>
      <c r="F34" s="113"/>
    </row>
    <row r="35" spans="1:10" ht="12.75" customHeight="1">
      <c r="A35" s="115"/>
      <c r="B35" s="116"/>
      <c r="C35" s="117"/>
      <c r="D35" s="116"/>
      <c r="E35" s="117"/>
      <c r="F35" s="116"/>
    </row>
    <row r="36" spans="1:10" ht="16.5" customHeight="1">
      <c r="A36" s="115" t="s">
        <v>1591</v>
      </c>
      <c r="B36" s="116"/>
      <c r="C36" s="117"/>
      <c r="D36" s="116"/>
      <c r="E36" s="117"/>
      <c r="F36" s="116"/>
    </row>
    <row r="37" spans="1:10" ht="12" customHeight="1">
      <c r="A37" s="115"/>
      <c r="B37" s="116"/>
      <c r="C37" s="117"/>
      <c r="D37" s="116"/>
      <c r="E37" s="117"/>
      <c r="F37" s="116"/>
    </row>
    <row r="38" spans="1:10" ht="14.25" customHeight="1">
      <c r="A38" s="115"/>
      <c r="B38" s="116"/>
      <c r="C38" s="117"/>
      <c r="D38" s="116"/>
      <c r="E38" s="117"/>
      <c r="F38" s="116"/>
    </row>
    <row r="39" spans="1:10" ht="15.75" customHeight="1">
      <c r="A39" s="115" t="s">
        <v>719</v>
      </c>
      <c r="B39" s="116"/>
      <c r="C39" s="117"/>
      <c r="D39" s="116"/>
      <c r="E39" s="117"/>
      <c r="F39" s="116"/>
    </row>
    <row r="40" spans="1:10" ht="18" customHeight="1">
      <c r="A40"/>
    </row>
    <row r="41" spans="1:10" ht="30" customHeight="1"/>
    <row r="42" spans="1:10" ht="30" customHeight="1">
      <c r="H42" s="120"/>
    </row>
    <row r="43" spans="1:10" ht="30" customHeight="1"/>
    <row r="44" spans="1:10" ht="30" customHeight="1"/>
    <row r="45" spans="1:10" ht="30" customHeight="1"/>
    <row r="46" spans="1:10" ht="30" customHeight="1"/>
    <row r="47" spans="1:10" ht="30" customHeight="1"/>
    <row r="48" spans="1:10" ht="30" customHeight="1"/>
  </sheetData>
  <mergeCells count="3">
    <mergeCell ref="B3:C3"/>
    <mergeCell ref="D3:E3"/>
    <mergeCell ref="F3:H3"/>
  </mergeCells>
  <pageMargins left="0.56000000000000005" right="0.54" top="0.74" bottom="0.49" header="0.44" footer="0.4921259845"/>
  <pageSetup paperSize="9" scale="72" orientation="portrait"/>
  <headerFooter alignWithMargins="0"/>
  <rowBreaks count="1" manualBreakCount="1">
    <brk id="39"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05E94-3CF4-EF4C-AFCD-B247C4922EB6}">
  <sheetPr>
    <pageSetUpPr fitToPage="1"/>
  </sheetPr>
  <dimension ref="A1:Q41"/>
  <sheetViews>
    <sheetView topLeftCell="C1" zoomScaleNormal="100" workbookViewId="0">
      <selection activeCell="R3" sqref="R3"/>
    </sheetView>
  </sheetViews>
  <sheetFormatPr baseColWidth="10" defaultColWidth="11.3984375" defaultRowHeight="13"/>
  <cols>
    <col min="1" max="1" width="15.59765625" style="3" customWidth="1"/>
    <col min="2" max="16" width="10.59765625" style="3" customWidth="1"/>
    <col min="17" max="16384" width="11.3984375" style="3"/>
  </cols>
  <sheetData>
    <row r="1" spans="1:17" s="2" customFormat="1" ht="14" customHeight="1"/>
    <row r="2" spans="1:17" s="2" customFormat="1" ht="30.75" customHeight="1">
      <c r="A2" s="181" t="s">
        <v>707</v>
      </c>
      <c r="B2" s="436"/>
      <c r="C2" s="436"/>
      <c r="D2" s="436"/>
      <c r="E2" s="436"/>
      <c r="F2" s="436"/>
      <c r="G2" s="436"/>
      <c r="H2" s="436"/>
      <c r="I2" s="180"/>
      <c r="J2" s="180"/>
      <c r="K2" s="180"/>
      <c r="L2" s="180"/>
    </row>
    <row r="3" spans="1:17" ht="24" customHeight="1">
      <c r="A3" s="530" t="s">
        <v>191</v>
      </c>
      <c r="B3" s="183">
        <v>1996</v>
      </c>
      <c r="C3" s="182">
        <v>1997</v>
      </c>
      <c r="D3" s="183">
        <v>1998</v>
      </c>
      <c r="E3" s="182">
        <v>1999</v>
      </c>
      <c r="F3" s="183">
        <v>2000</v>
      </c>
      <c r="G3" s="182">
        <v>2001</v>
      </c>
      <c r="H3" s="183">
        <v>2002</v>
      </c>
      <c r="I3" s="182">
        <v>2003</v>
      </c>
      <c r="J3" s="183">
        <v>2004</v>
      </c>
      <c r="K3" s="182">
        <v>2005</v>
      </c>
      <c r="L3" s="183">
        <v>2006</v>
      </c>
      <c r="M3" s="182">
        <v>2007</v>
      </c>
      <c r="N3" s="183">
        <v>2008</v>
      </c>
      <c r="O3" s="182">
        <v>2009</v>
      </c>
      <c r="P3" s="183">
        <v>2010</v>
      </c>
      <c r="Q3" s="182">
        <v>2011</v>
      </c>
    </row>
    <row r="4" spans="1:17" ht="15" customHeight="1">
      <c r="A4" s="531"/>
      <c r="B4" s="186"/>
      <c r="C4" s="185"/>
      <c r="D4" s="186"/>
      <c r="E4" s="96"/>
      <c r="F4" s="187"/>
      <c r="G4" s="185"/>
      <c r="H4" s="186"/>
      <c r="I4" s="185"/>
      <c r="J4" s="186"/>
      <c r="K4" s="185"/>
      <c r="L4" s="186"/>
      <c r="M4" s="185"/>
      <c r="N4" s="186"/>
      <c r="O4" s="185"/>
      <c r="P4" s="186"/>
      <c r="Q4" s="185"/>
    </row>
    <row r="5" spans="1:17" ht="16" customHeight="1">
      <c r="A5" s="532"/>
      <c r="B5" s="190"/>
      <c r="C5" s="189"/>
      <c r="D5" s="190"/>
      <c r="E5" s="98"/>
      <c r="F5" s="191"/>
      <c r="G5" s="189"/>
      <c r="H5" s="190"/>
      <c r="I5" s="189"/>
      <c r="J5" s="190"/>
      <c r="K5" s="189"/>
      <c r="L5" s="190"/>
      <c r="M5" s="189"/>
      <c r="N5" s="190"/>
      <c r="O5" s="189"/>
      <c r="P5" s="190"/>
      <c r="Q5" s="189"/>
    </row>
    <row r="6" spans="1:17" ht="30" customHeight="1" thickBot="1">
      <c r="A6" s="533" t="s">
        <v>362</v>
      </c>
      <c r="B6" s="411">
        <v>1512.7278548766653</v>
      </c>
      <c r="C6" s="410">
        <v>1690.4682648276428</v>
      </c>
      <c r="D6" s="411">
        <v>1786.7638261345123</v>
      </c>
      <c r="E6" s="410">
        <v>1850.2378191327716</v>
      </c>
      <c r="F6" s="411">
        <v>1919.051518810124</v>
      </c>
      <c r="G6" s="410">
        <v>1976.8212819287562</v>
      </c>
      <c r="H6" s="193">
        <v>2159.2798764460244</v>
      </c>
      <c r="I6" s="100">
        <v>2353.3393199429302</v>
      </c>
      <c r="J6" s="193">
        <v>2492.4202002955412</v>
      </c>
      <c r="K6" s="100">
        <v>2505.6468635796055</v>
      </c>
      <c r="L6" s="193">
        <v>2579.1355787180837</v>
      </c>
      <c r="M6" s="100">
        <v>2595.7230249620488</v>
      </c>
      <c r="N6" s="193">
        <v>2561.3104380170212</v>
      </c>
      <c r="O6" s="100">
        <v>2553.0417138843345</v>
      </c>
      <c r="P6" s="193">
        <v>2776.320883235062</v>
      </c>
      <c r="Q6" s="100">
        <v>2947.375923834792</v>
      </c>
    </row>
    <row r="7" spans="1:17" ht="20" customHeight="1" thickBot="1">
      <c r="A7" s="534" t="s">
        <v>363</v>
      </c>
      <c r="B7" s="196">
        <v>1496.5880644384356</v>
      </c>
      <c r="C7" s="195">
        <v>1599.5458393409558</v>
      </c>
      <c r="D7" s="196">
        <v>1690.3815381114243</v>
      </c>
      <c r="E7" s="195">
        <v>1762.4320316284072</v>
      </c>
      <c r="F7" s="196">
        <v>1803.1485925383765</v>
      </c>
      <c r="G7" s="195">
        <v>1852.232176297025</v>
      </c>
      <c r="H7" s="193">
        <v>2045.656327850518</v>
      </c>
      <c r="I7" s="100">
        <v>2242.2825383559061</v>
      </c>
      <c r="J7" s="193">
        <v>2405.958768189671</v>
      </c>
      <c r="K7" s="100">
        <v>2463.9298694595982</v>
      </c>
      <c r="L7" s="193">
        <v>2642.1397449747906</v>
      </c>
      <c r="M7" s="100">
        <v>2717.2576736993597</v>
      </c>
      <c r="N7" s="193">
        <v>2699.9144765268679</v>
      </c>
      <c r="O7" s="100">
        <v>2759.6216653565525</v>
      </c>
      <c r="P7" s="193">
        <v>3066.9952969527417</v>
      </c>
      <c r="Q7" s="100">
        <v>3295.3220655909427</v>
      </c>
    </row>
    <row r="8" spans="1:17" ht="20" customHeight="1" thickBot="1">
      <c r="A8" s="534" t="s">
        <v>364</v>
      </c>
      <c r="B8" s="196">
        <v>1264.7539129021991</v>
      </c>
      <c r="C8" s="195">
        <v>1292.9185463072927</v>
      </c>
      <c r="D8" s="196">
        <v>1361.5901144612462</v>
      </c>
      <c r="E8" s="195">
        <v>1365.3904963868044</v>
      </c>
      <c r="F8" s="196">
        <v>1440.1292213830022</v>
      </c>
      <c r="G8" s="195">
        <v>1511.8839050654096</v>
      </c>
      <c r="H8" s="193">
        <v>1668.1137447159015</v>
      </c>
      <c r="I8" s="100">
        <v>1819.4834782945495</v>
      </c>
      <c r="J8" s="193">
        <v>1961.4638186220066</v>
      </c>
      <c r="K8" s="100">
        <v>2008.91188361891</v>
      </c>
      <c r="L8" s="193">
        <v>2073.9452150695606</v>
      </c>
      <c r="M8" s="100">
        <v>2130.7126484963214</v>
      </c>
      <c r="N8" s="193">
        <v>2109.7970680523613</v>
      </c>
      <c r="O8" s="100">
        <v>2171.352517674145</v>
      </c>
      <c r="P8" s="193">
        <v>2401.9040700129181</v>
      </c>
      <c r="Q8" s="100">
        <v>2566.0498148764823</v>
      </c>
    </row>
    <row r="9" spans="1:17" ht="20" customHeight="1" thickBot="1">
      <c r="A9" s="534" t="s">
        <v>365</v>
      </c>
      <c r="B9" s="196">
        <v>1283.7049916745705</v>
      </c>
      <c r="C9" s="195">
        <v>1323.187640547761</v>
      </c>
      <c r="D9" s="196">
        <v>1341.9131806270102</v>
      </c>
      <c r="E9" s="195">
        <v>1349.2621368050134</v>
      </c>
      <c r="F9" s="196">
        <v>1385.6329145041038</v>
      </c>
      <c r="G9" s="195">
        <v>1427.6289225723506</v>
      </c>
      <c r="H9" s="193">
        <v>1560.7602667092981</v>
      </c>
      <c r="I9" s="100">
        <v>1717.3481583157482</v>
      </c>
      <c r="J9" s="193">
        <v>1827.2942907370123</v>
      </c>
      <c r="K9" s="100">
        <v>1869.6008044084128</v>
      </c>
      <c r="L9" s="193">
        <v>1893.5458296718957</v>
      </c>
      <c r="M9" s="100">
        <v>1925.9720196197322</v>
      </c>
      <c r="N9" s="193">
        <v>1903.8905380120916</v>
      </c>
      <c r="O9" s="100">
        <v>1955.006748060292</v>
      </c>
      <c r="P9" s="193">
        <v>2218.3498646214603</v>
      </c>
      <c r="Q9" s="100">
        <v>2408.0723911271975</v>
      </c>
    </row>
    <row r="10" spans="1:17" ht="20" customHeight="1" thickBot="1">
      <c r="A10" s="534" t="s">
        <v>366</v>
      </c>
      <c r="B10" s="196">
        <v>1274.1975828909499</v>
      </c>
      <c r="C10" s="195">
        <v>1358.1597068831431</v>
      </c>
      <c r="D10" s="196">
        <v>1387.4588069577039</v>
      </c>
      <c r="E10" s="195">
        <v>1395.2856339532652</v>
      </c>
      <c r="F10" s="196">
        <v>1424.9980709085219</v>
      </c>
      <c r="G10" s="195">
        <v>1486.1515165568649</v>
      </c>
      <c r="H10" s="193">
        <v>1646.6159773148697</v>
      </c>
      <c r="I10" s="100">
        <v>1820.6576168670324</v>
      </c>
      <c r="J10" s="193">
        <v>1956.2475958099869</v>
      </c>
      <c r="K10" s="100">
        <v>2015.092203070071</v>
      </c>
      <c r="L10" s="193">
        <v>2070.3233661823961</v>
      </c>
      <c r="M10" s="100">
        <v>2104.4671218361436</v>
      </c>
      <c r="N10" s="193">
        <v>2093.4186615928788</v>
      </c>
      <c r="O10" s="100">
        <v>2138.5684760685695</v>
      </c>
      <c r="P10" s="193">
        <v>2377.2945251429996</v>
      </c>
      <c r="Q10" s="100">
        <v>2522.5622645774943</v>
      </c>
    </row>
    <row r="11" spans="1:17" ht="20" customHeight="1" thickBot="1">
      <c r="A11" s="534" t="s">
        <v>367</v>
      </c>
      <c r="B11" s="196">
        <v>1243.2114386384837</v>
      </c>
      <c r="C11" s="195">
        <v>1304.4535433971391</v>
      </c>
      <c r="D11" s="196">
        <v>1320.0366294859739</v>
      </c>
      <c r="E11" s="195">
        <v>1347.0959040317259</v>
      </c>
      <c r="F11" s="196">
        <v>1376.7111042831873</v>
      </c>
      <c r="G11" s="195">
        <v>1427.1790847864725</v>
      </c>
      <c r="H11" s="193">
        <v>1523.9847837432212</v>
      </c>
      <c r="I11" s="100">
        <v>1615.5146859127801</v>
      </c>
      <c r="J11" s="193">
        <v>1736.7186272054973</v>
      </c>
      <c r="K11" s="100">
        <v>1797.2900613304164</v>
      </c>
      <c r="L11" s="193">
        <v>1851.681033450858</v>
      </c>
      <c r="M11" s="100">
        <v>1891.2966624753446</v>
      </c>
      <c r="N11" s="193">
        <v>1884.8057100982198</v>
      </c>
      <c r="O11" s="100">
        <v>1944.3164077974288</v>
      </c>
      <c r="P11" s="193">
        <v>2198.9616541804353</v>
      </c>
      <c r="Q11" s="100">
        <v>2375.5218943472978</v>
      </c>
    </row>
    <row r="12" spans="1:17" ht="20" customHeight="1" thickBot="1">
      <c r="A12" s="534" t="s">
        <v>368</v>
      </c>
      <c r="B12" s="196">
        <v>1214.9307276924769</v>
      </c>
      <c r="C12" s="195">
        <v>1266.118836983019</v>
      </c>
      <c r="D12" s="196">
        <v>1295.7900233358537</v>
      </c>
      <c r="E12" s="195">
        <v>1277.6212506182928</v>
      </c>
      <c r="F12" s="196">
        <v>1305.8385719120508</v>
      </c>
      <c r="G12" s="195">
        <v>1347.6778695992052</v>
      </c>
      <c r="H12" s="193">
        <v>1461.6954401022306</v>
      </c>
      <c r="I12" s="100">
        <v>1582.4544625683175</v>
      </c>
      <c r="J12" s="193">
        <v>1704.3352440630301</v>
      </c>
      <c r="K12" s="100">
        <v>1731.3225876828974</v>
      </c>
      <c r="L12" s="193">
        <v>1784.2849383276041</v>
      </c>
      <c r="M12" s="100">
        <v>1817.7752893874101</v>
      </c>
      <c r="N12" s="193">
        <v>1803.0935553154891</v>
      </c>
      <c r="O12" s="100">
        <v>1867.5283697227594</v>
      </c>
      <c r="P12" s="193">
        <v>2048.914851429085</v>
      </c>
      <c r="Q12" s="100">
        <v>2236.0843756082245</v>
      </c>
    </row>
    <row r="13" spans="1:17" ht="20" customHeight="1" thickBot="1">
      <c r="A13" s="534" t="s">
        <v>369</v>
      </c>
      <c r="B13" s="196">
        <v>1198.3740333745261</v>
      </c>
      <c r="C13" s="195">
        <v>1297.3320819790542</v>
      </c>
      <c r="D13" s="196">
        <v>1354.4946046966113</v>
      </c>
      <c r="E13" s="195">
        <v>1392.697869544131</v>
      </c>
      <c r="F13" s="196">
        <v>1414.7931696969233</v>
      </c>
      <c r="G13" s="195">
        <v>1506.2915726656754</v>
      </c>
      <c r="H13" s="193">
        <v>1671.0568705401902</v>
      </c>
      <c r="I13" s="100">
        <v>1875.7946117866009</v>
      </c>
      <c r="J13" s="193">
        <v>1996.9107804120981</v>
      </c>
      <c r="K13" s="100">
        <v>2054.4674310978558</v>
      </c>
      <c r="L13" s="193">
        <v>2129.0070154057216</v>
      </c>
      <c r="M13" s="100">
        <v>2179.7101269508044</v>
      </c>
      <c r="N13" s="193">
        <v>2158.4121284594676</v>
      </c>
      <c r="O13" s="100">
        <v>2204.6169963077955</v>
      </c>
      <c r="P13" s="193">
        <v>2435.2221064710629</v>
      </c>
      <c r="Q13" s="100">
        <v>2616.4591018354249</v>
      </c>
    </row>
    <row r="14" spans="1:17" ht="20" customHeight="1" thickBot="1">
      <c r="A14" s="534" t="s">
        <v>370</v>
      </c>
      <c r="B14" s="196">
        <v>1253.5171294618378</v>
      </c>
      <c r="C14" s="195">
        <v>1400.3478967023677</v>
      </c>
      <c r="D14" s="196">
        <v>1373.4113579987272</v>
      </c>
      <c r="E14" s="195">
        <v>1377.2250963641409</v>
      </c>
      <c r="F14" s="196">
        <v>1419.1255885373778</v>
      </c>
      <c r="G14" s="195">
        <v>1471.0485635859277</v>
      </c>
      <c r="H14" s="193">
        <v>1627.2423468346346</v>
      </c>
      <c r="I14" s="100">
        <v>1850.5402485014397</v>
      </c>
      <c r="J14" s="193">
        <v>1963.5117068989878</v>
      </c>
      <c r="K14" s="100">
        <v>2011.3532466369977</v>
      </c>
      <c r="L14" s="193">
        <v>2075.651262141364</v>
      </c>
      <c r="M14" s="100">
        <v>2105.7716453745988</v>
      </c>
      <c r="N14" s="193">
        <v>2070.3218561356912</v>
      </c>
      <c r="O14" s="100">
        <v>2124.2562209431949</v>
      </c>
      <c r="P14" s="193">
        <v>2327.9773214911061</v>
      </c>
      <c r="Q14" s="100">
        <v>2491.4256055843312</v>
      </c>
    </row>
    <row r="15" spans="1:17" ht="20" customHeight="1" thickBot="1">
      <c r="A15" s="534" t="s">
        <v>371</v>
      </c>
      <c r="B15" s="196">
        <v>1598.8685198081489</v>
      </c>
      <c r="C15" s="195">
        <v>1659.0886104976244</v>
      </c>
      <c r="D15" s="196">
        <v>1674.7305534979612</v>
      </c>
      <c r="E15" s="195">
        <v>1705.5435518433258</v>
      </c>
      <c r="F15" s="196">
        <v>1792.5921885530313</v>
      </c>
      <c r="G15" s="195">
        <v>1873.2961835664028</v>
      </c>
      <c r="H15" s="193">
        <v>2011.8324829122876</v>
      </c>
      <c r="I15" s="100">
        <v>2133.3207028574438</v>
      </c>
      <c r="J15" s="193">
        <v>2222.7575924015277</v>
      </c>
      <c r="K15" s="100">
        <v>2280.732083672829</v>
      </c>
      <c r="L15" s="193">
        <v>2364.7798578203287</v>
      </c>
      <c r="M15" s="100">
        <v>2375.0390172724083</v>
      </c>
      <c r="N15" s="193">
        <v>2344.5923085432219</v>
      </c>
      <c r="O15" s="100">
        <v>2384.3628245658833</v>
      </c>
      <c r="P15" s="193">
        <v>2601.5028989787161</v>
      </c>
      <c r="Q15" s="100">
        <v>2752.9327196134404</v>
      </c>
    </row>
    <row r="16" spans="1:17" ht="20" customHeight="1" thickBot="1">
      <c r="A16" s="534" t="s">
        <v>372</v>
      </c>
      <c r="B16" s="196">
        <v>1432.0540697646038</v>
      </c>
      <c r="C16" s="195">
        <v>1546.0757185444368</v>
      </c>
      <c r="D16" s="196">
        <v>1670.2122551894063</v>
      </c>
      <c r="E16" s="195">
        <v>1690.360521472358</v>
      </c>
      <c r="F16" s="196">
        <v>1748.7938485973016</v>
      </c>
      <c r="G16" s="195">
        <v>1791.4647816610463</v>
      </c>
      <c r="H16" s="193">
        <v>1919.2684223971701</v>
      </c>
      <c r="I16" s="100">
        <v>2083.8284927301152</v>
      </c>
      <c r="J16" s="193">
        <v>2235.982610007572</v>
      </c>
      <c r="K16" s="100">
        <v>2283.3794466850818</v>
      </c>
      <c r="L16" s="193">
        <v>2322.8332723261396</v>
      </c>
      <c r="M16" s="100">
        <v>2363.6875610633019</v>
      </c>
      <c r="N16" s="193">
        <v>2360.2666473094714</v>
      </c>
      <c r="O16" s="100">
        <v>2430.7046474771378</v>
      </c>
      <c r="P16" s="193">
        <v>2679.5115744097079</v>
      </c>
      <c r="Q16" s="100">
        <v>2834.2621938929856</v>
      </c>
    </row>
    <row r="17" spans="1:17" ht="20" customHeight="1" thickBot="1">
      <c r="A17" s="534" t="s">
        <v>373</v>
      </c>
      <c r="B17" s="196">
        <v>1779.0716956039746</v>
      </c>
      <c r="C17" s="195">
        <v>1980.1286207444</v>
      </c>
      <c r="D17" s="196">
        <v>2325.1884256767662</v>
      </c>
      <c r="E17" s="195">
        <v>2468.7395837395525</v>
      </c>
      <c r="F17" s="196">
        <v>2556.388603057927</v>
      </c>
      <c r="G17" s="195">
        <v>2667.9533276530469</v>
      </c>
      <c r="H17" s="193">
        <v>2873.2285637607215</v>
      </c>
      <c r="I17" s="100">
        <v>3144.1726359207455</v>
      </c>
      <c r="J17" s="193">
        <v>3390.8382944172918</v>
      </c>
      <c r="K17" s="100">
        <v>3465.1178920107632</v>
      </c>
      <c r="L17" s="193">
        <v>3572.5031117061712</v>
      </c>
      <c r="M17" s="100">
        <v>3609.5021774338197</v>
      </c>
      <c r="N17" s="193">
        <v>3579.7912682098909</v>
      </c>
      <c r="O17" s="100">
        <v>3636.9303412384484</v>
      </c>
      <c r="P17" s="193">
        <v>3963.5004883465881</v>
      </c>
      <c r="Q17" s="100">
        <v>4213.1756987740328</v>
      </c>
    </row>
    <row r="18" spans="1:17" ht="20" customHeight="1" thickBot="1">
      <c r="A18" s="534" t="s">
        <v>374</v>
      </c>
      <c r="B18" s="196">
        <v>1576.3385142672505</v>
      </c>
      <c r="C18" s="195">
        <v>1772.7380414639133</v>
      </c>
      <c r="D18" s="196">
        <v>1852.5938087977788</v>
      </c>
      <c r="E18" s="195">
        <v>1855.719700876213</v>
      </c>
      <c r="F18" s="196">
        <v>1914.1321999689392</v>
      </c>
      <c r="G18" s="195">
        <v>1965.3534704811639</v>
      </c>
      <c r="H18" s="193">
        <v>2129.9146402115421</v>
      </c>
      <c r="I18" s="100">
        <v>2323.4267215082082</v>
      </c>
      <c r="J18" s="193">
        <v>2511.1817544584183</v>
      </c>
      <c r="K18" s="100">
        <v>2543.1840087506721</v>
      </c>
      <c r="L18" s="193">
        <v>2635.2629047824526</v>
      </c>
      <c r="M18" s="100">
        <v>2670.4562706659181</v>
      </c>
      <c r="N18" s="193">
        <v>2649.1798448962313</v>
      </c>
      <c r="O18" s="100">
        <v>2720.5119199181258</v>
      </c>
      <c r="P18" s="193">
        <v>3012.8106660836356</v>
      </c>
      <c r="Q18" s="100">
        <v>3243.0385745899566</v>
      </c>
    </row>
    <row r="19" spans="1:17" ht="20" customHeight="1" thickBot="1">
      <c r="A19" s="534" t="s">
        <v>375</v>
      </c>
      <c r="B19" s="196">
        <v>1377.4433608787208</v>
      </c>
      <c r="C19" s="195">
        <v>1496.085735075158</v>
      </c>
      <c r="D19" s="196">
        <v>1550.1089878371702</v>
      </c>
      <c r="E19" s="195">
        <v>1621.2920897617873</v>
      </c>
      <c r="F19" s="196">
        <v>1686.9323864525529</v>
      </c>
      <c r="G19" s="195">
        <v>1755.3711632421132</v>
      </c>
      <c r="H19" s="193">
        <v>1964.1156528535771</v>
      </c>
      <c r="I19" s="100">
        <v>2118.1459782521838</v>
      </c>
      <c r="J19" s="193">
        <v>2333.3747091400724</v>
      </c>
      <c r="K19" s="100">
        <v>2347.6561302217251</v>
      </c>
      <c r="L19" s="193">
        <v>2424.4107082919618</v>
      </c>
      <c r="M19" s="100">
        <v>2489.9160664760416</v>
      </c>
      <c r="N19" s="193">
        <v>2487.0259022335358</v>
      </c>
      <c r="O19" s="100">
        <v>2492.4390560167353</v>
      </c>
      <c r="P19" s="193">
        <v>2705.1575783276594</v>
      </c>
      <c r="Q19" s="100">
        <v>2857.6918336619397</v>
      </c>
    </row>
    <row r="20" spans="1:17" ht="20" customHeight="1" thickBot="1">
      <c r="A20" s="534" t="s">
        <v>376</v>
      </c>
      <c r="B20" s="196">
        <v>1088.2631097960402</v>
      </c>
      <c r="C20" s="195">
        <v>1219.1232978865526</v>
      </c>
      <c r="D20" s="196">
        <v>1281.7803147765962</v>
      </c>
      <c r="E20" s="195">
        <v>1295.3360153745725</v>
      </c>
      <c r="F20" s="196">
        <v>1323.5018460517797</v>
      </c>
      <c r="G20" s="195">
        <v>1381.1762586810332</v>
      </c>
      <c r="H20" s="193">
        <v>1490.3963038968932</v>
      </c>
      <c r="I20" s="100">
        <v>1673.1785117574805</v>
      </c>
      <c r="J20" s="193">
        <v>1783.5989266764338</v>
      </c>
      <c r="K20" s="100">
        <v>1833.8149969101737</v>
      </c>
      <c r="L20" s="193">
        <v>1908.2347339982916</v>
      </c>
      <c r="M20" s="100">
        <v>1929.0275823865018</v>
      </c>
      <c r="N20" s="193">
        <v>1927.2506540682261</v>
      </c>
      <c r="O20" s="100">
        <v>1980.3919865184796</v>
      </c>
      <c r="P20" s="193">
        <v>2189.786105109592</v>
      </c>
      <c r="Q20" s="100">
        <v>2311.3404754148719</v>
      </c>
    </row>
    <row r="21" spans="1:17" ht="20" customHeight="1" thickBot="1">
      <c r="A21" s="534" t="s">
        <v>377</v>
      </c>
      <c r="B21" s="196">
        <v>1063.9670413831095</v>
      </c>
      <c r="C21" s="195">
        <v>1133.5896136637402</v>
      </c>
      <c r="D21" s="196">
        <v>1149.5816729512298</v>
      </c>
      <c r="E21" s="195">
        <v>1132.1987248610853</v>
      </c>
      <c r="F21" s="196">
        <v>1153.6563486767391</v>
      </c>
      <c r="G21" s="195">
        <v>1206.5368275627904</v>
      </c>
      <c r="H21" s="193">
        <v>1329.5316032117605</v>
      </c>
      <c r="I21" s="100">
        <v>1457.285464187351</v>
      </c>
      <c r="J21" s="193">
        <v>1569.3448708775961</v>
      </c>
      <c r="K21" s="100">
        <v>1616.5031213778504</v>
      </c>
      <c r="L21" s="193">
        <v>1708.8239272302951</v>
      </c>
      <c r="M21" s="100">
        <v>1753.2072160251437</v>
      </c>
      <c r="N21" s="193">
        <v>1772.4265745911973</v>
      </c>
      <c r="O21" s="100">
        <v>1808.2572305818178</v>
      </c>
      <c r="P21" s="193">
        <v>1959.3141936106897</v>
      </c>
      <c r="Q21" s="100">
        <v>2100.6724768157483</v>
      </c>
    </row>
    <row r="22" spans="1:17" ht="20" customHeight="1" thickBot="1">
      <c r="A22" s="534" t="s">
        <v>378</v>
      </c>
      <c r="B22" s="196">
        <v>1188.3889362651646</v>
      </c>
      <c r="C22" s="195">
        <v>1304.2886879059893</v>
      </c>
      <c r="D22" s="196">
        <v>1369.0446563687569</v>
      </c>
      <c r="E22" s="195">
        <v>1401.9716323562091</v>
      </c>
      <c r="F22" s="196">
        <v>1438.2798432384884</v>
      </c>
      <c r="G22" s="195">
        <v>1498.2165892317853</v>
      </c>
      <c r="H22" s="193">
        <v>1628.1859223180359</v>
      </c>
      <c r="I22" s="100">
        <v>1779.1011543200063</v>
      </c>
      <c r="J22" s="193">
        <v>1925.2469157131877</v>
      </c>
      <c r="K22" s="100">
        <v>1983.710377581416</v>
      </c>
      <c r="L22" s="193">
        <v>2063.0210904751507</v>
      </c>
      <c r="M22" s="100">
        <v>2097.6601681024395</v>
      </c>
      <c r="N22" s="193">
        <v>2102.885021901081</v>
      </c>
      <c r="O22" s="100">
        <v>2162.9519973111946</v>
      </c>
      <c r="P22" s="193">
        <v>2389.0288696900816</v>
      </c>
      <c r="Q22" s="100">
        <v>2551.6856928849529</v>
      </c>
    </row>
    <row r="23" spans="1:17" ht="20" customHeight="1" thickBot="1">
      <c r="A23" s="534" t="s">
        <v>379</v>
      </c>
      <c r="B23" s="196">
        <v>1143.0492063265676</v>
      </c>
      <c r="C23" s="195">
        <v>1118.7264708589582</v>
      </c>
      <c r="D23" s="196">
        <v>1230.4546176647252</v>
      </c>
      <c r="E23" s="195">
        <v>1336.8496660502983</v>
      </c>
      <c r="F23" s="196">
        <v>1406.1163676195615</v>
      </c>
      <c r="G23" s="195">
        <v>1487.4162136975867</v>
      </c>
      <c r="H23" s="193">
        <v>1688.6776910005324</v>
      </c>
      <c r="I23" s="100">
        <v>1919.3632236727024</v>
      </c>
      <c r="J23" s="193">
        <v>2060.0819990324671</v>
      </c>
      <c r="K23" s="100">
        <v>2103.6861391914222</v>
      </c>
      <c r="L23" s="193">
        <v>2169.9849681912365</v>
      </c>
      <c r="M23" s="100">
        <v>2201.0081903069449</v>
      </c>
      <c r="N23" s="193">
        <v>2220.7397464059109</v>
      </c>
      <c r="O23" s="100">
        <v>2260.611571997274</v>
      </c>
      <c r="P23" s="193">
        <v>2528.7313729979492</v>
      </c>
      <c r="Q23" s="100">
        <v>2633.4601943736357</v>
      </c>
    </row>
    <row r="24" spans="1:17" ht="20" customHeight="1" thickBot="1">
      <c r="A24" s="534" t="s">
        <v>380</v>
      </c>
      <c r="B24" s="196">
        <v>1230.393303349367</v>
      </c>
      <c r="C24" s="195">
        <v>1330.9781495724483</v>
      </c>
      <c r="D24" s="196">
        <v>1405.9852586348795</v>
      </c>
      <c r="E24" s="195">
        <v>1469.6726041508725</v>
      </c>
      <c r="F24" s="196">
        <v>1549.1699069322558</v>
      </c>
      <c r="G24" s="195">
        <v>1635.8907364935624</v>
      </c>
      <c r="H24" s="193">
        <v>1816.6441908039451</v>
      </c>
      <c r="I24" s="100">
        <v>1997.8601434259615</v>
      </c>
      <c r="J24" s="193">
        <v>2140.1435254865942</v>
      </c>
      <c r="K24" s="100">
        <v>2174.3274668790045</v>
      </c>
      <c r="L24" s="193">
        <v>2261.0179236407416</v>
      </c>
      <c r="M24" s="100">
        <v>2313.0454326980785</v>
      </c>
      <c r="N24" s="193">
        <v>2335.8854448503616</v>
      </c>
      <c r="O24" s="100">
        <v>2380.1168143167224</v>
      </c>
      <c r="P24" s="193">
        <v>2628.6802500576746</v>
      </c>
      <c r="Q24" s="100">
        <v>2796.1245676731214</v>
      </c>
    </row>
    <row r="25" spans="1:17" ht="20" customHeight="1" thickBot="1">
      <c r="A25" s="534" t="s">
        <v>381</v>
      </c>
      <c r="B25" s="196">
        <v>1159.474855393762</v>
      </c>
      <c r="C25" s="195">
        <v>1328.9310231083491</v>
      </c>
      <c r="D25" s="196">
        <v>1424.2062478349167</v>
      </c>
      <c r="E25" s="195">
        <v>1499.208030123239</v>
      </c>
      <c r="F25" s="196">
        <v>1553.2244240914515</v>
      </c>
      <c r="G25" s="195">
        <v>1661.7386576828317</v>
      </c>
      <c r="H25" s="193">
        <v>1834.2044347153485</v>
      </c>
      <c r="I25" s="100">
        <v>2048.4142232764871</v>
      </c>
      <c r="J25" s="193">
        <v>2185.335824306746</v>
      </c>
      <c r="K25" s="100">
        <v>2217.2402153263711</v>
      </c>
      <c r="L25" s="193">
        <v>2283.3758420037034</v>
      </c>
      <c r="M25" s="100">
        <v>2295.2652584431348</v>
      </c>
      <c r="N25" s="193">
        <v>2279.0884858210197</v>
      </c>
      <c r="O25" s="100">
        <v>2310.2839491028731</v>
      </c>
      <c r="P25" s="193">
        <v>2491.2944287675346</v>
      </c>
      <c r="Q25" s="100">
        <v>2598.8359363478257</v>
      </c>
    </row>
    <row r="26" spans="1:17" ht="20" customHeight="1" thickBot="1">
      <c r="A26" s="534" t="s">
        <v>382</v>
      </c>
      <c r="B26" s="196">
        <v>1920.211422462608</v>
      </c>
      <c r="C26" s="195">
        <v>2093.5784969576162</v>
      </c>
      <c r="D26" s="196">
        <v>2183.6764640346432</v>
      </c>
      <c r="E26" s="195">
        <v>2180.8658737487976</v>
      </c>
      <c r="F26" s="196">
        <v>2209.7472935521837</v>
      </c>
      <c r="G26" s="195">
        <v>2261.3042021099595</v>
      </c>
      <c r="H26" s="193">
        <v>2455.9261698805649</v>
      </c>
      <c r="I26" s="100">
        <v>2659.8152582525563</v>
      </c>
      <c r="J26" s="193">
        <v>2945.1851385564305</v>
      </c>
      <c r="K26" s="100">
        <v>3013.0448522524503</v>
      </c>
      <c r="L26" s="193">
        <v>3139.534487394506</v>
      </c>
      <c r="M26" s="100">
        <v>3169.8223243558823</v>
      </c>
      <c r="N26" s="193">
        <v>3125.0045807300799</v>
      </c>
      <c r="O26" s="100">
        <v>3113.9964674152993</v>
      </c>
      <c r="P26" s="193">
        <v>3258.4000702781441</v>
      </c>
      <c r="Q26" s="100">
        <v>3448.0707009371499</v>
      </c>
    </row>
    <row r="27" spans="1:17" ht="20" customHeight="1" thickBot="1">
      <c r="A27" s="534" t="s">
        <v>383</v>
      </c>
      <c r="B27" s="196">
        <v>2123.7022616874642</v>
      </c>
      <c r="C27" s="195">
        <v>2188.5978122919905</v>
      </c>
      <c r="D27" s="196">
        <v>2262.0665036594364</v>
      </c>
      <c r="E27" s="195">
        <v>2312.2186861426335</v>
      </c>
      <c r="F27" s="196">
        <v>2316.3375313816941</v>
      </c>
      <c r="G27" s="195">
        <v>2380.1958460230621</v>
      </c>
      <c r="H27" s="193">
        <v>2554.8427885240826</v>
      </c>
      <c r="I27" s="100">
        <v>2773.1739770111981</v>
      </c>
      <c r="J27" s="193">
        <v>2944.2591828792392</v>
      </c>
      <c r="K27" s="100">
        <v>2988.5411219630787</v>
      </c>
      <c r="L27" s="193">
        <v>3103.1064497360926</v>
      </c>
      <c r="M27" s="100">
        <v>3073.8913428932055</v>
      </c>
      <c r="N27" s="193">
        <v>2988.2071859643597</v>
      </c>
      <c r="O27" s="100">
        <v>2982.6854115033552</v>
      </c>
      <c r="P27" s="193">
        <v>3140.9802005474835</v>
      </c>
      <c r="Q27" s="100">
        <v>3308.0510513450499</v>
      </c>
    </row>
    <row r="28" spans="1:17" ht="20" customHeight="1" thickBot="1">
      <c r="A28" s="534" t="s">
        <v>384</v>
      </c>
      <c r="B28" s="196">
        <v>1523.0862537186249</v>
      </c>
      <c r="C28" s="195">
        <v>1528.2235423576719</v>
      </c>
      <c r="D28" s="196">
        <v>1520.7734947996855</v>
      </c>
      <c r="E28" s="195">
        <v>1512.315774872128</v>
      </c>
      <c r="F28" s="196">
        <v>1565.0382066640796</v>
      </c>
      <c r="G28" s="195">
        <v>1611.8069928879931</v>
      </c>
      <c r="H28" s="193">
        <v>1740.4035512056632</v>
      </c>
      <c r="I28" s="100">
        <v>1894.4509552934464</v>
      </c>
      <c r="J28" s="193">
        <v>2065.9446432202062</v>
      </c>
      <c r="K28" s="100">
        <v>2150.4788048623009</v>
      </c>
      <c r="L28" s="193">
        <v>2233.854286832724</v>
      </c>
      <c r="M28" s="100">
        <v>2300.3259863497678</v>
      </c>
      <c r="N28" s="193">
        <v>2281.6342887948704</v>
      </c>
      <c r="O28" s="100">
        <v>2341.0548273196509</v>
      </c>
      <c r="P28" s="193">
        <v>2568.2788659171997</v>
      </c>
      <c r="Q28" s="100">
        <v>2758.7597357230779</v>
      </c>
    </row>
    <row r="29" spans="1:17" ht="20" customHeight="1" thickBot="1">
      <c r="A29" s="534" t="s">
        <v>385</v>
      </c>
      <c r="B29" s="196">
        <v>1646.3624740952964</v>
      </c>
      <c r="C29" s="195">
        <v>1879.9747320853974</v>
      </c>
      <c r="D29" s="196">
        <v>2069.35224515651</v>
      </c>
      <c r="E29" s="195">
        <v>2121.724134131829</v>
      </c>
      <c r="F29" s="196">
        <v>2178.2282725122873</v>
      </c>
      <c r="G29" s="195">
        <v>2226.3886221358225</v>
      </c>
      <c r="H29" s="193">
        <v>2442.2463006271605</v>
      </c>
      <c r="I29" s="100">
        <v>2644.2879266571426</v>
      </c>
      <c r="J29" s="193">
        <v>2860.2934659084876</v>
      </c>
      <c r="K29" s="100">
        <v>2940.8560577149369</v>
      </c>
      <c r="L29" s="193">
        <v>3020.0836352379274</v>
      </c>
      <c r="M29" s="100">
        <v>3036.6447662858664</v>
      </c>
      <c r="N29" s="193">
        <v>2985.7510655824785</v>
      </c>
      <c r="O29" s="100">
        <v>2927.0194519439683</v>
      </c>
      <c r="P29" s="193">
        <v>2974.5856498318376</v>
      </c>
      <c r="Q29" s="100">
        <v>3090.0521795018044</v>
      </c>
    </row>
    <row r="30" spans="1:17" ht="20" customHeight="1" thickBot="1">
      <c r="A30" s="534" t="s">
        <v>386</v>
      </c>
      <c r="B30" s="196">
        <v>2220.6501203576581</v>
      </c>
      <c r="C30" s="195">
        <v>2493.6749107586593</v>
      </c>
      <c r="D30" s="196">
        <v>2561.7921105578544</v>
      </c>
      <c r="E30" s="195">
        <v>2603.6595742963436</v>
      </c>
      <c r="F30" s="196">
        <v>2734.6485196897552</v>
      </c>
      <c r="G30" s="195">
        <v>2841.8547383361183</v>
      </c>
      <c r="H30" s="193">
        <v>3059.4100324412902</v>
      </c>
      <c r="I30" s="100">
        <v>3320.3890189876888</v>
      </c>
      <c r="J30" s="193">
        <v>3481.6460008994604</v>
      </c>
      <c r="K30" s="100">
        <v>3552.0553634331818</v>
      </c>
      <c r="L30" s="193">
        <v>3652.1506224056161</v>
      </c>
      <c r="M30" s="100">
        <v>3622.8650823319726</v>
      </c>
      <c r="N30" s="193">
        <v>3559.7613049734655</v>
      </c>
      <c r="O30" s="100">
        <v>3476.4972788144619</v>
      </c>
      <c r="P30" s="193">
        <v>3621.8603945653181</v>
      </c>
      <c r="Q30" s="100">
        <v>3727.8868506990025</v>
      </c>
    </row>
    <row r="31" spans="1:17" ht="20" customHeight="1" thickBot="1">
      <c r="A31" s="534" t="s">
        <v>387</v>
      </c>
      <c r="B31" s="196">
        <v>1693.2060147156392</v>
      </c>
      <c r="C31" s="195">
        <v>1771.8388464541085</v>
      </c>
      <c r="D31" s="196">
        <v>1906.8006626155413</v>
      </c>
      <c r="E31" s="195">
        <v>1937.3880227473887</v>
      </c>
      <c r="F31" s="196">
        <v>2029.2697954509338</v>
      </c>
      <c r="G31" s="195">
        <v>2148.616923310622</v>
      </c>
      <c r="H31" s="193">
        <v>2294.2217121062836</v>
      </c>
      <c r="I31" s="100">
        <v>2448.0281481617167</v>
      </c>
      <c r="J31" s="193">
        <v>2616.9536771306425</v>
      </c>
      <c r="K31" s="100">
        <v>2669.8602402292095</v>
      </c>
      <c r="L31" s="193">
        <v>2741.23867601759</v>
      </c>
      <c r="M31" s="100">
        <v>2725.6473968139912</v>
      </c>
      <c r="N31" s="193">
        <v>2677.0243457222141</v>
      </c>
      <c r="O31" s="100">
        <v>2671.0952437588021</v>
      </c>
      <c r="P31" s="193">
        <v>2841.9202686687795</v>
      </c>
      <c r="Q31" s="100">
        <v>3009.3957843509947</v>
      </c>
    </row>
    <row r="32" spans="1:17" ht="30" customHeight="1" thickBot="1">
      <c r="A32" s="535" t="s">
        <v>444</v>
      </c>
      <c r="B32" s="200">
        <v>1538.9393456106852</v>
      </c>
      <c r="C32" s="199">
        <v>1663.8889491853145</v>
      </c>
      <c r="D32" s="200">
        <v>1753.683394842503</v>
      </c>
      <c r="E32" s="199">
        <v>1792.6969718267824</v>
      </c>
      <c r="F32" s="200">
        <v>1850.1645719756871</v>
      </c>
      <c r="G32" s="199">
        <v>1917.1642434992227</v>
      </c>
      <c r="H32" s="536">
        <v>2090.6486849170938</v>
      </c>
      <c r="I32" s="224">
        <v>2281.464868725081</v>
      </c>
      <c r="J32" s="225">
        <v>2441.8668834361247</v>
      </c>
      <c r="K32" s="224">
        <v>2487.4603849935415</v>
      </c>
      <c r="L32" s="225">
        <v>2582.7207564451369</v>
      </c>
      <c r="M32" s="224">
        <v>2612.1277928402606</v>
      </c>
      <c r="N32" s="225">
        <v>2585.7925929424218</v>
      </c>
      <c r="O32" s="224">
        <v>2610.6061328786159</v>
      </c>
      <c r="P32" s="225">
        <v>2834.4986028216172</v>
      </c>
      <c r="Q32" s="224">
        <v>3005.4532863037525</v>
      </c>
    </row>
    <row r="33" spans="1:8" ht="20" customHeight="1">
      <c r="A33" s="112" t="s">
        <v>720</v>
      </c>
      <c r="B33" s="201"/>
      <c r="C33" s="201"/>
      <c r="D33" s="201"/>
      <c r="E33" s="201"/>
      <c r="F33" s="537"/>
      <c r="G33" s="201"/>
      <c r="H33" s="202"/>
    </row>
    <row r="34" spans="1:8" ht="15.75" customHeight="1">
      <c r="A34" s="115"/>
      <c r="B34" s="203"/>
      <c r="C34" s="203"/>
      <c r="D34" s="203"/>
      <c r="E34" s="203"/>
      <c r="F34" s="203"/>
      <c r="G34" s="203"/>
      <c r="H34" s="204"/>
    </row>
    <row r="35" spans="1:8" ht="14.25" customHeight="1">
      <c r="A35" s="172" t="s">
        <v>708</v>
      </c>
      <c r="B35" s="203"/>
      <c r="C35" s="203"/>
      <c r="D35" s="203"/>
      <c r="E35" s="203"/>
      <c r="F35" s="203"/>
      <c r="G35" s="203"/>
      <c r="H35" s="204"/>
    </row>
    <row r="36" spans="1:8" ht="14.25" customHeight="1">
      <c r="A36" s="172" t="s">
        <v>709</v>
      </c>
      <c r="B36" s="203"/>
      <c r="C36" s="203"/>
      <c r="D36" s="203"/>
      <c r="E36" s="203"/>
      <c r="F36" s="203"/>
      <c r="G36" s="203"/>
      <c r="H36" s="204"/>
    </row>
    <row r="37" spans="1:8" ht="13.5" customHeight="1">
      <c r="A37" s="115"/>
      <c r="B37" s="203"/>
      <c r="C37" s="203"/>
      <c r="D37" s="203"/>
      <c r="E37" s="203"/>
      <c r="F37" s="203"/>
      <c r="G37" s="203"/>
      <c r="H37" s="204"/>
    </row>
    <row r="38" spans="1:8" ht="12.75" customHeight="1">
      <c r="A38" s="115" t="s">
        <v>710</v>
      </c>
      <c r="B38" s="203"/>
      <c r="C38" s="203"/>
      <c r="D38" s="203"/>
      <c r="E38" s="203"/>
      <c r="F38" s="203"/>
      <c r="G38" s="203"/>
      <c r="H38" s="204"/>
    </row>
    <row r="40" spans="1:8">
      <c r="A40" s="115"/>
    </row>
    <row r="41" spans="1:8">
      <c r="A41" s="115" t="s">
        <v>719</v>
      </c>
    </row>
  </sheetData>
  <pageMargins left="0.43307086614173229" right="0.47244094488188981" top="0.52" bottom="0.47244094488188981" header="0.39" footer="0.51181102362204722"/>
  <pageSetup paperSize="9" scale="68" orientation="landscape"/>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6AAB4-FB67-D948-A56C-2BA594D9CD22}">
  <sheetPr>
    <pageSetUpPr fitToPage="1"/>
  </sheetPr>
  <dimension ref="A1:H16"/>
  <sheetViews>
    <sheetView workbookViewId="0">
      <selection activeCell="H14" sqref="H14"/>
    </sheetView>
  </sheetViews>
  <sheetFormatPr baseColWidth="10" defaultColWidth="11.59765625" defaultRowHeight="13"/>
  <cols>
    <col min="1" max="1" width="5.59765625" style="774" customWidth="1"/>
    <col min="2" max="16384" width="11.59765625" style="774"/>
  </cols>
  <sheetData>
    <row r="1" spans="1:8" ht="16">
      <c r="A1" s="775" t="s">
        <v>2000</v>
      </c>
    </row>
    <row r="2" spans="1:8" ht="16">
      <c r="A2" s="775"/>
    </row>
    <row r="3" spans="1:8">
      <c r="A3" s="805">
        <v>4.01</v>
      </c>
      <c r="B3" s="776" t="s">
        <v>2011</v>
      </c>
    </row>
    <row r="4" spans="1:8">
      <c r="A4" s="805">
        <v>4.0199999999999996</v>
      </c>
      <c r="B4" s="1061" t="s">
        <v>2001</v>
      </c>
    </row>
    <row r="5" spans="1:8">
      <c r="A5" s="805">
        <v>4.03</v>
      </c>
      <c r="B5" s="1061" t="s">
        <v>2002</v>
      </c>
    </row>
    <row r="6" spans="1:8">
      <c r="A6" s="805">
        <v>4.04</v>
      </c>
      <c r="B6" s="1061" t="s">
        <v>2003</v>
      </c>
    </row>
    <row r="7" spans="1:8">
      <c r="A7" s="805">
        <v>4.05</v>
      </c>
      <c r="B7" s="1061" t="s">
        <v>2004</v>
      </c>
    </row>
    <row r="8" spans="1:8">
      <c r="A8" s="805">
        <v>4.0599999999999996</v>
      </c>
      <c r="B8" s="774" t="s">
        <v>2005</v>
      </c>
    </row>
    <row r="9" spans="1:8">
      <c r="A9" s="805">
        <v>4.07</v>
      </c>
      <c r="B9" s="805" t="s">
        <v>2006</v>
      </c>
    </row>
    <row r="10" spans="1:8">
      <c r="A10" s="805">
        <v>4.08</v>
      </c>
      <c r="B10" s="1061" t="s">
        <v>2007</v>
      </c>
    </row>
    <row r="11" spans="1:8">
      <c r="A11" s="805">
        <v>4.09</v>
      </c>
      <c r="B11" s="776" t="s">
        <v>2008</v>
      </c>
    </row>
    <row r="12" spans="1:8">
      <c r="A12" s="1239">
        <v>4.0999999999999996</v>
      </c>
      <c r="B12" s="776" t="s">
        <v>2009</v>
      </c>
      <c r="H12" s="1240" t="s">
        <v>2208</v>
      </c>
    </row>
    <row r="13" spans="1:8">
      <c r="A13" s="1239">
        <v>4.1100000000000003</v>
      </c>
      <c r="B13" s="776" t="s">
        <v>2010</v>
      </c>
      <c r="H13" s="1240" t="s">
        <v>2208</v>
      </c>
    </row>
    <row r="14" spans="1:8">
      <c r="A14" s="1239"/>
    </row>
    <row r="16" spans="1:8">
      <c r="A16" s="1017" t="s">
        <v>719</v>
      </c>
    </row>
  </sheetData>
  <pageMargins left="0.46" right="0.35" top="0.78" bottom="0.984251969" header="0.38" footer="0.4921259845"/>
  <pageSetup paperSize="9" scale="97"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3FB1-96E6-D246-BDC4-1EFC19ECDFA3}">
  <sheetPr>
    <pageSetUpPr fitToPage="1"/>
  </sheetPr>
  <dimension ref="A1:H45"/>
  <sheetViews>
    <sheetView zoomScaleNormal="100" workbookViewId="0">
      <selection activeCell="L12" sqref="L12"/>
    </sheetView>
  </sheetViews>
  <sheetFormatPr baseColWidth="10" defaultColWidth="11.3984375" defaultRowHeight="13"/>
  <cols>
    <col min="1" max="1" width="16.796875" style="3" customWidth="1"/>
    <col min="2" max="2" width="15" style="3" customWidth="1"/>
    <col min="3" max="4" width="13.796875" style="3" customWidth="1"/>
    <col min="5" max="5" width="12.796875" style="3" customWidth="1"/>
    <col min="6" max="6" width="13.3984375" style="3" customWidth="1"/>
    <col min="7" max="7" width="14.3984375" style="3" customWidth="1"/>
    <col min="8" max="8" width="13.3984375" style="3" customWidth="1"/>
    <col min="9" max="16384" width="11.3984375" style="3"/>
  </cols>
  <sheetData>
    <row r="1" spans="1:8" s="2" customFormat="1" ht="14" customHeight="1"/>
    <row r="2" spans="1:8" s="2" customFormat="1" ht="37.5" customHeight="1">
      <c r="A2" s="1843" t="s">
        <v>2012</v>
      </c>
      <c r="B2" s="1852"/>
      <c r="C2" s="1852"/>
      <c r="D2" s="1852"/>
      <c r="E2" s="1852"/>
      <c r="F2" s="1852"/>
      <c r="G2" s="1852"/>
      <c r="H2" s="436"/>
    </row>
    <row r="3" spans="1:8" ht="24" customHeight="1">
      <c r="A3" s="92" t="s">
        <v>469</v>
      </c>
      <c r="B3" s="182" t="s">
        <v>1985</v>
      </c>
      <c r="C3" s="183"/>
      <c r="D3" s="182" t="s">
        <v>1986</v>
      </c>
      <c r="E3" s="183" t="s">
        <v>1961</v>
      </c>
      <c r="F3" s="182" t="s">
        <v>1987</v>
      </c>
      <c r="G3" s="183" t="s">
        <v>1988</v>
      </c>
      <c r="H3" s="182" t="s">
        <v>1987</v>
      </c>
    </row>
    <row r="4" spans="1:8" ht="15" customHeight="1">
      <c r="A4" s="184"/>
      <c r="B4" s="185" t="s">
        <v>1989</v>
      </c>
      <c r="C4" s="187" t="s">
        <v>1990</v>
      </c>
      <c r="D4" s="185" t="s">
        <v>1895</v>
      </c>
      <c r="E4" s="186" t="s">
        <v>1991</v>
      </c>
      <c r="F4" s="185" t="s">
        <v>1864</v>
      </c>
      <c r="G4" s="186" t="s">
        <v>1992</v>
      </c>
      <c r="H4" s="185" t="s">
        <v>1863</v>
      </c>
    </row>
    <row r="5" spans="1:8" ht="15" customHeight="1">
      <c r="A5" s="184"/>
      <c r="B5" s="185" t="s">
        <v>1993</v>
      </c>
      <c r="C5" s="187" t="s">
        <v>1884</v>
      </c>
      <c r="D5" s="185"/>
      <c r="E5" s="186"/>
      <c r="F5" s="321" t="s">
        <v>1866</v>
      </c>
      <c r="G5" s="186" t="s">
        <v>1922</v>
      </c>
      <c r="H5" s="321" t="s">
        <v>1866</v>
      </c>
    </row>
    <row r="6" spans="1:8" ht="24" customHeight="1">
      <c r="A6" s="188"/>
      <c r="B6" s="189" t="s">
        <v>1994</v>
      </c>
      <c r="C6" s="1145" t="s">
        <v>617</v>
      </c>
      <c r="D6" s="189"/>
      <c r="E6" s="190"/>
      <c r="F6" s="189"/>
      <c r="G6" s="190"/>
      <c r="H6" s="189"/>
    </row>
    <row r="7" spans="1:8" ht="22.75" customHeight="1" thickBot="1">
      <c r="A7" s="1250">
        <v>1996</v>
      </c>
      <c r="B7" s="1151">
        <v>1467.1668685500001</v>
      </c>
      <c r="C7" s="277">
        <v>0.19641864881833015</v>
      </c>
      <c r="D7" s="410">
        <v>1656431</v>
      </c>
      <c r="E7" s="277">
        <v>0.22902077477091093</v>
      </c>
      <c r="F7" s="410">
        <v>901.63486133741753</v>
      </c>
      <c r="G7" s="411">
        <v>821972</v>
      </c>
      <c r="H7" s="410">
        <v>1508.6632014229194</v>
      </c>
    </row>
    <row r="8" spans="1:8" ht="21.5" customHeight="1" thickBot="1">
      <c r="A8" s="1245">
        <v>1997</v>
      </c>
      <c r="B8" s="313">
        <v>1994.2314670000001</v>
      </c>
      <c r="C8" s="250">
        <v>0.32454456351229566</v>
      </c>
      <c r="D8" s="195">
        <v>1955994</v>
      </c>
      <c r="E8" s="250">
        <v>0.27029666808586672</v>
      </c>
      <c r="F8" s="410">
        <v>1019.5488672255641</v>
      </c>
      <c r="G8" s="196">
        <v>988940</v>
      </c>
      <c r="H8" s="195">
        <v>2016.5343367646167</v>
      </c>
    </row>
    <row r="9" spans="1:8" ht="22.25" customHeight="1" thickBot="1">
      <c r="A9" s="1245">
        <v>1998</v>
      </c>
      <c r="B9" s="313">
        <v>2446.4709480000001</v>
      </c>
      <c r="C9" s="250">
        <v>0.3175521493515443</v>
      </c>
      <c r="D9" s="195">
        <v>2240522</v>
      </c>
      <c r="E9" s="250">
        <v>0.30918183052613801</v>
      </c>
      <c r="F9" s="410">
        <v>1091.9200739827595</v>
      </c>
      <c r="G9" s="196">
        <v>1178551</v>
      </c>
      <c r="H9" s="195">
        <v>2075.8295126812504</v>
      </c>
    </row>
    <row r="10" spans="1:8" ht="21" customHeight="1" thickBot="1">
      <c r="A10" s="1245">
        <v>1999</v>
      </c>
      <c r="B10" s="313">
        <v>2689.6721769999999</v>
      </c>
      <c r="C10" s="250">
        <v>0.33145279359936858</v>
      </c>
      <c r="D10" s="195">
        <v>2334267</v>
      </c>
      <c r="E10" s="250">
        <v>0.32105906563517722</v>
      </c>
      <c r="F10" s="410">
        <v>1152.2555804455958</v>
      </c>
      <c r="G10" s="196">
        <v>1230090</v>
      </c>
      <c r="H10" s="195">
        <v>2186.5653545675523</v>
      </c>
    </row>
    <row r="11" spans="1:8" ht="21.5" customHeight="1" thickBot="1">
      <c r="A11" s="1245">
        <v>2000</v>
      </c>
      <c r="B11" s="1243">
        <v>2545.3263492000001</v>
      </c>
      <c r="C11" s="1246">
        <v>0.3246756501223273</v>
      </c>
      <c r="D11" s="1247">
        <v>2337717</v>
      </c>
      <c r="E11" s="1246">
        <v>0.32177297173492003</v>
      </c>
      <c r="F11" s="1248">
        <v>1088.8085894058177</v>
      </c>
      <c r="G11" s="1249">
        <v>1242695</v>
      </c>
      <c r="H11" s="1247">
        <v>2048</v>
      </c>
    </row>
    <row r="12" spans="1:8" ht="22.5" customHeight="1" thickBot="1">
      <c r="A12" s="194">
        <v>2001</v>
      </c>
      <c r="B12" s="313">
        <v>2657.2</v>
      </c>
      <c r="C12" s="250">
        <v>0.32313659872418687</v>
      </c>
      <c r="D12" s="195">
        <v>2376421</v>
      </c>
      <c r="E12" s="250">
        <v>0.32549030618883584</v>
      </c>
      <c r="F12" s="410">
        <v>1118.1520446082575</v>
      </c>
      <c r="G12" s="196">
        <v>1268943</v>
      </c>
      <c r="H12" s="195">
        <v>2094.0647990098846</v>
      </c>
    </row>
    <row r="13" spans="1:8" s="382" customFormat="1" ht="22.5" customHeight="1" thickBot="1">
      <c r="A13" s="194">
        <v>2002</v>
      </c>
      <c r="B13" s="313">
        <v>2892</v>
      </c>
      <c r="C13" s="250">
        <v>0.33503586516078104</v>
      </c>
      <c r="D13" s="195">
        <v>2433822</v>
      </c>
      <c r="E13" s="250">
        <v>0.33137426082069188</v>
      </c>
      <c r="F13" s="410">
        <v>1188.2690726766377</v>
      </c>
      <c r="G13" s="196">
        <v>1289405</v>
      </c>
      <c r="H13" s="195">
        <v>2242.922441746387</v>
      </c>
    </row>
    <row r="14" spans="1:8" s="382" customFormat="1" ht="22.5" customHeight="1" thickBot="1">
      <c r="A14" s="194">
        <v>2003</v>
      </c>
      <c r="B14" s="313">
        <v>3065.5</v>
      </c>
      <c r="C14" s="250">
        <v>0.34986041988328265</v>
      </c>
      <c r="D14" s="195">
        <v>2427518.2400000002</v>
      </c>
      <c r="E14" s="250">
        <v>0.32926640809331431</v>
      </c>
      <c r="F14" s="410">
        <v>1262.8124985787954</v>
      </c>
      <c r="G14" s="196">
        <v>1287365.05</v>
      </c>
      <c r="H14" s="195">
        <v>2381.2207531966164</v>
      </c>
    </row>
    <row r="15" spans="1:8" s="382" customFormat="1" ht="22.5" customHeight="1" thickBot="1">
      <c r="A15" s="194">
        <v>2004</v>
      </c>
      <c r="B15" s="313">
        <v>3169.8</v>
      </c>
      <c r="C15" s="250">
        <v>0.35221732419197194</v>
      </c>
      <c r="D15" s="195">
        <v>2361377</v>
      </c>
      <c r="E15" s="250">
        <v>0.31981490264741708</v>
      </c>
      <c r="F15" s="410">
        <v>1342.3653663095729</v>
      </c>
      <c r="G15" s="196">
        <v>1245875</v>
      </c>
      <c r="H15" s="195">
        <v>2544.2606213303907</v>
      </c>
    </row>
    <row r="16" spans="1:8" s="382" customFormat="1" ht="22.5" customHeight="1" thickBot="1">
      <c r="A16" s="194">
        <v>2005</v>
      </c>
      <c r="B16" s="313">
        <v>3201.7620889999998</v>
      </c>
      <c r="C16" s="250">
        <v>0.35637005695084922</v>
      </c>
      <c r="D16" s="195">
        <v>2262160</v>
      </c>
      <c r="E16" s="250">
        <v>0.30422284428240698</v>
      </c>
      <c r="F16" s="410">
        <v>1415.3561591576192</v>
      </c>
      <c r="G16" s="196">
        <v>1215989</v>
      </c>
      <c r="H16" s="195">
        <v>2633.0518524427443</v>
      </c>
    </row>
    <row r="17" spans="1:8" s="382" customFormat="1" ht="22.5" customHeight="1" thickBot="1">
      <c r="A17" s="194">
        <v>2006</v>
      </c>
      <c r="B17" s="313">
        <v>3308.7390919999998</v>
      </c>
      <c r="C17" s="250">
        <v>0.35384170478437954</v>
      </c>
      <c r="D17" s="195">
        <v>2178397</v>
      </c>
      <c r="E17" s="250">
        <v>0.2912908088184103</v>
      </c>
      <c r="F17" s="410">
        <v>1518.8870954192464</v>
      </c>
      <c r="G17" s="196">
        <v>1182675</v>
      </c>
      <c r="H17" s="195">
        <v>2797.6739949690323</v>
      </c>
    </row>
    <row r="18" spans="1:8" s="382" customFormat="1" ht="22.5" customHeight="1" thickBot="1">
      <c r="A18" s="194">
        <v>2007</v>
      </c>
      <c r="B18" s="313">
        <v>3420.5200599999998</v>
      </c>
      <c r="C18" s="250">
        <v>0.35134625317765278</v>
      </c>
      <c r="D18" s="195">
        <v>2271950</v>
      </c>
      <c r="E18" s="250">
        <v>0.30141607339582416</v>
      </c>
      <c r="F18" s="410">
        <v>1505.5437223530448</v>
      </c>
      <c r="G18" s="196">
        <v>1225436</v>
      </c>
      <c r="H18" s="195">
        <v>2791.2678099876289</v>
      </c>
    </row>
    <row r="19" spans="1:8" s="382" customFormat="1" ht="22.5" customHeight="1" thickBot="1">
      <c r="A19" s="194">
        <v>2008</v>
      </c>
      <c r="B19" s="313">
        <v>3398.253929</v>
      </c>
      <c r="C19" s="250">
        <v>0.47648657864613625</v>
      </c>
      <c r="D19" s="195">
        <v>2249481</v>
      </c>
      <c r="E19" s="250">
        <v>0.29537946093590112</v>
      </c>
      <c r="F19" s="410">
        <v>1510.6835438930136</v>
      </c>
      <c r="G19" s="196">
        <v>1211669.9745008873</v>
      </c>
      <c r="H19" s="195">
        <v>2804.603564101531</v>
      </c>
    </row>
    <row r="20" spans="1:8" s="382" customFormat="1" ht="22.5" customHeight="1" thickBot="1">
      <c r="A20" s="194">
        <v>2009</v>
      </c>
      <c r="B20" s="313">
        <v>3542.4140867700003</v>
      </c>
      <c r="C20" s="250">
        <v>0.48763624888153639</v>
      </c>
      <c r="D20" s="195">
        <v>2254890</v>
      </c>
      <c r="E20" s="250">
        <v>0.29250672209346623</v>
      </c>
      <c r="F20" s="410">
        <v>1570.991971568458</v>
      </c>
      <c r="G20" s="196">
        <v>1229418</v>
      </c>
      <c r="H20" s="195">
        <v>2881.37483489749</v>
      </c>
    </row>
    <row r="21" spans="1:8" s="382" customFormat="1" ht="22.5" customHeight="1" thickBot="1">
      <c r="A21" s="194">
        <v>2010</v>
      </c>
      <c r="B21" s="313">
        <v>3979.8429310299998</v>
      </c>
      <c r="C21" s="250">
        <v>0.50358678665524759</v>
      </c>
      <c r="D21" s="195">
        <v>2315252</v>
      </c>
      <c r="E21" s="250">
        <v>0.29760312239746117</v>
      </c>
      <c r="F21" s="410">
        <v>1718.9674951279601</v>
      </c>
      <c r="G21" s="196">
        <v>1270592</v>
      </c>
      <c r="H21" s="195">
        <v>3132.2745074972922</v>
      </c>
    </row>
    <row r="22" spans="1:8" ht="25.5" customHeight="1" thickBot="1">
      <c r="A22" s="198">
        <v>2011</v>
      </c>
      <c r="B22" s="315">
        <v>4070.3476851999999</v>
      </c>
      <c r="C22" s="252">
        <v>0.48015848870747058</v>
      </c>
      <c r="D22" s="199">
        <v>2273693</v>
      </c>
      <c r="E22" s="252">
        <v>0.28917199317343922</v>
      </c>
      <c r="F22" s="431">
        <v>1790.1922929788673</v>
      </c>
      <c r="G22" s="200">
        <v>1274390</v>
      </c>
      <c r="H22" s="199">
        <v>3193.957646560315</v>
      </c>
    </row>
    <row r="23" spans="1:8" ht="16.5" customHeight="1">
      <c r="A23" s="1108" t="s">
        <v>1869</v>
      </c>
      <c r="B23" s="112"/>
      <c r="C23" s="112"/>
      <c r="D23" s="112"/>
      <c r="E23" s="112"/>
      <c r="F23" s="112"/>
      <c r="G23" s="112"/>
      <c r="H23" s="112"/>
    </row>
    <row r="24" spans="1:8" ht="10.5" customHeight="1">
      <c r="A24" s="1111"/>
      <c r="B24" s="115"/>
      <c r="C24" s="115"/>
      <c r="D24" s="115"/>
      <c r="E24" s="115"/>
      <c r="F24" s="115"/>
      <c r="G24" s="115"/>
      <c r="H24" s="115"/>
    </row>
    <row r="25" spans="1:8" ht="16.5" customHeight="1">
      <c r="A25" s="1111" t="s">
        <v>1995</v>
      </c>
      <c r="B25" s="115"/>
      <c r="C25" s="115"/>
      <c r="D25" s="115"/>
      <c r="E25" s="115"/>
      <c r="F25" s="115"/>
      <c r="G25" s="115"/>
      <c r="H25" s="115"/>
    </row>
    <row r="26" spans="1:8" ht="12.75" customHeight="1">
      <c r="A26" s="1111"/>
      <c r="B26" s="115"/>
      <c r="C26" s="115"/>
      <c r="D26" s="115"/>
      <c r="E26" s="115"/>
      <c r="F26" s="115"/>
      <c r="G26" s="115"/>
      <c r="H26" s="115"/>
    </row>
    <row r="27" spans="1:8" ht="12.75" customHeight="1">
      <c r="A27" s="903" t="s">
        <v>1996</v>
      </c>
      <c r="B27" s="115"/>
      <c r="C27" s="115"/>
      <c r="D27" s="115"/>
      <c r="E27" s="115"/>
      <c r="F27" s="115"/>
      <c r="G27" s="115"/>
      <c r="H27" s="115"/>
    </row>
    <row r="28" spans="1:8" ht="12.75" customHeight="1">
      <c r="A28" s="903" t="s">
        <v>1997</v>
      </c>
      <c r="B28" s="115"/>
      <c r="C28" s="115"/>
      <c r="D28" s="115"/>
      <c r="E28" s="115"/>
      <c r="F28" s="115"/>
      <c r="G28" s="115"/>
      <c r="H28" s="115"/>
    </row>
    <row r="29" spans="1:8" ht="12.75" customHeight="1">
      <c r="A29" s="903" t="s">
        <v>1998</v>
      </c>
      <c r="B29" s="115"/>
      <c r="C29" s="115"/>
      <c r="D29" s="115"/>
      <c r="E29" s="115"/>
      <c r="F29" s="115"/>
      <c r="G29" s="115"/>
      <c r="H29" s="115"/>
    </row>
    <row r="30" spans="1:8" ht="12.75" customHeight="1">
      <c r="A30" s="903" t="s">
        <v>1999</v>
      </c>
    </row>
    <row r="31" spans="1:8" ht="15" customHeight="1"/>
    <row r="32" spans="1:8" ht="15" customHeight="1">
      <c r="A32" s="1238"/>
    </row>
    <row r="33" spans="1:1" ht="15" customHeight="1">
      <c r="A33" s="1080" t="s">
        <v>719</v>
      </c>
    </row>
    <row r="34" spans="1:1" ht="30" customHeight="1"/>
    <row r="35" spans="1:1" ht="30" customHeight="1"/>
    <row r="36" spans="1:1" ht="30" customHeight="1"/>
    <row r="37" spans="1:1" ht="30" customHeight="1"/>
    <row r="38" spans="1:1" ht="30" customHeight="1"/>
    <row r="39" spans="1:1" ht="30" customHeight="1"/>
    <row r="40" spans="1:1" ht="30" customHeight="1"/>
    <row r="41" spans="1:1" ht="30" customHeight="1"/>
    <row r="42" spans="1:1" ht="30" customHeight="1"/>
    <row r="43" spans="1:1" ht="30" customHeight="1"/>
    <row r="44" spans="1:1" ht="30" customHeight="1"/>
    <row r="45" spans="1:1" ht="30" customHeight="1"/>
  </sheetData>
  <mergeCells count="1">
    <mergeCell ref="A2:G2"/>
  </mergeCells>
  <pageMargins left="0.57999999999999996" right="0.66" top="0.83" bottom="0.76" header="0.47" footer="0.47"/>
  <pageSetup paperSize="9" scale="80" orientation="portrait" horizontalDpi="4294967292" verticalDpi="4294967292"/>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15B7-32BB-7D4D-B6D4-4C6445081F2D}">
  <sheetPr>
    <pageSetUpPr fitToPage="1"/>
  </sheetPr>
  <dimension ref="A1:J45"/>
  <sheetViews>
    <sheetView topLeftCell="A31" zoomScaleNormal="100" workbookViewId="0">
      <selection activeCell="H44" sqref="H44"/>
    </sheetView>
  </sheetViews>
  <sheetFormatPr baseColWidth="10" defaultColWidth="11.3984375" defaultRowHeight="13"/>
  <cols>
    <col min="1" max="1" width="13.3984375" style="3" customWidth="1"/>
    <col min="2" max="2" width="12.59765625" style="3" customWidth="1"/>
    <col min="3" max="3" width="12" style="3" customWidth="1"/>
    <col min="4" max="4" width="12.59765625" style="3" customWidth="1"/>
    <col min="5" max="5" width="13.3984375" style="119" customWidth="1"/>
    <col min="6" max="7" width="14" style="396" customWidth="1"/>
    <col min="8" max="8" width="18.19921875" style="3" customWidth="1"/>
    <col min="9" max="9" width="15.59765625" style="173" customWidth="1"/>
    <col min="10" max="10" width="17" style="3" customWidth="1"/>
    <col min="11" max="16384" width="11.3984375" style="3"/>
  </cols>
  <sheetData>
    <row r="1" spans="1:10" s="2" customFormat="1" ht="14" customHeight="1">
      <c r="E1" s="88"/>
      <c r="F1" s="514"/>
      <c r="G1" s="514"/>
      <c r="I1" s="1095"/>
      <c r="J1" s="1095"/>
    </row>
    <row r="2" spans="1:10" s="2" customFormat="1" ht="25.25" customHeight="1">
      <c r="A2" s="180" t="s">
        <v>1960</v>
      </c>
      <c r="E2" s="88"/>
      <c r="F2" s="514"/>
      <c r="G2" s="207"/>
      <c r="H2" s="207">
        <v>2011</v>
      </c>
      <c r="I2" s="938"/>
      <c r="J2" s="1140"/>
    </row>
    <row r="3" spans="1:10" ht="24" customHeight="1">
      <c r="A3" s="92" t="s">
        <v>191</v>
      </c>
      <c r="B3" s="1853" t="s">
        <v>1945</v>
      </c>
      <c r="C3" s="1854"/>
      <c r="D3" s="1854"/>
      <c r="E3" s="229" t="s">
        <v>1961</v>
      </c>
      <c r="F3" s="93" t="s">
        <v>1896</v>
      </c>
      <c r="G3" s="229" t="s">
        <v>1896</v>
      </c>
      <c r="H3" s="182" t="s">
        <v>1896</v>
      </c>
      <c r="I3" s="934"/>
      <c r="J3" s="1141"/>
    </row>
    <row r="4" spans="1:10" ht="15" customHeight="1">
      <c r="A4" s="184"/>
      <c r="B4" s="185" t="s">
        <v>276</v>
      </c>
      <c r="C4" s="187" t="s">
        <v>277</v>
      </c>
      <c r="D4" s="96" t="s">
        <v>278</v>
      </c>
      <c r="E4" s="186" t="s">
        <v>1962</v>
      </c>
      <c r="F4" s="96" t="s">
        <v>1899</v>
      </c>
      <c r="G4" s="187" t="s">
        <v>1900</v>
      </c>
      <c r="H4" s="96" t="s">
        <v>1901</v>
      </c>
      <c r="I4" s="1104"/>
      <c r="J4" s="1142"/>
    </row>
    <row r="5" spans="1:10" ht="15" customHeight="1">
      <c r="A5" s="184"/>
      <c r="B5" s="185"/>
      <c r="C5" s="186"/>
      <c r="D5" s="185"/>
      <c r="E5" s="186"/>
      <c r="F5" s="96" t="s">
        <v>1903</v>
      </c>
      <c r="G5" s="187" t="s">
        <v>1904</v>
      </c>
      <c r="H5" s="96" t="s">
        <v>1905</v>
      </c>
      <c r="I5" s="1104"/>
      <c r="J5" s="1142"/>
    </row>
    <row r="6" spans="1:10" ht="15" customHeight="1">
      <c r="A6" s="184"/>
      <c r="B6" s="185"/>
      <c r="C6" s="186"/>
      <c r="D6" s="185"/>
      <c r="E6" s="186"/>
      <c r="F6" s="96" t="s">
        <v>1038</v>
      </c>
      <c r="G6" s="187"/>
      <c r="H6" s="96" t="s">
        <v>1906</v>
      </c>
      <c r="I6" s="1104"/>
      <c r="J6" s="1142"/>
    </row>
    <row r="7" spans="1:10" ht="24" customHeight="1">
      <c r="A7" s="188"/>
      <c r="B7" s="189"/>
      <c r="C7" s="190"/>
      <c r="D7" s="189"/>
      <c r="E7" s="190"/>
      <c r="F7" s="920"/>
      <c r="G7" s="1204"/>
      <c r="H7" s="920" t="s">
        <v>1907</v>
      </c>
      <c r="I7" s="1104"/>
      <c r="J7" s="1146"/>
    </row>
    <row r="8" spans="1:10" ht="30" customHeight="1" thickBot="1">
      <c r="A8" s="925" t="s">
        <v>362</v>
      </c>
      <c r="B8" s="215">
        <v>195952</v>
      </c>
      <c r="C8" s="216">
        <v>225373</v>
      </c>
      <c r="D8" s="215">
        <v>421325</v>
      </c>
      <c r="E8" s="277">
        <v>0.30662887488071805</v>
      </c>
      <c r="F8" s="410">
        <v>51532</v>
      </c>
      <c r="G8" s="411">
        <v>42239</v>
      </c>
      <c r="H8" s="410">
        <v>93771</v>
      </c>
      <c r="I8" s="1104"/>
      <c r="J8" s="1152"/>
    </row>
    <row r="9" spans="1:10" ht="20" customHeight="1" thickBot="1">
      <c r="A9" s="927" t="s">
        <v>363</v>
      </c>
      <c r="B9" s="215">
        <v>120706</v>
      </c>
      <c r="C9" s="216">
        <v>135715</v>
      </c>
      <c r="D9" s="215">
        <v>256421</v>
      </c>
      <c r="E9" s="277">
        <v>0.26127599660299733</v>
      </c>
      <c r="F9" s="410">
        <v>47206</v>
      </c>
      <c r="G9" s="411">
        <v>37390</v>
      </c>
      <c r="H9" s="410">
        <v>37390</v>
      </c>
      <c r="I9" s="1104"/>
      <c r="J9" s="1152"/>
    </row>
    <row r="10" spans="1:10" ht="20" customHeight="1" thickBot="1">
      <c r="A10" s="927" t="s">
        <v>364</v>
      </c>
      <c r="B10" s="215">
        <v>59718</v>
      </c>
      <c r="C10" s="216">
        <v>65315</v>
      </c>
      <c r="D10" s="215">
        <v>125033</v>
      </c>
      <c r="E10" s="277">
        <v>0.32857151266353551</v>
      </c>
      <c r="F10" s="410">
        <v>18016</v>
      </c>
      <c r="G10" s="411">
        <v>8008</v>
      </c>
      <c r="H10" s="410">
        <v>2409</v>
      </c>
      <c r="I10" s="1104"/>
      <c r="J10" s="1152"/>
    </row>
    <row r="11" spans="1:10" ht="20" customHeight="1" thickBot="1">
      <c r="A11" s="927" t="s">
        <v>365</v>
      </c>
      <c r="B11" s="215">
        <v>7808</v>
      </c>
      <c r="C11" s="216">
        <v>8143</v>
      </c>
      <c r="D11" s="215">
        <v>15951</v>
      </c>
      <c r="E11" s="277">
        <v>0.44852720772621929</v>
      </c>
      <c r="F11" s="410">
        <v>1574</v>
      </c>
      <c r="G11" s="411">
        <v>340</v>
      </c>
      <c r="H11" s="410">
        <v>71</v>
      </c>
      <c r="I11" s="1104"/>
      <c r="J11" s="1152"/>
    </row>
    <row r="12" spans="1:10" ht="20" customHeight="1" thickBot="1">
      <c r="A12" s="927" t="s">
        <v>366</v>
      </c>
      <c r="B12" s="215">
        <v>18014</v>
      </c>
      <c r="C12" s="216">
        <v>19782</v>
      </c>
      <c r="D12" s="215">
        <v>37796</v>
      </c>
      <c r="E12" s="277">
        <v>0.25644120588702057</v>
      </c>
      <c r="F12" s="410">
        <v>3738</v>
      </c>
      <c r="G12" s="411">
        <v>1612</v>
      </c>
      <c r="H12" s="410">
        <v>3942</v>
      </c>
      <c r="I12" s="1104"/>
      <c r="J12" s="1152"/>
    </row>
    <row r="13" spans="1:10" ht="20" customHeight="1" thickBot="1">
      <c r="A13" s="927" t="s">
        <v>367</v>
      </c>
      <c r="B13" s="215">
        <v>6886</v>
      </c>
      <c r="C13" s="216">
        <v>7294</v>
      </c>
      <c r="D13" s="215">
        <v>14180</v>
      </c>
      <c r="E13" s="277">
        <v>0.39260452680218078</v>
      </c>
      <c r="F13" s="410">
        <v>985</v>
      </c>
      <c r="G13" s="411">
        <v>379</v>
      </c>
      <c r="H13" s="410">
        <v>3345</v>
      </c>
      <c r="I13" s="1104"/>
      <c r="J13" s="1152"/>
    </row>
    <row r="14" spans="1:10" ht="20" customHeight="1" thickBot="1">
      <c r="A14" s="927" t="s">
        <v>368</v>
      </c>
      <c r="B14" s="215">
        <v>9316</v>
      </c>
      <c r="C14" s="216">
        <v>10012</v>
      </c>
      <c r="D14" s="215">
        <v>19328</v>
      </c>
      <c r="E14" s="277">
        <v>0.472593582233924</v>
      </c>
      <c r="F14" s="410">
        <v>803</v>
      </c>
      <c r="G14" s="411">
        <v>509</v>
      </c>
      <c r="H14" s="410">
        <v>1312</v>
      </c>
      <c r="I14" s="1104"/>
      <c r="J14" s="1152"/>
    </row>
    <row r="15" spans="1:10" ht="20" customHeight="1" thickBot="1">
      <c r="A15" s="927" t="s">
        <v>369</v>
      </c>
      <c r="B15" s="215">
        <v>5650</v>
      </c>
      <c r="C15" s="216">
        <v>6515</v>
      </c>
      <c r="D15" s="215">
        <v>12165</v>
      </c>
      <c r="E15" s="277">
        <v>0.31036029347608124</v>
      </c>
      <c r="F15" s="410">
        <v>1315</v>
      </c>
      <c r="G15" s="411">
        <v>592</v>
      </c>
      <c r="H15" s="410">
        <v>1907</v>
      </c>
      <c r="I15" s="1104"/>
      <c r="J15" s="1152"/>
    </row>
    <row r="16" spans="1:10" ht="20" customHeight="1" thickBot="1">
      <c r="A16" s="927" t="s">
        <v>370</v>
      </c>
      <c r="B16" s="215">
        <v>13581</v>
      </c>
      <c r="C16" s="216">
        <v>15725</v>
      </c>
      <c r="D16" s="215">
        <v>29306</v>
      </c>
      <c r="E16" s="277">
        <v>0.25729234963946063</v>
      </c>
      <c r="F16" s="410">
        <v>2341</v>
      </c>
      <c r="G16" s="411">
        <v>1677</v>
      </c>
      <c r="H16" s="410">
        <v>4018</v>
      </c>
      <c r="I16" s="1104"/>
      <c r="J16" s="1152"/>
    </row>
    <row r="17" spans="1:10" ht="20" customHeight="1" thickBot="1">
      <c r="A17" s="927" t="s">
        <v>371</v>
      </c>
      <c r="B17" s="215">
        <v>39425</v>
      </c>
      <c r="C17" s="216">
        <v>45757</v>
      </c>
      <c r="D17" s="215">
        <v>85182</v>
      </c>
      <c r="E17" s="277">
        <v>0.30238591367691892</v>
      </c>
      <c r="F17" s="410">
        <v>11405</v>
      </c>
      <c r="G17" s="411">
        <v>7983</v>
      </c>
      <c r="H17" s="410">
        <v>19388</v>
      </c>
      <c r="I17" s="1104"/>
      <c r="J17" s="1152"/>
    </row>
    <row r="18" spans="1:10" ht="20" customHeight="1" thickBot="1">
      <c r="A18" s="927" t="s">
        <v>372</v>
      </c>
      <c r="B18" s="215">
        <v>32248</v>
      </c>
      <c r="C18" s="216">
        <v>36745</v>
      </c>
      <c r="D18" s="215">
        <v>68993</v>
      </c>
      <c r="E18" s="277">
        <v>0.26751756741215477</v>
      </c>
      <c r="F18" s="410">
        <v>9433</v>
      </c>
      <c r="G18" s="411">
        <v>8106</v>
      </c>
      <c r="H18" s="410"/>
      <c r="I18" s="1104"/>
      <c r="J18" s="1152"/>
    </row>
    <row r="19" spans="1:10" ht="20" customHeight="1" thickBot="1">
      <c r="A19" s="927" t="s">
        <v>373</v>
      </c>
      <c r="B19" s="215">
        <v>23011</v>
      </c>
      <c r="C19" s="216">
        <v>26602</v>
      </c>
      <c r="D19" s="215">
        <v>49613</v>
      </c>
      <c r="E19" s="277">
        <v>0.27568164290767261</v>
      </c>
      <c r="F19" s="410">
        <v>12168</v>
      </c>
      <c r="G19" s="411">
        <v>11363</v>
      </c>
      <c r="H19" s="410"/>
      <c r="I19" s="1104"/>
      <c r="J19" s="1152"/>
    </row>
    <row r="20" spans="1:10" ht="20" customHeight="1" thickBot="1">
      <c r="A20" s="927" t="s">
        <v>374</v>
      </c>
      <c r="B20" s="215">
        <v>27384</v>
      </c>
      <c r="C20" s="216">
        <v>29722</v>
      </c>
      <c r="D20" s="215">
        <v>57106</v>
      </c>
      <c r="E20" s="277">
        <v>0.20928368438967854</v>
      </c>
      <c r="F20" s="410">
        <v>8787</v>
      </c>
      <c r="G20" s="411">
        <v>1324</v>
      </c>
      <c r="H20" s="410"/>
      <c r="I20" s="1104"/>
      <c r="J20" s="1152"/>
    </row>
    <row r="21" spans="1:10" ht="20" customHeight="1" thickBot="1">
      <c r="A21" s="927" t="s">
        <v>375</v>
      </c>
      <c r="B21" s="215">
        <v>14534</v>
      </c>
      <c r="C21" s="216">
        <v>15567</v>
      </c>
      <c r="D21" s="215">
        <v>30101</v>
      </c>
      <c r="E21" s="277">
        <v>0.39290471593998028</v>
      </c>
      <c r="F21" s="410">
        <v>2421</v>
      </c>
      <c r="G21" s="411">
        <v>1557</v>
      </c>
      <c r="H21" s="410">
        <v>1557</v>
      </c>
      <c r="I21" s="1104"/>
      <c r="J21" s="1152"/>
    </row>
    <row r="22" spans="1:10" ht="20" customHeight="1" thickBot="1">
      <c r="A22" s="927" t="s">
        <v>376</v>
      </c>
      <c r="B22" s="215">
        <v>6678</v>
      </c>
      <c r="C22" s="216">
        <v>7077</v>
      </c>
      <c r="D22" s="215">
        <v>13755</v>
      </c>
      <c r="E22" s="277">
        <v>0.25531298810859571</v>
      </c>
      <c r="F22" s="410">
        <v>1429</v>
      </c>
      <c r="G22" s="411">
        <v>607</v>
      </c>
      <c r="H22" s="410">
        <v>7427</v>
      </c>
      <c r="I22" s="1104"/>
      <c r="J22" s="1152"/>
    </row>
    <row r="23" spans="1:10" ht="20" customHeight="1" thickBot="1">
      <c r="A23" s="927" t="s">
        <v>377</v>
      </c>
      <c r="B23" s="215">
        <v>3210</v>
      </c>
      <c r="C23" s="216">
        <v>3052</v>
      </c>
      <c r="D23" s="215">
        <v>6262</v>
      </c>
      <c r="E23" s="277">
        <v>0.39718154596352045</v>
      </c>
      <c r="F23" s="410">
        <v>393</v>
      </c>
      <c r="G23" s="411">
        <v>111</v>
      </c>
      <c r="H23" s="410">
        <v>93</v>
      </c>
      <c r="I23" s="1104"/>
      <c r="J23" s="1152"/>
    </row>
    <row r="24" spans="1:10" ht="20" customHeight="1" thickBot="1">
      <c r="A24" s="927" t="s">
        <v>378</v>
      </c>
      <c r="B24" s="215">
        <v>72741</v>
      </c>
      <c r="C24" s="216">
        <v>77230</v>
      </c>
      <c r="D24" s="215">
        <v>149971</v>
      </c>
      <c r="E24" s="277">
        <v>0.31134223169254699</v>
      </c>
      <c r="F24" s="410">
        <v>20965</v>
      </c>
      <c r="G24" s="411">
        <v>18593</v>
      </c>
      <c r="H24" s="410">
        <v>18593</v>
      </c>
      <c r="I24" s="1104"/>
      <c r="J24" s="1152"/>
    </row>
    <row r="25" spans="1:10" ht="20" customHeight="1" thickBot="1">
      <c r="A25" s="927" t="s">
        <v>379</v>
      </c>
      <c r="B25" s="215">
        <v>29144</v>
      </c>
      <c r="C25" s="216">
        <v>33210</v>
      </c>
      <c r="D25" s="215">
        <v>62354</v>
      </c>
      <c r="E25" s="277">
        <v>0.31600450780526673</v>
      </c>
      <c r="F25" s="410">
        <v>5669</v>
      </c>
      <c r="G25" s="411">
        <v>2163</v>
      </c>
      <c r="H25" s="410">
        <v>8014</v>
      </c>
      <c r="I25" s="1104"/>
      <c r="J25" s="1152"/>
    </row>
    <row r="26" spans="1:10" ht="20" customHeight="1" thickBot="1">
      <c r="A26" s="927" t="s">
        <v>380</v>
      </c>
      <c r="B26" s="215">
        <v>73834</v>
      </c>
      <c r="C26" s="216">
        <v>82890</v>
      </c>
      <c r="D26" s="215">
        <v>156724</v>
      </c>
      <c r="E26" s="277">
        <v>0.25391875406712067</v>
      </c>
      <c r="F26" s="410">
        <v>20555</v>
      </c>
      <c r="G26" s="411">
        <v>9328</v>
      </c>
      <c r="H26" s="410">
        <v>12053</v>
      </c>
      <c r="I26" s="1104"/>
      <c r="J26" s="1152"/>
    </row>
    <row r="27" spans="1:10" ht="20" customHeight="1" thickBot="1">
      <c r="A27" s="927" t="s">
        <v>381</v>
      </c>
      <c r="B27" s="215">
        <v>45419</v>
      </c>
      <c r="C27" s="216">
        <v>51494</v>
      </c>
      <c r="D27" s="215">
        <v>96913</v>
      </c>
      <c r="E27" s="277">
        <v>0.38691293438924701</v>
      </c>
      <c r="F27" s="410">
        <v>8178</v>
      </c>
      <c r="G27" s="411">
        <v>2894</v>
      </c>
      <c r="H27" s="410"/>
      <c r="I27" s="1104"/>
      <c r="J27" s="1152"/>
    </row>
    <row r="28" spans="1:10" ht="20" customHeight="1" thickBot="1">
      <c r="A28" s="927" t="s">
        <v>382</v>
      </c>
      <c r="B28" s="215">
        <v>52071</v>
      </c>
      <c r="C28" s="216">
        <v>64949</v>
      </c>
      <c r="D28" s="215">
        <v>117020</v>
      </c>
      <c r="E28" s="277">
        <v>0.35058781430817715</v>
      </c>
      <c r="F28" s="410">
        <v>25400</v>
      </c>
      <c r="G28" s="411">
        <v>16643</v>
      </c>
      <c r="H28" s="410"/>
      <c r="I28" s="1104"/>
      <c r="J28" s="1152"/>
    </row>
    <row r="29" spans="1:10" ht="20" customHeight="1" thickBot="1">
      <c r="A29" s="927" t="s">
        <v>383</v>
      </c>
      <c r="B29" s="215">
        <v>79327</v>
      </c>
      <c r="C29" s="216">
        <v>94508</v>
      </c>
      <c r="D29" s="215">
        <v>173835</v>
      </c>
      <c r="E29" s="277">
        <v>0.24657671700466716</v>
      </c>
      <c r="F29" s="410">
        <v>35579</v>
      </c>
      <c r="G29" s="411">
        <v>31752</v>
      </c>
      <c r="H29" s="410">
        <v>59738</v>
      </c>
      <c r="I29" s="1104"/>
      <c r="J29" s="1152"/>
    </row>
    <row r="30" spans="1:10" ht="20" customHeight="1" thickBot="1">
      <c r="A30" s="927" t="s">
        <v>384</v>
      </c>
      <c r="B30" s="215">
        <v>41482.503261299949</v>
      </c>
      <c r="C30" s="216">
        <v>49329.496738700043</v>
      </c>
      <c r="D30" s="215">
        <v>90812</v>
      </c>
      <c r="E30" s="277">
        <v>0.28491753637128658</v>
      </c>
      <c r="F30" s="410">
        <v>8835</v>
      </c>
      <c r="G30" s="411">
        <v>4226</v>
      </c>
      <c r="H30" s="410"/>
      <c r="I30" s="1104"/>
      <c r="J30" s="1152"/>
    </row>
    <row r="31" spans="1:10" ht="20" customHeight="1" thickBot="1">
      <c r="A31" s="927" t="s">
        <v>385</v>
      </c>
      <c r="B31" s="502">
        <v>22169</v>
      </c>
      <c r="C31" s="503">
        <v>26890</v>
      </c>
      <c r="D31" s="502">
        <v>49059</v>
      </c>
      <c r="E31" s="1205">
        <v>0.28321735001990528</v>
      </c>
      <c r="F31" s="1206">
        <v>10449</v>
      </c>
      <c r="G31" s="1207">
        <v>10038</v>
      </c>
      <c r="H31" s="1206"/>
      <c r="I31" s="1104"/>
      <c r="J31" s="1152"/>
    </row>
    <row r="32" spans="1:10" ht="20" customHeight="1" thickBot="1">
      <c r="A32" s="927" t="s">
        <v>386</v>
      </c>
      <c r="B32" s="230">
        <v>50292</v>
      </c>
      <c r="C32" s="233">
        <v>60663</v>
      </c>
      <c r="D32" s="230">
        <v>110955</v>
      </c>
      <c r="E32" s="248">
        <v>0.26250215764920715</v>
      </c>
      <c r="F32" s="100">
        <v>27693</v>
      </c>
      <c r="G32" s="193">
        <v>23753</v>
      </c>
      <c r="H32" s="100">
        <v>51446</v>
      </c>
      <c r="I32" s="1104"/>
      <c r="J32" s="1152"/>
    </row>
    <row r="33" spans="1:10" ht="20" customHeight="1" thickBot="1">
      <c r="A33" s="927" t="s">
        <v>387</v>
      </c>
      <c r="B33" s="215">
        <v>10203</v>
      </c>
      <c r="C33" s="216">
        <v>13330</v>
      </c>
      <c r="D33" s="215">
        <v>23533</v>
      </c>
      <c r="E33" s="277">
        <v>0.33207097539093444</v>
      </c>
      <c r="F33" s="410">
        <v>4433</v>
      </c>
      <c r="G33" s="411">
        <v>1562</v>
      </c>
      <c r="H33" s="410"/>
      <c r="I33" s="1104"/>
      <c r="J33" s="1152"/>
    </row>
    <row r="34" spans="1:10" ht="30" customHeight="1" thickBot="1">
      <c r="A34" s="1106" t="s">
        <v>444</v>
      </c>
      <c r="B34" s="307">
        <v>1060803.5032612998</v>
      </c>
      <c r="C34" s="308">
        <v>1212889.4967387</v>
      </c>
      <c r="D34" s="307">
        <v>2273693</v>
      </c>
      <c r="E34" s="284">
        <v>0.28917199317343922</v>
      </c>
      <c r="F34" s="1079">
        <v>341302</v>
      </c>
      <c r="G34" s="1208">
        <v>244749</v>
      </c>
      <c r="H34" s="444">
        <v>326474</v>
      </c>
      <c r="I34" s="428"/>
      <c r="J34" s="1160"/>
    </row>
    <row r="35" spans="1:10" ht="20" customHeight="1">
      <c r="A35" s="1108" t="s">
        <v>1869</v>
      </c>
      <c r="B35" s="201"/>
      <c r="C35" s="201"/>
      <c r="D35" s="201"/>
      <c r="E35" s="1109"/>
      <c r="F35" s="201"/>
      <c r="G35" s="201"/>
    </row>
    <row r="36" spans="1:10" ht="14.25" customHeight="1">
      <c r="A36" s="1111"/>
      <c r="B36" s="203"/>
      <c r="C36" s="203"/>
      <c r="D36" s="203"/>
      <c r="E36" s="1110"/>
      <c r="F36" s="203"/>
      <c r="G36" s="203"/>
    </row>
    <row r="37" spans="1:10" ht="20" customHeight="1">
      <c r="A37" s="1111" t="s">
        <v>1963</v>
      </c>
      <c r="B37" s="203"/>
      <c r="C37" s="203"/>
      <c r="D37" s="203"/>
      <c r="E37" s="1110"/>
      <c r="F37" s="203"/>
      <c r="G37" s="203"/>
    </row>
    <row r="38" spans="1:10" ht="15.75" customHeight="1">
      <c r="A38" s="1111"/>
      <c r="B38" s="203"/>
      <c r="C38" s="203"/>
      <c r="D38" s="203"/>
      <c r="E38" s="1110"/>
      <c r="F38" s="203"/>
      <c r="G38" s="203"/>
    </row>
    <row r="39" spans="1:10" ht="12.75" customHeight="1">
      <c r="A39" s="115" t="s">
        <v>1964</v>
      </c>
      <c r="B39" s="203"/>
      <c r="C39" s="203"/>
      <c r="D39" s="203"/>
      <c r="E39" s="1110"/>
      <c r="F39" s="203"/>
      <c r="G39" s="203"/>
    </row>
    <row r="40" spans="1:10" ht="12.75" customHeight="1">
      <c r="A40" s="115" t="s">
        <v>1965</v>
      </c>
      <c r="B40" s="203"/>
      <c r="C40" s="203"/>
      <c r="D40" s="203"/>
      <c r="E40" s="1110"/>
      <c r="F40" s="203"/>
      <c r="G40" s="203"/>
    </row>
    <row r="41" spans="1:10" ht="12.75" customHeight="1">
      <c r="A41" s="115" t="s">
        <v>1966</v>
      </c>
      <c r="B41" s="203"/>
      <c r="C41" s="203"/>
      <c r="D41" s="203"/>
      <c r="E41" s="1110"/>
      <c r="F41" s="203"/>
      <c r="G41" s="203"/>
    </row>
    <row r="42" spans="1:10" ht="12.75" customHeight="1">
      <c r="A42" s="115"/>
      <c r="B42" s="203"/>
      <c r="C42" s="203"/>
      <c r="D42" s="203"/>
      <c r="E42" s="1110"/>
      <c r="F42" s="203"/>
      <c r="G42" s="203"/>
      <c r="H42" s="115"/>
    </row>
    <row r="44" spans="1:10">
      <c r="E44" s="869"/>
    </row>
    <row r="45" spans="1:10">
      <c r="A45" s="3" t="s">
        <v>719</v>
      </c>
    </row>
  </sheetData>
  <mergeCells count="1">
    <mergeCell ref="B3:D3"/>
  </mergeCells>
  <pageMargins left="0.56000000000000005" right="0.5" top="0.76" bottom="0.49" header="0.42" footer="0.4921259845"/>
  <pageSetup paperSize="9" scale="84" orientation="portrait" horizontalDpi="1200" verticalDpi="12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4EA0-4475-A647-A9AC-2510D85BC599}">
  <sheetPr>
    <pageSetUpPr fitToPage="1"/>
  </sheetPr>
  <dimension ref="A1:K34"/>
  <sheetViews>
    <sheetView zoomScaleNormal="100" workbookViewId="0">
      <selection activeCell="I18" sqref="I18"/>
    </sheetView>
  </sheetViews>
  <sheetFormatPr baseColWidth="10" defaultColWidth="11.3984375" defaultRowHeight="13"/>
  <cols>
    <col min="1" max="1" width="17.59765625" style="3" customWidth="1"/>
    <col min="2" max="4" width="17.19921875" style="3" customWidth="1"/>
    <col min="5" max="5" width="19.59765625" style="119" customWidth="1"/>
    <col min="6" max="6" width="19.59765625" style="3" customWidth="1"/>
    <col min="7" max="16384" width="11.3984375" style="3"/>
  </cols>
  <sheetData>
    <row r="1" spans="1:11" s="2" customFormat="1" ht="14" customHeight="1">
      <c r="E1" s="88"/>
    </row>
    <row r="2" spans="1:11" s="2" customFormat="1" ht="25.25" customHeight="1">
      <c r="A2" s="180" t="s">
        <v>1944</v>
      </c>
      <c r="E2" s="207"/>
      <c r="F2" s="318">
        <v>2011</v>
      </c>
    </row>
    <row r="3" spans="1:11" ht="24" customHeight="1">
      <c r="A3" s="92" t="s">
        <v>275</v>
      </c>
      <c r="B3" s="1853" t="s">
        <v>1945</v>
      </c>
      <c r="C3" s="1854"/>
      <c r="D3" s="1854"/>
      <c r="E3" s="94" t="s">
        <v>1946</v>
      </c>
      <c r="F3" s="96" t="s">
        <v>1947</v>
      </c>
    </row>
    <row r="4" spans="1:11" ht="15" customHeight="1">
      <c r="A4" s="95"/>
      <c r="B4" s="185" t="s">
        <v>276</v>
      </c>
      <c r="C4" s="186" t="s">
        <v>277</v>
      </c>
      <c r="D4" s="185" t="s">
        <v>278</v>
      </c>
      <c r="E4" s="95" t="s">
        <v>1948</v>
      </c>
      <c r="F4" s="96" t="s">
        <v>1949</v>
      </c>
    </row>
    <row r="5" spans="1:11" ht="24" customHeight="1">
      <c r="A5" s="231"/>
      <c r="B5" s="135"/>
      <c r="C5" s="136"/>
      <c r="D5" s="135"/>
      <c r="E5" s="231"/>
      <c r="F5" s="98" t="s">
        <v>1950</v>
      </c>
    </row>
    <row r="6" spans="1:11" ht="25.5" customHeight="1" thickBot="1">
      <c r="A6" s="421" t="s">
        <v>1951</v>
      </c>
      <c r="B6" s="230">
        <v>339751.08955746895</v>
      </c>
      <c r="C6" s="233">
        <v>319970.91044253105</v>
      </c>
      <c r="D6" s="230">
        <v>659722</v>
      </c>
      <c r="E6" s="240">
        <v>0.43866054784089364</v>
      </c>
      <c r="F6" s="1200">
        <v>431.50275517630064</v>
      </c>
      <c r="G6" s="306"/>
      <c r="H6" s="306"/>
      <c r="I6" s="306"/>
    </row>
    <row r="7" spans="1:11" ht="20" customHeight="1" thickBot="1">
      <c r="A7" s="103" t="s">
        <v>1952</v>
      </c>
      <c r="B7" s="230">
        <v>141437.07872429711</v>
      </c>
      <c r="C7" s="233">
        <v>147692.92127570289</v>
      </c>
      <c r="D7" s="218">
        <v>289130</v>
      </c>
      <c r="E7" s="240">
        <v>0.43478071265661045</v>
      </c>
      <c r="F7" s="1201">
        <v>465.42055285234227</v>
      </c>
      <c r="G7" s="306"/>
      <c r="H7" s="306"/>
      <c r="I7" s="1202"/>
    </row>
    <row r="8" spans="1:11" ht="20" customHeight="1" thickBot="1">
      <c r="A8" s="103" t="s">
        <v>292</v>
      </c>
      <c r="B8" s="230">
        <v>71685.813976377947</v>
      </c>
      <c r="C8" s="233">
        <v>87095.186023622053</v>
      </c>
      <c r="D8" s="218">
        <v>158781</v>
      </c>
      <c r="E8" s="240">
        <v>0.30264271297145984</v>
      </c>
      <c r="F8" s="1201">
        <v>262.21301193518195</v>
      </c>
      <c r="G8" s="306"/>
      <c r="H8" s="306"/>
      <c r="I8" s="1202"/>
    </row>
    <row r="9" spans="1:11" ht="20" customHeight="1" thickBot="1">
      <c r="A9" s="103" t="s">
        <v>293</v>
      </c>
      <c r="B9" s="230">
        <v>60214.23447676943</v>
      </c>
      <c r="C9" s="233">
        <v>78005.76552323057</v>
      </c>
      <c r="D9" s="218">
        <v>138220</v>
      </c>
      <c r="E9" s="240">
        <v>0.25717626342351435</v>
      </c>
      <c r="F9" s="1201">
        <v>223.30773543523469</v>
      </c>
      <c r="G9" s="306"/>
      <c r="H9" s="306"/>
      <c r="I9" s="1202"/>
    </row>
    <row r="10" spans="1:11" ht="20" customHeight="1" thickBot="1">
      <c r="A10" s="103" t="s">
        <v>294</v>
      </c>
      <c r="B10" s="230">
        <v>63773.815858568181</v>
      </c>
      <c r="C10" s="233">
        <v>83240.184141431819</v>
      </c>
      <c r="D10" s="218">
        <v>147014</v>
      </c>
      <c r="E10" s="240">
        <v>0.26274310962387654</v>
      </c>
      <c r="F10" s="1201">
        <v>237.83206887090282</v>
      </c>
      <c r="G10" s="306"/>
      <c r="H10" s="306"/>
      <c r="I10" s="1202"/>
    </row>
    <row r="11" spans="1:11" ht="20" customHeight="1" thickBot="1">
      <c r="A11" s="103" t="s">
        <v>295</v>
      </c>
      <c r="B11" s="230">
        <v>71190.675505050502</v>
      </c>
      <c r="C11" s="233">
        <v>87851.324494949498</v>
      </c>
      <c r="D11" s="218">
        <v>159042</v>
      </c>
      <c r="E11" s="240">
        <v>0.25138392984579822</v>
      </c>
      <c r="F11" s="1201">
        <v>258.20769214063364</v>
      </c>
      <c r="G11" s="306"/>
      <c r="H11" s="306"/>
      <c r="I11" s="1202"/>
    </row>
    <row r="12" spans="1:11" ht="20" customHeight="1" thickBot="1">
      <c r="A12" s="103" t="s">
        <v>296</v>
      </c>
      <c r="B12" s="230">
        <v>65937.020373514431</v>
      </c>
      <c r="C12" s="233">
        <v>74067.979626485569</v>
      </c>
      <c r="D12" s="218">
        <v>140005</v>
      </c>
      <c r="E12" s="240">
        <v>0.21605998956807032</v>
      </c>
      <c r="F12" s="1201">
        <v>237.54488515726476</v>
      </c>
      <c r="G12" s="306"/>
      <c r="H12" s="306"/>
      <c r="I12" s="1202"/>
    </row>
    <row r="13" spans="1:11" ht="20" customHeight="1" thickBot="1">
      <c r="A13" s="103" t="s">
        <v>297</v>
      </c>
      <c r="B13" s="230">
        <v>48705.855235835064</v>
      </c>
      <c r="C13" s="233">
        <v>51050.144764164936</v>
      </c>
      <c r="D13" s="218">
        <v>99756</v>
      </c>
      <c r="E13" s="240">
        <v>0.17743592600454444</v>
      </c>
      <c r="F13" s="1201">
        <v>183.42860237324606</v>
      </c>
      <c r="G13" s="306"/>
      <c r="H13" s="306"/>
      <c r="I13" s="1202"/>
    </row>
    <row r="14" spans="1:11" ht="20" customHeight="1" thickBot="1">
      <c r="A14" s="103" t="s">
        <v>298</v>
      </c>
      <c r="B14" s="230">
        <v>36327.572438162548</v>
      </c>
      <c r="C14" s="233">
        <v>39048.427561837452</v>
      </c>
      <c r="D14" s="218">
        <v>75376</v>
      </c>
      <c r="E14" s="240">
        <v>0.15642782403886987</v>
      </c>
      <c r="F14" s="1201">
        <v>150.4273614732208</v>
      </c>
      <c r="G14" s="306"/>
      <c r="H14" s="306"/>
      <c r="I14" s="1202"/>
    </row>
    <row r="15" spans="1:11" ht="20" customHeight="1" thickBot="1">
      <c r="A15" s="103" t="s">
        <v>299</v>
      </c>
      <c r="B15" s="230">
        <v>31796.285714285714</v>
      </c>
      <c r="C15" s="233">
        <v>37581.714285714283</v>
      </c>
      <c r="D15" s="218">
        <v>69378</v>
      </c>
      <c r="E15" s="240">
        <v>0.15292310201706494</v>
      </c>
      <c r="F15" s="1201">
        <v>145.77116930520856</v>
      </c>
      <c r="G15" s="306"/>
      <c r="H15" s="306"/>
      <c r="I15" s="1202"/>
    </row>
    <row r="16" spans="1:11" ht="20" customHeight="1" thickBot="1">
      <c r="A16" s="103" t="s">
        <v>300</v>
      </c>
      <c r="B16" s="230">
        <v>27059.327586206899</v>
      </c>
      <c r="C16" s="233">
        <v>34106.672413793101</v>
      </c>
      <c r="D16" s="218">
        <v>61166</v>
      </c>
      <c r="E16" s="240">
        <v>0.15625178419555838</v>
      </c>
      <c r="F16" s="1201">
        <v>137.48547915701346</v>
      </c>
      <c r="G16" s="306"/>
      <c r="H16" s="306"/>
      <c r="I16" s="1202"/>
      <c r="K16" s="1203"/>
    </row>
    <row r="17" spans="1:9" ht="20" customHeight="1" thickBot="1">
      <c r="A17" s="103" t="s">
        <v>301</v>
      </c>
      <c r="B17" s="230">
        <v>23733.890873973927</v>
      </c>
      <c r="C17" s="233">
        <v>34751.109126026073</v>
      </c>
      <c r="D17" s="218">
        <v>58485</v>
      </c>
      <c r="E17" s="240">
        <v>0.19618079251673173</v>
      </c>
      <c r="F17" s="1201">
        <v>131.28281381557889</v>
      </c>
      <c r="G17" s="306"/>
      <c r="H17" s="306"/>
      <c r="I17" s="1202"/>
    </row>
    <row r="18" spans="1:9" ht="20" customHeight="1" thickBot="1">
      <c r="A18" s="103" t="s">
        <v>302</v>
      </c>
      <c r="B18" s="230">
        <v>21609.274121721919</v>
      </c>
      <c r="C18" s="233">
        <v>34778.725878278085</v>
      </c>
      <c r="D18" s="218">
        <v>56388</v>
      </c>
      <c r="E18" s="240">
        <v>0.22498128547351365</v>
      </c>
      <c r="F18" s="1201">
        <v>130.33178969560387</v>
      </c>
      <c r="G18" s="306"/>
      <c r="H18" s="306"/>
      <c r="I18" s="1202"/>
    </row>
    <row r="19" spans="1:9" ht="20" customHeight="1" thickBot="1">
      <c r="A19" s="103" t="s">
        <v>303</v>
      </c>
      <c r="B19" s="230">
        <v>15524.430571761961</v>
      </c>
      <c r="C19" s="233">
        <v>31765.569428238039</v>
      </c>
      <c r="D19" s="218">
        <v>47290</v>
      </c>
      <c r="E19" s="240">
        <v>0.25158220415270771</v>
      </c>
      <c r="F19" s="1201">
        <v>116.79455074755018</v>
      </c>
      <c r="G19" s="306"/>
      <c r="H19" s="306"/>
      <c r="I19" s="1202"/>
    </row>
    <row r="20" spans="1:9" ht="20" customHeight="1" thickBot="1">
      <c r="A20" s="103" t="s">
        <v>304</v>
      </c>
      <c r="B20" s="230">
        <v>8819.7023498694507</v>
      </c>
      <c r="C20" s="233">
        <v>24171.297650130549</v>
      </c>
      <c r="D20" s="218">
        <v>32991</v>
      </c>
      <c r="E20" s="240">
        <v>0.28953208680047515</v>
      </c>
      <c r="F20" s="1201">
        <v>87.517407569988379</v>
      </c>
      <c r="G20" s="306"/>
      <c r="H20" s="306"/>
      <c r="I20" s="1202"/>
    </row>
    <row r="21" spans="1:9" ht="20" customHeight="1" thickBot="1">
      <c r="A21" s="103" t="s">
        <v>1953</v>
      </c>
      <c r="B21" s="230">
        <v>3838.4358974358975</v>
      </c>
      <c r="C21" s="233">
        <v>15345.564102564102</v>
      </c>
      <c r="D21" s="218">
        <v>19184</v>
      </c>
      <c r="E21" s="240">
        <v>0.3713727084422247</v>
      </c>
      <c r="F21" s="1201">
        <v>55.427306502477705</v>
      </c>
      <c r="G21" s="306"/>
      <c r="H21" s="306"/>
      <c r="I21" s="1202"/>
    </row>
    <row r="22" spans="1:9" ht="20" customHeight="1" thickBot="1">
      <c r="A22" s="103" t="s">
        <v>1954</v>
      </c>
      <c r="B22" s="230">
        <v>29399</v>
      </c>
      <c r="C22" s="233">
        <v>32366</v>
      </c>
      <c r="D22" s="218">
        <v>61765</v>
      </c>
      <c r="E22" s="101" t="s">
        <v>30</v>
      </c>
      <c r="F22" s="1201">
        <v>815.85250076</v>
      </c>
      <c r="G22" s="306"/>
      <c r="H22" s="306"/>
      <c r="I22" s="1202"/>
    </row>
    <row r="23" spans="1:9" ht="30" customHeight="1" thickBot="1">
      <c r="A23" s="107" t="s">
        <v>278</v>
      </c>
      <c r="B23" s="199">
        <v>1060803.5032612998</v>
      </c>
      <c r="C23" s="200">
        <v>1212889.4967387</v>
      </c>
      <c r="D23" s="199">
        <v>2273693</v>
      </c>
      <c r="E23" s="864">
        <v>0.28917200126446019</v>
      </c>
      <c r="F23" s="328">
        <v>4070.3476829677479</v>
      </c>
      <c r="G23" s="306"/>
      <c r="H23" s="306"/>
      <c r="I23" s="1202"/>
    </row>
    <row r="24" spans="1:9" ht="20" customHeight="1">
      <c r="A24" s="1108" t="s">
        <v>1869</v>
      </c>
      <c r="B24" s="112"/>
      <c r="C24" s="112"/>
      <c r="D24" s="112"/>
      <c r="E24" s="114"/>
    </row>
    <row r="26" spans="1:9">
      <c r="A26" s="1111" t="s">
        <v>1955</v>
      </c>
    </row>
    <row r="27" spans="1:9">
      <c r="A27" s="1111"/>
    </row>
    <row r="28" spans="1:9">
      <c r="A28" s="1111" t="s">
        <v>1956</v>
      </c>
    </row>
    <row r="29" spans="1:9">
      <c r="A29" s="3" t="s">
        <v>1957</v>
      </c>
      <c r="B29" s="4"/>
      <c r="C29" s="4"/>
      <c r="D29" s="4"/>
    </row>
    <row r="30" spans="1:9">
      <c r="A30" s="3" t="s">
        <v>1958</v>
      </c>
      <c r="B30" s="4"/>
      <c r="C30" s="4"/>
      <c r="D30" s="4"/>
    </row>
    <row r="31" spans="1:9">
      <c r="A31" s="3" t="s">
        <v>1959</v>
      </c>
      <c r="B31" s="4"/>
      <c r="C31" s="4"/>
      <c r="D31" s="4"/>
    </row>
    <row r="32" spans="1:9">
      <c r="A32" s="115"/>
    </row>
    <row r="34" spans="1:1">
      <c r="A34" s="3" t="s">
        <v>719</v>
      </c>
    </row>
  </sheetData>
  <mergeCells count="1">
    <mergeCell ref="B3:D3"/>
  </mergeCells>
  <pageMargins left="0.74" right="0.88" top="0.85" bottom="0.49" header="0.49" footer="0.4921259845"/>
  <pageSetup paperSize="9" scale="79" orientation="portrait" horizontalDpi="1200" verticalDpi="12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8116-B7A0-F145-8A9F-AEE96CB8E432}">
  <sheetPr>
    <pageSetUpPr fitToPage="1"/>
  </sheetPr>
  <dimension ref="A1:O48"/>
  <sheetViews>
    <sheetView zoomScaleNormal="100" workbookViewId="0">
      <selection activeCell="A2" sqref="A2"/>
    </sheetView>
  </sheetViews>
  <sheetFormatPr baseColWidth="10" defaultColWidth="11.3984375" defaultRowHeight="13"/>
  <cols>
    <col min="1" max="1" width="17.19921875" style="3" customWidth="1"/>
    <col min="2" max="10" width="10.59765625" style="3" customWidth="1"/>
    <col min="11" max="11" width="11.3984375" style="110"/>
    <col min="12" max="12" width="13.3984375" style="3" customWidth="1"/>
    <col min="13" max="16384" width="11.3984375" style="3"/>
  </cols>
  <sheetData>
    <row r="1" spans="1:15" s="2" customFormat="1" ht="14" customHeight="1">
      <c r="K1" s="17"/>
    </row>
    <row r="2" spans="1:15" s="2" customFormat="1" ht="25.25" customHeight="1">
      <c r="A2" s="180" t="s">
        <v>1925</v>
      </c>
      <c r="I2" s="207"/>
      <c r="K2" s="318"/>
      <c r="L2" s="318">
        <v>2011</v>
      </c>
    </row>
    <row r="3" spans="1:15" ht="24" customHeight="1">
      <c r="A3" s="1162" t="s">
        <v>1912</v>
      </c>
      <c r="B3" s="1163" t="s">
        <v>1926</v>
      </c>
      <c r="C3" s="1164"/>
      <c r="D3" s="1164"/>
      <c r="E3" s="1164"/>
      <c r="F3" s="1164"/>
      <c r="G3" s="1165"/>
      <c r="H3" s="1166"/>
      <c r="I3" s="1166"/>
      <c r="J3" s="1167"/>
      <c r="K3" s="1168" t="s">
        <v>278</v>
      </c>
      <c r="L3" s="1169" t="s">
        <v>279</v>
      </c>
    </row>
    <row r="4" spans="1:15" ht="15" customHeight="1">
      <c r="A4" s="1170"/>
      <c r="B4" s="1171"/>
      <c r="C4" s="1171"/>
      <c r="D4" s="1171"/>
      <c r="E4" s="1171"/>
      <c r="F4" s="1172"/>
      <c r="G4" s="1173"/>
      <c r="H4" s="1171"/>
      <c r="I4" s="1172"/>
      <c r="J4" s="1174"/>
      <c r="K4" s="1168" t="s">
        <v>1922</v>
      </c>
      <c r="L4" s="211" t="s">
        <v>282</v>
      </c>
    </row>
    <row r="5" spans="1:15" ht="15" customHeight="1">
      <c r="A5" s="1170"/>
      <c r="B5" s="1171"/>
      <c r="C5" s="1175"/>
      <c r="D5" s="1175"/>
      <c r="E5" s="1175"/>
      <c r="F5" s="1175"/>
      <c r="G5" s="1171"/>
      <c r="H5" s="1171"/>
      <c r="I5" s="1171"/>
      <c r="J5" s="1176"/>
      <c r="K5" s="1177"/>
      <c r="L5" s="211" t="s">
        <v>283</v>
      </c>
    </row>
    <row r="6" spans="1:15" ht="18" customHeight="1">
      <c r="A6" s="184"/>
      <c r="B6" s="1178" t="s">
        <v>1927</v>
      </c>
      <c r="C6" s="1179" t="s">
        <v>1927</v>
      </c>
      <c r="D6" s="1178" t="s">
        <v>1927</v>
      </c>
      <c r="E6" s="1179" t="s">
        <v>1927</v>
      </c>
      <c r="F6" s="1178" t="s">
        <v>1928</v>
      </c>
      <c r="G6" s="1179" t="s">
        <v>1928</v>
      </c>
      <c r="H6" s="1178" t="s">
        <v>1928</v>
      </c>
      <c r="I6" s="1179" t="s">
        <v>1928</v>
      </c>
      <c r="J6" s="1180" t="s">
        <v>1922</v>
      </c>
      <c r="K6" s="1177"/>
      <c r="L6" s="211"/>
    </row>
    <row r="7" spans="1:15" ht="15" customHeight="1">
      <c r="A7" s="184"/>
      <c r="B7" s="1181" t="s">
        <v>1929</v>
      </c>
      <c r="C7" s="1182" t="s">
        <v>1930</v>
      </c>
      <c r="D7" s="1181" t="s">
        <v>1931</v>
      </c>
      <c r="E7" s="1182" t="s">
        <v>1930</v>
      </c>
      <c r="F7" s="1181" t="s">
        <v>1932</v>
      </c>
      <c r="G7" s="1182" t="s">
        <v>1933</v>
      </c>
      <c r="H7" s="1181" t="s">
        <v>1934</v>
      </c>
      <c r="I7" s="1182" t="s">
        <v>1933</v>
      </c>
      <c r="J7" s="1183" t="s">
        <v>1935</v>
      </c>
      <c r="K7" s="1168"/>
      <c r="L7" s="211"/>
    </row>
    <row r="8" spans="1:15" ht="15" customHeight="1">
      <c r="A8" s="184"/>
      <c r="B8" s="1184" t="s">
        <v>1936</v>
      </c>
      <c r="C8" s="1185" t="s">
        <v>1937</v>
      </c>
      <c r="D8" s="1183" t="s">
        <v>1938</v>
      </c>
      <c r="E8" s="1186" t="s">
        <v>1939</v>
      </c>
      <c r="F8" s="1183" t="s">
        <v>349</v>
      </c>
      <c r="G8" s="1186" t="s">
        <v>1937</v>
      </c>
      <c r="H8" s="1183" t="s">
        <v>1938</v>
      </c>
      <c r="I8" s="1186" t="s">
        <v>1939</v>
      </c>
      <c r="J8" s="1183" t="s">
        <v>1940</v>
      </c>
      <c r="K8" s="1168"/>
      <c r="L8" s="211"/>
    </row>
    <row r="9" spans="1:15" ht="18" customHeight="1">
      <c r="A9" s="184"/>
      <c r="B9" s="1187"/>
      <c r="C9" s="1188"/>
      <c r="D9" s="1187"/>
      <c r="E9" s="1188" t="s">
        <v>349</v>
      </c>
      <c r="F9" s="1187"/>
      <c r="G9" s="1189"/>
      <c r="H9" s="1187"/>
      <c r="I9" s="1188" t="s">
        <v>349</v>
      </c>
      <c r="J9" s="1190" t="s">
        <v>390</v>
      </c>
      <c r="K9" s="1191"/>
      <c r="L9" s="189"/>
    </row>
    <row r="10" spans="1:15" ht="27" customHeight="1" thickBot="1">
      <c r="A10" s="925" t="s">
        <v>362</v>
      </c>
      <c r="B10" s="100">
        <v>199748</v>
      </c>
      <c r="C10" s="193">
        <v>14967</v>
      </c>
      <c r="D10" s="100">
        <v>7001</v>
      </c>
      <c r="E10" s="193">
        <v>1516</v>
      </c>
      <c r="F10" s="100">
        <v>22246</v>
      </c>
      <c r="G10" s="193">
        <v>12625</v>
      </c>
      <c r="H10" s="100">
        <v>17597</v>
      </c>
      <c r="I10" s="193">
        <v>7478</v>
      </c>
      <c r="J10" s="100"/>
      <c r="K10" s="1192">
        <v>283178</v>
      </c>
      <c r="L10" s="217">
        <v>-3.2944591479552643E-2</v>
      </c>
      <c r="O10" s="8"/>
    </row>
    <row r="11" spans="1:15" ht="20" customHeight="1" thickBot="1">
      <c r="A11" s="927" t="s">
        <v>363</v>
      </c>
      <c r="B11" s="100">
        <v>80727</v>
      </c>
      <c r="C11" s="193">
        <v>7797</v>
      </c>
      <c r="D11" s="100">
        <v>5139</v>
      </c>
      <c r="E11" s="193">
        <v>1417</v>
      </c>
      <c r="F11" s="100">
        <v>11490</v>
      </c>
      <c r="G11" s="193">
        <v>4493</v>
      </c>
      <c r="H11" s="100">
        <v>9248</v>
      </c>
      <c r="I11" s="193">
        <v>6215</v>
      </c>
      <c r="J11" s="100"/>
      <c r="K11" s="1192">
        <v>126526</v>
      </c>
      <c r="L11" s="217">
        <v>-1.3173185664703824E-2</v>
      </c>
    </row>
    <row r="12" spans="1:15" ht="20" customHeight="1" thickBot="1">
      <c r="A12" s="927" t="s">
        <v>364</v>
      </c>
      <c r="B12" s="100">
        <v>24261</v>
      </c>
      <c r="C12" s="193">
        <v>4415</v>
      </c>
      <c r="D12" s="100">
        <v>2757</v>
      </c>
      <c r="E12" s="193">
        <v>807</v>
      </c>
      <c r="F12" s="100">
        <v>5517</v>
      </c>
      <c r="G12" s="193">
        <v>7314</v>
      </c>
      <c r="H12" s="100">
        <v>11739</v>
      </c>
      <c r="I12" s="193">
        <v>5968</v>
      </c>
      <c r="J12" s="100"/>
      <c r="K12" s="1192">
        <v>62778</v>
      </c>
      <c r="L12" s="217">
        <v>-4.0546529932295128E-2</v>
      </c>
    </row>
    <row r="13" spans="1:15" ht="20" customHeight="1" thickBot="1">
      <c r="A13" s="927" t="s">
        <v>365</v>
      </c>
      <c r="B13" s="100">
        <v>3479</v>
      </c>
      <c r="C13" s="193">
        <v>149</v>
      </c>
      <c r="D13" s="100">
        <v>89</v>
      </c>
      <c r="E13" s="193">
        <v>78</v>
      </c>
      <c r="F13" s="100">
        <v>1354</v>
      </c>
      <c r="G13" s="193">
        <v>669</v>
      </c>
      <c r="H13" s="100">
        <v>1117</v>
      </c>
      <c r="I13" s="193">
        <v>503</v>
      </c>
      <c r="J13" s="100">
        <v>124</v>
      </c>
      <c r="K13" s="1192">
        <v>7562</v>
      </c>
      <c r="L13" s="217">
        <v>0.16320566066758957</v>
      </c>
    </row>
    <row r="14" spans="1:15" ht="20" customHeight="1" thickBot="1">
      <c r="A14" s="927" t="s">
        <v>366</v>
      </c>
      <c r="B14" s="100">
        <v>7374</v>
      </c>
      <c r="C14" s="193">
        <v>825</v>
      </c>
      <c r="D14" s="100">
        <v>556</v>
      </c>
      <c r="E14" s="193">
        <v>158</v>
      </c>
      <c r="F14" s="100">
        <v>1275</v>
      </c>
      <c r="G14" s="193">
        <v>1123</v>
      </c>
      <c r="H14" s="100">
        <v>2149</v>
      </c>
      <c r="I14" s="193">
        <v>1328</v>
      </c>
      <c r="J14" s="100">
        <v>4779</v>
      </c>
      <c r="K14" s="1192">
        <v>19567</v>
      </c>
      <c r="L14" s="217">
        <v>5.6761719593864779E-2</v>
      </c>
    </row>
    <row r="15" spans="1:15" ht="20" customHeight="1" thickBot="1">
      <c r="A15" s="927" t="s">
        <v>367</v>
      </c>
      <c r="B15" s="100">
        <v>5317</v>
      </c>
      <c r="C15" s="193" t="s">
        <v>30</v>
      </c>
      <c r="D15" s="100" t="s">
        <v>30</v>
      </c>
      <c r="E15" s="193" t="s">
        <v>30</v>
      </c>
      <c r="F15" s="100">
        <v>1323</v>
      </c>
      <c r="G15" s="193">
        <v>569</v>
      </c>
      <c r="H15" s="100">
        <v>720</v>
      </c>
      <c r="I15" s="193">
        <v>307</v>
      </c>
      <c r="J15" s="100">
        <v>502</v>
      </c>
      <c r="K15" s="1192">
        <v>8738</v>
      </c>
      <c r="L15" s="217">
        <v>8.1435643564356397E-2</v>
      </c>
    </row>
    <row r="16" spans="1:15" ht="20" customHeight="1" thickBot="1">
      <c r="A16" s="927" t="s">
        <v>368</v>
      </c>
      <c r="B16" s="100">
        <v>5028</v>
      </c>
      <c r="C16" s="193">
        <v>348</v>
      </c>
      <c r="D16" s="100">
        <v>185</v>
      </c>
      <c r="E16" s="193">
        <v>33</v>
      </c>
      <c r="F16" s="100">
        <v>1377</v>
      </c>
      <c r="G16" s="193">
        <v>874</v>
      </c>
      <c r="H16" s="100">
        <v>1113</v>
      </c>
      <c r="I16" s="193">
        <v>435</v>
      </c>
      <c r="J16" s="100">
        <v>803</v>
      </c>
      <c r="K16" s="1192">
        <v>10196</v>
      </c>
      <c r="L16" s="217">
        <v>7.7345731191885037E-2</v>
      </c>
    </row>
    <row r="17" spans="1:12" ht="20" customHeight="1" thickBot="1">
      <c r="A17" s="927" t="s">
        <v>369</v>
      </c>
      <c r="B17" s="100" t="s">
        <v>30</v>
      </c>
      <c r="C17" s="193" t="s">
        <v>30</v>
      </c>
      <c r="D17" s="100" t="s">
        <v>30</v>
      </c>
      <c r="E17" s="193" t="s">
        <v>30</v>
      </c>
      <c r="F17" s="100" t="s">
        <v>30</v>
      </c>
      <c r="G17" s="193" t="s">
        <v>30</v>
      </c>
      <c r="H17" s="100" t="s">
        <v>30</v>
      </c>
      <c r="I17" s="193" t="s">
        <v>30</v>
      </c>
      <c r="J17" s="100">
        <v>5397</v>
      </c>
      <c r="K17" s="1192">
        <v>5397</v>
      </c>
      <c r="L17" s="217">
        <v>9.228901032179726E-2</v>
      </c>
    </row>
    <row r="18" spans="1:12" ht="20" customHeight="1" thickBot="1">
      <c r="A18" s="927" t="s">
        <v>370</v>
      </c>
      <c r="B18" s="100">
        <v>8199</v>
      </c>
      <c r="C18" s="193">
        <v>717</v>
      </c>
      <c r="D18" s="100">
        <v>398</v>
      </c>
      <c r="E18" s="193">
        <v>99</v>
      </c>
      <c r="F18" s="100">
        <v>2038</v>
      </c>
      <c r="G18" s="193">
        <v>937</v>
      </c>
      <c r="H18" s="100">
        <v>1449</v>
      </c>
      <c r="I18" s="193">
        <v>580</v>
      </c>
      <c r="J18" s="100">
        <v>2007</v>
      </c>
      <c r="K18" s="1192">
        <v>16424</v>
      </c>
      <c r="L18" s="217">
        <v>0.22011737612361637</v>
      </c>
    </row>
    <row r="19" spans="1:12" ht="20" customHeight="1" thickBot="1">
      <c r="A19" s="927" t="s">
        <v>371</v>
      </c>
      <c r="B19" s="100">
        <v>23059</v>
      </c>
      <c r="C19" s="193">
        <v>3358</v>
      </c>
      <c r="D19" s="100">
        <v>2289</v>
      </c>
      <c r="E19" s="193">
        <v>720</v>
      </c>
      <c r="F19" s="100">
        <v>4132</v>
      </c>
      <c r="G19" s="193">
        <v>2243</v>
      </c>
      <c r="H19" s="100">
        <v>4049</v>
      </c>
      <c r="I19" s="193">
        <v>2681</v>
      </c>
      <c r="J19" s="100"/>
      <c r="K19" s="1192">
        <v>42531</v>
      </c>
      <c r="L19" s="217">
        <v>-1.2239305123322053E-2</v>
      </c>
    </row>
    <row r="20" spans="1:12" ht="20" customHeight="1" thickBot="1">
      <c r="A20" s="927" t="s">
        <v>372</v>
      </c>
      <c r="B20" s="100">
        <v>15518</v>
      </c>
      <c r="C20" s="193">
        <v>2657</v>
      </c>
      <c r="D20" s="100">
        <v>1463</v>
      </c>
      <c r="E20" s="193">
        <v>402</v>
      </c>
      <c r="F20" s="100">
        <v>3786</v>
      </c>
      <c r="G20" s="193">
        <v>2583</v>
      </c>
      <c r="H20" s="100">
        <v>4151</v>
      </c>
      <c r="I20" s="193">
        <v>1931</v>
      </c>
      <c r="J20" s="100"/>
      <c r="K20" s="1192">
        <v>32491</v>
      </c>
      <c r="L20" s="217">
        <v>-7.3565053748110953E-2</v>
      </c>
    </row>
    <row r="21" spans="1:12" ht="20" customHeight="1" thickBot="1">
      <c r="A21" s="927" t="s">
        <v>373</v>
      </c>
      <c r="B21" s="100">
        <v>20412</v>
      </c>
      <c r="C21" s="193">
        <v>1864</v>
      </c>
      <c r="D21" s="100">
        <v>850</v>
      </c>
      <c r="E21" s="193">
        <v>216</v>
      </c>
      <c r="F21" s="100">
        <v>2822</v>
      </c>
      <c r="G21" s="193">
        <v>1455</v>
      </c>
      <c r="H21" s="100">
        <v>1814</v>
      </c>
      <c r="I21" s="193">
        <v>826</v>
      </c>
      <c r="J21" s="100"/>
      <c r="K21" s="1192">
        <v>30259</v>
      </c>
      <c r="L21" s="217">
        <v>1.2006688963210665E-2</v>
      </c>
    </row>
    <row r="22" spans="1:12" ht="20" customHeight="1" thickBot="1">
      <c r="A22" s="927" t="s">
        <v>374</v>
      </c>
      <c r="B22" s="100">
        <v>20384</v>
      </c>
      <c r="C22" s="193">
        <v>3995</v>
      </c>
      <c r="D22" s="100">
        <v>2589</v>
      </c>
      <c r="E22" s="193" t="s">
        <v>30</v>
      </c>
      <c r="F22" s="100" t="s">
        <v>30</v>
      </c>
      <c r="G22" s="193" t="s">
        <v>30</v>
      </c>
      <c r="H22" s="100">
        <v>3268</v>
      </c>
      <c r="I22" s="193">
        <v>1489</v>
      </c>
      <c r="J22" s="100">
        <v>96</v>
      </c>
      <c r="K22" s="1192">
        <v>31821</v>
      </c>
      <c r="L22" s="217">
        <v>-1.8809164071413198E-2</v>
      </c>
    </row>
    <row r="23" spans="1:12" ht="20" customHeight="1" thickBot="1">
      <c r="A23" s="927" t="s">
        <v>375</v>
      </c>
      <c r="B23" s="100">
        <v>7125</v>
      </c>
      <c r="C23" s="193">
        <v>1460</v>
      </c>
      <c r="D23" s="100" t="s">
        <v>30</v>
      </c>
      <c r="E23" s="193" t="s">
        <v>30</v>
      </c>
      <c r="F23" s="100">
        <v>1295</v>
      </c>
      <c r="G23" s="193">
        <v>1295</v>
      </c>
      <c r="H23" s="100">
        <v>1749</v>
      </c>
      <c r="I23" s="193">
        <v>762</v>
      </c>
      <c r="J23" s="100">
        <v>2421</v>
      </c>
      <c r="K23" s="1192">
        <v>16107</v>
      </c>
      <c r="L23" s="217">
        <v>0.13007787834140183</v>
      </c>
    </row>
    <row r="24" spans="1:12" ht="20" customHeight="1" thickBot="1">
      <c r="A24" s="927" t="s">
        <v>376</v>
      </c>
      <c r="B24" s="100">
        <v>2551</v>
      </c>
      <c r="C24" s="193">
        <v>362</v>
      </c>
      <c r="D24" s="100">
        <v>260</v>
      </c>
      <c r="E24" s="193">
        <v>95</v>
      </c>
      <c r="F24" s="100">
        <v>514</v>
      </c>
      <c r="G24" s="193">
        <v>375</v>
      </c>
      <c r="H24" s="100">
        <v>831</v>
      </c>
      <c r="I24" s="193">
        <v>708</v>
      </c>
      <c r="J24" s="100">
        <v>1104</v>
      </c>
      <c r="K24" s="1192">
        <v>6800</v>
      </c>
      <c r="L24" s="217">
        <v>0.21667561281087844</v>
      </c>
    </row>
    <row r="25" spans="1:12" ht="20" customHeight="1" thickBot="1">
      <c r="A25" s="927" t="s">
        <v>377</v>
      </c>
      <c r="B25" s="100">
        <v>713</v>
      </c>
      <c r="C25" s="193">
        <v>47</v>
      </c>
      <c r="D25" s="100">
        <v>28</v>
      </c>
      <c r="E25" s="193">
        <v>13</v>
      </c>
      <c r="F25" s="100">
        <v>348</v>
      </c>
      <c r="G25" s="193">
        <v>232</v>
      </c>
      <c r="H25" s="100">
        <v>376</v>
      </c>
      <c r="I25" s="193">
        <v>387</v>
      </c>
      <c r="J25" s="100">
        <v>1</v>
      </c>
      <c r="K25" s="1192">
        <v>2145</v>
      </c>
      <c r="L25" s="217">
        <v>-0.17245370370370372</v>
      </c>
    </row>
    <row r="26" spans="1:12" ht="20" customHeight="1" thickBot="1">
      <c r="A26" s="927" t="s">
        <v>378</v>
      </c>
      <c r="B26" s="100">
        <v>20009</v>
      </c>
      <c r="C26" s="193">
        <v>2913</v>
      </c>
      <c r="D26" s="100">
        <v>2122</v>
      </c>
      <c r="E26" s="193">
        <v>745</v>
      </c>
      <c r="F26" s="100">
        <v>6410</v>
      </c>
      <c r="G26" s="193">
        <v>4837</v>
      </c>
      <c r="H26" s="100">
        <v>8424</v>
      </c>
      <c r="I26" s="193">
        <v>5331</v>
      </c>
      <c r="J26" s="100">
        <v>21641</v>
      </c>
      <c r="K26" s="1192">
        <v>72432</v>
      </c>
      <c r="L26" s="217">
        <v>-3.226582227744601E-2</v>
      </c>
    </row>
    <row r="27" spans="1:12" ht="20" customHeight="1" thickBot="1">
      <c r="A27" s="927" t="s">
        <v>379</v>
      </c>
      <c r="B27" s="100">
        <v>16327</v>
      </c>
      <c r="C27" s="193">
        <v>1593</v>
      </c>
      <c r="D27" s="100">
        <v>948</v>
      </c>
      <c r="E27" s="193">
        <v>195</v>
      </c>
      <c r="F27" s="100">
        <v>4049</v>
      </c>
      <c r="G27" s="193">
        <v>2450</v>
      </c>
      <c r="H27" s="100">
        <v>3741</v>
      </c>
      <c r="I27" s="193">
        <v>1672</v>
      </c>
      <c r="J27" s="100"/>
      <c r="K27" s="1192">
        <v>30975</v>
      </c>
      <c r="L27" s="217">
        <v>4.3526597715864312E-2</v>
      </c>
    </row>
    <row r="28" spans="1:12" ht="20" customHeight="1" thickBot="1">
      <c r="A28" s="927" t="s">
        <v>380</v>
      </c>
      <c r="B28" s="100">
        <v>33121</v>
      </c>
      <c r="C28" s="193">
        <v>2954</v>
      </c>
      <c r="D28" s="100">
        <v>2185</v>
      </c>
      <c r="E28" s="193">
        <v>796</v>
      </c>
      <c r="F28" s="100">
        <v>9535</v>
      </c>
      <c r="G28" s="193">
        <v>5532</v>
      </c>
      <c r="H28" s="100">
        <v>11343</v>
      </c>
      <c r="I28" s="193">
        <v>6270</v>
      </c>
      <c r="J28" s="100"/>
      <c r="K28" s="1192">
        <v>71736</v>
      </c>
      <c r="L28" s="217">
        <v>6.4932751402868139E-2</v>
      </c>
    </row>
    <row r="29" spans="1:12" ht="20" customHeight="1" thickBot="1">
      <c r="A29" s="927" t="s">
        <v>381</v>
      </c>
      <c r="B29" s="100">
        <v>37015</v>
      </c>
      <c r="C29" s="193">
        <v>1902</v>
      </c>
      <c r="D29" s="100">
        <v>1100</v>
      </c>
      <c r="E29" s="193">
        <v>307</v>
      </c>
      <c r="F29" s="100">
        <v>13529</v>
      </c>
      <c r="G29" s="193">
        <v>877</v>
      </c>
      <c r="H29" s="100">
        <v>1341</v>
      </c>
      <c r="I29" s="193">
        <v>1033</v>
      </c>
      <c r="J29" s="100">
        <v>469</v>
      </c>
      <c r="K29" s="1192">
        <v>57573</v>
      </c>
      <c r="L29" s="217">
        <v>0.1385938890536933</v>
      </c>
    </row>
    <row r="30" spans="1:12" ht="20" customHeight="1" thickBot="1">
      <c r="A30" s="927" t="s">
        <v>382</v>
      </c>
      <c r="B30" s="100">
        <v>44149</v>
      </c>
      <c r="C30" s="193">
        <v>4003</v>
      </c>
      <c r="D30" s="100">
        <v>1838</v>
      </c>
      <c r="E30" s="193">
        <v>382</v>
      </c>
      <c r="F30" s="100">
        <v>9158</v>
      </c>
      <c r="G30" s="193">
        <v>3873</v>
      </c>
      <c r="H30" s="100">
        <v>4891</v>
      </c>
      <c r="I30" s="193">
        <v>1649</v>
      </c>
      <c r="J30" s="100"/>
      <c r="K30" s="1192">
        <v>69943</v>
      </c>
      <c r="L30" s="217">
        <v>0.14047417166710141</v>
      </c>
    </row>
    <row r="31" spans="1:12" ht="20" customHeight="1" thickBot="1">
      <c r="A31" s="927" t="s">
        <v>383</v>
      </c>
      <c r="B31" s="100">
        <v>55317</v>
      </c>
      <c r="C31" s="193">
        <v>6391</v>
      </c>
      <c r="D31" s="100">
        <v>3449</v>
      </c>
      <c r="E31" s="193">
        <v>1017</v>
      </c>
      <c r="F31" s="100">
        <v>9425</v>
      </c>
      <c r="G31" s="193">
        <v>5613</v>
      </c>
      <c r="H31" s="100">
        <v>7208</v>
      </c>
      <c r="I31" s="193">
        <v>3685</v>
      </c>
      <c r="J31" s="100">
        <v>4371</v>
      </c>
      <c r="K31" s="1192">
        <v>96476</v>
      </c>
      <c r="L31" s="217">
        <v>0.12813676652868411</v>
      </c>
    </row>
    <row r="32" spans="1:12" ht="20" customHeight="1" thickBot="1">
      <c r="A32" s="927" t="s">
        <v>384</v>
      </c>
      <c r="B32" s="100">
        <v>34064</v>
      </c>
      <c r="C32" s="193">
        <v>2974</v>
      </c>
      <c r="D32" s="100">
        <v>1734</v>
      </c>
      <c r="E32" s="193">
        <v>439</v>
      </c>
      <c r="F32" s="100">
        <v>4176</v>
      </c>
      <c r="G32" s="193">
        <v>1849</v>
      </c>
      <c r="H32" s="100">
        <v>4172</v>
      </c>
      <c r="I32" s="193">
        <v>2330</v>
      </c>
      <c r="J32" s="100">
        <v>1267</v>
      </c>
      <c r="K32" s="1192">
        <v>53005</v>
      </c>
      <c r="L32" s="217">
        <v>8.3080002265822905E-4</v>
      </c>
    </row>
    <row r="33" spans="1:15" ht="20" customHeight="1" thickBot="1">
      <c r="A33" s="927" t="s">
        <v>385</v>
      </c>
      <c r="B33" s="100">
        <v>18841</v>
      </c>
      <c r="C33" s="193">
        <v>1834</v>
      </c>
      <c r="D33" s="100">
        <v>932</v>
      </c>
      <c r="E33" s="193">
        <v>243</v>
      </c>
      <c r="F33" s="100">
        <v>2976</v>
      </c>
      <c r="G33" s="193">
        <v>1592</v>
      </c>
      <c r="H33" s="100">
        <v>1893</v>
      </c>
      <c r="I33" s="193">
        <v>913</v>
      </c>
      <c r="J33" s="100">
        <v>118</v>
      </c>
      <c r="K33" s="1192">
        <v>29342</v>
      </c>
      <c r="L33" s="217">
        <v>1.1026118117290373E-2</v>
      </c>
    </row>
    <row r="34" spans="1:15" ht="20" customHeight="1" thickBot="1">
      <c r="A34" s="927" t="s">
        <v>386</v>
      </c>
      <c r="B34" s="100">
        <v>45647</v>
      </c>
      <c r="C34" s="193">
        <v>6901</v>
      </c>
      <c r="D34" s="100">
        <v>3567</v>
      </c>
      <c r="E34" s="193">
        <v>1104</v>
      </c>
      <c r="F34" s="100">
        <v>8107</v>
      </c>
      <c r="G34" s="193">
        <v>4862</v>
      </c>
      <c r="H34" s="100">
        <v>4231</v>
      </c>
      <c r="I34" s="193">
        <v>1863</v>
      </c>
      <c r="J34" s="100"/>
      <c r="K34" s="1192">
        <v>76282</v>
      </c>
      <c r="L34" s="217">
        <v>-0.19868481868986088</v>
      </c>
    </row>
    <row r="35" spans="1:15" ht="20" customHeight="1" thickBot="1">
      <c r="A35" s="927" t="s">
        <v>387</v>
      </c>
      <c r="B35" s="100">
        <v>8831</v>
      </c>
      <c r="C35" s="193">
        <v>714</v>
      </c>
      <c r="D35" s="100">
        <v>488</v>
      </c>
      <c r="E35" s="193">
        <v>161</v>
      </c>
      <c r="F35" s="100">
        <v>1566</v>
      </c>
      <c r="G35" s="193">
        <v>410</v>
      </c>
      <c r="H35" s="100">
        <v>609</v>
      </c>
      <c r="I35" s="193">
        <v>673</v>
      </c>
      <c r="J35" s="100">
        <v>654</v>
      </c>
      <c r="K35" s="1192">
        <v>14106</v>
      </c>
      <c r="L35" s="217">
        <v>2.3508924684370935E-2</v>
      </c>
    </row>
    <row r="36" spans="1:15" ht="30" customHeight="1" thickBot="1">
      <c r="A36" s="1193" t="s">
        <v>1908</v>
      </c>
      <c r="B36" s="1194">
        <v>737216</v>
      </c>
      <c r="C36" s="1195">
        <v>75140</v>
      </c>
      <c r="D36" s="1194">
        <v>41967</v>
      </c>
      <c r="E36" s="1195">
        <v>10943</v>
      </c>
      <c r="F36" s="1194">
        <v>128448</v>
      </c>
      <c r="G36" s="1195">
        <v>68682</v>
      </c>
      <c r="H36" s="1194">
        <v>109223</v>
      </c>
      <c r="I36" s="1195">
        <v>57017</v>
      </c>
      <c r="J36" s="444">
        <v>45754</v>
      </c>
      <c r="K36" s="225">
        <v>1274390</v>
      </c>
      <c r="L36" s="226">
        <v>2.9891578099028315E-3</v>
      </c>
      <c r="O36" s="173"/>
    </row>
    <row r="37" spans="1:15" ht="19.5" customHeight="1">
      <c r="A37" s="1108"/>
      <c r="B37" s="201"/>
      <c r="C37" s="201"/>
      <c r="D37" s="201"/>
      <c r="E37" s="201"/>
      <c r="F37" s="201"/>
      <c r="G37" s="201"/>
      <c r="H37" s="201"/>
      <c r="I37" s="201"/>
    </row>
    <row r="38" spans="1:15" ht="63.75" customHeight="1" thickBot="1">
      <c r="A38" s="1196" t="s">
        <v>1941</v>
      </c>
      <c r="B38" s="1197">
        <v>1583.9785798200003</v>
      </c>
      <c r="C38" s="1197">
        <v>178.07610119</v>
      </c>
      <c r="D38" s="1197">
        <v>121.96650412000001</v>
      </c>
      <c r="E38" s="1197">
        <v>45.563766399999999</v>
      </c>
      <c r="F38" s="1197">
        <v>433.96344522000004</v>
      </c>
      <c r="G38" s="1197">
        <v>201.05198454000003</v>
      </c>
      <c r="H38" s="1197">
        <v>353.48477408000002</v>
      </c>
      <c r="I38" s="1197">
        <v>260.49255162999998</v>
      </c>
      <c r="J38" s="1197">
        <v>891.76997700000004</v>
      </c>
      <c r="K38" s="1198">
        <v>4070.3476840000003</v>
      </c>
      <c r="L38" s="1199" t="s">
        <v>30</v>
      </c>
    </row>
    <row r="39" spans="1:15" ht="19.5" customHeight="1">
      <c r="A39" s="1108" t="s">
        <v>1869</v>
      </c>
      <c r="B39" s="203"/>
      <c r="C39" s="203"/>
      <c r="D39" s="203"/>
      <c r="E39" s="203"/>
      <c r="F39" s="203"/>
      <c r="G39" s="203"/>
      <c r="H39" s="203"/>
      <c r="I39" s="203"/>
    </row>
    <row r="40" spans="1:15" ht="14.25" customHeight="1">
      <c r="A40" s="1111"/>
      <c r="B40" s="203"/>
      <c r="C40" s="203"/>
      <c r="D40" s="203"/>
      <c r="E40" s="203"/>
      <c r="F40" s="203"/>
      <c r="G40" s="203"/>
      <c r="H40" s="203"/>
      <c r="I40" s="203"/>
    </row>
    <row r="41" spans="1:15" ht="14.25" customHeight="1">
      <c r="A41" s="1111" t="s">
        <v>1923</v>
      </c>
      <c r="B41" s="203"/>
      <c r="C41" s="203"/>
      <c r="D41" s="203"/>
      <c r="E41" s="203"/>
      <c r="F41" s="203"/>
      <c r="G41" s="203"/>
      <c r="H41" s="203"/>
      <c r="I41" s="203"/>
    </row>
    <row r="42" spans="1:15" ht="13.5" customHeight="1">
      <c r="A42" s="1111"/>
      <c r="B42" s="203"/>
      <c r="C42" s="203"/>
      <c r="D42" s="203"/>
      <c r="E42" s="203"/>
      <c r="F42" s="203"/>
      <c r="G42" s="203"/>
      <c r="H42" s="203"/>
      <c r="I42" s="203"/>
    </row>
    <row r="43" spans="1:15" ht="11.25" customHeight="1">
      <c r="A43" s="115" t="s">
        <v>1924</v>
      </c>
      <c r="B43" s="203"/>
      <c r="C43" s="203"/>
      <c r="D43" s="203"/>
      <c r="E43" s="203"/>
      <c r="F43" s="203"/>
      <c r="G43" s="203"/>
      <c r="H43" s="203"/>
      <c r="I43" s="203"/>
    </row>
    <row r="44" spans="1:15">
      <c r="A44" s="115" t="s">
        <v>1942</v>
      </c>
    </row>
    <row r="45" spans="1:15">
      <c r="A45" s="3" t="s">
        <v>1943</v>
      </c>
    </row>
    <row r="48" spans="1:15">
      <c r="A48" s="3" t="s">
        <v>719</v>
      </c>
    </row>
  </sheetData>
  <pageMargins left="0.43" right="0.47" top="0.83" bottom="0.49" header="0.47" footer="0.4921259845"/>
  <pageSetup paperSize="9" scale="68" orientation="portrait" horizontalDpi="1200" verticalDpi="12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9356-38C8-7943-BD8F-60F2704FC526}">
  <sheetPr>
    <pageSetUpPr fitToPage="1"/>
  </sheetPr>
  <dimension ref="A1:O41"/>
  <sheetViews>
    <sheetView topLeftCell="A28" zoomScaleNormal="100" workbookViewId="0">
      <selection activeCell="A38" sqref="A38"/>
    </sheetView>
  </sheetViews>
  <sheetFormatPr baseColWidth="10" defaultColWidth="11.3984375" defaultRowHeight="13"/>
  <cols>
    <col min="1" max="1" width="12.3984375" style="3" customWidth="1"/>
    <col min="2" max="9" width="11.59765625" style="3" customWidth="1"/>
    <col min="10" max="10" width="13.59765625" style="3" customWidth="1"/>
    <col min="11" max="11" width="13.19921875" style="3" customWidth="1"/>
    <col min="12" max="16384" width="11.3984375" style="3"/>
  </cols>
  <sheetData>
    <row r="1" spans="1:15" s="2" customFormat="1" ht="14" customHeight="1"/>
    <row r="2" spans="1:15" s="2" customFormat="1" ht="25.25" customHeight="1">
      <c r="A2" s="180" t="s">
        <v>1911</v>
      </c>
      <c r="J2" s="207"/>
      <c r="K2" s="318">
        <v>2011</v>
      </c>
    </row>
    <row r="3" spans="1:15" ht="24" customHeight="1">
      <c r="A3" s="92" t="s">
        <v>1912</v>
      </c>
      <c r="B3" s="1129" t="s">
        <v>1913</v>
      </c>
      <c r="C3" s="1161"/>
      <c r="D3" s="1161"/>
      <c r="E3" s="1129"/>
      <c r="F3" s="1129"/>
      <c r="G3" s="1161"/>
      <c r="H3" s="1129"/>
      <c r="I3" s="1161"/>
      <c r="J3" s="1129"/>
      <c r="K3" s="438" t="s">
        <v>278</v>
      </c>
    </row>
    <row r="4" spans="1:15" ht="15" customHeight="1">
      <c r="A4" s="184"/>
      <c r="B4" s="185" t="s">
        <v>1914</v>
      </c>
      <c r="C4" s="187" t="s">
        <v>1915</v>
      </c>
      <c r="D4" s="96" t="s">
        <v>1916</v>
      </c>
      <c r="E4" s="187" t="s">
        <v>1917</v>
      </c>
      <c r="F4" s="96" t="s">
        <v>1918</v>
      </c>
      <c r="G4" s="187" t="s">
        <v>1919</v>
      </c>
      <c r="H4" s="96" t="s">
        <v>1920</v>
      </c>
      <c r="I4" s="187" t="s">
        <v>1253</v>
      </c>
      <c r="J4" s="96" t="s">
        <v>1921</v>
      </c>
      <c r="K4" s="438" t="s">
        <v>1922</v>
      </c>
    </row>
    <row r="5" spans="1:15" ht="24" customHeight="1">
      <c r="A5" s="184"/>
      <c r="B5" s="185"/>
      <c r="C5" s="1145">
        <v>1200</v>
      </c>
      <c r="D5" s="920">
        <v>2400</v>
      </c>
      <c r="E5" s="1145">
        <v>3600</v>
      </c>
      <c r="F5" s="920">
        <v>4800</v>
      </c>
      <c r="G5" s="1145">
        <v>6000</v>
      </c>
      <c r="H5" s="920">
        <v>12000</v>
      </c>
      <c r="I5" s="1145">
        <v>12000</v>
      </c>
      <c r="J5" s="920" t="s">
        <v>390</v>
      </c>
      <c r="K5" s="342"/>
    </row>
    <row r="6" spans="1:15" ht="30" customHeight="1" thickBot="1">
      <c r="A6" s="925" t="s">
        <v>362</v>
      </c>
      <c r="B6" s="215">
        <v>9114</v>
      </c>
      <c r="C6" s="216">
        <v>87432</v>
      </c>
      <c r="D6" s="215">
        <v>93108</v>
      </c>
      <c r="E6" s="216">
        <v>27068</v>
      </c>
      <c r="F6" s="215">
        <v>31801</v>
      </c>
      <c r="G6" s="216">
        <v>21668</v>
      </c>
      <c r="H6" s="215">
        <v>10156</v>
      </c>
      <c r="I6" s="216">
        <v>611</v>
      </c>
      <c r="J6" s="215">
        <v>2220</v>
      </c>
      <c r="K6" s="1134">
        <v>283178</v>
      </c>
      <c r="M6" s="8"/>
      <c r="O6" s="8"/>
    </row>
    <row r="7" spans="1:15" ht="20" customHeight="1" thickBot="1">
      <c r="A7" s="927" t="s">
        <v>363</v>
      </c>
      <c r="B7" s="218">
        <v>6122</v>
      </c>
      <c r="C7" s="219">
        <v>52169</v>
      </c>
      <c r="D7" s="218">
        <v>43463</v>
      </c>
      <c r="E7" s="219">
        <v>13685</v>
      </c>
      <c r="F7" s="218">
        <v>6950</v>
      </c>
      <c r="G7" s="219">
        <v>3048</v>
      </c>
      <c r="H7" s="218">
        <v>1088</v>
      </c>
      <c r="I7" s="219">
        <v>1</v>
      </c>
      <c r="J7" s="218"/>
      <c r="K7" s="1134">
        <v>126526</v>
      </c>
      <c r="M7" s="8"/>
      <c r="O7" s="8"/>
    </row>
    <row r="8" spans="1:15" ht="20" customHeight="1" thickBot="1">
      <c r="A8" s="927" t="s">
        <v>364</v>
      </c>
      <c r="B8" s="218">
        <v>8044</v>
      </c>
      <c r="C8" s="219">
        <v>11237</v>
      </c>
      <c r="D8" s="218">
        <v>13269</v>
      </c>
      <c r="E8" s="219">
        <v>7981</v>
      </c>
      <c r="F8" s="218">
        <v>15653</v>
      </c>
      <c r="G8" s="219">
        <v>2159</v>
      </c>
      <c r="H8" s="218">
        <v>4221</v>
      </c>
      <c r="I8" s="219">
        <v>214</v>
      </c>
      <c r="J8" s="218"/>
      <c r="K8" s="1134">
        <v>62778</v>
      </c>
      <c r="M8" s="8"/>
      <c r="O8" s="8"/>
    </row>
    <row r="9" spans="1:15" ht="20" customHeight="1" thickBot="1">
      <c r="A9" s="927" t="s">
        <v>365</v>
      </c>
      <c r="B9" s="218">
        <v>1268</v>
      </c>
      <c r="C9" s="219">
        <v>1347</v>
      </c>
      <c r="D9" s="218">
        <v>2326</v>
      </c>
      <c r="E9" s="219">
        <v>1196</v>
      </c>
      <c r="F9" s="218">
        <v>1023</v>
      </c>
      <c r="G9" s="219">
        <v>145</v>
      </c>
      <c r="H9" s="218">
        <v>256</v>
      </c>
      <c r="I9" s="219">
        <v>1</v>
      </c>
      <c r="J9" s="218"/>
      <c r="K9" s="1134">
        <v>7562</v>
      </c>
      <c r="M9" s="8"/>
      <c r="O9" s="8"/>
    </row>
    <row r="10" spans="1:15" ht="20" customHeight="1" thickBot="1">
      <c r="A10" s="927" t="s">
        <v>366</v>
      </c>
      <c r="B10" s="218">
        <v>1739</v>
      </c>
      <c r="C10" s="219">
        <v>2065</v>
      </c>
      <c r="D10" s="218">
        <v>3198</v>
      </c>
      <c r="E10" s="219">
        <v>3936</v>
      </c>
      <c r="F10" s="218">
        <v>2400</v>
      </c>
      <c r="G10" s="219">
        <v>771</v>
      </c>
      <c r="H10" s="218">
        <v>666</v>
      </c>
      <c r="I10" s="219">
        <v>13</v>
      </c>
      <c r="J10" s="218">
        <v>4779</v>
      </c>
      <c r="K10" s="1134">
        <v>19567</v>
      </c>
      <c r="M10" s="8"/>
      <c r="O10" s="8"/>
    </row>
    <row r="11" spans="1:15" ht="20" customHeight="1" thickBot="1">
      <c r="A11" s="927" t="s">
        <v>367</v>
      </c>
      <c r="B11" s="218">
        <v>1690</v>
      </c>
      <c r="C11" s="219">
        <v>1634</v>
      </c>
      <c r="D11" s="218">
        <v>1471</v>
      </c>
      <c r="E11" s="219">
        <v>2255</v>
      </c>
      <c r="F11" s="218">
        <v>1142</v>
      </c>
      <c r="G11" s="219">
        <v>263</v>
      </c>
      <c r="H11" s="218">
        <v>283</v>
      </c>
      <c r="I11" s="219"/>
      <c r="J11" s="218"/>
      <c r="K11" s="1134">
        <v>8738</v>
      </c>
      <c r="M11" s="8"/>
      <c r="O11" s="8"/>
    </row>
    <row r="12" spans="1:15" ht="20" customHeight="1" thickBot="1">
      <c r="A12" s="927" t="s">
        <v>368</v>
      </c>
      <c r="B12" s="218">
        <v>1761</v>
      </c>
      <c r="C12" s="219">
        <v>2504</v>
      </c>
      <c r="D12" s="218">
        <v>3191</v>
      </c>
      <c r="E12" s="219">
        <v>1565</v>
      </c>
      <c r="F12" s="218">
        <v>265</v>
      </c>
      <c r="G12" s="219">
        <v>40</v>
      </c>
      <c r="H12" s="218">
        <v>67</v>
      </c>
      <c r="I12" s="219"/>
      <c r="J12" s="218">
        <v>803</v>
      </c>
      <c r="K12" s="1134">
        <v>10196</v>
      </c>
      <c r="M12" s="8"/>
      <c r="O12" s="8"/>
    </row>
    <row r="13" spans="1:15" ht="20" customHeight="1" thickBot="1">
      <c r="A13" s="927" t="s">
        <v>369</v>
      </c>
      <c r="B13" s="218">
        <v>872</v>
      </c>
      <c r="C13" s="219">
        <v>934</v>
      </c>
      <c r="D13" s="218">
        <v>1616</v>
      </c>
      <c r="E13" s="219">
        <v>924</v>
      </c>
      <c r="F13" s="218">
        <v>670</v>
      </c>
      <c r="G13" s="219">
        <v>171</v>
      </c>
      <c r="H13" s="218">
        <v>206</v>
      </c>
      <c r="I13" s="219">
        <v>4</v>
      </c>
      <c r="J13" s="218"/>
      <c r="K13" s="1134">
        <v>5397</v>
      </c>
      <c r="M13" s="8"/>
      <c r="O13" s="8"/>
    </row>
    <row r="14" spans="1:15" ht="20" customHeight="1" thickBot="1">
      <c r="A14" s="927" t="s">
        <v>370</v>
      </c>
      <c r="B14" s="218">
        <v>1673</v>
      </c>
      <c r="C14" s="219">
        <v>2170</v>
      </c>
      <c r="D14" s="218">
        <v>3474</v>
      </c>
      <c r="E14" s="219">
        <v>3317</v>
      </c>
      <c r="F14" s="218">
        <v>1947</v>
      </c>
      <c r="G14" s="219">
        <v>861</v>
      </c>
      <c r="H14" s="218">
        <v>958</v>
      </c>
      <c r="I14" s="219">
        <v>17</v>
      </c>
      <c r="J14" s="218">
        <v>2007</v>
      </c>
      <c r="K14" s="1134">
        <v>16424</v>
      </c>
      <c r="M14" s="8"/>
      <c r="O14" s="8"/>
    </row>
    <row r="15" spans="1:15" ht="20" customHeight="1" thickBot="1">
      <c r="A15" s="927" t="s">
        <v>371</v>
      </c>
      <c r="B15" s="218">
        <v>686</v>
      </c>
      <c r="C15" s="219">
        <v>6039</v>
      </c>
      <c r="D15" s="218">
        <v>9728</v>
      </c>
      <c r="E15" s="219">
        <v>14866</v>
      </c>
      <c r="F15" s="218">
        <v>5654</v>
      </c>
      <c r="G15" s="219">
        <v>2431</v>
      </c>
      <c r="H15" s="218">
        <v>3022</v>
      </c>
      <c r="I15" s="219">
        <v>105</v>
      </c>
      <c r="J15" s="218"/>
      <c r="K15" s="1134">
        <v>42531</v>
      </c>
      <c r="M15" s="8"/>
      <c r="O15" s="8"/>
    </row>
    <row r="16" spans="1:15" ht="20" customHeight="1" thickBot="1">
      <c r="A16" s="927" t="s">
        <v>372</v>
      </c>
      <c r="B16" s="218">
        <v>3025</v>
      </c>
      <c r="C16" s="219">
        <v>5824</v>
      </c>
      <c r="D16" s="218">
        <v>9895</v>
      </c>
      <c r="E16" s="219">
        <v>6268</v>
      </c>
      <c r="F16" s="218">
        <v>4313</v>
      </c>
      <c r="G16" s="219">
        <v>1413</v>
      </c>
      <c r="H16" s="218">
        <v>1711</v>
      </c>
      <c r="I16" s="219">
        <v>42</v>
      </c>
      <c r="J16" s="218"/>
      <c r="K16" s="1134">
        <v>32491</v>
      </c>
      <c r="M16" s="8"/>
      <c r="O16" s="8"/>
    </row>
    <row r="17" spans="1:15" ht="20" customHeight="1" thickBot="1">
      <c r="A17" s="927" t="s">
        <v>373</v>
      </c>
      <c r="B17" s="218">
        <v>2119</v>
      </c>
      <c r="C17" s="219">
        <v>1598</v>
      </c>
      <c r="D17" s="218">
        <v>3913</v>
      </c>
      <c r="E17" s="219">
        <v>3882</v>
      </c>
      <c r="F17" s="218">
        <v>3558</v>
      </c>
      <c r="G17" s="219">
        <v>10315</v>
      </c>
      <c r="H17" s="218">
        <v>4155</v>
      </c>
      <c r="I17" s="219">
        <v>498</v>
      </c>
      <c r="J17" s="218">
        <v>221</v>
      </c>
      <c r="K17" s="1134">
        <v>30259</v>
      </c>
      <c r="M17" s="8"/>
      <c r="O17" s="8"/>
    </row>
    <row r="18" spans="1:15" ht="20" customHeight="1" thickBot="1">
      <c r="A18" s="927" t="s">
        <v>374</v>
      </c>
      <c r="B18" s="195">
        <v>237</v>
      </c>
      <c r="C18" s="196">
        <v>3879</v>
      </c>
      <c r="D18" s="218">
        <v>17538</v>
      </c>
      <c r="E18" s="219">
        <v>5919</v>
      </c>
      <c r="F18" s="195">
        <v>2372</v>
      </c>
      <c r="G18" s="196">
        <v>1093</v>
      </c>
      <c r="H18" s="195">
        <v>690</v>
      </c>
      <c r="I18" s="196">
        <v>91</v>
      </c>
      <c r="J18" s="218">
        <v>2</v>
      </c>
      <c r="K18" s="1134">
        <v>31821</v>
      </c>
      <c r="M18" s="8"/>
      <c r="O18" s="8"/>
    </row>
    <row r="19" spans="1:15" ht="20" customHeight="1" thickBot="1">
      <c r="A19" s="927" t="s">
        <v>375</v>
      </c>
      <c r="B19" s="218">
        <v>1649</v>
      </c>
      <c r="C19" s="219">
        <v>1627</v>
      </c>
      <c r="D19" s="218">
        <v>2742</v>
      </c>
      <c r="E19" s="219">
        <v>4702</v>
      </c>
      <c r="F19" s="218">
        <v>1450</v>
      </c>
      <c r="G19" s="219">
        <v>821</v>
      </c>
      <c r="H19" s="218">
        <v>689</v>
      </c>
      <c r="I19" s="219">
        <v>6</v>
      </c>
      <c r="J19" s="218">
        <v>2421</v>
      </c>
      <c r="K19" s="1134">
        <v>16107</v>
      </c>
      <c r="M19" s="8"/>
      <c r="O19" s="8"/>
    </row>
    <row r="20" spans="1:15" ht="20" customHeight="1" thickBot="1">
      <c r="A20" s="927" t="s">
        <v>376</v>
      </c>
      <c r="B20" s="218">
        <v>304</v>
      </c>
      <c r="C20" s="219">
        <v>396</v>
      </c>
      <c r="D20" s="218">
        <v>1115</v>
      </c>
      <c r="E20" s="219">
        <v>2014</v>
      </c>
      <c r="F20" s="218">
        <v>638</v>
      </c>
      <c r="G20" s="219">
        <v>360</v>
      </c>
      <c r="H20" s="218">
        <v>850</v>
      </c>
      <c r="I20" s="219">
        <v>19</v>
      </c>
      <c r="J20" s="218">
        <v>1104</v>
      </c>
      <c r="K20" s="1134">
        <v>6800</v>
      </c>
      <c r="M20" s="8"/>
      <c r="O20" s="8"/>
    </row>
    <row r="21" spans="1:15" ht="20" customHeight="1" thickBot="1">
      <c r="A21" s="927" t="s">
        <v>377</v>
      </c>
      <c r="B21" s="218">
        <v>513</v>
      </c>
      <c r="C21" s="219">
        <v>447</v>
      </c>
      <c r="D21" s="218">
        <v>562</v>
      </c>
      <c r="E21" s="219">
        <v>336</v>
      </c>
      <c r="F21" s="218">
        <v>148</v>
      </c>
      <c r="G21" s="219">
        <v>84</v>
      </c>
      <c r="H21" s="218">
        <v>55</v>
      </c>
      <c r="I21" s="219"/>
      <c r="J21" s="218"/>
      <c r="K21" s="1134">
        <v>2145</v>
      </c>
      <c r="M21" s="8"/>
      <c r="O21" s="8"/>
    </row>
    <row r="22" spans="1:15" ht="20" customHeight="1" thickBot="1">
      <c r="A22" s="927" t="s">
        <v>378</v>
      </c>
      <c r="B22" s="218">
        <v>8590</v>
      </c>
      <c r="C22" s="219">
        <v>7913</v>
      </c>
      <c r="D22" s="218">
        <v>12874</v>
      </c>
      <c r="E22" s="219">
        <v>11516</v>
      </c>
      <c r="F22" s="218">
        <v>5319</v>
      </c>
      <c r="G22" s="219">
        <v>2386</v>
      </c>
      <c r="H22" s="218">
        <v>2731</v>
      </c>
      <c r="I22" s="219">
        <v>138</v>
      </c>
      <c r="J22" s="218">
        <v>20965</v>
      </c>
      <c r="K22" s="1134">
        <v>72432</v>
      </c>
      <c r="M22" s="8"/>
      <c r="O22" s="8"/>
    </row>
    <row r="23" spans="1:15" ht="20" customHeight="1" thickBot="1">
      <c r="A23" s="927" t="s">
        <v>379</v>
      </c>
      <c r="B23" s="218">
        <v>3423</v>
      </c>
      <c r="C23" s="219">
        <v>4036</v>
      </c>
      <c r="D23" s="218">
        <v>8004</v>
      </c>
      <c r="E23" s="219">
        <v>6757</v>
      </c>
      <c r="F23" s="218">
        <v>5700</v>
      </c>
      <c r="G23" s="219">
        <v>1217</v>
      </c>
      <c r="H23" s="218">
        <v>1808</v>
      </c>
      <c r="I23" s="219">
        <v>30</v>
      </c>
      <c r="J23" s="218"/>
      <c r="K23" s="1134">
        <v>30975</v>
      </c>
      <c r="M23" s="8"/>
      <c r="O23" s="8"/>
    </row>
    <row r="24" spans="1:15" ht="20" customHeight="1" thickBot="1">
      <c r="A24" s="927" t="s">
        <v>380</v>
      </c>
      <c r="B24" s="218">
        <v>4851</v>
      </c>
      <c r="C24" s="219">
        <v>7550</v>
      </c>
      <c r="D24" s="218">
        <v>16538</v>
      </c>
      <c r="E24" s="219">
        <v>17441</v>
      </c>
      <c r="F24" s="218">
        <v>16144</v>
      </c>
      <c r="G24" s="219">
        <v>3321</v>
      </c>
      <c r="H24" s="218">
        <v>5732</v>
      </c>
      <c r="I24" s="219">
        <v>159</v>
      </c>
      <c r="J24" s="218"/>
      <c r="K24" s="1134">
        <v>71736</v>
      </c>
      <c r="M24" s="8"/>
      <c r="O24" s="8"/>
    </row>
    <row r="25" spans="1:15" ht="20" customHeight="1" thickBot="1">
      <c r="A25" s="927" t="s">
        <v>381</v>
      </c>
      <c r="B25" s="218">
        <v>458</v>
      </c>
      <c r="C25" s="219">
        <v>9462</v>
      </c>
      <c r="D25" s="218">
        <v>38479</v>
      </c>
      <c r="E25" s="219">
        <v>6139</v>
      </c>
      <c r="F25" s="218">
        <v>1815</v>
      </c>
      <c r="G25" s="219">
        <v>691</v>
      </c>
      <c r="H25" s="218">
        <v>261</v>
      </c>
      <c r="I25" s="219">
        <v>7</v>
      </c>
      <c r="J25" s="218">
        <v>261</v>
      </c>
      <c r="K25" s="1134">
        <v>57573</v>
      </c>
      <c r="M25" s="8"/>
      <c r="O25" s="8"/>
    </row>
    <row r="26" spans="1:15" ht="20" customHeight="1" thickBot="1">
      <c r="A26" s="927" t="s">
        <v>382</v>
      </c>
      <c r="B26" s="218">
        <v>10272</v>
      </c>
      <c r="C26" s="219">
        <v>4000</v>
      </c>
      <c r="D26" s="218">
        <v>7518</v>
      </c>
      <c r="E26" s="219">
        <v>14441</v>
      </c>
      <c r="F26" s="218">
        <v>9977</v>
      </c>
      <c r="G26" s="219">
        <v>14337</v>
      </c>
      <c r="H26" s="218">
        <v>8927</v>
      </c>
      <c r="I26" s="219">
        <v>471</v>
      </c>
      <c r="J26" s="218"/>
      <c r="K26" s="1134">
        <v>69943</v>
      </c>
      <c r="M26" s="8"/>
      <c r="O26" s="8"/>
    </row>
    <row r="27" spans="1:15" ht="20" customHeight="1" thickBot="1">
      <c r="A27" s="927" t="s">
        <v>383</v>
      </c>
      <c r="B27" s="218">
        <v>6364</v>
      </c>
      <c r="C27" s="219">
        <v>7222</v>
      </c>
      <c r="D27" s="218">
        <v>12179</v>
      </c>
      <c r="E27" s="219">
        <v>16607</v>
      </c>
      <c r="F27" s="218">
        <v>20846</v>
      </c>
      <c r="G27" s="219">
        <v>16666</v>
      </c>
      <c r="H27" s="218">
        <v>14589</v>
      </c>
      <c r="I27" s="219">
        <v>1008</v>
      </c>
      <c r="J27" s="218">
        <v>995</v>
      </c>
      <c r="K27" s="1134">
        <v>96476</v>
      </c>
      <c r="M27" s="8"/>
      <c r="O27" s="8"/>
    </row>
    <row r="28" spans="1:15" ht="20" customHeight="1" thickBot="1">
      <c r="A28" s="927" t="s">
        <v>384</v>
      </c>
      <c r="B28" s="218">
        <v>42</v>
      </c>
      <c r="C28" s="219">
        <v>4735</v>
      </c>
      <c r="D28" s="218">
        <v>10009</v>
      </c>
      <c r="E28" s="219">
        <v>20312</v>
      </c>
      <c r="F28" s="218">
        <v>9003</v>
      </c>
      <c r="G28" s="219">
        <v>2428</v>
      </c>
      <c r="H28" s="218">
        <v>5147</v>
      </c>
      <c r="I28" s="219">
        <v>62</v>
      </c>
      <c r="J28" s="218">
        <v>1267</v>
      </c>
      <c r="K28" s="1134">
        <v>53005</v>
      </c>
      <c r="M28" s="8"/>
      <c r="O28" s="8"/>
    </row>
    <row r="29" spans="1:15" ht="20" customHeight="1" thickBot="1">
      <c r="A29" s="927" t="s">
        <v>385</v>
      </c>
      <c r="B29" s="218">
        <v>3292</v>
      </c>
      <c r="C29" s="219">
        <v>3827</v>
      </c>
      <c r="D29" s="218">
        <v>5898</v>
      </c>
      <c r="E29" s="219">
        <v>2991</v>
      </c>
      <c r="F29" s="218">
        <v>9436</v>
      </c>
      <c r="G29" s="219">
        <v>1459</v>
      </c>
      <c r="H29" s="218">
        <v>2315</v>
      </c>
      <c r="I29" s="219">
        <v>124</v>
      </c>
      <c r="J29" s="218"/>
      <c r="K29" s="1134">
        <v>29342</v>
      </c>
      <c r="M29" s="8"/>
      <c r="O29" s="8"/>
    </row>
    <row r="30" spans="1:15" ht="20" customHeight="1" thickBot="1">
      <c r="A30" s="927" t="s">
        <v>386</v>
      </c>
      <c r="B30" s="218">
        <v>9066</v>
      </c>
      <c r="C30" s="219">
        <v>18092</v>
      </c>
      <c r="D30" s="218">
        <v>9746</v>
      </c>
      <c r="E30" s="219">
        <v>7966</v>
      </c>
      <c r="F30" s="218">
        <v>6593</v>
      </c>
      <c r="G30" s="219">
        <v>18514</v>
      </c>
      <c r="H30" s="218">
        <v>5589</v>
      </c>
      <c r="I30" s="219">
        <v>716</v>
      </c>
      <c r="J30" s="218"/>
      <c r="K30" s="1134">
        <v>76282</v>
      </c>
      <c r="M30" s="8"/>
      <c r="O30" s="8"/>
    </row>
    <row r="31" spans="1:15" ht="20" customHeight="1" thickBot="1">
      <c r="A31" s="927" t="s">
        <v>387</v>
      </c>
      <c r="B31" s="218">
        <v>1860</v>
      </c>
      <c r="C31" s="219">
        <v>2271</v>
      </c>
      <c r="D31" s="218">
        <v>3262</v>
      </c>
      <c r="E31" s="219">
        <v>1561</v>
      </c>
      <c r="F31" s="218">
        <v>3505</v>
      </c>
      <c r="G31" s="219">
        <v>476</v>
      </c>
      <c r="H31" s="218">
        <v>1066</v>
      </c>
      <c r="I31" s="219">
        <v>105</v>
      </c>
      <c r="J31" s="218"/>
      <c r="K31" s="1134">
        <v>14106</v>
      </c>
      <c r="M31" s="8"/>
      <c r="O31" s="8"/>
    </row>
    <row r="32" spans="1:15" ht="30" customHeight="1" thickBot="1">
      <c r="A32" s="243" t="s">
        <v>444</v>
      </c>
      <c r="B32" s="242">
        <v>89034</v>
      </c>
      <c r="C32" s="243">
        <v>250410</v>
      </c>
      <c r="D32" s="242">
        <v>335116</v>
      </c>
      <c r="E32" s="243">
        <v>205645</v>
      </c>
      <c r="F32" s="242">
        <v>168322</v>
      </c>
      <c r="G32" s="243">
        <v>107138</v>
      </c>
      <c r="H32" s="242">
        <v>77238</v>
      </c>
      <c r="I32" s="168">
        <v>4442</v>
      </c>
      <c r="J32" s="169">
        <v>37045</v>
      </c>
      <c r="K32" s="168">
        <v>1274390</v>
      </c>
    </row>
    <row r="33" spans="1:8" ht="20" customHeight="1">
      <c r="A33" s="1108" t="s">
        <v>1869</v>
      </c>
      <c r="B33" s="201"/>
      <c r="C33" s="201"/>
      <c r="D33" s="201"/>
      <c r="E33" s="201"/>
      <c r="F33" s="201"/>
      <c r="G33" s="201"/>
      <c r="H33" s="201"/>
    </row>
    <row r="34" spans="1:8" ht="14.25" customHeight="1">
      <c r="A34" s="1111"/>
      <c r="B34" s="203"/>
      <c r="C34" s="203"/>
      <c r="D34" s="203"/>
      <c r="E34" s="203"/>
      <c r="F34" s="203"/>
      <c r="G34" s="203"/>
      <c r="H34" s="203"/>
    </row>
    <row r="35" spans="1:8" ht="20" customHeight="1">
      <c r="A35" s="1111" t="s">
        <v>1923</v>
      </c>
      <c r="B35" s="203"/>
      <c r="C35" s="203"/>
      <c r="D35" s="203"/>
      <c r="E35" s="203"/>
      <c r="F35" s="203"/>
      <c r="G35" s="203"/>
      <c r="H35" s="203"/>
    </row>
    <row r="36" spans="1:8" ht="13.5" customHeight="1">
      <c r="A36" s="1111"/>
      <c r="B36" s="203"/>
      <c r="C36" s="203"/>
      <c r="D36" s="203"/>
      <c r="E36" s="203"/>
      <c r="F36" s="203"/>
      <c r="G36" s="203"/>
      <c r="H36" s="203"/>
    </row>
    <row r="37" spans="1:8" ht="14.25" customHeight="1">
      <c r="A37" s="115" t="s">
        <v>1924</v>
      </c>
      <c r="B37" s="203"/>
      <c r="C37" s="203"/>
      <c r="D37" s="203"/>
      <c r="E37" s="203"/>
      <c r="F37" s="203"/>
      <c r="G37" s="203"/>
      <c r="H37" s="203"/>
    </row>
    <row r="38" spans="1:8" ht="14.25" customHeight="1">
      <c r="A38" s="115" t="s">
        <v>1891</v>
      </c>
      <c r="B38" s="203"/>
      <c r="C38" s="203"/>
      <c r="D38" s="203"/>
      <c r="E38" s="203"/>
      <c r="F38" s="203"/>
      <c r="G38" s="203"/>
      <c r="H38" s="203"/>
    </row>
    <row r="39" spans="1:8" ht="14.25" customHeight="1">
      <c r="A39" s="115"/>
      <c r="B39" s="203"/>
      <c r="C39" s="203"/>
      <c r="D39" s="203"/>
      <c r="E39" s="203"/>
      <c r="F39" s="203"/>
      <c r="G39" s="203"/>
      <c r="H39" s="203"/>
    </row>
    <row r="40" spans="1:8" ht="11.25" customHeight="1">
      <c r="A40" s="115"/>
      <c r="B40" s="203"/>
      <c r="C40" s="203"/>
      <c r="D40" s="203"/>
      <c r="E40" s="203"/>
      <c r="F40" s="203"/>
      <c r="G40" s="203"/>
      <c r="H40" s="203"/>
    </row>
    <row r="41" spans="1:8">
      <c r="A41" s="903" t="s">
        <v>719</v>
      </c>
    </row>
  </sheetData>
  <pageMargins left="0.46" right="0.4" top="0.83" bottom="0.49" header="0.51" footer="0.4921259845"/>
  <pageSetup paperSize="9" scale="72"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ACDD-58E8-F04A-A009-834417406B6A}">
  <sheetPr>
    <pageSetUpPr fitToPage="1"/>
  </sheetPr>
  <dimension ref="A1:P43"/>
  <sheetViews>
    <sheetView zoomScaleNormal="100" workbookViewId="0">
      <selection activeCell="F34" sqref="F34"/>
    </sheetView>
  </sheetViews>
  <sheetFormatPr baseColWidth="10" defaultColWidth="11.3984375" defaultRowHeight="13"/>
  <cols>
    <col min="1" max="2" width="13.3984375" style="3" customWidth="1"/>
    <col min="3" max="3" width="14" style="3" customWidth="1"/>
    <col min="4" max="4" width="15.59765625" style="3" customWidth="1"/>
    <col min="5" max="5" width="13.3984375" style="396" customWidth="1"/>
    <col min="6" max="6" width="13.796875" style="396" customWidth="1"/>
    <col min="7" max="8" width="14" style="396" customWidth="1"/>
    <col min="9" max="9" width="16.796875" style="3" customWidth="1"/>
    <col min="10" max="10" width="15.59765625" style="173" customWidth="1"/>
    <col min="11" max="11" width="17" style="3" customWidth="1"/>
    <col min="12" max="16384" width="11.3984375" style="3"/>
  </cols>
  <sheetData>
    <row r="1" spans="1:16" s="2" customFormat="1" ht="14" customHeight="1">
      <c r="A1" s="561"/>
      <c r="B1" s="561"/>
      <c r="C1" s="561"/>
      <c r="D1" s="561"/>
      <c r="E1" s="1138"/>
      <c r="F1" s="1138"/>
      <c r="G1" s="1138"/>
      <c r="H1" s="1138"/>
      <c r="I1" s="561"/>
      <c r="J1" s="1095"/>
      <c r="K1" s="1095"/>
    </row>
    <row r="2" spans="1:16" s="2" customFormat="1" ht="25.25" customHeight="1">
      <c r="A2" s="642" t="s">
        <v>1894</v>
      </c>
      <c r="B2" s="1139"/>
      <c r="C2" s="561"/>
      <c r="D2" s="561"/>
      <c r="E2" s="1138"/>
      <c r="F2" s="1138"/>
      <c r="G2" s="1138"/>
      <c r="H2" s="207"/>
      <c r="I2" s="207">
        <v>2011</v>
      </c>
      <c r="J2" s="938"/>
      <c r="K2" s="1140"/>
    </row>
    <row r="3" spans="1:16" ht="24" customHeight="1">
      <c r="A3" s="92" t="s">
        <v>191</v>
      </c>
      <c r="B3" s="182" t="s">
        <v>349</v>
      </c>
      <c r="C3" s="229" t="s">
        <v>700</v>
      </c>
      <c r="D3" s="93" t="s">
        <v>348</v>
      </c>
      <c r="E3" s="229" t="s">
        <v>1895</v>
      </c>
      <c r="F3" s="466" t="s">
        <v>278</v>
      </c>
      <c r="G3" s="229" t="s">
        <v>1896</v>
      </c>
      <c r="H3" s="93" t="s">
        <v>1896</v>
      </c>
      <c r="I3" s="183" t="s">
        <v>1896</v>
      </c>
      <c r="J3" s="934"/>
      <c r="K3" s="1141"/>
    </row>
    <row r="4" spans="1:16" ht="15" customHeight="1">
      <c r="A4" s="184"/>
      <c r="B4" s="96" t="s">
        <v>460</v>
      </c>
      <c r="C4" s="186" t="s">
        <v>348</v>
      </c>
      <c r="D4" s="96" t="s">
        <v>1897</v>
      </c>
      <c r="E4" s="187" t="s">
        <v>1898</v>
      </c>
      <c r="F4" s="185"/>
      <c r="G4" s="187" t="s">
        <v>1899</v>
      </c>
      <c r="H4" s="96" t="s">
        <v>1900</v>
      </c>
      <c r="I4" s="187" t="s">
        <v>1901</v>
      </c>
      <c r="J4" s="1104"/>
      <c r="K4" s="1142"/>
    </row>
    <row r="5" spans="1:16" ht="15" customHeight="1">
      <c r="A5" s="184"/>
      <c r="B5" s="185"/>
      <c r="C5" s="187" t="s">
        <v>461</v>
      </c>
      <c r="D5" s="96" t="s">
        <v>1902</v>
      </c>
      <c r="E5" s="187" t="s">
        <v>390</v>
      </c>
      <c r="F5" s="185"/>
      <c r="G5" s="187" t="s">
        <v>1903</v>
      </c>
      <c r="H5" s="96" t="s">
        <v>1904</v>
      </c>
      <c r="I5" s="187" t="s">
        <v>1905</v>
      </c>
      <c r="J5" s="1104"/>
      <c r="K5" s="1142"/>
    </row>
    <row r="6" spans="1:16" ht="15" customHeight="1">
      <c r="A6" s="184"/>
      <c r="B6" s="321"/>
      <c r="C6" s="919"/>
      <c r="D6" s="321"/>
      <c r="E6" s="919"/>
      <c r="F6" s="321"/>
      <c r="G6" s="1143" t="s">
        <v>1038</v>
      </c>
      <c r="H6" s="793"/>
      <c r="I6" s="187" t="s">
        <v>1906</v>
      </c>
      <c r="J6" s="1104"/>
      <c r="K6" s="1142"/>
    </row>
    <row r="7" spans="1:16" ht="24" customHeight="1">
      <c r="A7" s="188"/>
      <c r="B7" s="189"/>
      <c r="C7" s="190"/>
      <c r="D7" s="189"/>
      <c r="E7" s="190"/>
      <c r="F7" s="189"/>
      <c r="G7" s="1143"/>
      <c r="H7" s="1144"/>
      <c r="I7" s="1145" t="s">
        <v>1907</v>
      </c>
      <c r="J7" s="1104"/>
      <c r="K7" s="1146"/>
    </row>
    <row r="8" spans="1:16" ht="30" customHeight="1" thickBot="1">
      <c r="A8" s="925" t="s">
        <v>362</v>
      </c>
      <c r="B8" s="1147">
        <v>88.019625000000005</v>
      </c>
      <c r="C8" s="1148">
        <v>107.98550299999999</v>
      </c>
      <c r="D8" s="1147">
        <v>501.09470099999999</v>
      </c>
      <c r="E8" s="1149"/>
      <c r="F8" s="1150">
        <v>697.099829</v>
      </c>
      <c r="G8" s="1149">
        <v>194.050546</v>
      </c>
      <c r="H8" s="1151">
        <v>65.242283</v>
      </c>
      <c r="I8" s="1149">
        <v>259.29282899999998</v>
      </c>
      <c r="J8" s="1104"/>
      <c r="K8" s="1152"/>
    </row>
    <row r="9" spans="1:16" ht="20" customHeight="1" thickBot="1">
      <c r="A9" s="927" t="s">
        <v>363</v>
      </c>
      <c r="B9" s="1147">
        <v>42.1</v>
      </c>
      <c r="C9" s="1148">
        <v>68.400000000000006</v>
      </c>
      <c r="D9" s="1147">
        <v>410.4</v>
      </c>
      <c r="E9" s="1149">
        <v>25</v>
      </c>
      <c r="F9" s="1150">
        <v>545.89383199999997</v>
      </c>
      <c r="G9" s="1149">
        <v>227.07926800000001</v>
      </c>
      <c r="H9" s="1151">
        <v>84.9220744</v>
      </c>
      <c r="I9" s="1149">
        <v>84.9220744</v>
      </c>
      <c r="J9" s="1104"/>
      <c r="K9" s="1152"/>
      <c r="P9" s="1153"/>
    </row>
    <row r="10" spans="1:16" ht="20" customHeight="1" thickBot="1">
      <c r="A10" s="927" t="s">
        <v>364</v>
      </c>
      <c r="B10" s="1147">
        <v>34.990656000000001</v>
      </c>
      <c r="C10" s="1148">
        <v>26.839535999999999</v>
      </c>
      <c r="D10" s="1147">
        <v>107.442637</v>
      </c>
      <c r="E10" s="1149"/>
      <c r="F10" s="1150">
        <v>169.272829</v>
      </c>
      <c r="G10" s="1149">
        <v>57.891316000000003</v>
      </c>
      <c r="H10" s="1151">
        <v>22.521871999999998</v>
      </c>
      <c r="I10" s="1149">
        <v>6.6981770000000003</v>
      </c>
      <c r="J10" s="1104"/>
      <c r="K10" s="1152"/>
    </row>
    <row r="11" spans="1:16" ht="20" customHeight="1" thickBot="1">
      <c r="A11" s="927" t="s">
        <v>365</v>
      </c>
      <c r="B11" s="1151" t="s">
        <v>30</v>
      </c>
      <c r="C11" s="1149" t="s">
        <v>30</v>
      </c>
      <c r="D11" s="1151" t="s">
        <v>30</v>
      </c>
      <c r="E11" s="1149">
        <v>15.460602</v>
      </c>
      <c r="F11" s="1150">
        <v>15.460602</v>
      </c>
      <c r="G11" s="1149">
        <v>3.6538400000000002</v>
      </c>
      <c r="H11" s="1151">
        <v>0.92091599999999996</v>
      </c>
      <c r="I11" s="1149">
        <v>0.21654999999999999</v>
      </c>
      <c r="J11" s="1104"/>
      <c r="K11" s="1152"/>
    </row>
    <row r="12" spans="1:16" ht="20" customHeight="1" thickBot="1">
      <c r="A12" s="927" t="s">
        <v>366</v>
      </c>
      <c r="B12" s="1147">
        <v>5.5034349999999996</v>
      </c>
      <c r="C12" s="1148">
        <v>6.8500509999999997</v>
      </c>
      <c r="D12" s="1147">
        <v>26.878036000000002</v>
      </c>
      <c r="E12" s="1149">
        <v>13.84099</v>
      </c>
      <c r="F12" s="1150">
        <v>53.072512000000003</v>
      </c>
      <c r="G12" s="1149">
        <v>13.862003</v>
      </c>
      <c r="H12" s="1151">
        <v>3.756151</v>
      </c>
      <c r="I12" s="1149">
        <v>6.1413120000000001</v>
      </c>
      <c r="J12" s="1104"/>
      <c r="K12" s="1152"/>
    </row>
    <row r="13" spans="1:16" ht="20" customHeight="1" thickBot="1">
      <c r="A13" s="927" t="s">
        <v>367</v>
      </c>
      <c r="B13" s="1151">
        <v>5.736478</v>
      </c>
      <c r="C13" s="1149">
        <v>3.1114039999999998</v>
      </c>
      <c r="D13" s="1151">
        <v>9.5736889999999999</v>
      </c>
      <c r="E13" s="1149"/>
      <c r="F13" s="1150">
        <v>18.421571</v>
      </c>
      <c r="G13" s="1149">
        <v>3.5396209999999999</v>
      </c>
      <c r="H13" s="1151">
        <v>0.39883600000000002</v>
      </c>
      <c r="I13" s="1149">
        <v>3.5106519999999999</v>
      </c>
      <c r="J13" s="1104"/>
      <c r="K13" s="1152"/>
    </row>
    <row r="14" spans="1:16" ht="20" customHeight="1" thickBot="1">
      <c r="A14" s="927" t="s">
        <v>368</v>
      </c>
      <c r="B14" s="1147">
        <v>2.631138</v>
      </c>
      <c r="C14" s="1148">
        <v>4.4232089999999999</v>
      </c>
      <c r="D14" s="1147">
        <v>7.6084849999999999</v>
      </c>
      <c r="E14" s="1149">
        <v>3.1320969999999999</v>
      </c>
      <c r="F14" s="1150">
        <v>17.794929</v>
      </c>
      <c r="G14" s="1149">
        <v>2.9029790000000002</v>
      </c>
      <c r="H14" s="1151">
        <v>1.0770789999999999</v>
      </c>
      <c r="I14" s="1149">
        <v>3.9800580000000001</v>
      </c>
      <c r="J14" s="1104"/>
      <c r="K14" s="1152"/>
    </row>
    <row r="15" spans="1:16" ht="20" customHeight="1" thickBot="1">
      <c r="A15" s="927" t="s">
        <v>369</v>
      </c>
      <c r="B15" s="1151" t="s">
        <v>30</v>
      </c>
      <c r="C15" s="1149" t="s">
        <v>30</v>
      </c>
      <c r="D15" s="1151" t="s">
        <v>30</v>
      </c>
      <c r="E15" s="1149">
        <v>17.054441000000001</v>
      </c>
      <c r="F15" s="1150">
        <v>17.054441000000001</v>
      </c>
      <c r="G15" s="1149">
        <v>4.8594309999999998</v>
      </c>
      <c r="H15" s="1151">
        <v>2.3265259999999999</v>
      </c>
      <c r="I15" s="1149" t="s">
        <v>30</v>
      </c>
      <c r="J15" s="1104"/>
      <c r="K15" s="1152"/>
    </row>
    <row r="16" spans="1:16" ht="20" customHeight="1" thickBot="1">
      <c r="A16" s="927" t="s">
        <v>370</v>
      </c>
      <c r="B16" s="1147">
        <v>3.4055300000000002</v>
      </c>
      <c r="C16" s="1148">
        <v>6.5018469999999997</v>
      </c>
      <c r="D16" s="1147">
        <v>28.484763000000001</v>
      </c>
      <c r="E16" s="1149">
        <v>11.677726</v>
      </c>
      <c r="F16" s="1150">
        <v>50.069865999999998</v>
      </c>
      <c r="G16" s="1149">
        <v>8.6946220000000007</v>
      </c>
      <c r="H16" s="1151">
        <v>4.2872469999999998</v>
      </c>
      <c r="I16" s="1149">
        <v>12.981869</v>
      </c>
      <c r="J16" s="1104"/>
      <c r="K16" s="1152"/>
    </row>
    <row r="17" spans="1:11" ht="20" customHeight="1" thickBot="1">
      <c r="A17" s="927" t="s">
        <v>371</v>
      </c>
      <c r="B17" s="1147">
        <v>46.281725999999999</v>
      </c>
      <c r="C17" s="1148">
        <v>16.155521</v>
      </c>
      <c r="D17" s="1147">
        <v>87.047827999999996</v>
      </c>
      <c r="E17" s="1149"/>
      <c r="F17" s="1150">
        <v>149.48507499999999</v>
      </c>
      <c r="G17" s="1149">
        <v>44.794299649999999</v>
      </c>
      <c r="H17" s="1151">
        <v>18.826951000000001</v>
      </c>
      <c r="I17" s="1149">
        <v>60.569302999999998</v>
      </c>
      <c r="J17" s="1104"/>
      <c r="K17" s="1152"/>
    </row>
    <row r="18" spans="1:11" ht="20" customHeight="1" thickBot="1">
      <c r="A18" s="927" t="s">
        <v>372</v>
      </c>
      <c r="B18" s="1147">
        <v>10.653871000000001</v>
      </c>
      <c r="C18" s="1148">
        <v>13.038549</v>
      </c>
      <c r="D18" s="1147">
        <v>58.100197999999999</v>
      </c>
      <c r="E18" s="1149">
        <v>43.200082999999999</v>
      </c>
      <c r="F18" s="1150">
        <v>124.992701</v>
      </c>
      <c r="G18" s="1149">
        <v>37.735722000000003</v>
      </c>
      <c r="H18" s="1151">
        <v>21.840972000000001</v>
      </c>
      <c r="I18" s="1149"/>
      <c r="J18" s="1104"/>
      <c r="K18" s="1152"/>
    </row>
    <row r="19" spans="1:11" ht="20" customHeight="1" thickBot="1">
      <c r="A19" s="927" t="s">
        <v>373</v>
      </c>
      <c r="B19" s="1151" t="s">
        <v>30</v>
      </c>
      <c r="C19" s="1149" t="s">
        <v>30</v>
      </c>
      <c r="D19" s="1151" t="s">
        <v>30</v>
      </c>
      <c r="E19" s="1149">
        <v>136.856236</v>
      </c>
      <c r="F19" s="1150">
        <v>136.856236</v>
      </c>
      <c r="G19" s="1149">
        <v>62.722563999999998</v>
      </c>
      <c r="H19" s="1151">
        <v>29.029260000000001</v>
      </c>
      <c r="I19" s="1149"/>
      <c r="J19" s="1104"/>
      <c r="K19" s="1152"/>
    </row>
    <row r="20" spans="1:11" ht="20" customHeight="1" thickBot="1">
      <c r="A20" s="927" t="s">
        <v>374</v>
      </c>
      <c r="B20" s="1151" t="s">
        <v>30</v>
      </c>
      <c r="C20" s="1149" t="s">
        <v>30</v>
      </c>
      <c r="D20" s="1151" t="s">
        <v>30</v>
      </c>
      <c r="E20" s="1149">
        <v>125.388802</v>
      </c>
      <c r="F20" s="1150">
        <v>125.388802</v>
      </c>
      <c r="G20" s="1149">
        <v>46.223765</v>
      </c>
      <c r="H20" s="1151" t="s">
        <v>30</v>
      </c>
      <c r="I20" s="1149"/>
      <c r="J20" s="1104"/>
      <c r="K20" s="1152"/>
    </row>
    <row r="21" spans="1:11" ht="20" customHeight="1" thickBot="1">
      <c r="A21" s="927" t="s">
        <v>375</v>
      </c>
      <c r="B21" s="1151" t="s">
        <v>30</v>
      </c>
      <c r="C21" s="1149" t="s">
        <v>30</v>
      </c>
      <c r="D21" s="1151" t="s">
        <v>30</v>
      </c>
      <c r="E21" s="1149">
        <v>49.039050000000003</v>
      </c>
      <c r="F21" s="1150">
        <v>49.039050000000003</v>
      </c>
      <c r="G21" s="1149">
        <v>11.665569</v>
      </c>
      <c r="H21" s="1151" t="s">
        <v>30</v>
      </c>
      <c r="I21" s="1149" t="s">
        <v>30</v>
      </c>
      <c r="J21" s="1104"/>
      <c r="K21" s="1152"/>
    </row>
    <row r="22" spans="1:11" ht="20" customHeight="1" thickBot="1">
      <c r="A22" s="927" t="s">
        <v>376</v>
      </c>
      <c r="B22" s="1147">
        <v>3.631602</v>
      </c>
      <c r="C22" s="1148">
        <v>3.6924049999999999</v>
      </c>
      <c r="D22" s="1147">
        <v>12.33006</v>
      </c>
      <c r="E22" s="1149">
        <v>5.6152920000000002</v>
      </c>
      <c r="F22" s="1150">
        <v>25.269359000000001</v>
      </c>
      <c r="G22" s="1149">
        <v>5.6440039999999998</v>
      </c>
      <c r="H22" s="1151">
        <v>1.3664639999999999</v>
      </c>
      <c r="I22" s="1149">
        <v>13.368600000000001</v>
      </c>
      <c r="J22" s="1104"/>
      <c r="K22" s="1152"/>
    </row>
    <row r="23" spans="1:11" ht="20" customHeight="1" thickBot="1">
      <c r="A23" s="927" t="s">
        <v>377</v>
      </c>
      <c r="B23" s="1147">
        <v>0.31864100000000001</v>
      </c>
      <c r="C23" s="1148">
        <v>0.56437400000000004</v>
      </c>
      <c r="D23" s="1147">
        <v>4.4061950000000003</v>
      </c>
      <c r="E23" s="1149"/>
      <c r="F23" s="1150">
        <v>5.2892099999999997</v>
      </c>
      <c r="G23" s="1149">
        <v>1.168944</v>
      </c>
      <c r="H23" s="1151">
        <v>0.37562000000000001</v>
      </c>
      <c r="I23" s="1149">
        <v>0.2477</v>
      </c>
      <c r="J23" s="1104"/>
      <c r="K23" s="1152"/>
    </row>
    <row r="24" spans="1:11" ht="20" customHeight="1" thickBot="1">
      <c r="A24" s="927" t="s">
        <v>378</v>
      </c>
      <c r="B24" s="1147">
        <v>14.669589</v>
      </c>
      <c r="C24" s="1148">
        <v>15.524953</v>
      </c>
      <c r="D24" s="1147">
        <v>62.464885000000002</v>
      </c>
      <c r="E24" s="1149">
        <v>100.778931</v>
      </c>
      <c r="F24" s="1150">
        <v>193.43835799999999</v>
      </c>
      <c r="G24" s="1149">
        <v>77.187725</v>
      </c>
      <c r="H24" s="1151">
        <v>22.36713</v>
      </c>
      <c r="I24" s="1149">
        <v>22.36713</v>
      </c>
      <c r="J24" s="1104"/>
      <c r="K24" s="1152"/>
    </row>
    <row r="25" spans="1:11" ht="20" customHeight="1" thickBot="1">
      <c r="A25" s="927" t="s">
        <v>379</v>
      </c>
      <c r="B25" s="1147">
        <v>7.8055751500000001</v>
      </c>
      <c r="C25" s="1148">
        <v>10.07211392</v>
      </c>
      <c r="D25" s="1147">
        <v>69.792705929999997</v>
      </c>
      <c r="E25" s="1149"/>
      <c r="F25" s="1150">
        <v>87.670394999999999</v>
      </c>
      <c r="G25" s="1149">
        <v>21.336860999999999</v>
      </c>
      <c r="H25" s="1151">
        <v>5.1204510000000001</v>
      </c>
      <c r="I25" s="1149">
        <v>26.637072249999999</v>
      </c>
      <c r="J25" s="1104"/>
      <c r="K25" s="1152"/>
    </row>
    <row r="26" spans="1:11" ht="20" customHeight="1" thickBot="1">
      <c r="A26" s="927" t="s">
        <v>380</v>
      </c>
      <c r="B26" s="1147">
        <v>30.098421220822715</v>
      </c>
      <c r="C26" s="1148">
        <v>28.931408756449674</v>
      </c>
      <c r="D26" s="1147">
        <v>176.32991869047629</v>
      </c>
      <c r="E26" s="1149"/>
      <c r="F26" s="1150">
        <v>235.36510066774869</v>
      </c>
      <c r="G26" s="1149">
        <v>70.082853999999998</v>
      </c>
      <c r="H26" s="1151">
        <v>10.707983</v>
      </c>
      <c r="I26" s="1149">
        <v>31.617083000000001</v>
      </c>
      <c r="J26" s="1104"/>
      <c r="K26" s="1152"/>
    </row>
    <row r="27" spans="1:11" ht="20" customHeight="1" thickBot="1">
      <c r="A27" s="927" t="s">
        <v>381</v>
      </c>
      <c r="B27" s="1147">
        <v>25.479178999999998</v>
      </c>
      <c r="C27" s="1148">
        <v>25.428742</v>
      </c>
      <c r="D27" s="1147">
        <v>67.321731999999997</v>
      </c>
      <c r="E27" s="1149">
        <v>5.801755</v>
      </c>
      <c r="F27" s="1150">
        <v>124.031408</v>
      </c>
      <c r="G27" s="1149">
        <v>30.512170000000001</v>
      </c>
      <c r="H27" s="1151">
        <v>5.8423790000000002</v>
      </c>
      <c r="I27" s="1149"/>
      <c r="J27" s="1104"/>
      <c r="K27" s="1152"/>
    </row>
    <row r="28" spans="1:11" ht="20" customHeight="1" thickBot="1">
      <c r="A28" s="927" t="s">
        <v>382</v>
      </c>
      <c r="B28" s="1147">
        <v>21.861657795477942</v>
      </c>
      <c r="C28" s="1148">
        <v>30.162228615892534</v>
      </c>
      <c r="D28" s="1147">
        <v>221.23139443862951</v>
      </c>
      <c r="E28" s="1149"/>
      <c r="F28" s="1150">
        <v>273.25528085000002</v>
      </c>
      <c r="G28" s="1149">
        <v>117.858088</v>
      </c>
      <c r="H28" s="1151">
        <v>35.094538999999997</v>
      </c>
      <c r="I28" s="1149"/>
      <c r="J28" s="1104"/>
      <c r="K28" s="1152"/>
    </row>
    <row r="29" spans="1:11" ht="20" customHeight="1" thickBot="1">
      <c r="A29" s="927" t="s">
        <v>383</v>
      </c>
      <c r="B29" s="1147">
        <v>40.77861145</v>
      </c>
      <c r="C29" s="1148">
        <v>51.825727049999998</v>
      </c>
      <c r="D29" s="1147">
        <v>303.55478870000007</v>
      </c>
      <c r="E29" s="1149">
        <v>1.2200580000000001</v>
      </c>
      <c r="F29" s="1150">
        <v>397.37918519999999</v>
      </c>
      <c r="G29" s="1149">
        <v>148.791248</v>
      </c>
      <c r="H29" s="1151">
        <v>81.614757999999995</v>
      </c>
      <c r="I29" s="1149">
        <v>179.87701100000001</v>
      </c>
      <c r="J29" s="1104"/>
      <c r="K29" s="1152"/>
    </row>
    <row r="30" spans="1:11" ht="20" customHeight="1" thickBot="1">
      <c r="A30" s="927" t="s">
        <v>384</v>
      </c>
      <c r="B30" s="1147">
        <v>14.5144073</v>
      </c>
      <c r="C30" s="1148">
        <v>38.168250659999998</v>
      </c>
      <c r="D30" s="1147">
        <v>122.54469365999999</v>
      </c>
      <c r="E30" s="1149">
        <v>3.1155287599999997</v>
      </c>
      <c r="F30" s="1150">
        <v>178.34288037999997</v>
      </c>
      <c r="G30" s="1149">
        <v>31.210311100000002</v>
      </c>
      <c r="H30" s="1151">
        <v>11.150487</v>
      </c>
      <c r="I30" s="1149"/>
      <c r="J30" s="1104"/>
      <c r="K30" s="1152"/>
    </row>
    <row r="31" spans="1:11" ht="20" customHeight="1" thickBot="1">
      <c r="A31" s="927" t="s">
        <v>385</v>
      </c>
      <c r="B31" s="1147">
        <v>8.8503080000000001</v>
      </c>
      <c r="C31" s="1148">
        <v>7.6464400000000001</v>
      </c>
      <c r="D31" s="1147">
        <v>77.118677000000005</v>
      </c>
      <c r="E31" s="1149">
        <v>0.68133699999999997</v>
      </c>
      <c r="F31" s="1150">
        <v>94.296762000000001</v>
      </c>
      <c r="G31" s="1149">
        <v>41.713828999999997</v>
      </c>
      <c r="H31" s="1151">
        <v>25.113302999999998</v>
      </c>
      <c r="I31" s="1149"/>
      <c r="J31" s="1104"/>
      <c r="K31" s="1152"/>
    </row>
    <row r="32" spans="1:11" ht="20" customHeight="1" thickBot="1">
      <c r="A32" s="927" t="s">
        <v>386</v>
      </c>
      <c r="B32" s="1147">
        <v>31.48971126</v>
      </c>
      <c r="C32" s="1148">
        <v>20.753382850000001</v>
      </c>
      <c r="D32" s="1147">
        <v>196.43170275999998</v>
      </c>
      <c r="E32" s="1149"/>
      <c r="F32" s="1150">
        <v>248.67479686999999</v>
      </c>
      <c r="G32" s="1149">
        <v>127.883088</v>
      </c>
      <c r="H32" s="1151">
        <v>62.515754000000001</v>
      </c>
      <c r="I32" s="1149">
        <v>190.398842</v>
      </c>
      <c r="J32" s="1104"/>
      <c r="K32" s="1152"/>
    </row>
    <row r="33" spans="1:11" ht="20" customHeight="1" thickBot="1">
      <c r="A33" s="927" t="s">
        <v>387</v>
      </c>
      <c r="B33" s="1147">
        <v>4.6994420000000003</v>
      </c>
      <c r="C33" s="1148">
        <v>4.3153139999999999</v>
      </c>
      <c r="D33" s="1147">
        <v>32.426515000000002</v>
      </c>
      <c r="E33" s="1149">
        <v>-4.0085990000000002</v>
      </c>
      <c r="F33" s="1150">
        <v>37.432671999999997</v>
      </c>
      <c r="G33" s="1149">
        <v>17.682659000000001</v>
      </c>
      <c r="H33" s="1151">
        <v>3.8599640000000002</v>
      </c>
      <c r="I33" s="1149"/>
      <c r="J33" s="1104"/>
      <c r="K33" s="1152"/>
    </row>
    <row r="34" spans="1:11" ht="30" customHeight="1" thickBot="1">
      <c r="A34" s="1106" t="s">
        <v>1908</v>
      </c>
      <c r="B34" s="1154">
        <v>443.51960417630062</v>
      </c>
      <c r="C34" s="1155">
        <v>490.39095985234218</v>
      </c>
      <c r="D34" s="1154">
        <v>2582.5836051791061</v>
      </c>
      <c r="E34" s="1156">
        <v>553.85432975999993</v>
      </c>
      <c r="F34" s="1157">
        <v>4070.3476829677479</v>
      </c>
      <c r="G34" s="1156">
        <v>1410.74732675</v>
      </c>
      <c r="H34" s="1158">
        <v>520.27899939999998</v>
      </c>
      <c r="I34" s="1159">
        <v>902.82626264999999</v>
      </c>
      <c r="J34" s="428"/>
      <c r="K34" s="1160"/>
    </row>
    <row r="35" spans="1:11" ht="20" customHeight="1">
      <c r="A35" s="1108" t="s">
        <v>1869</v>
      </c>
      <c r="B35" s="201"/>
      <c r="C35" s="201"/>
      <c r="D35" s="201"/>
      <c r="E35" s="201"/>
      <c r="F35" s="201"/>
      <c r="G35" s="201"/>
      <c r="H35" s="201"/>
    </row>
    <row r="36" spans="1:11" ht="14.25" customHeight="1">
      <c r="A36" s="1111"/>
      <c r="B36" s="203"/>
      <c r="C36" s="203"/>
      <c r="D36" s="203"/>
      <c r="E36" s="203"/>
      <c r="F36" s="203"/>
      <c r="G36" s="203"/>
      <c r="H36" s="203"/>
    </row>
    <row r="37" spans="1:11" ht="20" customHeight="1">
      <c r="A37" s="1111" t="s">
        <v>1909</v>
      </c>
      <c r="B37" s="203"/>
      <c r="C37" s="203"/>
      <c r="D37" s="203"/>
      <c r="E37" s="203"/>
      <c r="F37" s="203"/>
      <c r="G37" s="203"/>
      <c r="H37" s="203"/>
    </row>
    <row r="38" spans="1:11" ht="15.75" customHeight="1">
      <c r="A38" s="1111"/>
      <c r="B38" s="203"/>
      <c r="C38" s="203"/>
      <c r="D38" s="203"/>
      <c r="E38" s="203"/>
      <c r="F38" s="203"/>
      <c r="G38" s="203"/>
      <c r="H38" s="203"/>
    </row>
    <row r="39" spans="1:11" ht="12.75" customHeight="1">
      <c r="A39" s="1111" t="s">
        <v>1871</v>
      </c>
      <c r="B39" s="203"/>
      <c r="C39" s="203"/>
      <c r="D39" s="203"/>
      <c r="E39" s="203"/>
      <c r="F39" s="203"/>
      <c r="G39" s="203"/>
      <c r="H39" s="203"/>
    </row>
    <row r="40" spans="1:11">
      <c r="A40" s="115" t="s">
        <v>1910</v>
      </c>
    </row>
    <row r="41" spans="1:11">
      <c r="A41" s="115"/>
      <c r="E41" s="118"/>
    </row>
    <row r="43" spans="1:11">
      <c r="A43" s="3" t="s">
        <v>719</v>
      </c>
    </row>
  </sheetData>
  <pageMargins left="0.56000000000000005" right="0.5" top="0.76" bottom="0.49" header="0.42" footer="0.4921259845"/>
  <pageSetup paperSize="9" scale="72" orientation="portrait" horizontalDpi="1200" verticalDpi="12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C6956-A570-0D48-9C90-B0ED8E9B4794}">
  <sheetPr>
    <pageSetUpPr fitToPage="1"/>
  </sheetPr>
  <dimension ref="A1:N46"/>
  <sheetViews>
    <sheetView topLeftCell="A28" zoomScaleNormal="100" workbookViewId="0">
      <selection activeCell="G32" sqref="G32"/>
    </sheetView>
  </sheetViews>
  <sheetFormatPr baseColWidth="10" defaultColWidth="11.3984375" defaultRowHeight="13"/>
  <cols>
    <col min="1" max="1" width="9.796875" style="3" customWidth="1"/>
    <col min="2" max="2" width="12" style="3" customWidth="1"/>
    <col min="3" max="3" width="11" style="3" customWidth="1"/>
    <col min="4" max="4" width="15.3984375" style="396" customWidth="1"/>
    <col min="5" max="5" width="18.19921875" style="3" customWidth="1"/>
    <col min="6" max="6" width="19.19921875" style="3" customWidth="1"/>
    <col min="7" max="7" width="15.19921875" style="110" customWidth="1"/>
    <col min="8" max="8" width="16.796875" style="3" customWidth="1"/>
    <col min="9" max="13" width="11.3984375" style="3"/>
    <col min="14" max="14" width="17.59765625" style="3" customWidth="1"/>
    <col min="15" max="16384" width="11.3984375" style="3"/>
  </cols>
  <sheetData>
    <row r="1" spans="1:10" s="2" customFormat="1" ht="14" customHeight="1">
      <c r="D1" s="514"/>
      <c r="G1" s="17"/>
      <c r="J1" s="1095"/>
    </row>
    <row r="2" spans="1:10" s="2" customFormat="1" ht="25.25" customHeight="1">
      <c r="A2" s="1843" t="s">
        <v>1874</v>
      </c>
      <c r="B2" s="1847"/>
      <c r="C2" s="1847"/>
      <c r="D2" s="1847"/>
      <c r="E2" s="1847"/>
      <c r="F2" s="1847"/>
      <c r="G2" s="1852"/>
      <c r="H2" s="207">
        <v>2011</v>
      </c>
      <c r="J2" s="938"/>
    </row>
    <row r="3" spans="1:10" ht="24" customHeight="1">
      <c r="A3" s="92" t="s">
        <v>191</v>
      </c>
      <c r="B3" s="304" t="s">
        <v>1842</v>
      </c>
      <c r="C3" s="94" t="s">
        <v>1843</v>
      </c>
      <c r="D3" s="304" t="s">
        <v>1844</v>
      </c>
      <c r="E3" s="1129" t="s">
        <v>1875</v>
      </c>
      <c r="F3" s="1129"/>
      <c r="G3" s="1130"/>
      <c r="H3" s="182"/>
      <c r="J3" s="934"/>
    </row>
    <row r="4" spans="1:10" ht="15" customHeight="1">
      <c r="A4" s="184"/>
      <c r="B4" s="211" t="s">
        <v>1845</v>
      </c>
      <c r="C4" s="1131" t="s">
        <v>1876</v>
      </c>
      <c r="D4" s="211" t="s">
        <v>1877</v>
      </c>
      <c r="E4" s="187" t="s">
        <v>1878</v>
      </c>
      <c r="F4" s="96" t="s">
        <v>1879</v>
      </c>
      <c r="G4" s="438" t="s">
        <v>278</v>
      </c>
      <c r="H4" s="1115" t="s">
        <v>1880</v>
      </c>
      <c r="J4" s="1101"/>
    </row>
    <row r="5" spans="1:10" ht="15" customHeight="1">
      <c r="A5" s="184"/>
      <c r="B5" s="211" t="s">
        <v>1881</v>
      </c>
      <c r="C5" s="95"/>
      <c r="D5" s="211" t="s">
        <v>1882</v>
      </c>
      <c r="E5" s="186" t="s">
        <v>1866</v>
      </c>
      <c r="F5" s="96" t="s">
        <v>1866</v>
      </c>
      <c r="G5" s="438" t="s">
        <v>1883</v>
      </c>
      <c r="H5" s="1115" t="s">
        <v>1884</v>
      </c>
      <c r="J5" s="1101"/>
    </row>
    <row r="6" spans="1:10" s="317" customFormat="1" ht="24" customHeight="1">
      <c r="A6" s="470"/>
      <c r="B6" s="321"/>
      <c r="C6" s="1117"/>
      <c r="D6" s="1132" t="s">
        <v>1885</v>
      </c>
      <c r="E6" s="919"/>
      <c r="F6" s="920"/>
      <c r="G6" s="1133" t="s">
        <v>1886</v>
      </c>
      <c r="H6" s="1118" t="s">
        <v>617</v>
      </c>
      <c r="J6" s="1103"/>
    </row>
    <row r="7" spans="1:10" ht="30" customHeight="1" thickBot="1">
      <c r="A7" s="925" t="s">
        <v>362</v>
      </c>
      <c r="B7" s="215">
        <v>1366821</v>
      </c>
      <c r="C7" s="216">
        <v>2558</v>
      </c>
      <c r="D7" s="410">
        <v>1369379</v>
      </c>
      <c r="E7" s="216">
        <v>370346571</v>
      </c>
      <c r="F7" s="215">
        <v>326753258</v>
      </c>
      <c r="G7" s="1134">
        <v>697099829</v>
      </c>
      <c r="H7" s="217">
        <v>0.4687323743411792</v>
      </c>
      <c r="I7" s="8"/>
      <c r="J7" s="1105"/>
    </row>
    <row r="8" spans="1:10" ht="20" customHeight="1" thickBot="1">
      <c r="A8" s="927" t="s">
        <v>363</v>
      </c>
      <c r="B8" s="218">
        <v>979554</v>
      </c>
      <c r="C8" s="219">
        <v>233</v>
      </c>
      <c r="D8" s="195">
        <v>979787</v>
      </c>
      <c r="E8" s="219">
        <v>264981952</v>
      </c>
      <c r="F8" s="1135">
        <v>280911880</v>
      </c>
      <c r="G8" s="1136">
        <v>545893832</v>
      </c>
      <c r="H8" s="220">
        <v>0.51459068326677848</v>
      </c>
      <c r="I8" s="8"/>
      <c r="J8" s="1105"/>
    </row>
    <row r="9" spans="1:10" ht="20" customHeight="1" thickBot="1">
      <c r="A9" s="927" t="s">
        <v>364</v>
      </c>
      <c r="B9" s="218">
        <v>370931</v>
      </c>
      <c r="C9" s="219">
        <v>208</v>
      </c>
      <c r="D9" s="195">
        <v>371139</v>
      </c>
      <c r="E9" s="219">
        <v>100373907</v>
      </c>
      <c r="F9" s="1135">
        <v>68898922</v>
      </c>
      <c r="G9" s="1136">
        <v>169272829</v>
      </c>
      <c r="H9" s="220">
        <v>0.40702883272542223</v>
      </c>
      <c r="I9" s="8"/>
      <c r="J9" s="1105"/>
    </row>
    <row r="10" spans="1:10" ht="20" customHeight="1" thickBot="1">
      <c r="A10" s="927" t="s">
        <v>365</v>
      </c>
      <c r="B10" s="218">
        <v>34772</v>
      </c>
      <c r="C10" s="219">
        <v>5</v>
      </c>
      <c r="D10" s="195">
        <v>34777</v>
      </c>
      <c r="E10" s="219">
        <v>9405415</v>
      </c>
      <c r="F10" s="218">
        <v>6055187</v>
      </c>
      <c r="G10" s="1136">
        <v>15460602</v>
      </c>
      <c r="H10" s="220">
        <v>0.3916527312455233</v>
      </c>
      <c r="I10" s="8"/>
      <c r="J10" s="1105"/>
    </row>
    <row r="11" spans="1:10" ht="20" customHeight="1" thickBot="1">
      <c r="A11" s="927" t="s">
        <v>366</v>
      </c>
      <c r="B11" s="218">
        <v>143699</v>
      </c>
      <c r="C11" s="219">
        <v>34</v>
      </c>
      <c r="D11" s="195">
        <v>143733</v>
      </c>
      <c r="E11" s="147">
        <v>38872316</v>
      </c>
      <c r="F11" s="218">
        <v>14200196.25</v>
      </c>
      <c r="G11" s="1136">
        <v>53072512.25</v>
      </c>
      <c r="H11" s="220">
        <v>0.26756216444229092</v>
      </c>
      <c r="I11" s="8"/>
      <c r="J11" s="1105"/>
    </row>
    <row r="12" spans="1:10" ht="20" customHeight="1" thickBot="1">
      <c r="A12" s="927" t="s">
        <v>367</v>
      </c>
      <c r="B12" s="218">
        <v>34667</v>
      </c>
      <c r="C12" s="219">
        <v>10</v>
      </c>
      <c r="D12" s="195">
        <v>34677</v>
      </c>
      <c r="E12" s="219">
        <v>9378310</v>
      </c>
      <c r="F12" s="218">
        <v>9043261</v>
      </c>
      <c r="G12" s="1136">
        <v>18421571</v>
      </c>
      <c r="H12" s="220">
        <v>0.49090606876036796</v>
      </c>
      <c r="I12" s="8"/>
      <c r="J12" s="1105"/>
    </row>
    <row r="13" spans="1:10" ht="20" customHeight="1" thickBot="1">
      <c r="A13" s="927" t="s">
        <v>368</v>
      </c>
      <c r="B13" s="218">
        <v>40164</v>
      </c>
      <c r="C13" s="219">
        <v>5</v>
      </c>
      <c r="D13" s="195">
        <v>40169</v>
      </c>
      <c r="E13" s="219">
        <v>10863606</v>
      </c>
      <c r="F13" s="218">
        <v>6931323.1500000022</v>
      </c>
      <c r="G13" s="1136">
        <v>17794929.150000002</v>
      </c>
      <c r="H13" s="220">
        <v>0.38951114059366748</v>
      </c>
      <c r="I13" s="8"/>
      <c r="J13" s="1105"/>
    </row>
    <row r="14" spans="1:10" ht="20" customHeight="1" thickBot="1">
      <c r="A14" s="927" t="s">
        <v>369</v>
      </c>
      <c r="B14" s="218">
        <v>38259</v>
      </c>
      <c r="C14" s="219">
        <v>5</v>
      </c>
      <c r="D14" s="195">
        <v>38264</v>
      </c>
      <c r="E14" s="219">
        <v>10348559</v>
      </c>
      <c r="F14" s="218">
        <v>6705882</v>
      </c>
      <c r="G14" s="1136">
        <v>17054441</v>
      </c>
      <c r="H14" s="220">
        <v>0.39320444451975883</v>
      </c>
      <c r="I14" s="8"/>
      <c r="J14" s="1105"/>
    </row>
    <row r="15" spans="1:10" ht="20" customHeight="1" thickBot="1">
      <c r="A15" s="927" t="s">
        <v>370</v>
      </c>
      <c r="B15" s="218">
        <v>111151</v>
      </c>
      <c r="C15" s="219">
        <v>92</v>
      </c>
      <c r="D15" s="195">
        <v>111243</v>
      </c>
      <c r="E15" s="219">
        <v>30085399</v>
      </c>
      <c r="F15" s="218">
        <v>19984467</v>
      </c>
      <c r="G15" s="1136">
        <v>50069866</v>
      </c>
      <c r="H15" s="220">
        <v>0.39913162539719999</v>
      </c>
      <c r="I15" s="8"/>
      <c r="J15" s="1105"/>
    </row>
    <row r="16" spans="1:10" ht="20" customHeight="1" thickBot="1">
      <c r="A16" s="927" t="s">
        <v>371</v>
      </c>
      <c r="B16" s="218">
        <v>273855</v>
      </c>
      <c r="C16" s="219">
        <v>148</v>
      </c>
      <c r="D16" s="195">
        <v>274003</v>
      </c>
      <c r="E16" s="219">
        <v>74103757</v>
      </c>
      <c r="F16" s="218">
        <v>75381318</v>
      </c>
      <c r="G16" s="1136">
        <v>149485075</v>
      </c>
      <c r="H16" s="220">
        <v>0.50427320587021818</v>
      </c>
      <c r="I16" s="8"/>
      <c r="J16" s="1105"/>
    </row>
    <row r="17" spans="1:14" ht="20" customHeight="1" thickBot="1">
      <c r="A17" s="927" t="s">
        <v>372</v>
      </c>
      <c r="B17" s="218">
        <v>252083</v>
      </c>
      <c r="C17" s="219">
        <v>154</v>
      </c>
      <c r="D17" s="195">
        <v>252237</v>
      </c>
      <c r="E17" s="219">
        <v>68217118</v>
      </c>
      <c r="F17" s="218">
        <v>56775583</v>
      </c>
      <c r="G17" s="1136">
        <v>124992701</v>
      </c>
      <c r="H17" s="220">
        <v>0.45423118746749858</v>
      </c>
      <c r="I17" s="8"/>
      <c r="J17" s="1105"/>
    </row>
    <row r="18" spans="1:14" ht="20" customHeight="1" thickBot="1">
      <c r="A18" s="927" t="s">
        <v>373</v>
      </c>
      <c r="B18" s="218">
        <v>192068</v>
      </c>
      <c r="C18" s="219">
        <v>4194</v>
      </c>
      <c r="D18" s="195">
        <v>196262</v>
      </c>
      <c r="E18" s="219">
        <v>53078831</v>
      </c>
      <c r="F18" s="218">
        <v>83777405</v>
      </c>
      <c r="G18" s="1136">
        <v>136856236</v>
      </c>
      <c r="H18" s="220">
        <v>0.61215628493538288</v>
      </c>
      <c r="I18" s="8"/>
      <c r="J18" s="1105"/>
    </row>
    <row r="19" spans="1:14" ht="20" customHeight="1" thickBot="1">
      <c r="A19" s="927" t="s">
        <v>374</v>
      </c>
      <c r="B19" s="195">
        <v>271125</v>
      </c>
      <c r="C19" s="196">
        <v>1962</v>
      </c>
      <c r="D19" s="195">
        <v>273087</v>
      </c>
      <c r="E19" s="219">
        <v>73855991</v>
      </c>
      <c r="F19" s="195">
        <v>51532811</v>
      </c>
      <c r="G19" s="442">
        <v>125388802</v>
      </c>
      <c r="H19" s="220">
        <v>0.41098415630448404</v>
      </c>
      <c r="I19" s="8"/>
      <c r="J19" s="1105"/>
    </row>
    <row r="20" spans="1:14" ht="20" customHeight="1" thickBot="1">
      <c r="A20" s="927" t="s">
        <v>375</v>
      </c>
      <c r="B20" s="218">
        <v>75691</v>
      </c>
      <c r="C20" s="219">
        <v>1790</v>
      </c>
      <c r="D20" s="195">
        <v>77481</v>
      </c>
      <c r="E20" s="219">
        <v>20954664</v>
      </c>
      <c r="F20" s="218">
        <v>28084386.850000001</v>
      </c>
      <c r="G20" s="1136">
        <v>49039050.850000001</v>
      </c>
      <c r="H20" s="220">
        <v>0.57269433978043649</v>
      </c>
      <c r="I20" s="8"/>
      <c r="J20" s="1105"/>
    </row>
    <row r="21" spans="1:14" ht="20" customHeight="1" thickBot="1">
      <c r="A21" s="927" t="s">
        <v>376</v>
      </c>
      <c r="B21" s="218">
        <v>52681</v>
      </c>
      <c r="C21" s="219">
        <v>34</v>
      </c>
      <c r="D21" s="195">
        <v>52715</v>
      </c>
      <c r="E21" s="219">
        <v>14256617</v>
      </c>
      <c r="F21" s="218">
        <v>11012742</v>
      </c>
      <c r="G21" s="1136">
        <v>25269359</v>
      </c>
      <c r="H21" s="220">
        <v>0.43581406239865444</v>
      </c>
      <c r="I21" s="8"/>
      <c r="J21" s="1105"/>
    </row>
    <row r="22" spans="1:14" ht="20" customHeight="1" thickBot="1">
      <c r="A22" s="927" t="s">
        <v>377</v>
      </c>
      <c r="B22" s="218">
        <v>15517</v>
      </c>
      <c r="C22" s="219">
        <v>7</v>
      </c>
      <c r="D22" s="195">
        <v>15524</v>
      </c>
      <c r="E22" s="219">
        <v>4198315</v>
      </c>
      <c r="F22" s="218">
        <v>1090894.5</v>
      </c>
      <c r="G22" s="1136">
        <v>5289209.5</v>
      </c>
      <c r="H22" s="220">
        <v>0.20624906235988572</v>
      </c>
      <c r="I22" s="8"/>
      <c r="J22" s="1105"/>
    </row>
    <row r="23" spans="1:14" ht="20" customHeight="1" thickBot="1">
      <c r="A23" s="927" t="s">
        <v>378</v>
      </c>
      <c r="B23" s="218">
        <v>474316</v>
      </c>
      <c r="C23" s="219">
        <v>437</v>
      </c>
      <c r="D23" s="195">
        <v>474753</v>
      </c>
      <c r="E23" s="219">
        <v>128396170</v>
      </c>
      <c r="F23" s="218">
        <v>65042188</v>
      </c>
      <c r="G23" s="1136">
        <v>193438358</v>
      </c>
      <c r="H23" s="220">
        <v>0.33624245300924238</v>
      </c>
      <c r="I23" s="8"/>
      <c r="J23" s="1105"/>
    </row>
    <row r="24" spans="1:14" ht="20" customHeight="1" thickBot="1">
      <c r="A24" s="927" t="s">
        <v>379</v>
      </c>
      <c r="B24" s="218">
        <v>194753</v>
      </c>
      <c r="C24" s="219">
        <v>231</v>
      </c>
      <c r="D24" s="195">
        <v>194984</v>
      </c>
      <c r="E24" s="219">
        <v>52733045</v>
      </c>
      <c r="F24" s="218">
        <v>34937350.100000009</v>
      </c>
      <c r="G24" s="1136">
        <v>87670395.100000009</v>
      </c>
      <c r="H24" s="220">
        <v>0.39850795767658181</v>
      </c>
      <c r="I24" s="8"/>
      <c r="J24" s="1105"/>
    </row>
    <row r="25" spans="1:14" ht="20" customHeight="1" thickBot="1">
      <c r="A25" s="927" t="s">
        <v>380</v>
      </c>
      <c r="B25" s="218">
        <v>596795</v>
      </c>
      <c r="C25" s="219">
        <v>3407</v>
      </c>
      <c r="D25" s="195">
        <v>600202</v>
      </c>
      <c r="E25" s="219">
        <v>162323757</v>
      </c>
      <c r="F25" s="218">
        <v>73041343.75</v>
      </c>
      <c r="G25" s="1136">
        <v>235365100.75</v>
      </c>
      <c r="H25" s="220">
        <v>0.3103320905149104</v>
      </c>
      <c r="I25" s="8"/>
      <c r="J25" s="1105"/>
    </row>
    <row r="26" spans="1:14" ht="20" customHeight="1" thickBot="1">
      <c r="A26" s="927" t="s">
        <v>381</v>
      </c>
      <c r="B26" s="218">
        <v>244069</v>
      </c>
      <c r="C26" s="219">
        <v>1523</v>
      </c>
      <c r="D26" s="195">
        <v>245592</v>
      </c>
      <c r="E26" s="219">
        <v>66419901</v>
      </c>
      <c r="F26" s="218">
        <v>57611507</v>
      </c>
      <c r="G26" s="1136">
        <v>124031408</v>
      </c>
      <c r="H26" s="220">
        <v>0.46449127627415149</v>
      </c>
      <c r="I26" s="8"/>
      <c r="J26" s="1105"/>
    </row>
    <row r="27" spans="1:14" ht="20" customHeight="1" thickBot="1">
      <c r="A27" s="927" t="s">
        <v>382</v>
      </c>
      <c r="B27" s="218">
        <v>333567</v>
      </c>
      <c r="C27" s="219">
        <v>543</v>
      </c>
      <c r="D27" s="195">
        <v>334110</v>
      </c>
      <c r="E27" s="219">
        <v>90359706</v>
      </c>
      <c r="F27" s="218">
        <v>182895574.85000008</v>
      </c>
      <c r="G27" s="1136">
        <v>273255280.85000008</v>
      </c>
      <c r="H27" s="220">
        <v>0.66932128184705864</v>
      </c>
      <c r="I27" s="8"/>
      <c r="J27" s="1105"/>
    </row>
    <row r="28" spans="1:14" ht="20" customHeight="1" thickBot="1">
      <c r="A28" s="927" t="s">
        <v>383</v>
      </c>
      <c r="B28" s="218">
        <v>704916</v>
      </c>
      <c r="C28" s="219">
        <v>297</v>
      </c>
      <c r="D28" s="195">
        <v>705213</v>
      </c>
      <c r="E28" s="219">
        <v>190723891</v>
      </c>
      <c r="F28" s="218">
        <v>206655294.44999999</v>
      </c>
      <c r="G28" s="1136">
        <v>397379185.44999999</v>
      </c>
      <c r="H28" s="220">
        <v>0.52004559377205295</v>
      </c>
      <c r="I28" s="8"/>
      <c r="J28" s="1105"/>
    </row>
    <row r="29" spans="1:14" ht="20" customHeight="1" thickBot="1">
      <c r="A29" s="927" t="s">
        <v>384</v>
      </c>
      <c r="B29" s="218">
        <v>305178</v>
      </c>
      <c r="C29" s="219">
        <v>31</v>
      </c>
      <c r="D29" s="195">
        <v>305209</v>
      </c>
      <c r="E29" s="219">
        <v>82543266</v>
      </c>
      <c r="F29" s="218">
        <v>95799614.379999995</v>
      </c>
      <c r="G29" s="1136">
        <v>178342880.38</v>
      </c>
      <c r="H29" s="220">
        <v>0.53716534226584867</v>
      </c>
      <c r="I29" s="8"/>
      <c r="J29" s="1105"/>
    </row>
    <row r="30" spans="1:14" ht="20" customHeight="1" thickBot="1">
      <c r="A30" s="927" t="s">
        <v>385</v>
      </c>
      <c r="B30" s="218">
        <v>172263</v>
      </c>
      <c r="C30" s="219">
        <v>82</v>
      </c>
      <c r="D30" s="195">
        <v>172345</v>
      </c>
      <c r="E30" s="219">
        <v>46610492</v>
      </c>
      <c r="F30" s="218">
        <v>47686271</v>
      </c>
      <c r="G30" s="1136">
        <v>94296763</v>
      </c>
      <c r="H30" s="220">
        <v>0.50570422019682693</v>
      </c>
      <c r="I30" s="8"/>
      <c r="J30" s="1105"/>
      <c r="K30" s="1137"/>
      <c r="L30" s="1137"/>
      <c r="M30" s="1137"/>
      <c r="N30" s="1137"/>
    </row>
    <row r="31" spans="1:14" ht="20" customHeight="1" thickBot="1">
      <c r="A31" s="927" t="s">
        <v>386</v>
      </c>
      <c r="B31" s="218">
        <v>453674</v>
      </c>
      <c r="C31" s="219">
        <v>4510</v>
      </c>
      <c r="D31" s="195">
        <v>458184</v>
      </c>
      <c r="E31" s="219">
        <v>123915140</v>
      </c>
      <c r="F31" s="218">
        <v>124759656.86999997</v>
      </c>
      <c r="G31" s="1136">
        <v>248674796.86999997</v>
      </c>
      <c r="H31" s="220">
        <v>0.50169803470361629</v>
      </c>
      <c r="J31" s="1105"/>
    </row>
    <row r="32" spans="1:14" ht="20" customHeight="1" thickBot="1">
      <c r="A32" s="927" t="s">
        <v>387</v>
      </c>
      <c r="B32" s="218">
        <v>68709</v>
      </c>
      <c r="C32" s="219">
        <v>25</v>
      </c>
      <c r="D32" s="195">
        <v>68734</v>
      </c>
      <c r="E32" s="219">
        <v>18588995</v>
      </c>
      <c r="F32" s="218">
        <v>18843677.050000004</v>
      </c>
      <c r="G32" s="1136">
        <v>37432672.050000004</v>
      </c>
      <c r="H32" s="220">
        <v>0.50340186842205414</v>
      </c>
      <c r="J32" s="1105"/>
      <c r="K32" s="9"/>
      <c r="L32" s="9"/>
    </row>
    <row r="33" spans="1:10" s="110" customFormat="1" ht="30" customHeight="1" thickBot="1">
      <c r="A33" s="1106" t="s">
        <v>444</v>
      </c>
      <c r="B33" s="199">
        <v>7801278</v>
      </c>
      <c r="C33" s="200">
        <v>22525</v>
      </c>
      <c r="D33" s="199">
        <v>7823803</v>
      </c>
      <c r="E33" s="243">
        <v>2115935691</v>
      </c>
      <c r="F33" s="242">
        <v>1954411994.2</v>
      </c>
      <c r="G33" s="243">
        <v>4070347685.1999998</v>
      </c>
      <c r="H33" s="226">
        <v>0.48015848899256097</v>
      </c>
      <c r="J33" s="1107"/>
    </row>
    <row r="34" spans="1:10" ht="20" customHeight="1">
      <c r="A34" s="1108" t="s">
        <v>1869</v>
      </c>
      <c r="B34" s="201"/>
      <c r="C34" s="201"/>
      <c r="D34" s="201"/>
      <c r="E34" s="201"/>
      <c r="F34" s="201"/>
      <c r="G34" s="462"/>
      <c r="H34" s="203"/>
    </row>
    <row r="35" spans="1:10" ht="14.25" customHeight="1">
      <c r="A35" s="1111"/>
      <c r="B35" s="203"/>
      <c r="C35" s="203"/>
      <c r="D35" s="203"/>
      <c r="E35" s="203"/>
      <c r="F35" s="203"/>
      <c r="G35" s="463"/>
      <c r="H35" s="203"/>
    </row>
    <row r="36" spans="1:10" ht="15.75" customHeight="1">
      <c r="A36" s="1111" t="s">
        <v>1887</v>
      </c>
      <c r="B36" s="203"/>
      <c r="C36" s="203"/>
      <c r="D36" s="203"/>
      <c r="E36" s="203"/>
      <c r="F36" s="203"/>
      <c r="G36" s="463"/>
      <c r="H36" s="203"/>
    </row>
    <row r="37" spans="1:10" ht="15.75" customHeight="1">
      <c r="A37" s="1111" t="s">
        <v>1888</v>
      </c>
      <c r="B37" s="203"/>
      <c r="C37" s="203"/>
      <c r="D37" s="203"/>
      <c r="E37" s="203"/>
      <c r="F37" s="203"/>
      <c r="G37" s="463"/>
      <c r="H37" s="203"/>
    </row>
    <row r="38" spans="1:10" ht="13.5" customHeight="1">
      <c r="A38" s="1111"/>
      <c r="B38" s="203"/>
      <c r="C38" s="203"/>
      <c r="D38" s="203"/>
      <c r="E38" s="203"/>
      <c r="F38" s="203"/>
      <c r="G38" s="463"/>
      <c r="H38" s="203"/>
    </row>
    <row r="39" spans="1:10">
      <c r="A39" s="3" t="s">
        <v>1889</v>
      </c>
    </row>
    <row r="40" spans="1:10">
      <c r="A40" s="3" t="s">
        <v>1890</v>
      </c>
    </row>
    <row r="41" spans="1:10">
      <c r="A41" s="3" t="s">
        <v>1891</v>
      </c>
    </row>
    <row r="42" spans="1:10">
      <c r="A42" s="3" t="s">
        <v>1892</v>
      </c>
    </row>
    <row r="43" spans="1:10">
      <c r="A43" s="1112" t="s">
        <v>1893</v>
      </c>
    </row>
    <row r="46" spans="1:10">
      <c r="A46" s="3" t="s">
        <v>719</v>
      </c>
    </row>
  </sheetData>
  <mergeCells count="1">
    <mergeCell ref="A2:G2"/>
  </mergeCells>
  <pageMargins left="0.56000000000000005" right="0.51" top="0.81" bottom="0.49" header="0.42" footer="0.4921259845"/>
  <pageSetup paperSize="9" scale="81" orientation="portrait" horizontalDpi="1200" verticalDpi="12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2385-A0C8-6749-B51B-9336FF9C6FCF}">
  <sheetPr>
    <pageSetUpPr fitToPage="1"/>
  </sheetPr>
  <dimension ref="A1:K44"/>
  <sheetViews>
    <sheetView zoomScaleNormal="100" workbookViewId="0">
      <selection activeCell="J12" sqref="J12"/>
    </sheetView>
  </sheetViews>
  <sheetFormatPr baseColWidth="10" defaultColWidth="11.3984375" defaultRowHeight="13"/>
  <cols>
    <col min="1" max="1" width="11.796875" style="3" customWidth="1"/>
    <col min="2" max="2" width="17.3984375" style="3" customWidth="1"/>
    <col min="3" max="3" width="19.3984375" style="3" customWidth="1"/>
    <col min="4" max="4" width="16.3984375" style="110" customWidth="1"/>
    <col min="5" max="5" width="16" style="119" customWidth="1"/>
    <col min="6" max="6" width="13.3984375" style="119" customWidth="1"/>
    <col min="7" max="7" width="14.59765625" style="119" customWidth="1"/>
    <col min="8" max="8" width="14.796875" style="3" customWidth="1"/>
    <col min="9" max="9" width="11.59765625" style="3" customWidth="1"/>
    <col min="10" max="16384" width="11.3984375" style="3"/>
  </cols>
  <sheetData>
    <row r="1" spans="1:9" s="2" customFormat="1" ht="14" customHeight="1">
      <c r="D1" s="17"/>
      <c r="E1" s="88"/>
      <c r="F1" s="88"/>
      <c r="G1" s="88"/>
    </row>
    <row r="2" spans="1:9" s="2" customFormat="1" ht="25.25" customHeight="1">
      <c r="A2" s="180" t="s">
        <v>1856</v>
      </c>
      <c r="D2" s="17"/>
      <c r="E2" s="88"/>
      <c r="F2" s="88"/>
      <c r="G2" s="207"/>
      <c r="H2" s="207">
        <v>2011</v>
      </c>
    </row>
    <row r="3" spans="1:9" ht="24" customHeight="1">
      <c r="A3" s="92" t="s">
        <v>191</v>
      </c>
      <c r="B3" s="182" t="s">
        <v>1857</v>
      </c>
      <c r="C3" s="183" t="s">
        <v>1857</v>
      </c>
      <c r="D3" s="466" t="s">
        <v>278</v>
      </c>
      <c r="E3" s="94" t="s">
        <v>279</v>
      </c>
      <c r="F3" s="304" t="s">
        <v>278</v>
      </c>
      <c r="G3" s="94" t="s">
        <v>278</v>
      </c>
      <c r="H3" s="1113"/>
    </row>
    <row r="4" spans="1:9" ht="15" customHeight="1">
      <c r="A4" s="184"/>
      <c r="B4" s="96" t="s">
        <v>1858</v>
      </c>
      <c r="C4" s="187" t="s">
        <v>1858</v>
      </c>
      <c r="D4" s="1114" t="s">
        <v>1857</v>
      </c>
      <c r="E4" s="95" t="s">
        <v>282</v>
      </c>
      <c r="F4" s="1115" t="s">
        <v>1857</v>
      </c>
      <c r="G4" s="95" t="s">
        <v>1857</v>
      </c>
      <c r="H4" s="1115" t="s">
        <v>1859</v>
      </c>
    </row>
    <row r="5" spans="1:9" ht="15" customHeight="1">
      <c r="A5" s="184"/>
      <c r="B5" s="185" t="s">
        <v>1860</v>
      </c>
      <c r="C5" s="186" t="s">
        <v>1861</v>
      </c>
      <c r="D5" s="1114" t="s">
        <v>1862</v>
      </c>
      <c r="E5" s="95" t="s">
        <v>283</v>
      </c>
      <c r="F5" s="1115" t="s">
        <v>1863</v>
      </c>
      <c r="G5" s="95" t="s">
        <v>1864</v>
      </c>
      <c r="H5" s="1115" t="s">
        <v>1865</v>
      </c>
    </row>
    <row r="6" spans="1:9" s="317" customFormat="1" ht="24" customHeight="1">
      <c r="A6" s="470"/>
      <c r="B6" s="321" t="s">
        <v>1866</v>
      </c>
      <c r="C6" s="919" t="s">
        <v>1866</v>
      </c>
      <c r="D6" s="1116" t="s">
        <v>1866</v>
      </c>
      <c r="E6" s="1117"/>
      <c r="F6" s="1118" t="s">
        <v>1866</v>
      </c>
      <c r="G6" s="1117" t="s">
        <v>1867</v>
      </c>
      <c r="H6" s="1118" t="s">
        <v>1868</v>
      </c>
    </row>
    <row r="7" spans="1:9" ht="30" customHeight="1" thickBot="1">
      <c r="A7" s="925" t="s">
        <v>362</v>
      </c>
      <c r="B7" s="215">
        <v>680698253</v>
      </c>
      <c r="C7" s="216">
        <v>16401576</v>
      </c>
      <c r="D7" s="1119">
        <v>697099829</v>
      </c>
      <c r="E7" s="278">
        <v>-2.4154366893536946E-2</v>
      </c>
      <c r="F7" s="1120">
        <v>2461.701929528424</v>
      </c>
      <c r="G7" s="842">
        <v>1654.5418121402718</v>
      </c>
      <c r="H7" s="217">
        <v>0.56143257962004467</v>
      </c>
      <c r="I7" s="306"/>
    </row>
    <row r="8" spans="1:9" ht="20" customHeight="1" thickBot="1">
      <c r="A8" s="927" t="s">
        <v>363</v>
      </c>
      <c r="B8" s="218">
        <v>538908299</v>
      </c>
      <c r="C8" s="219">
        <v>6985533</v>
      </c>
      <c r="D8" s="1121">
        <v>545893832</v>
      </c>
      <c r="E8" s="278">
        <v>1.6651004061295677E-2</v>
      </c>
      <c r="F8" s="1122">
        <v>4314.4794903814236</v>
      </c>
      <c r="G8" s="842">
        <v>2128.8967440264255</v>
      </c>
      <c r="H8" s="220">
        <v>0.6460991635892035</v>
      </c>
      <c r="I8" s="306"/>
    </row>
    <row r="9" spans="1:9" ht="20" customHeight="1" thickBot="1">
      <c r="A9" s="927" t="s">
        <v>364</v>
      </c>
      <c r="B9" s="218">
        <v>165377425</v>
      </c>
      <c r="C9" s="219">
        <v>3895404</v>
      </c>
      <c r="D9" s="1121">
        <v>169272829</v>
      </c>
      <c r="E9" s="278">
        <v>2.0681377337627E-2</v>
      </c>
      <c r="F9" s="1123">
        <v>2696.371802223709</v>
      </c>
      <c r="G9" s="862">
        <v>1353.8252221413547</v>
      </c>
      <c r="H9" s="1124">
        <v>0.52760141159055129</v>
      </c>
      <c r="I9" s="306"/>
    </row>
    <row r="10" spans="1:9" ht="20" customHeight="1" thickBot="1">
      <c r="A10" s="927" t="s">
        <v>365</v>
      </c>
      <c r="B10" s="218">
        <v>14891066</v>
      </c>
      <c r="C10" s="219">
        <v>569536</v>
      </c>
      <c r="D10" s="1121">
        <v>15460602</v>
      </c>
      <c r="E10" s="278">
        <v>0.17778264311558764</v>
      </c>
      <c r="F10" s="1125">
        <v>2044.5122983337742</v>
      </c>
      <c r="G10" s="1126">
        <v>969.25597141245066</v>
      </c>
      <c r="H10" s="508">
        <v>0.40251493829420709</v>
      </c>
      <c r="I10" s="306"/>
    </row>
    <row r="11" spans="1:9" ht="20" customHeight="1" thickBot="1">
      <c r="A11" s="927" t="s">
        <v>366</v>
      </c>
      <c r="B11" s="218">
        <v>52941651.25</v>
      </c>
      <c r="C11" s="219">
        <v>130861</v>
      </c>
      <c r="D11" s="1121">
        <v>53072512.25</v>
      </c>
      <c r="E11" s="278">
        <v>9.4183127154760432E-2</v>
      </c>
      <c r="F11" s="1125">
        <v>2712.3479455205193</v>
      </c>
      <c r="G11" s="1126">
        <v>1404.1833064345433</v>
      </c>
      <c r="H11" s="508">
        <v>0.5565530346549914</v>
      </c>
      <c r="I11" s="306"/>
    </row>
    <row r="12" spans="1:9" ht="20" customHeight="1" thickBot="1">
      <c r="A12" s="927" t="s">
        <v>367</v>
      </c>
      <c r="B12" s="218">
        <v>18412062</v>
      </c>
      <c r="C12" s="219">
        <v>9509</v>
      </c>
      <c r="D12" s="1121">
        <v>18421571</v>
      </c>
      <c r="E12" s="278">
        <v>4.2113404514206407E-2</v>
      </c>
      <c r="F12" s="1125">
        <v>2108.2136644541083</v>
      </c>
      <c r="G12" s="1126">
        <v>1299.1234837799718</v>
      </c>
      <c r="H12" s="508">
        <v>0.54676914300503865</v>
      </c>
      <c r="I12" s="306"/>
    </row>
    <row r="13" spans="1:9" ht="20" customHeight="1" thickBot="1">
      <c r="A13" s="927" t="s">
        <v>368</v>
      </c>
      <c r="B13" s="218">
        <v>17565811.600000001</v>
      </c>
      <c r="C13" s="219">
        <v>229117.55</v>
      </c>
      <c r="D13" s="1121">
        <v>17794929.150000002</v>
      </c>
      <c r="E13" s="278">
        <v>2.4104836225288175E-2</v>
      </c>
      <c r="F13" s="1125">
        <v>1745.2853226755592</v>
      </c>
      <c r="G13" s="1126">
        <v>920.68135088990073</v>
      </c>
      <c r="H13" s="508">
        <v>0.41175373474503613</v>
      </c>
      <c r="I13" s="306"/>
    </row>
    <row r="14" spans="1:9" ht="20" customHeight="1" thickBot="1">
      <c r="A14" s="927" t="s">
        <v>369</v>
      </c>
      <c r="B14" s="218">
        <v>17054441</v>
      </c>
      <c r="C14" s="219"/>
      <c r="D14" s="1121">
        <v>17054441</v>
      </c>
      <c r="E14" s="278">
        <v>0.14691404776012887</v>
      </c>
      <c r="F14" s="1125">
        <v>3159.9853622382807</v>
      </c>
      <c r="G14" s="1126">
        <v>1401.9269214960952</v>
      </c>
      <c r="H14" s="508">
        <v>0.53590478650462359</v>
      </c>
      <c r="I14" s="306"/>
    </row>
    <row r="15" spans="1:9" ht="20" customHeight="1" thickBot="1">
      <c r="A15" s="927" t="s">
        <v>370</v>
      </c>
      <c r="B15" s="218">
        <v>46785920</v>
      </c>
      <c r="C15" s="219">
        <v>3283946</v>
      </c>
      <c r="D15" s="1121">
        <v>50069866</v>
      </c>
      <c r="E15" s="278">
        <v>0.17407237013650884</v>
      </c>
      <c r="F15" s="1125">
        <v>3048.5792742328299</v>
      </c>
      <c r="G15" s="1126">
        <v>1708.5192793284652</v>
      </c>
      <c r="H15" s="508">
        <v>0.68587686845783435</v>
      </c>
      <c r="I15" s="306"/>
    </row>
    <row r="16" spans="1:9" ht="20" customHeight="1" thickBot="1">
      <c r="A16" s="927" t="s">
        <v>371</v>
      </c>
      <c r="B16" s="218">
        <v>149485075</v>
      </c>
      <c r="C16" s="219"/>
      <c r="D16" s="1121">
        <v>149485075</v>
      </c>
      <c r="E16" s="278">
        <v>2.9170555730547318E-2</v>
      </c>
      <c r="F16" s="1125">
        <v>3514.7321953398696</v>
      </c>
      <c r="G16" s="1126">
        <v>1754.8904111197201</v>
      </c>
      <c r="H16" s="508">
        <v>0.63744657142016714</v>
      </c>
      <c r="I16" s="306"/>
    </row>
    <row r="17" spans="1:11" ht="20" customHeight="1" thickBot="1">
      <c r="A17" s="927" t="s">
        <v>372</v>
      </c>
      <c r="B17" s="218">
        <v>124054799</v>
      </c>
      <c r="C17" s="219">
        <v>937902</v>
      </c>
      <c r="D17" s="1121">
        <v>124992701</v>
      </c>
      <c r="E17" s="278">
        <v>3.3525733009114327E-3</v>
      </c>
      <c r="F17" s="1125">
        <v>3846.9945831153241</v>
      </c>
      <c r="G17" s="1126">
        <v>1811.6722131230704</v>
      </c>
      <c r="H17" s="508">
        <v>0.63926330738287596</v>
      </c>
      <c r="I17" s="306"/>
    </row>
    <row r="18" spans="1:11" ht="20" customHeight="1" thickBot="1">
      <c r="A18" s="927" t="s">
        <v>373</v>
      </c>
      <c r="B18" s="218">
        <v>136614339</v>
      </c>
      <c r="C18" s="219">
        <v>241897</v>
      </c>
      <c r="D18" s="1121">
        <v>136856236</v>
      </c>
      <c r="E18" s="278">
        <v>3.521980289102801E-2</v>
      </c>
      <c r="F18" s="1125">
        <v>4522.8274562939951</v>
      </c>
      <c r="G18" s="1126">
        <v>2758.4753189688186</v>
      </c>
      <c r="H18" s="508">
        <v>0.65475322073791087</v>
      </c>
      <c r="I18" s="306"/>
    </row>
    <row r="19" spans="1:11" ht="20" customHeight="1" thickBot="1">
      <c r="A19" s="927" t="s">
        <v>374</v>
      </c>
      <c r="B19" s="218">
        <v>119950203</v>
      </c>
      <c r="C19" s="219">
        <v>5438599</v>
      </c>
      <c r="D19" s="413">
        <v>125388802</v>
      </c>
      <c r="E19" s="278">
        <v>3.5168892691818589E-2</v>
      </c>
      <c r="F19" s="1125">
        <v>3940.4419094308792</v>
      </c>
      <c r="G19" s="1126">
        <v>2195.7202745771024</v>
      </c>
      <c r="H19" s="508">
        <v>0.67706453116777743</v>
      </c>
      <c r="I19" s="306"/>
    </row>
    <row r="20" spans="1:11" ht="20" customHeight="1" thickBot="1">
      <c r="A20" s="927" t="s">
        <v>375</v>
      </c>
      <c r="B20" s="218">
        <v>46979387.850000001</v>
      </c>
      <c r="C20" s="219">
        <v>2059663</v>
      </c>
      <c r="D20" s="1121">
        <v>49039050.850000001</v>
      </c>
      <c r="E20" s="278">
        <v>0.18481953681992294</v>
      </c>
      <c r="F20" s="1125">
        <v>3044.5800490469983</v>
      </c>
      <c r="G20" s="1126">
        <v>1629.1502225839674</v>
      </c>
      <c r="H20" s="508">
        <v>0.57003156843385849</v>
      </c>
      <c r="I20" s="306"/>
    </row>
    <row r="21" spans="1:11" ht="20" customHeight="1" thickBot="1">
      <c r="A21" s="927" t="s">
        <v>376</v>
      </c>
      <c r="B21" s="218">
        <v>25178020</v>
      </c>
      <c r="C21" s="219">
        <v>91339</v>
      </c>
      <c r="D21" s="1121">
        <v>25269359</v>
      </c>
      <c r="E21" s="278">
        <v>5.7924577316592271E-2</v>
      </c>
      <c r="F21" s="1125">
        <v>3716.0822058823528</v>
      </c>
      <c r="G21" s="1126">
        <v>1837.1035259905489</v>
      </c>
      <c r="H21" s="508">
        <v>0.7949387823412154</v>
      </c>
      <c r="I21" s="306"/>
    </row>
    <row r="22" spans="1:11" ht="20" customHeight="1" thickBot="1">
      <c r="A22" s="927" t="s">
        <v>377</v>
      </c>
      <c r="B22" s="218">
        <v>5242162</v>
      </c>
      <c r="C22" s="219">
        <v>47047.5</v>
      </c>
      <c r="D22" s="1121">
        <v>5289209.5</v>
      </c>
      <c r="E22" s="278">
        <v>-3.0960759129452852E-2</v>
      </c>
      <c r="F22" s="1125">
        <v>2465.8319347319348</v>
      </c>
      <c r="G22" s="1126">
        <v>844.65178856595332</v>
      </c>
      <c r="H22" s="508">
        <v>0.40202369755637951</v>
      </c>
      <c r="I22" s="306"/>
    </row>
    <row r="23" spans="1:11" ht="20" customHeight="1" thickBot="1">
      <c r="A23" s="927" t="s">
        <v>378</v>
      </c>
      <c r="B23" s="218">
        <v>191559461</v>
      </c>
      <c r="C23" s="219">
        <v>1878897</v>
      </c>
      <c r="D23" s="1121">
        <v>193438358</v>
      </c>
      <c r="E23" s="278">
        <v>0.10465234761089005</v>
      </c>
      <c r="F23" s="1125">
        <v>2670.6201402694942</v>
      </c>
      <c r="G23" s="1126">
        <v>1289.8384220949383</v>
      </c>
      <c r="H23" s="508">
        <v>0.50542257919080658</v>
      </c>
      <c r="I23" s="306"/>
    </row>
    <row r="24" spans="1:11" ht="20" customHeight="1" thickBot="1">
      <c r="A24" s="927" t="s">
        <v>379</v>
      </c>
      <c r="B24" s="218">
        <v>79271471.75</v>
      </c>
      <c r="C24" s="219">
        <v>8398923.3499999996</v>
      </c>
      <c r="D24" s="1121">
        <v>87670395.100000009</v>
      </c>
      <c r="E24" s="278">
        <v>0.10049347219166933</v>
      </c>
      <c r="F24" s="1125">
        <v>2830.3598095238099</v>
      </c>
      <c r="G24" s="1126">
        <v>1406.0107627417649</v>
      </c>
      <c r="H24" s="508">
        <v>0.53399573214651153</v>
      </c>
      <c r="I24" s="306"/>
    </row>
    <row r="25" spans="1:11" ht="20" customHeight="1" thickBot="1">
      <c r="A25" s="927" t="s">
        <v>380</v>
      </c>
      <c r="B25" s="218">
        <v>223886810.90000001</v>
      </c>
      <c r="C25" s="219">
        <v>11478289.85</v>
      </c>
      <c r="D25" s="1121">
        <v>235365100.75</v>
      </c>
      <c r="E25" s="278">
        <v>6.1655448580640593E-2</v>
      </c>
      <c r="F25" s="1125">
        <v>3280.9900294134045</v>
      </c>
      <c r="G25" s="1126">
        <v>1501.780842436385</v>
      </c>
      <c r="H25" s="508">
        <v>0.53711761174405759</v>
      </c>
      <c r="I25" s="306"/>
    </row>
    <row r="26" spans="1:11" ht="20" customHeight="1" thickBot="1">
      <c r="A26" s="927" t="s">
        <v>381</v>
      </c>
      <c r="B26" s="218">
        <v>117931311</v>
      </c>
      <c r="C26" s="219">
        <v>6100097</v>
      </c>
      <c r="D26" s="1121">
        <v>124031408</v>
      </c>
      <c r="E26" s="278">
        <v>3.8404303368500793E-2</v>
      </c>
      <c r="F26" s="1125">
        <v>2154.3328991020098</v>
      </c>
      <c r="G26" s="1126">
        <v>1279.8221910373222</v>
      </c>
      <c r="H26" s="508">
        <v>0.49242869989893123</v>
      </c>
      <c r="I26" s="306"/>
    </row>
    <row r="27" spans="1:11" ht="20" customHeight="1" thickBot="1">
      <c r="A27" s="927" t="s">
        <v>382</v>
      </c>
      <c r="B27" s="218">
        <v>271511025.25000006</v>
      </c>
      <c r="C27" s="219">
        <v>1744255.6</v>
      </c>
      <c r="D27" s="1121">
        <v>273255280.85000008</v>
      </c>
      <c r="E27" s="278">
        <v>9.3364683293533035E-2</v>
      </c>
      <c r="F27" s="1125">
        <v>3906.8281436312436</v>
      </c>
      <c r="G27" s="1126">
        <v>2335.1160558024276</v>
      </c>
      <c r="H27" s="508">
        <v>0.67723783520952074</v>
      </c>
      <c r="I27" s="306"/>
    </row>
    <row r="28" spans="1:11" ht="20" customHeight="1" thickBot="1">
      <c r="A28" s="927" t="s">
        <v>383</v>
      </c>
      <c r="B28" s="218">
        <v>395350813.44999999</v>
      </c>
      <c r="C28" s="219">
        <v>2028372</v>
      </c>
      <c r="D28" s="1121">
        <v>397379185.44999999</v>
      </c>
      <c r="E28" s="278">
        <v>4.0007451805925583E-3</v>
      </c>
      <c r="F28" s="1127">
        <v>4118.9434206434762</v>
      </c>
      <c r="G28" s="954">
        <v>2285.9561391549455</v>
      </c>
      <c r="H28" s="523">
        <v>0.69103873614115641</v>
      </c>
      <c r="I28" s="306"/>
    </row>
    <row r="29" spans="1:11" ht="20" customHeight="1" thickBot="1">
      <c r="A29" s="927" t="s">
        <v>384</v>
      </c>
      <c r="B29" s="218">
        <v>175227351.62</v>
      </c>
      <c r="C29" s="219">
        <v>3115528.76</v>
      </c>
      <c r="D29" s="1121">
        <v>178342880.38</v>
      </c>
      <c r="E29" s="278">
        <v>3.9182431894078808E-2</v>
      </c>
      <c r="F29" s="1122">
        <v>3364.6425880577303</v>
      </c>
      <c r="G29" s="842">
        <v>1963.8690963749284</v>
      </c>
      <c r="H29" s="220">
        <v>0.71180467429319627</v>
      </c>
      <c r="I29" s="306"/>
    </row>
    <row r="30" spans="1:11" ht="20" customHeight="1" thickBot="1">
      <c r="A30" s="927" t="s">
        <v>385</v>
      </c>
      <c r="B30" s="218">
        <v>93067398</v>
      </c>
      <c r="C30" s="219">
        <v>1229365</v>
      </c>
      <c r="D30" s="1121">
        <v>94296763</v>
      </c>
      <c r="E30" s="278">
        <v>6.2361622155793675E-2</v>
      </c>
      <c r="F30" s="1122">
        <v>3213.7128689250903</v>
      </c>
      <c r="G30" s="842">
        <v>1922.1093581198149</v>
      </c>
      <c r="H30" s="220">
        <v>0.62204186346919577</v>
      </c>
      <c r="I30" s="306"/>
    </row>
    <row r="31" spans="1:11" ht="20" customHeight="1" thickBot="1">
      <c r="A31" s="927" t="s">
        <v>386</v>
      </c>
      <c r="B31" s="218">
        <v>245052436.44999999</v>
      </c>
      <c r="C31" s="219">
        <v>3622360.42</v>
      </c>
      <c r="D31" s="1121">
        <v>248674796.86999997</v>
      </c>
      <c r="E31" s="278">
        <v>-9.0740508884578158E-2</v>
      </c>
      <c r="F31" s="1122">
        <v>3259.9407051466924</v>
      </c>
      <c r="G31" s="842">
        <v>2241.2220888648549</v>
      </c>
      <c r="H31" s="220">
        <v>0.60118618263542245</v>
      </c>
      <c r="I31" s="306"/>
    </row>
    <row r="32" spans="1:11" ht="20" customHeight="1" thickBot="1">
      <c r="A32" s="927" t="s">
        <v>387</v>
      </c>
      <c r="B32" s="218">
        <v>39913733.450000003</v>
      </c>
      <c r="C32" s="219">
        <v>-2481061.4</v>
      </c>
      <c r="D32" s="1121">
        <v>37432672.050000004</v>
      </c>
      <c r="E32" s="278">
        <v>-4.264265856777482E-2</v>
      </c>
      <c r="F32" s="1122">
        <v>2653.6702148022123</v>
      </c>
      <c r="G32" s="842">
        <v>1590.6459886117368</v>
      </c>
      <c r="H32" s="220">
        <v>0.52862944121360478</v>
      </c>
      <c r="I32" s="9"/>
      <c r="J32" s="9"/>
      <c r="K32" s="9"/>
    </row>
    <row r="33" spans="1:9" ht="30" customHeight="1" thickBot="1">
      <c r="A33" s="1106" t="s">
        <v>444</v>
      </c>
      <c r="B33" s="242">
        <v>3992910727.5699992</v>
      </c>
      <c r="C33" s="243">
        <v>77436957.629999995</v>
      </c>
      <c r="D33" s="242">
        <v>4070347685.1999998</v>
      </c>
      <c r="E33" s="849">
        <v>2.2740785437624565E-2</v>
      </c>
      <c r="F33" s="892">
        <v>3193.957646560315</v>
      </c>
      <c r="G33" s="1128">
        <v>1790.1922929788673</v>
      </c>
      <c r="H33" s="226">
        <v>0.59573786787982275</v>
      </c>
      <c r="I33" s="306"/>
    </row>
    <row r="34" spans="1:9" ht="20" customHeight="1">
      <c r="A34" s="1108" t="s">
        <v>1869</v>
      </c>
      <c r="B34" s="201"/>
      <c r="C34" s="201"/>
      <c r="D34" s="462"/>
      <c r="E34" s="1109"/>
      <c r="F34" s="1109"/>
      <c r="G34" s="1109"/>
    </row>
    <row r="35" spans="1:9" ht="8.25" customHeight="1">
      <c r="A35" s="1111"/>
      <c r="B35" s="203"/>
      <c r="C35" s="203"/>
      <c r="D35" s="463"/>
      <c r="E35" s="1110"/>
      <c r="F35" s="1110"/>
      <c r="G35" s="1110"/>
    </row>
    <row r="36" spans="1:9" ht="14.25" customHeight="1">
      <c r="A36" s="1111" t="s">
        <v>1870</v>
      </c>
      <c r="B36" s="203"/>
      <c r="C36" s="203"/>
      <c r="D36" s="463"/>
      <c r="E36" s="1110"/>
      <c r="F36" s="1110"/>
      <c r="G36" s="1110"/>
    </row>
    <row r="37" spans="1:9" ht="12.75" customHeight="1">
      <c r="A37" s="1111"/>
      <c r="B37" s="203"/>
      <c r="C37" s="203"/>
      <c r="D37" s="463"/>
      <c r="E37" s="1110"/>
      <c r="F37" s="1110"/>
      <c r="G37" s="1110"/>
    </row>
    <row r="38" spans="1:9" ht="12.75" customHeight="1">
      <c r="A38" s="1111" t="s">
        <v>1871</v>
      </c>
      <c r="B38" s="203"/>
      <c r="C38" s="203"/>
      <c r="D38" s="463"/>
      <c r="E38" s="1110"/>
      <c r="F38" s="1110"/>
      <c r="G38" s="1110"/>
    </row>
    <row r="39" spans="1:9" ht="14.25" customHeight="1">
      <c r="A39" s="115" t="s">
        <v>1872</v>
      </c>
      <c r="B39" s="203"/>
      <c r="C39" s="203"/>
      <c r="D39" s="463"/>
      <c r="E39" s="1110"/>
      <c r="F39" s="1110"/>
      <c r="G39" s="1110"/>
    </row>
    <row r="40" spans="1:9" ht="13.5" customHeight="1">
      <c r="A40" s="3" t="s">
        <v>1873</v>
      </c>
      <c r="B40" s="203"/>
      <c r="C40" s="203"/>
      <c r="D40" s="463"/>
      <c r="E40" s="1110"/>
      <c r="F40" s="1110"/>
      <c r="G40" s="1110"/>
    </row>
    <row r="41" spans="1:9" ht="14.25" customHeight="1">
      <c r="A41" s="1112" t="s">
        <v>1853</v>
      </c>
      <c r="B41" s="203"/>
      <c r="C41" s="203"/>
      <c r="D41" s="463"/>
      <c r="E41" s="1110"/>
      <c r="F41" s="1110"/>
      <c r="G41" s="1110"/>
    </row>
    <row r="44" spans="1:9">
      <c r="A44" s="3" t="s">
        <v>719</v>
      </c>
    </row>
  </sheetData>
  <pageMargins left="0.59055118110236227" right="0.55118110236220474" top="0.86614173228346458" bottom="0.47244094488188981" header="0.43307086614173229" footer="0.51181102362204722"/>
  <pageSetup paperSize="9" scale="74"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C070-A6BA-0A4C-B9C2-0E6C87DA33F4}">
  <sheetPr>
    <pageSetUpPr fitToPage="1"/>
  </sheetPr>
  <dimension ref="A1:M44"/>
  <sheetViews>
    <sheetView zoomScaleNormal="100" workbookViewId="0">
      <selection activeCell="I44" sqref="I44"/>
    </sheetView>
  </sheetViews>
  <sheetFormatPr baseColWidth="10" defaultColWidth="11.3984375" defaultRowHeight="13"/>
  <cols>
    <col min="1" max="1" width="14.59765625" style="3" customWidth="1"/>
    <col min="2" max="3" width="19.3984375" style="3" customWidth="1"/>
    <col min="4" max="4" width="19" style="119" customWidth="1"/>
    <col min="5" max="5" width="7.3984375" style="119" customWidth="1"/>
    <col min="6" max="6" width="16.796875" style="119" customWidth="1"/>
    <col min="7" max="7" width="14.59765625" style="119" customWidth="1"/>
    <col min="8" max="8" width="18.59765625" style="119" customWidth="1"/>
    <col min="9" max="9" width="13" style="3" customWidth="1"/>
    <col min="10" max="16384" width="11.3984375" style="3"/>
  </cols>
  <sheetData>
    <row r="1" spans="1:13" s="2" customFormat="1" ht="14" customHeight="1">
      <c r="D1" s="88"/>
      <c r="E1" s="88"/>
      <c r="F1" s="88"/>
      <c r="G1" s="88"/>
      <c r="H1" s="88"/>
      <c r="K1" s="1095"/>
    </row>
    <row r="2" spans="1:13" s="2" customFormat="1" ht="25.25" customHeight="1">
      <c r="A2" s="1843" t="s">
        <v>1839</v>
      </c>
      <c r="B2" s="1847"/>
      <c r="C2" s="1847"/>
      <c r="D2" s="1847"/>
      <c r="E2" s="1855"/>
      <c r="F2" s="1847"/>
      <c r="G2" s="1847"/>
      <c r="H2" s="1847"/>
      <c r="K2" s="938"/>
    </row>
    <row r="3" spans="1:13" s="382" customFormat="1" ht="24" customHeight="1">
      <c r="A3" s="1096" t="s">
        <v>191</v>
      </c>
      <c r="B3" s="1856" t="s">
        <v>1840</v>
      </c>
      <c r="C3" s="1857"/>
      <c r="D3" s="1857"/>
      <c r="E3" s="1097"/>
      <c r="F3" s="1856" t="s">
        <v>1841</v>
      </c>
      <c r="G3" s="1857"/>
      <c r="H3" s="1857"/>
      <c r="K3" s="1098"/>
    </row>
    <row r="4" spans="1:13" ht="15" customHeight="1">
      <c r="A4" s="184"/>
      <c r="B4" s="1099">
        <v>2011</v>
      </c>
      <c r="C4" s="1100">
        <v>2012</v>
      </c>
      <c r="D4" s="1099">
        <v>2013</v>
      </c>
      <c r="E4" s="1101"/>
      <c r="F4" s="186" t="s">
        <v>1842</v>
      </c>
      <c r="G4" s="186" t="s">
        <v>1843</v>
      </c>
      <c r="H4" s="186" t="s">
        <v>1844</v>
      </c>
      <c r="K4" s="1101"/>
    </row>
    <row r="5" spans="1:13" ht="15" customHeight="1">
      <c r="A5" s="184"/>
      <c r="B5" s="1099"/>
      <c r="C5" s="1100"/>
      <c r="D5" s="1099"/>
      <c r="E5" s="1102"/>
      <c r="F5" s="186" t="s">
        <v>1845</v>
      </c>
      <c r="G5" s="187" t="s">
        <v>1846</v>
      </c>
      <c r="H5" s="186" t="s">
        <v>1847</v>
      </c>
      <c r="K5" s="1101"/>
    </row>
    <row r="6" spans="1:13" ht="24" customHeight="1">
      <c r="A6" s="188"/>
      <c r="B6" s="189"/>
      <c r="C6" s="190"/>
      <c r="D6" s="213"/>
      <c r="E6" s="1103"/>
      <c r="F6" s="190" t="s">
        <v>1848</v>
      </c>
      <c r="G6" s="136"/>
      <c r="H6" s="190" t="s">
        <v>1849</v>
      </c>
      <c r="K6" s="935"/>
    </row>
    <row r="7" spans="1:13" ht="30" customHeight="1" thickBot="1">
      <c r="A7" s="925" t="s">
        <v>362</v>
      </c>
      <c r="B7" s="100">
        <v>370346571.35829043</v>
      </c>
      <c r="C7" s="193">
        <v>376506253</v>
      </c>
      <c r="D7" s="100">
        <v>380455554</v>
      </c>
      <c r="E7" s="1104"/>
      <c r="F7" s="193">
        <v>1382732</v>
      </c>
      <c r="G7" s="193">
        <v>2757.3534333333346</v>
      </c>
      <c r="H7" s="193">
        <v>1385489.3534333333</v>
      </c>
      <c r="J7" s="8"/>
      <c r="K7" s="1105"/>
    </row>
    <row r="8" spans="1:13" ht="20" customHeight="1" thickBot="1">
      <c r="A8" s="927" t="s">
        <v>363</v>
      </c>
      <c r="B8" s="100">
        <v>264981951.64171341</v>
      </c>
      <c r="C8" s="193">
        <v>269361821</v>
      </c>
      <c r="D8" s="100">
        <v>269836339</v>
      </c>
      <c r="E8" s="1104"/>
      <c r="F8" s="193">
        <v>982424</v>
      </c>
      <c r="G8" s="193">
        <v>227.90333333333336</v>
      </c>
      <c r="H8" s="193">
        <v>982651.90333333332</v>
      </c>
      <c r="J8" s="8"/>
      <c r="K8" s="1105"/>
    </row>
    <row r="9" spans="1:13" ht="20" customHeight="1" thickBot="1">
      <c r="A9" s="927" t="s">
        <v>364</v>
      </c>
      <c r="B9" s="100">
        <v>100373906.7093851</v>
      </c>
      <c r="C9" s="193">
        <v>102246581</v>
      </c>
      <c r="D9" s="100">
        <v>104316310</v>
      </c>
      <c r="E9" s="1104"/>
      <c r="F9" s="193">
        <v>379788</v>
      </c>
      <c r="G9" s="193">
        <v>96.416666666666686</v>
      </c>
      <c r="H9" s="193">
        <v>379884.41666666669</v>
      </c>
      <c r="J9" s="8"/>
      <c r="K9" s="1105"/>
    </row>
    <row r="10" spans="1:13" ht="20" customHeight="1" thickBot="1">
      <c r="A10" s="927" t="s">
        <v>365</v>
      </c>
      <c r="B10" s="100">
        <v>9405414.6021322366</v>
      </c>
      <c r="C10" s="193">
        <v>9561103</v>
      </c>
      <c r="D10" s="100">
        <v>9723021</v>
      </c>
      <c r="E10" s="1104"/>
      <c r="F10" s="193">
        <v>35402</v>
      </c>
      <c r="G10" s="193">
        <v>5.9266666666666667</v>
      </c>
      <c r="H10" s="193">
        <v>35407.926666666666</v>
      </c>
      <c r="J10" s="8"/>
      <c r="K10" s="1105"/>
    </row>
    <row r="11" spans="1:13" ht="20" customHeight="1" thickBot="1">
      <c r="A11" s="927" t="s">
        <v>366</v>
      </c>
      <c r="B11" s="100">
        <v>38872315.652005136</v>
      </c>
      <c r="C11" s="193">
        <v>39514487</v>
      </c>
      <c r="D11" s="100">
        <v>40477804</v>
      </c>
      <c r="E11" s="1104"/>
      <c r="F11" s="193">
        <v>147317</v>
      </c>
      <c r="G11" s="193">
        <v>89.356666666666655</v>
      </c>
      <c r="H11" s="193">
        <v>147406.35666666666</v>
      </c>
      <c r="J11" s="8"/>
      <c r="K11" s="1105"/>
    </row>
    <row r="12" spans="1:13" ht="20" customHeight="1" thickBot="1">
      <c r="A12" s="927" t="s">
        <v>367</v>
      </c>
      <c r="B12" s="100">
        <v>9378310.2402629312</v>
      </c>
      <c r="C12" s="193">
        <v>9534835</v>
      </c>
      <c r="D12" s="100">
        <v>9834847</v>
      </c>
      <c r="E12" s="1104"/>
      <c r="F12" s="193">
        <v>35735</v>
      </c>
      <c r="G12" s="193">
        <v>80.156666666666652</v>
      </c>
      <c r="H12" s="193">
        <v>35815.156666666669</v>
      </c>
      <c r="J12" s="8"/>
      <c r="K12" s="1105"/>
    </row>
    <row r="13" spans="1:13" ht="20" customHeight="1" thickBot="1">
      <c r="A13" s="927" t="s">
        <v>368</v>
      </c>
      <c r="B13" s="100">
        <v>10863606.012118598</v>
      </c>
      <c r="C13" s="193">
        <v>11043943</v>
      </c>
      <c r="D13" s="100">
        <v>11306608</v>
      </c>
      <c r="E13" s="1104"/>
      <c r="F13" s="193">
        <v>41167.5</v>
      </c>
      <c r="G13" s="193">
        <v>7.3100000000000005</v>
      </c>
      <c r="H13" s="193">
        <v>41174.81</v>
      </c>
      <c r="J13" s="8"/>
      <c r="K13" s="1105"/>
    </row>
    <row r="14" spans="1:13" ht="20" customHeight="1" thickBot="1">
      <c r="A14" s="927" t="s">
        <v>369</v>
      </c>
      <c r="B14" s="100">
        <v>10348559.130425604</v>
      </c>
      <c r="C14" s="193">
        <v>10519040</v>
      </c>
      <c r="D14" s="100">
        <v>10729701</v>
      </c>
      <c r="E14" s="1104"/>
      <c r="F14" s="193">
        <v>38912.5</v>
      </c>
      <c r="G14" s="193">
        <v>161.41</v>
      </c>
      <c r="H14" s="193">
        <v>39073.910000000003</v>
      </c>
      <c r="J14" s="8"/>
      <c r="K14" s="1105"/>
    </row>
    <row r="15" spans="1:13" ht="20" customHeight="1" thickBot="1">
      <c r="A15" s="927" t="s">
        <v>370</v>
      </c>
      <c r="B15" s="100">
        <v>30085399.040669605</v>
      </c>
      <c r="C15" s="193">
        <v>30588373</v>
      </c>
      <c r="D15" s="100">
        <v>31363774</v>
      </c>
      <c r="E15" s="1104"/>
      <c r="F15" s="193">
        <v>114104.5</v>
      </c>
      <c r="G15" s="193">
        <v>111.66666666666663</v>
      </c>
      <c r="H15" s="193">
        <v>114216.16666666667</v>
      </c>
      <c r="J15" s="8"/>
      <c r="K15" s="1105"/>
    </row>
    <row r="16" spans="1:13" ht="20" customHeight="1" thickBot="1">
      <c r="A16" s="927" t="s">
        <v>371</v>
      </c>
      <c r="B16" s="100">
        <v>74103757.166999117</v>
      </c>
      <c r="C16" s="193">
        <v>75325252</v>
      </c>
      <c r="D16" s="100">
        <v>77353042</v>
      </c>
      <c r="E16" s="1104"/>
      <c r="F16" s="193">
        <v>281580.5</v>
      </c>
      <c r="G16" s="193">
        <v>112.89333333333335</v>
      </c>
      <c r="H16" s="193">
        <v>281693.39333333331</v>
      </c>
      <c r="J16" s="8"/>
      <c r="K16" s="1105"/>
      <c r="M16" s="3" t="s">
        <v>721</v>
      </c>
    </row>
    <row r="17" spans="1:13" ht="20" customHeight="1" thickBot="1">
      <c r="A17" s="927" t="s">
        <v>372</v>
      </c>
      <c r="B17" s="100">
        <v>68217118.159618378</v>
      </c>
      <c r="C17" s="193">
        <v>69356452</v>
      </c>
      <c r="D17" s="100">
        <v>70388287</v>
      </c>
      <c r="E17" s="1104"/>
      <c r="F17" s="193">
        <v>256137</v>
      </c>
      <c r="G17" s="193">
        <v>193.13000000000005</v>
      </c>
      <c r="H17" s="193">
        <v>256330.13</v>
      </c>
      <c r="J17" s="8"/>
      <c r="K17" s="1105"/>
    </row>
    <row r="18" spans="1:13" ht="20" customHeight="1" thickBot="1">
      <c r="A18" s="927" t="s">
        <v>373</v>
      </c>
      <c r="B18" s="100">
        <v>53078830.824146628</v>
      </c>
      <c r="C18" s="193">
        <v>54009026</v>
      </c>
      <c r="D18" s="100">
        <v>52253432</v>
      </c>
      <c r="E18" s="1104"/>
      <c r="F18" s="193">
        <v>185602.5</v>
      </c>
      <c r="G18" s="193">
        <v>4686.6773000000003</v>
      </c>
      <c r="H18" s="193">
        <v>190289.17730000001</v>
      </c>
      <c r="J18" s="8"/>
      <c r="K18" s="1105"/>
    </row>
    <row r="19" spans="1:13" ht="20" customHeight="1" thickBot="1">
      <c r="A19" s="927" t="s">
        <v>374</v>
      </c>
      <c r="B19" s="100">
        <v>73855991.062036753</v>
      </c>
      <c r="C19" s="193">
        <v>75117036</v>
      </c>
      <c r="D19" s="100">
        <v>76071244</v>
      </c>
      <c r="E19" s="1104"/>
      <c r="F19" s="193">
        <v>274882</v>
      </c>
      <c r="G19" s="193">
        <v>2143.5233666666672</v>
      </c>
      <c r="H19" s="193">
        <v>277025.52336666669</v>
      </c>
      <c r="J19" s="8"/>
      <c r="K19" s="1105"/>
    </row>
    <row r="20" spans="1:13" ht="20" customHeight="1" thickBot="1">
      <c r="A20" s="927" t="s">
        <v>375</v>
      </c>
      <c r="B20" s="100">
        <v>20954663.788335964</v>
      </c>
      <c r="C20" s="193">
        <v>21303527</v>
      </c>
      <c r="D20" s="100">
        <v>21582712</v>
      </c>
      <c r="E20" s="1104"/>
      <c r="F20" s="193">
        <v>76747.5</v>
      </c>
      <c r="G20" s="193">
        <v>1849.3766666666656</v>
      </c>
      <c r="H20" s="193">
        <v>78596.876666666663</v>
      </c>
      <c r="J20" s="8"/>
      <c r="K20" s="1105"/>
    </row>
    <row r="21" spans="1:13" ht="20" customHeight="1" thickBot="1">
      <c r="A21" s="927" t="s">
        <v>376</v>
      </c>
      <c r="B21" s="100">
        <v>14256616.682659976</v>
      </c>
      <c r="C21" s="193">
        <v>14494731</v>
      </c>
      <c r="D21" s="100">
        <v>14609173</v>
      </c>
      <c r="E21" s="1104"/>
      <c r="F21" s="193">
        <v>53165</v>
      </c>
      <c r="G21" s="193">
        <v>36.623333333333335</v>
      </c>
      <c r="H21" s="193">
        <v>53201.623333333337</v>
      </c>
      <c r="J21" s="8"/>
      <c r="K21" s="1105"/>
    </row>
    <row r="22" spans="1:13" ht="20" customHeight="1" thickBot="1">
      <c r="A22" s="927" t="s">
        <v>377</v>
      </c>
      <c r="B22" s="100">
        <v>4198314.7432190785</v>
      </c>
      <c r="C22" s="193">
        <v>4267895</v>
      </c>
      <c r="D22" s="100">
        <v>4321479</v>
      </c>
      <c r="E22" s="1104"/>
      <c r="F22" s="193">
        <v>15715.5</v>
      </c>
      <c r="G22" s="193">
        <v>21.853333333333339</v>
      </c>
      <c r="H22" s="193">
        <v>15737.353333333333</v>
      </c>
      <c r="J22" s="8"/>
      <c r="K22" s="1105"/>
    </row>
    <row r="23" spans="1:13" ht="20" customHeight="1" thickBot="1">
      <c r="A23" s="927" t="s">
        <v>378</v>
      </c>
      <c r="B23" s="100">
        <v>128396170.33319716</v>
      </c>
      <c r="C23" s="193">
        <v>130529439</v>
      </c>
      <c r="D23" s="100">
        <v>132232540</v>
      </c>
      <c r="E23" s="1104"/>
      <c r="F23" s="193">
        <v>481031.5</v>
      </c>
      <c r="G23" s="193">
        <v>514.30666666666673</v>
      </c>
      <c r="H23" s="193">
        <v>481545.80666666664</v>
      </c>
      <c r="J23" s="8"/>
      <c r="K23" s="1105"/>
    </row>
    <row r="24" spans="1:13" ht="20" customHeight="1" thickBot="1">
      <c r="A24" s="927" t="s">
        <v>379</v>
      </c>
      <c r="B24" s="100">
        <v>52733045.120100595</v>
      </c>
      <c r="C24" s="193">
        <v>53557056</v>
      </c>
      <c r="D24" s="100">
        <v>53015149</v>
      </c>
      <c r="E24" s="1104"/>
      <c r="F24" s="193">
        <v>193004.5</v>
      </c>
      <c r="G24" s="193">
        <v>58.589999999999996</v>
      </c>
      <c r="H24" s="193">
        <v>193063.09</v>
      </c>
      <c r="J24" s="8"/>
      <c r="K24" s="1105"/>
    </row>
    <row r="25" spans="1:13" ht="20" customHeight="1" thickBot="1">
      <c r="A25" s="927" t="s">
        <v>380</v>
      </c>
      <c r="B25" s="100">
        <v>162323757.35885891</v>
      </c>
      <c r="C25" s="193">
        <v>165058508</v>
      </c>
      <c r="D25" s="100">
        <v>169856944</v>
      </c>
      <c r="E25" s="1104"/>
      <c r="F25" s="193">
        <v>614882</v>
      </c>
      <c r="G25" s="193">
        <v>3679.0533333666676</v>
      </c>
      <c r="H25" s="193">
        <v>618561.05333336664</v>
      </c>
      <c r="J25" s="8"/>
      <c r="K25" s="1105"/>
    </row>
    <row r="26" spans="1:13" ht="20" customHeight="1" thickBot="1">
      <c r="A26" s="927" t="s">
        <v>381</v>
      </c>
      <c r="B26" s="100">
        <v>66419901.359883122</v>
      </c>
      <c r="C26" s="193">
        <v>67533118</v>
      </c>
      <c r="D26" s="100">
        <v>69172102</v>
      </c>
      <c r="E26" s="1104"/>
      <c r="F26" s="193">
        <v>250208.5</v>
      </c>
      <c r="G26" s="193">
        <v>1692.6999999999994</v>
      </c>
      <c r="H26" s="193">
        <v>251901.2</v>
      </c>
      <c r="J26" s="8"/>
      <c r="K26" s="1105"/>
    </row>
    <row r="27" spans="1:13" ht="20" customHeight="1" thickBot="1">
      <c r="A27" s="927" t="s">
        <v>382</v>
      </c>
      <c r="B27" s="100">
        <v>90359705.926820606</v>
      </c>
      <c r="C27" s="193">
        <v>91889481</v>
      </c>
      <c r="D27" s="100">
        <v>92246783</v>
      </c>
      <c r="E27" s="1104"/>
      <c r="F27" s="193">
        <v>335348</v>
      </c>
      <c r="G27" s="193">
        <v>583.31939999999997</v>
      </c>
      <c r="H27" s="193">
        <v>335931.31939999998</v>
      </c>
      <c r="J27" s="8"/>
      <c r="K27" s="1105"/>
    </row>
    <row r="28" spans="1:13" ht="20" customHeight="1" thickBot="1">
      <c r="A28" s="927" t="s">
        <v>383</v>
      </c>
      <c r="B28" s="100">
        <v>190723890.9093914</v>
      </c>
      <c r="C28" s="193">
        <v>194120155</v>
      </c>
      <c r="D28" s="100">
        <v>197713721</v>
      </c>
      <c r="E28" s="1104"/>
      <c r="F28" s="193">
        <v>719612.5</v>
      </c>
      <c r="G28" s="193">
        <v>393.43236659999997</v>
      </c>
      <c r="H28" s="193">
        <v>720005.93236660003</v>
      </c>
      <c r="J28" s="8"/>
      <c r="K28" s="1105"/>
    </row>
    <row r="29" spans="1:13" ht="20" customHeight="1" thickBot="1">
      <c r="A29" s="927" t="s">
        <v>384</v>
      </c>
      <c r="B29" s="100">
        <v>82543266.28399384</v>
      </c>
      <c r="C29" s="193">
        <v>83912393</v>
      </c>
      <c r="D29" s="100">
        <v>86468622</v>
      </c>
      <c r="E29" s="1104"/>
      <c r="F29" s="193">
        <v>314853</v>
      </c>
      <c r="G29" s="193">
        <v>36.226666666666667</v>
      </c>
      <c r="H29" s="193">
        <v>314889.22666666668</v>
      </c>
      <c r="J29" s="8"/>
      <c r="K29" s="1105"/>
    </row>
    <row r="30" spans="1:13" ht="20" customHeight="1" thickBot="1">
      <c r="A30" s="927" t="s">
        <v>385</v>
      </c>
      <c r="B30" s="100">
        <v>46610491.968294173</v>
      </c>
      <c r="C30" s="193">
        <v>47387442</v>
      </c>
      <c r="D30" s="100">
        <v>47433636</v>
      </c>
      <c r="E30" s="1104"/>
      <c r="F30" s="193">
        <v>172634</v>
      </c>
      <c r="G30" s="193">
        <v>103.12336663333338</v>
      </c>
      <c r="H30" s="193">
        <v>172737.12336663334</v>
      </c>
      <c r="J30" s="8"/>
      <c r="K30" s="1105"/>
    </row>
    <row r="31" spans="1:13" ht="20" customHeight="1" thickBot="1">
      <c r="A31" s="927" t="s">
        <v>386</v>
      </c>
      <c r="B31" s="100">
        <v>123915140.30983615</v>
      </c>
      <c r="C31" s="193">
        <v>125668337</v>
      </c>
      <c r="D31" s="100">
        <v>127335189</v>
      </c>
      <c r="E31" s="1104"/>
      <c r="F31" s="193">
        <v>459124.5</v>
      </c>
      <c r="G31" s="193">
        <v>4586.8245332999995</v>
      </c>
      <c r="H31" s="193">
        <v>463711.32453330001</v>
      </c>
      <c r="K31" s="1105"/>
    </row>
    <row r="32" spans="1:13" ht="20" customHeight="1" thickBot="1">
      <c r="A32" s="927" t="s">
        <v>387</v>
      </c>
      <c r="B32" s="100">
        <v>18588994.615605265</v>
      </c>
      <c r="C32" s="193">
        <v>18895437</v>
      </c>
      <c r="D32" s="100">
        <v>19339638</v>
      </c>
      <c r="E32" s="1104"/>
      <c r="F32" s="193">
        <v>70287</v>
      </c>
      <c r="G32" s="193">
        <v>141.36333333333334</v>
      </c>
      <c r="H32" s="193">
        <v>70428.363333333327</v>
      </c>
      <c r="K32" s="1105"/>
      <c r="L32" s="9"/>
      <c r="M32" s="9"/>
    </row>
    <row r="33" spans="1:11" s="110" customFormat="1" ht="30" customHeight="1" thickBot="1">
      <c r="A33" s="1106" t="s">
        <v>444</v>
      </c>
      <c r="B33" s="199">
        <v>2115935690.9999998</v>
      </c>
      <c r="C33" s="200">
        <v>2151301721</v>
      </c>
      <c r="D33" s="199">
        <v>2179437651</v>
      </c>
      <c r="E33" s="428"/>
      <c r="F33" s="200">
        <v>7912398</v>
      </c>
      <c r="G33" s="200">
        <v>24370.517099899997</v>
      </c>
      <c r="H33" s="200">
        <v>7936768.5170999002</v>
      </c>
      <c r="I33" s="387"/>
      <c r="K33" s="1107"/>
    </row>
    <row r="34" spans="1:11" ht="20" customHeight="1">
      <c r="A34" s="1108" t="s">
        <v>1850</v>
      </c>
      <c r="B34" s="201"/>
      <c r="C34" s="201"/>
      <c r="D34" s="1109"/>
      <c r="E34" s="1110"/>
      <c r="F34" s="1109"/>
      <c r="G34" s="1109"/>
      <c r="H34" s="1109"/>
      <c r="I34" s="203"/>
    </row>
    <row r="35" spans="1:11" ht="14.25" customHeight="1">
      <c r="A35" s="1111"/>
      <c r="B35" s="203"/>
      <c r="C35" s="203"/>
      <c r="D35" s="1110"/>
      <c r="E35" s="1110"/>
      <c r="F35" s="1110"/>
      <c r="G35" s="1110"/>
      <c r="H35" s="1110"/>
      <c r="I35" s="203"/>
    </row>
    <row r="36" spans="1:11" ht="15.75" customHeight="1">
      <c r="A36" s="1111" t="s">
        <v>1851</v>
      </c>
      <c r="B36" s="203"/>
      <c r="C36" s="203"/>
      <c r="D36" s="1110"/>
      <c r="E36" s="1110"/>
      <c r="F36" s="1110"/>
      <c r="G36" s="1110"/>
      <c r="H36" s="1110"/>
      <c r="I36" s="203"/>
    </row>
    <row r="37" spans="1:11" ht="15.75" customHeight="1">
      <c r="A37" s="1111"/>
      <c r="B37" s="203"/>
      <c r="C37" s="203"/>
      <c r="D37" s="1110"/>
      <c r="E37" s="1110"/>
      <c r="F37" s="1110"/>
      <c r="G37" s="1110"/>
      <c r="H37" s="1110"/>
      <c r="I37" s="203"/>
    </row>
    <row r="38" spans="1:11" ht="15.75" customHeight="1">
      <c r="A38" s="3" t="s">
        <v>1852</v>
      </c>
      <c r="B38" s="203"/>
      <c r="C38" s="203"/>
      <c r="D38" s="1110"/>
      <c r="E38" s="1110"/>
      <c r="F38" s="1110"/>
      <c r="G38" s="1110"/>
      <c r="H38" s="1110"/>
      <c r="I38" s="203"/>
    </row>
    <row r="39" spans="1:11" ht="15.75" customHeight="1">
      <c r="A39" s="1112" t="s">
        <v>1853</v>
      </c>
      <c r="B39" s="203"/>
      <c r="C39" s="203"/>
      <c r="D39" s="1110"/>
      <c r="E39" s="1110"/>
      <c r="F39" s="1110"/>
      <c r="G39" s="1110"/>
      <c r="H39" s="1110"/>
      <c r="I39" s="203"/>
    </row>
    <row r="40" spans="1:11" ht="15.75" customHeight="1">
      <c r="A40" s="3" t="s">
        <v>1854</v>
      </c>
      <c r="B40" s="203"/>
      <c r="C40" s="203"/>
      <c r="D40" s="1110"/>
      <c r="E40" s="1110"/>
      <c r="F40" s="1110"/>
      <c r="G40" s="1110"/>
      <c r="H40" s="1110"/>
      <c r="I40" s="203"/>
    </row>
    <row r="41" spans="1:11" ht="15.75" customHeight="1">
      <c r="A41" s="3" t="s">
        <v>1855</v>
      </c>
      <c r="B41" s="203"/>
      <c r="C41" s="203"/>
      <c r="D41" s="1110"/>
      <c r="E41" s="1110"/>
      <c r="F41" s="1110"/>
      <c r="G41" s="1110"/>
      <c r="H41" s="1110"/>
      <c r="I41" s="203"/>
    </row>
    <row r="42" spans="1:11" ht="15.75" customHeight="1">
      <c r="B42" s="203"/>
      <c r="C42" s="203"/>
      <c r="D42" s="1110"/>
      <c r="E42" s="1110"/>
      <c r="F42" s="1110"/>
      <c r="G42" s="1110"/>
      <c r="H42" s="1110"/>
      <c r="I42" s="203"/>
    </row>
    <row r="44" spans="1:11">
      <c r="A44" s="3" t="s">
        <v>719</v>
      </c>
    </row>
  </sheetData>
  <mergeCells count="3">
    <mergeCell ref="A2:H2"/>
    <mergeCell ref="B3:D3"/>
    <mergeCell ref="F3:H3"/>
  </mergeCells>
  <pageMargins left="0.56000000000000005" right="0.51" top="0.81" bottom="0.49" header="0.42" footer="0.4921259845"/>
  <pageSetup paperSize="9" scale="71" orientation="portrait" horizontalDpi="1200" verticalDpi="12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D34B-F90B-7E42-9785-4C51BF7D2DAC}">
  <dimension ref="A1:M55"/>
  <sheetViews>
    <sheetView zoomScaleNormal="100" workbookViewId="0">
      <selection activeCell="I40" sqref="I40"/>
    </sheetView>
  </sheetViews>
  <sheetFormatPr baseColWidth="10" defaultColWidth="11.3984375" defaultRowHeight="13"/>
  <cols>
    <col min="1" max="1" width="13.3984375" style="3" customWidth="1"/>
    <col min="2" max="3" width="14.59765625" style="3" customWidth="1"/>
    <col min="4" max="4" width="14.59765625" style="119" customWidth="1"/>
    <col min="5" max="5" width="16.3984375" style="3" customWidth="1"/>
    <col min="6" max="6" width="16.3984375" style="396" customWidth="1"/>
    <col min="7" max="7" width="16.3984375" style="3" customWidth="1"/>
    <col min="8" max="12" width="11.3984375" style="3"/>
    <col min="13" max="13" width="17.59765625" style="3" customWidth="1"/>
    <col min="14" max="16384" width="11.3984375" style="3"/>
  </cols>
  <sheetData>
    <row r="1" spans="1:12" s="2" customFormat="1" ht="14" customHeight="1">
      <c r="D1" s="88"/>
      <c r="F1" s="514"/>
      <c r="I1" s="1095"/>
    </row>
    <row r="2" spans="1:12" s="2" customFormat="1" ht="25.25" customHeight="1">
      <c r="A2" s="1843" t="s">
        <v>1974</v>
      </c>
      <c r="B2" s="1847"/>
      <c r="C2" s="1847"/>
      <c r="D2" s="1847"/>
      <c r="E2" s="1847"/>
      <c r="F2" s="1847"/>
      <c r="G2" s="207">
        <v>2011</v>
      </c>
      <c r="I2" s="938"/>
    </row>
    <row r="3" spans="1:12" ht="24" customHeight="1">
      <c r="A3" s="92" t="s">
        <v>191</v>
      </c>
      <c r="B3" s="1129" t="s">
        <v>1975</v>
      </c>
      <c r="C3" s="1129"/>
      <c r="D3" s="1129"/>
      <c r="E3" s="94" t="s">
        <v>279</v>
      </c>
      <c r="F3" s="466" t="s">
        <v>1976</v>
      </c>
      <c r="G3" s="94" t="s">
        <v>279</v>
      </c>
      <c r="I3" s="934"/>
    </row>
    <row r="4" spans="1:12" ht="15" customHeight="1">
      <c r="A4" s="184"/>
      <c r="B4" s="185" t="s">
        <v>346</v>
      </c>
      <c r="C4" s="187" t="s">
        <v>347</v>
      </c>
      <c r="D4" s="185" t="s">
        <v>278</v>
      </c>
      <c r="E4" s="1131" t="s">
        <v>282</v>
      </c>
      <c r="F4" s="1114" t="s">
        <v>561</v>
      </c>
      <c r="G4" s="1131" t="s">
        <v>282</v>
      </c>
      <c r="I4" s="1101"/>
    </row>
    <row r="5" spans="1:12" s="317" customFormat="1" ht="24" customHeight="1">
      <c r="A5" s="470"/>
      <c r="B5" s="1229"/>
      <c r="C5" s="919"/>
      <c r="D5" s="321"/>
      <c r="E5" s="1117" t="s">
        <v>283</v>
      </c>
      <c r="F5" s="1230"/>
      <c r="G5" s="1117" t="s">
        <v>283</v>
      </c>
      <c r="I5" s="1103"/>
      <c r="J5" s="1231"/>
    </row>
    <row r="6" spans="1:12" ht="30" customHeight="1" thickBot="1">
      <c r="A6" s="925" t="s">
        <v>362</v>
      </c>
      <c r="B6" s="410">
        <v>7058</v>
      </c>
      <c r="C6" s="411">
        <v>4251</v>
      </c>
      <c r="D6" s="410">
        <v>11309</v>
      </c>
      <c r="E6" s="278">
        <v>-1.0066526610644258E-2</v>
      </c>
      <c r="F6" s="412">
        <v>25705491</v>
      </c>
      <c r="G6" s="1232">
        <v>1.3987674042699327E-2</v>
      </c>
      <c r="H6" s="8"/>
      <c r="I6" s="1105"/>
      <c r="L6" s="8"/>
    </row>
    <row r="7" spans="1:12" ht="20" customHeight="1" thickBot="1">
      <c r="A7" s="927" t="s">
        <v>363</v>
      </c>
      <c r="B7" s="195">
        <v>10026</v>
      </c>
      <c r="C7" s="196">
        <v>11306</v>
      </c>
      <c r="D7" s="195">
        <v>21332</v>
      </c>
      <c r="E7" s="197">
        <v>8.4383895892639282E-2</v>
      </c>
      <c r="F7" s="1233">
        <v>25010442</v>
      </c>
      <c r="G7" s="1234">
        <v>0.15869167166510595</v>
      </c>
      <c r="H7" s="8"/>
      <c r="I7" s="1105"/>
      <c r="L7" s="8"/>
    </row>
    <row r="8" spans="1:12" ht="20" customHeight="1" thickBot="1">
      <c r="A8" s="927" t="s">
        <v>364</v>
      </c>
      <c r="B8" s="195">
        <v>2046</v>
      </c>
      <c r="C8" s="196">
        <v>1799</v>
      </c>
      <c r="D8" s="195">
        <v>3845</v>
      </c>
      <c r="E8" s="197">
        <v>-0.10289314045730284</v>
      </c>
      <c r="F8" s="1233">
        <v>4163859</v>
      </c>
      <c r="G8" s="1234">
        <v>-2.365747880853902E-3</v>
      </c>
      <c r="H8" s="8"/>
      <c r="I8" s="1105"/>
      <c r="L8" s="8"/>
    </row>
    <row r="9" spans="1:12" ht="20" customHeight="1" thickBot="1">
      <c r="A9" s="927" t="s">
        <v>365</v>
      </c>
      <c r="B9" s="195">
        <v>17</v>
      </c>
      <c r="C9" s="196">
        <v>18</v>
      </c>
      <c r="D9" s="195">
        <v>35</v>
      </c>
      <c r="E9" s="197">
        <v>-7.8947368421052627E-2</v>
      </c>
      <c r="F9" s="413">
        <v>200000</v>
      </c>
      <c r="G9" s="1234">
        <v>0</v>
      </c>
      <c r="H9" s="8"/>
      <c r="I9" s="1105"/>
      <c r="L9" s="8"/>
    </row>
    <row r="10" spans="1:12" ht="20" customHeight="1" thickBot="1">
      <c r="A10" s="927" t="s">
        <v>366</v>
      </c>
      <c r="B10" s="195">
        <v>285</v>
      </c>
      <c r="C10" s="196">
        <v>284</v>
      </c>
      <c r="D10" s="195">
        <v>569</v>
      </c>
      <c r="E10" s="197">
        <v>7.7651515151515152E-2</v>
      </c>
      <c r="F10" s="413">
        <v>1284016.75</v>
      </c>
      <c r="G10" s="1234">
        <v>0.1413388886064221</v>
      </c>
      <c r="H10" s="8"/>
      <c r="I10" s="1105"/>
      <c r="L10" s="8"/>
    </row>
    <row r="11" spans="1:12" ht="20" customHeight="1" thickBot="1">
      <c r="A11" s="927" t="s">
        <v>367</v>
      </c>
      <c r="B11" s="195"/>
      <c r="C11" s="196"/>
      <c r="D11" s="195"/>
      <c r="E11" s="197"/>
      <c r="F11" s="413"/>
      <c r="G11" s="1234"/>
      <c r="H11" s="8"/>
      <c r="I11" s="1105"/>
      <c r="L11" s="8"/>
    </row>
    <row r="12" spans="1:12" ht="20" customHeight="1" thickBot="1">
      <c r="A12" s="927" t="s">
        <v>368</v>
      </c>
      <c r="B12" s="195"/>
      <c r="C12" s="196"/>
      <c r="D12" s="195"/>
      <c r="E12" s="197"/>
      <c r="F12" s="413"/>
      <c r="G12" s="1234"/>
      <c r="H12" s="8"/>
      <c r="I12" s="1105"/>
      <c r="L12" s="8"/>
    </row>
    <row r="13" spans="1:12" ht="20" customHeight="1" thickBot="1">
      <c r="A13" s="927" t="s">
        <v>369</v>
      </c>
      <c r="B13" s="195" t="s">
        <v>30</v>
      </c>
      <c r="C13" s="196" t="s">
        <v>30</v>
      </c>
      <c r="D13" s="195">
        <v>313</v>
      </c>
      <c r="E13" s="197">
        <v>-0.10571428571428572</v>
      </c>
      <c r="F13" s="413">
        <v>898067</v>
      </c>
      <c r="G13" s="1234">
        <v>0.59231737588652478</v>
      </c>
      <c r="H13" s="8"/>
      <c r="I13" s="1105"/>
      <c r="L13" s="8"/>
    </row>
    <row r="14" spans="1:12" ht="20" customHeight="1" thickBot="1">
      <c r="A14" s="927" t="s">
        <v>370</v>
      </c>
      <c r="B14" s="195" t="s">
        <v>30</v>
      </c>
      <c r="C14" s="196" t="s">
        <v>30</v>
      </c>
      <c r="D14" s="195" t="s">
        <v>30</v>
      </c>
      <c r="E14" s="197" t="s">
        <v>30</v>
      </c>
      <c r="F14" s="413" t="s">
        <v>30</v>
      </c>
      <c r="G14" s="1234" t="s">
        <v>30</v>
      </c>
      <c r="H14" s="8"/>
      <c r="I14" s="1105"/>
      <c r="L14" s="8"/>
    </row>
    <row r="15" spans="1:12" ht="20" customHeight="1" thickBot="1">
      <c r="A15" s="927" t="s">
        <v>371</v>
      </c>
      <c r="B15" s="195">
        <v>3853</v>
      </c>
      <c r="C15" s="196">
        <v>2527</v>
      </c>
      <c r="D15" s="195">
        <v>6380</v>
      </c>
      <c r="E15" s="197">
        <v>0.26386687797147385</v>
      </c>
      <c r="F15" s="413">
        <v>6047920</v>
      </c>
      <c r="G15" s="1234">
        <v>0.21659450417083401</v>
      </c>
      <c r="H15" s="8"/>
      <c r="I15" s="1105"/>
      <c r="L15" s="8"/>
    </row>
    <row r="16" spans="1:12" ht="20" customHeight="1" thickBot="1">
      <c r="A16" s="927" t="s">
        <v>372</v>
      </c>
      <c r="B16" s="195">
        <v>350</v>
      </c>
      <c r="C16" s="196">
        <v>308</v>
      </c>
      <c r="D16" s="195">
        <v>658</v>
      </c>
      <c r="E16" s="197">
        <v>0.27027027027027029</v>
      </c>
      <c r="F16" s="413">
        <v>2143700</v>
      </c>
      <c r="G16" s="1234">
        <v>0.2653938942103079</v>
      </c>
      <c r="H16" s="8"/>
      <c r="I16" s="1105"/>
      <c r="L16" s="8"/>
    </row>
    <row r="17" spans="1:13" ht="20" customHeight="1" thickBot="1">
      <c r="A17" s="927" t="s">
        <v>373</v>
      </c>
      <c r="B17" s="195" t="s">
        <v>30</v>
      </c>
      <c r="C17" s="196" t="s">
        <v>30</v>
      </c>
      <c r="D17" s="195" t="s">
        <v>30</v>
      </c>
      <c r="E17" s="197" t="s">
        <v>30</v>
      </c>
      <c r="F17" s="413">
        <v>6513934</v>
      </c>
      <c r="G17" s="1234" t="s">
        <v>30</v>
      </c>
      <c r="H17" s="8"/>
      <c r="I17" s="1105"/>
      <c r="L17" s="8"/>
    </row>
    <row r="18" spans="1:13" ht="20" customHeight="1" thickBot="1">
      <c r="A18" s="927" t="s">
        <v>374</v>
      </c>
      <c r="B18" s="195">
        <v>150</v>
      </c>
      <c r="C18" s="196">
        <v>150</v>
      </c>
      <c r="D18" s="195">
        <v>300</v>
      </c>
      <c r="E18" s="197">
        <v>0.17647058823529413</v>
      </c>
      <c r="F18" s="413">
        <v>1931245</v>
      </c>
      <c r="G18" s="1234">
        <v>0.2443701167407438</v>
      </c>
      <c r="H18" s="8"/>
      <c r="I18" s="1105"/>
      <c r="L18" s="8"/>
    </row>
    <row r="19" spans="1:13" ht="20" customHeight="1" thickBot="1">
      <c r="A19" s="927" t="s">
        <v>375</v>
      </c>
      <c r="B19" s="195" t="s">
        <v>30</v>
      </c>
      <c r="C19" s="196" t="s">
        <v>30</v>
      </c>
      <c r="D19" s="195" t="s">
        <v>30</v>
      </c>
      <c r="E19" s="197" t="s">
        <v>30</v>
      </c>
      <c r="F19" s="413" t="s">
        <v>30</v>
      </c>
      <c r="G19" s="1234" t="s">
        <v>30</v>
      </c>
      <c r="H19" s="8"/>
      <c r="I19" s="1105"/>
      <c r="L19" s="8"/>
    </row>
    <row r="20" spans="1:13" ht="20" customHeight="1" thickBot="1">
      <c r="A20" s="927" t="s">
        <v>376</v>
      </c>
      <c r="B20" s="195">
        <v>284</v>
      </c>
      <c r="C20" s="196">
        <v>261</v>
      </c>
      <c r="D20" s="195">
        <v>545</v>
      </c>
      <c r="E20" s="197">
        <v>0.32281553398058255</v>
      </c>
      <c r="F20" s="413">
        <v>562970</v>
      </c>
      <c r="G20" s="1234">
        <v>0.40742499999999998</v>
      </c>
      <c r="H20" s="8"/>
      <c r="I20" s="1105"/>
      <c r="L20" s="8"/>
    </row>
    <row r="21" spans="1:13" ht="20" customHeight="1" thickBot="1">
      <c r="A21" s="927" t="s">
        <v>377</v>
      </c>
      <c r="B21" s="195">
        <v>9</v>
      </c>
      <c r="C21" s="196">
        <v>4</v>
      </c>
      <c r="D21" s="195">
        <v>13</v>
      </c>
      <c r="E21" s="197">
        <v>-0.5</v>
      </c>
      <c r="F21" s="413">
        <v>13244</v>
      </c>
      <c r="G21" s="1234">
        <v>-0.49833333333333335</v>
      </c>
      <c r="H21" s="8"/>
      <c r="I21" s="1105"/>
      <c r="L21" s="8"/>
    </row>
    <row r="22" spans="1:13" ht="20" customHeight="1" thickBot="1">
      <c r="A22" s="927" t="s">
        <v>378</v>
      </c>
      <c r="B22" s="195">
        <v>2519</v>
      </c>
      <c r="C22" s="196">
        <v>2519</v>
      </c>
      <c r="D22" s="195">
        <v>5038</v>
      </c>
      <c r="E22" s="197">
        <v>-9.7940913160250678E-2</v>
      </c>
      <c r="F22" s="413">
        <v>7264552</v>
      </c>
      <c r="G22" s="1234">
        <v>6.56904838606516E-2</v>
      </c>
      <c r="H22" s="8"/>
      <c r="I22" s="1105"/>
      <c r="L22" s="8"/>
    </row>
    <row r="23" spans="1:13" ht="20" customHeight="1" thickBot="1">
      <c r="A23" s="927" t="s">
        <v>379</v>
      </c>
      <c r="B23" s="195"/>
      <c r="C23" s="196"/>
      <c r="D23" s="195"/>
      <c r="E23" s="197"/>
      <c r="F23" s="413"/>
      <c r="G23" s="1234"/>
      <c r="H23" s="8"/>
      <c r="I23" s="1105"/>
      <c r="L23" s="8"/>
    </row>
    <row r="24" spans="1:13" ht="20" customHeight="1" thickBot="1">
      <c r="A24" s="927" t="s">
        <v>380</v>
      </c>
      <c r="B24" s="195">
        <v>504</v>
      </c>
      <c r="C24" s="196">
        <v>392</v>
      </c>
      <c r="D24" s="195">
        <v>896</v>
      </c>
      <c r="E24" s="197">
        <v>1.2429378531073447E-2</v>
      </c>
      <c r="F24" s="413">
        <v>1685369</v>
      </c>
      <c r="G24" s="1234">
        <v>-0.29361307004994258</v>
      </c>
      <c r="H24" s="8"/>
      <c r="I24" s="1105"/>
      <c r="L24" s="8"/>
    </row>
    <row r="25" spans="1:13" ht="20" customHeight="1" thickBot="1">
      <c r="A25" s="927" t="s">
        <v>381</v>
      </c>
      <c r="B25" s="195" t="s">
        <v>30</v>
      </c>
      <c r="C25" s="196" t="s">
        <v>30</v>
      </c>
      <c r="D25" s="195" t="s">
        <v>30</v>
      </c>
      <c r="E25" s="197" t="s">
        <v>30</v>
      </c>
      <c r="F25" s="413">
        <v>1558664</v>
      </c>
      <c r="G25" s="1234">
        <v>-7.5396191581337884E-4</v>
      </c>
      <c r="H25" s="8"/>
      <c r="I25" s="1105"/>
      <c r="L25" s="8"/>
    </row>
    <row r="26" spans="1:13" ht="20" customHeight="1" thickBot="1">
      <c r="A26" s="927" t="s">
        <v>382</v>
      </c>
      <c r="B26" s="195">
        <v>2410</v>
      </c>
      <c r="C26" s="196">
        <v>1668</v>
      </c>
      <c r="D26" s="195">
        <v>4078</v>
      </c>
      <c r="E26" s="197" t="s">
        <v>30</v>
      </c>
      <c r="F26" s="413">
        <v>10394158.75</v>
      </c>
      <c r="G26" s="1234">
        <v>0.10191931716054851</v>
      </c>
      <c r="H26" s="8"/>
      <c r="I26" s="1105"/>
      <c r="L26" s="8"/>
    </row>
    <row r="27" spans="1:13" ht="20" customHeight="1" thickBot="1">
      <c r="A27" s="927" t="s">
        <v>383</v>
      </c>
      <c r="B27" s="195" t="s">
        <v>30</v>
      </c>
      <c r="C27" s="196" t="s">
        <v>30</v>
      </c>
      <c r="D27" s="195" t="s">
        <v>30</v>
      </c>
      <c r="E27" s="197" t="s">
        <v>30</v>
      </c>
      <c r="F27" s="413">
        <v>36355447</v>
      </c>
      <c r="G27" s="1234">
        <v>5.3781072463768113E-2</v>
      </c>
      <c r="H27" s="8"/>
      <c r="I27" s="1105"/>
      <c r="L27" s="8"/>
    </row>
    <row r="28" spans="1:13" ht="20" customHeight="1" thickBot="1">
      <c r="A28" s="927" t="s">
        <v>384</v>
      </c>
      <c r="B28" s="195">
        <v>3190</v>
      </c>
      <c r="C28" s="196">
        <v>3810</v>
      </c>
      <c r="D28" s="195">
        <v>7000</v>
      </c>
      <c r="E28" s="197">
        <v>0.27434917167303841</v>
      </c>
      <c r="F28" s="413">
        <v>10499551.08</v>
      </c>
      <c r="G28" s="1234">
        <v>0.31001201145224033</v>
      </c>
      <c r="H28" s="8"/>
      <c r="I28" s="1105"/>
      <c r="L28" s="8"/>
    </row>
    <row r="29" spans="1:13" ht="20" customHeight="1" thickBot="1">
      <c r="A29" s="927" t="s">
        <v>385</v>
      </c>
      <c r="B29" s="195" t="s">
        <v>30</v>
      </c>
      <c r="C29" s="196" t="s">
        <v>30</v>
      </c>
      <c r="D29" s="195" t="s">
        <v>30</v>
      </c>
      <c r="E29" s="197" t="s">
        <v>30</v>
      </c>
      <c r="F29" s="413">
        <v>10065239</v>
      </c>
      <c r="G29" s="1234">
        <v>-0.14518448374700099</v>
      </c>
      <c r="H29" s="8"/>
      <c r="I29" s="1105"/>
      <c r="J29" s="1220"/>
      <c r="K29" s="1220"/>
      <c r="L29" s="1137"/>
      <c r="M29" s="1137"/>
    </row>
    <row r="30" spans="1:13" ht="20" customHeight="1" thickBot="1">
      <c r="A30" s="927" t="s">
        <v>386</v>
      </c>
      <c r="B30" s="195">
        <v>13777</v>
      </c>
      <c r="C30" s="196">
        <v>10564</v>
      </c>
      <c r="D30" s="195">
        <v>24341</v>
      </c>
      <c r="E30" s="197">
        <v>0.73270216400911159</v>
      </c>
      <c r="F30" s="413">
        <v>38506505.799999997</v>
      </c>
      <c r="G30" s="1234">
        <v>-1.2504964225259504E-2</v>
      </c>
      <c r="I30" s="1105"/>
      <c r="L30" s="8"/>
    </row>
    <row r="31" spans="1:13" ht="20" customHeight="1" thickBot="1">
      <c r="A31" s="927" t="s">
        <v>387</v>
      </c>
      <c r="B31" s="195" t="s">
        <v>30</v>
      </c>
      <c r="C31" s="196" t="s">
        <v>30</v>
      </c>
      <c r="D31" s="195">
        <v>1233</v>
      </c>
      <c r="E31" s="197">
        <v>-9.5377842993396925E-2</v>
      </c>
      <c r="F31" s="413">
        <v>3567327.95</v>
      </c>
      <c r="G31" s="1234">
        <v>0.18713076539101503</v>
      </c>
      <c r="I31" s="1105"/>
      <c r="J31" s="1221"/>
      <c r="K31" s="1221"/>
      <c r="L31" s="8"/>
    </row>
    <row r="32" spans="1:13" s="110" customFormat="1" ht="30" customHeight="1" thickBot="1">
      <c r="A32" s="1106" t="s">
        <v>1977</v>
      </c>
      <c r="B32" s="1235">
        <v>46478</v>
      </c>
      <c r="C32" s="1013">
        <v>39861</v>
      </c>
      <c r="D32" s="1235">
        <v>87885</v>
      </c>
      <c r="E32" s="1236">
        <v>-3.2923622038579618E-2</v>
      </c>
      <c r="F32" s="1235">
        <v>194371703.32999998</v>
      </c>
      <c r="G32" s="1237">
        <v>9.1201136735688471E-2</v>
      </c>
      <c r="I32" s="1107"/>
    </row>
    <row r="33" spans="1:9" ht="20" customHeight="1">
      <c r="A33" s="1108" t="s">
        <v>1869</v>
      </c>
      <c r="B33" s="201"/>
      <c r="C33" s="201"/>
      <c r="D33" s="1109"/>
      <c r="E33" s="201"/>
      <c r="F33" s="201"/>
      <c r="G33" s="203"/>
    </row>
    <row r="34" spans="1:9" ht="14.25" customHeight="1">
      <c r="A34" s="1111"/>
      <c r="B34" s="203"/>
      <c r="C34" s="203"/>
      <c r="D34" s="1110"/>
      <c r="E34" s="203"/>
      <c r="F34" s="203"/>
      <c r="G34" s="203"/>
    </row>
    <row r="35" spans="1:9" ht="15.75" customHeight="1">
      <c r="A35" s="1111" t="s">
        <v>1969</v>
      </c>
      <c r="B35" s="203"/>
      <c r="C35" s="203"/>
      <c r="D35" s="1110"/>
      <c r="E35" s="203"/>
      <c r="F35" s="203"/>
      <c r="G35" s="203"/>
    </row>
    <row r="36" spans="1:9" ht="15.75" customHeight="1">
      <c r="A36" s="1111"/>
      <c r="B36" s="203"/>
      <c r="C36" s="203"/>
      <c r="D36" s="1110"/>
      <c r="E36" s="203"/>
      <c r="F36" s="203"/>
      <c r="G36" s="203"/>
    </row>
    <row r="37" spans="1:9">
      <c r="A37" s="61" t="s">
        <v>1978</v>
      </c>
    </row>
    <row r="38" spans="1:9" ht="12.75" customHeight="1">
      <c r="A38" s="1111" t="s">
        <v>1979</v>
      </c>
      <c r="B38" s="203"/>
      <c r="C38" s="203"/>
      <c r="D38" s="1110"/>
      <c r="E38" s="203"/>
      <c r="F38" s="203"/>
      <c r="G38" s="203"/>
    </row>
    <row r="39" spans="1:9" s="4" customFormat="1" ht="12.75" customHeight="1">
      <c r="A39" s="61" t="s">
        <v>1980</v>
      </c>
      <c r="B39" s="1226"/>
      <c r="C39" s="1227"/>
      <c r="D39" s="1227"/>
      <c r="E39" s="1228"/>
      <c r="F39" s="1228"/>
      <c r="G39" s="1228"/>
      <c r="H39" s="1228"/>
      <c r="I39" s="1228"/>
    </row>
    <row r="40" spans="1:9" s="4" customFormat="1" ht="12.75" customHeight="1">
      <c r="A40" s="61" t="s">
        <v>1981</v>
      </c>
      <c r="B40" s="1226"/>
      <c r="C40" s="1227"/>
      <c r="D40" s="1227"/>
      <c r="E40" s="1228"/>
      <c r="F40" s="1228"/>
      <c r="G40" s="1228"/>
      <c r="H40" s="1228"/>
      <c r="I40" s="1228"/>
    </row>
    <row r="41" spans="1:9" ht="12.75" customHeight="1">
      <c r="A41" s="1226" t="s">
        <v>1982</v>
      </c>
      <c r="B41" s="61"/>
      <c r="C41" s="61"/>
      <c r="D41" s="61"/>
      <c r="E41" s="61"/>
      <c r="F41" s="61"/>
    </row>
    <row r="42" spans="1:9" ht="12.75" customHeight="1">
      <c r="A42" s="3" t="s">
        <v>1983</v>
      </c>
    </row>
    <row r="43" spans="1:9" ht="12.75" customHeight="1">
      <c r="A43" s="1226" t="s">
        <v>1984</v>
      </c>
    </row>
    <row r="46" spans="1:9">
      <c r="A46" s="3" t="s">
        <v>719</v>
      </c>
    </row>
    <row r="48" spans="1:9">
      <c r="A48" s="61"/>
    </row>
    <row r="50" spans="1:10">
      <c r="A50" s="1226"/>
    </row>
    <row r="51" spans="1:10" ht="20" customHeight="1">
      <c r="A51" s="61"/>
    </row>
    <row r="52" spans="1:10" ht="11.25" customHeight="1"/>
    <row r="53" spans="1:10" ht="14.25" customHeight="1"/>
    <row r="54" spans="1:10" ht="13.5" customHeight="1"/>
    <row r="55" spans="1:10" s="4" customFormat="1">
      <c r="A55" s="3"/>
      <c r="B55" s="3"/>
      <c r="C55" s="3"/>
      <c r="D55" s="119"/>
      <c r="E55" s="3"/>
      <c r="F55" s="396"/>
      <c r="G55" s="3"/>
      <c r="H55" s="3"/>
      <c r="I55" s="3"/>
      <c r="J55" s="3"/>
    </row>
  </sheetData>
  <mergeCells count="1">
    <mergeCell ref="A2:F2"/>
  </mergeCells>
  <pageMargins left="0.55118110236220474" right="0.51181102362204722" top="0.82677165354330717" bottom="0.47244094488188981" header="0.43307086614173229" footer="0.51181102362204722"/>
  <pageSetup paperSize="9" scale="82" orientation="portrait" horizontalDpi="1200" verticalDpi="12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62FA-7858-FE4B-B70C-0A456E175141}">
  <dimension ref="A1:M52"/>
  <sheetViews>
    <sheetView zoomScaleNormal="100" workbookViewId="0">
      <selection activeCell="M28" sqref="M28"/>
    </sheetView>
  </sheetViews>
  <sheetFormatPr baseColWidth="10" defaultColWidth="11.3984375" defaultRowHeight="13"/>
  <cols>
    <col min="1" max="1" width="13.3984375" style="3" customWidth="1"/>
    <col min="2" max="3" width="12.59765625" style="3" customWidth="1"/>
    <col min="4" max="4" width="12.59765625" style="119" customWidth="1"/>
    <col min="5" max="5" width="12.59765625" style="3" customWidth="1"/>
    <col min="6" max="6" width="12.59765625" style="396" customWidth="1"/>
    <col min="7" max="7" width="12.59765625" style="3" customWidth="1"/>
    <col min="8" max="8" width="14.3984375" style="396" customWidth="1"/>
    <col min="9" max="12" width="11.3984375" style="3"/>
    <col min="13" max="13" width="17.59765625" style="3" customWidth="1"/>
    <col min="14" max="16384" width="11.3984375" style="3"/>
  </cols>
  <sheetData>
    <row r="1" spans="1:12" s="2" customFormat="1" ht="14" customHeight="1">
      <c r="D1" s="88"/>
      <c r="F1" s="514"/>
      <c r="H1" s="514"/>
    </row>
    <row r="2" spans="1:12" s="2" customFormat="1" ht="25.25" customHeight="1">
      <c r="A2" s="1843" t="s">
        <v>1967</v>
      </c>
      <c r="B2" s="1847"/>
      <c r="C2" s="1847"/>
      <c r="D2" s="1847"/>
      <c r="E2" s="1847"/>
      <c r="F2" s="1847"/>
      <c r="G2" s="1852"/>
      <c r="H2" s="1852"/>
    </row>
    <row r="3" spans="1:12" ht="24" customHeight="1">
      <c r="A3" s="92" t="s">
        <v>191</v>
      </c>
      <c r="B3" s="1129" t="s">
        <v>1968</v>
      </c>
      <c r="C3" s="1129"/>
      <c r="D3" s="1129"/>
      <c r="E3" s="1209"/>
      <c r="F3" s="1130"/>
      <c r="G3" s="1209"/>
      <c r="H3" s="1210" t="s">
        <v>279</v>
      </c>
    </row>
    <row r="4" spans="1:12" ht="15" customHeight="1">
      <c r="A4" s="184"/>
      <c r="B4" s="185">
        <v>2006</v>
      </c>
      <c r="C4" s="1211">
        <v>2007</v>
      </c>
      <c r="D4" s="185">
        <v>2008</v>
      </c>
      <c r="E4" s="1211">
        <v>2009</v>
      </c>
      <c r="F4" s="1212">
        <v>2010</v>
      </c>
      <c r="G4" s="186">
        <v>2011</v>
      </c>
      <c r="H4" s="1213" t="s">
        <v>282</v>
      </c>
    </row>
    <row r="5" spans="1:12" ht="24" customHeight="1">
      <c r="A5" s="184"/>
      <c r="B5" s="1214"/>
      <c r="C5" s="408"/>
      <c r="D5" s="532"/>
      <c r="E5" s="190"/>
      <c r="F5" s="409"/>
      <c r="G5" s="439"/>
      <c r="H5" s="1215" t="s">
        <v>283</v>
      </c>
      <c r="J5" s="8"/>
    </row>
    <row r="6" spans="1:12" ht="30" customHeight="1" thickBot="1">
      <c r="A6" s="925" t="s">
        <v>362</v>
      </c>
      <c r="B6" s="1151">
        <v>25</v>
      </c>
      <c r="C6" s="1149">
        <v>22.7</v>
      </c>
      <c r="D6" s="1151">
        <v>19.999206000000001</v>
      </c>
      <c r="E6" s="1149">
        <v>21.769221000000002</v>
      </c>
      <c r="F6" s="1151">
        <v>25.350891000000001</v>
      </c>
      <c r="G6" s="1149">
        <v>25.705490999999999</v>
      </c>
      <c r="H6" s="217">
        <v>1.3987674042699405E-2</v>
      </c>
      <c r="L6" s="8"/>
    </row>
    <row r="7" spans="1:12" ht="20" customHeight="1" thickBot="1">
      <c r="A7" s="927" t="s">
        <v>363</v>
      </c>
      <c r="B7" s="313">
        <v>24</v>
      </c>
      <c r="C7" s="314">
        <v>17.5</v>
      </c>
      <c r="D7" s="313">
        <v>18</v>
      </c>
      <c r="E7" s="314">
        <v>22.212717000000001</v>
      </c>
      <c r="F7" s="1216">
        <v>21.585070999999999</v>
      </c>
      <c r="G7" s="314">
        <v>25.010442000000001</v>
      </c>
      <c r="H7" s="1217">
        <v>0.15869167166510589</v>
      </c>
      <c r="L7" s="8"/>
    </row>
    <row r="8" spans="1:12" ht="20" customHeight="1" thickBot="1">
      <c r="A8" s="927" t="s">
        <v>364</v>
      </c>
      <c r="B8" s="313">
        <v>4.3871370000000001</v>
      </c>
      <c r="C8" s="314">
        <v>3.408461</v>
      </c>
      <c r="D8" s="313">
        <v>2.9657990000000001</v>
      </c>
      <c r="E8" s="314">
        <v>3.402968</v>
      </c>
      <c r="F8" s="1216">
        <v>4.1737330000000004</v>
      </c>
      <c r="G8" s="314">
        <v>4.1638590000000004</v>
      </c>
      <c r="H8" s="1217">
        <v>-2.3657478808538634E-3</v>
      </c>
      <c r="L8" s="8"/>
    </row>
    <row r="9" spans="1:12" ht="20" customHeight="1" thickBot="1">
      <c r="A9" s="927" t="s">
        <v>365</v>
      </c>
      <c r="B9" s="313">
        <v>4.6311999999999999E-2</v>
      </c>
      <c r="C9" s="314">
        <v>0.1</v>
      </c>
      <c r="D9" s="313">
        <v>0.2</v>
      </c>
      <c r="E9" s="314">
        <v>0.2</v>
      </c>
      <c r="F9" s="313">
        <v>0.2</v>
      </c>
      <c r="G9" s="314">
        <v>0.2</v>
      </c>
      <c r="H9" s="220">
        <v>0</v>
      </c>
      <c r="L9" s="8"/>
    </row>
    <row r="10" spans="1:12" ht="20" customHeight="1" thickBot="1">
      <c r="A10" s="927" t="s">
        <v>366</v>
      </c>
      <c r="B10" s="313">
        <v>1.0262389999999999</v>
      </c>
      <c r="C10" s="314">
        <v>0.91249199999999997</v>
      </c>
      <c r="D10" s="313">
        <v>0.99322334999999995</v>
      </c>
      <c r="E10" s="314">
        <v>1.3670640000000001</v>
      </c>
      <c r="F10" s="313">
        <v>1.1250089999999999</v>
      </c>
      <c r="G10" s="314">
        <v>1.2840167499999999</v>
      </c>
      <c r="H10" s="220">
        <v>0.14133909150949009</v>
      </c>
      <c r="L10" s="8"/>
    </row>
    <row r="11" spans="1:12" ht="20" customHeight="1" thickBot="1">
      <c r="A11" s="927" t="s">
        <v>367</v>
      </c>
      <c r="B11" s="313"/>
      <c r="C11" s="314"/>
      <c r="D11" s="313"/>
      <c r="E11" s="314"/>
      <c r="F11" s="313"/>
      <c r="G11" s="314"/>
      <c r="H11" s="220"/>
      <c r="L11" s="8"/>
    </row>
    <row r="12" spans="1:12" ht="20" customHeight="1" thickBot="1">
      <c r="A12" s="927" t="s">
        <v>368</v>
      </c>
      <c r="B12" s="313"/>
      <c r="C12" s="314"/>
      <c r="D12" s="313"/>
      <c r="E12" s="314"/>
      <c r="F12" s="313"/>
      <c r="G12" s="314"/>
      <c r="H12" s="220"/>
      <c r="L12" s="8"/>
    </row>
    <row r="13" spans="1:12" ht="20" customHeight="1" thickBot="1">
      <c r="A13" s="927" t="s">
        <v>369</v>
      </c>
      <c r="B13" s="313">
        <v>0.89154529000000005</v>
      </c>
      <c r="C13" s="314">
        <v>0.51370519999999997</v>
      </c>
      <c r="D13" s="313">
        <v>0.53300000000000003</v>
      </c>
      <c r="E13" s="314">
        <v>0.65900000000000003</v>
      </c>
      <c r="F13" s="313">
        <v>0.56399999999999995</v>
      </c>
      <c r="G13" s="314">
        <v>0.89806699999999995</v>
      </c>
      <c r="H13" s="220">
        <v>0.59231737588652478</v>
      </c>
      <c r="L13" s="8"/>
    </row>
    <row r="14" spans="1:12" ht="20" customHeight="1" thickBot="1">
      <c r="A14" s="927" t="s">
        <v>370</v>
      </c>
      <c r="B14" s="313" t="s">
        <v>30</v>
      </c>
      <c r="C14" s="314" t="s">
        <v>30</v>
      </c>
      <c r="D14" s="313" t="s">
        <v>30</v>
      </c>
      <c r="E14" s="314" t="s">
        <v>30</v>
      </c>
      <c r="F14" s="313" t="s">
        <v>30</v>
      </c>
      <c r="G14" s="314" t="s">
        <v>30</v>
      </c>
      <c r="H14" s="220" t="s">
        <v>30</v>
      </c>
      <c r="L14" s="8"/>
    </row>
    <row r="15" spans="1:12" ht="20" customHeight="1" thickBot="1">
      <c r="A15" s="927" t="s">
        <v>371</v>
      </c>
      <c r="B15" s="313">
        <v>5.3168E-2</v>
      </c>
      <c r="C15" s="314">
        <v>1.5</v>
      </c>
      <c r="D15" s="313">
        <v>1.7</v>
      </c>
      <c r="E15" s="314">
        <v>2.7172239999999999</v>
      </c>
      <c r="F15" s="313">
        <v>4.9711879999999997</v>
      </c>
      <c r="G15" s="314">
        <v>6.0479200000000004</v>
      </c>
      <c r="H15" s="220">
        <v>0.21659450417083392</v>
      </c>
      <c r="L15" s="8"/>
    </row>
    <row r="16" spans="1:12" ht="20" customHeight="1" thickBot="1">
      <c r="A16" s="927" t="s">
        <v>372</v>
      </c>
      <c r="B16" s="313" t="s">
        <v>30</v>
      </c>
      <c r="C16" s="314" t="s">
        <v>30</v>
      </c>
      <c r="D16" s="313">
        <v>1.2098249999999999</v>
      </c>
      <c r="E16" s="314">
        <v>1.4096569999999999</v>
      </c>
      <c r="F16" s="313">
        <v>1.694097</v>
      </c>
      <c r="G16" s="314">
        <v>2.1436999999999999</v>
      </c>
      <c r="H16" s="220">
        <v>0.26539389421030801</v>
      </c>
      <c r="L16" s="8"/>
    </row>
    <row r="17" spans="1:13" ht="20" customHeight="1" thickBot="1">
      <c r="A17" s="927" t="s">
        <v>373</v>
      </c>
      <c r="B17" s="313" t="s">
        <v>30</v>
      </c>
      <c r="C17" s="314" t="s">
        <v>30</v>
      </c>
      <c r="D17" s="313">
        <v>0.12</v>
      </c>
      <c r="E17" s="314">
        <v>7.1796300000000004</v>
      </c>
      <c r="F17" s="313">
        <v>6.5059279999999999</v>
      </c>
      <c r="G17" s="314">
        <v>6.5139339999999999</v>
      </c>
      <c r="H17" s="220">
        <v>1.2305700278270049E-3</v>
      </c>
      <c r="L17" s="8"/>
    </row>
    <row r="18" spans="1:13" ht="20" customHeight="1" thickBot="1">
      <c r="A18" s="927" t="s">
        <v>374</v>
      </c>
      <c r="B18" s="313" t="s">
        <v>30</v>
      </c>
      <c r="C18" s="314" t="s">
        <v>30</v>
      </c>
      <c r="D18" s="313">
        <v>0.61089000000000004</v>
      </c>
      <c r="E18" s="314">
        <v>1.3597999999999999</v>
      </c>
      <c r="F18" s="313">
        <v>1.5519860000000001</v>
      </c>
      <c r="G18" s="314">
        <v>1.9312450000000001</v>
      </c>
      <c r="H18" s="220">
        <v>0.24437011674074371</v>
      </c>
      <c r="L18" s="8"/>
    </row>
    <row r="19" spans="1:13" ht="20" customHeight="1" thickBot="1">
      <c r="A19" s="927" t="s">
        <v>375</v>
      </c>
      <c r="B19" s="313">
        <v>1.927427</v>
      </c>
      <c r="C19" s="314">
        <v>1.151972</v>
      </c>
      <c r="D19" s="313">
        <v>1.107064</v>
      </c>
      <c r="E19" s="314" t="s">
        <v>30</v>
      </c>
      <c r="F19" s="313" t="s">
        <v>30</v>
      </c>
      <c r="G19" s="314" t="s">
        <v>30</v>
      </c>
      <c r="H19" s="220" t="s">
        <v>30</v>
      </c>
      <c r="L19" s="8"/>
    </row>
    <row r="20" spans="1:13" ht="20" customHeight="1" thickBot="1">
      <c r="A20" s="927" t="s">
        <v>376</v>
      </c>
      <c r="B20" s="313" t="s">
        <v>30</v>
      </c>
      <c r="C20" s="314" t="s">
        <v>30</v>
      </c>
      <c r="D20" s="313" t="s">
        <v>30</v>
      </c>
      <c r="E20" s="314" t="s">
        <v>30</v>
      </c>
      <c r="F20" s="313">
        <v>0.4</v>
      </c>
      <c r="G20" s="314">
        <v>0.56296999999999997</v>
      </c>
      <c r="H20" s="220">
        <v>0.40742499999999993</v>
      </c>
      <c r="L20" s="8"/>
    </row>
    <row r="21" spans="1:13" ht="20" customHeight="1" thickBot="1">
      <c r="A21" s="927" t="s">
        <v>377</v>
      </c>
      <c r="B21" s="1218">
        <v>0</v>
      </c>
      <c r="C21" s="1219">
        <v>0</v>
      </c>
      <c r="D21" s="1218">
        <v>2.8000000000000001E-2</v>
      </c>
      <c r="E21" s="1219">
        <v>3.4000000000000002E-2</v>
      </c>
      <c r="F21" s="1218">
        <v>2.64E-2</v>
      </c>
      <c r="G21" s="1219">
        <v>1.3244000000000001E-2</v>
      </c>
      <c r="H21" s="220">
        <v>-0.49833333333333329</v>
      </c>
      <c r="L21" s="8"/>
    </row>
    <row r="22" spans="1:13" ht="20" customHeight="1" thickBot="1">
      <c r="A22" s="927" t="s">
        <v>378</v>
      </c>
      <c r="B22" s="313">
        <v>23.094132999999999</v>
      </c>
      <c r="C22" s="314">
        <v>22.373737999999999</v>
      </c>
      <c r="D22" s="313">
        <v>5.9842589999999998</v>
      </c>
      <c r="E22" s="314">
        <v>6.5513050000000002</v>
      </c>
      <c r="F22" s="313">
        <v>6.8167559999999998</v>
      </c>
      <c r="G22" s="314">
        <v>7.2645520000000001</v>
      </c>
      <c r="H22" s="220">
        <v>6.5690483860651572E-2</v>
      </c>
      <c r="L22" s="8"/>
    </row>
    <row r="23" spans="1:13" ht="20" customHeight="1" thickBot="1">
      <c r="A23" s="927" t="s">
        <v>379</v>
      </c>
      <c r="B23" s="313"/>
      <c r="C23" s="314"/>
      <c r="D23" s="313"/>
      <c r="E23" s="314"/>
      <c r="F23" s="313"/>
      <c r="G23" s="314"/>
      <c r="H23" s="220"/>
      <c r="L23" s="8"/>
    </row>
    <row r="24" spans="1:13" ht="20" customHeight="1" thickBot="1">
      <c r="A24" s="927" t="s">
        <v>380</v>
      </c>
      <c r="B24" s="313" t="s">
        <v>30</v>
      </c>
      <c r="C24" s="314">
        <v>1.138943</v>
      </c>
      <c r="D24" s="313">
        <v>1.0154110000000001</v>
      </c>
      <c r="E24" s="314">
        <v>1.8120700000000001</v>
      </c>
      <c r="F24" s="313">
        <v>2.3859006000000003</v>
      </c>
      <c r="G24" s="314">
        <v>1.6853689999999999</v>
      </c>
      <c r="H24" s="220">
        <v>-0.29361307004994264</v>
      </c>
      <c r="L24" s="8"/>
    </row>
    <row r="25" spans="1:13" ht="20" customHeight="1" thickBot="1">
      <c r="A25" s="927" t="s">
        <v>381</v>
      </c>
      <c r="B25" s="313"/>
      <c r="C25" s="314">
        <v>1.5</v>
      </c>
      <c r="D25" s="313">
        <v>1.5</v>
      </c>
      <c r="E25" s="314">
        <v>1.5</v>
      </c>
      <c r="F25" s="313">
        <v>1.5598399999999999</v>
      </c>
      <c r="G25" s="314">
        <v>1.558664</v>
      </c>
      <c r="H25" s="220">
        <v>-7.5392347933123105E-4</v>
      </c>
      <c r="L25" s="8"/>
    </row>
    <row r="26" spans="1:13" ht="20" customHeight="1" thickBot="1">
      <c r="A26" s="927" t="s">
        <v>382</v>
      </c>
      <c r="B26" s="313">
        <v>9.2542790000000004</v>
      </c>
      <c r="C26" s="314">
        <v>3.7897050000000001</v>
      </c>
      <c r="D26" s="313">
        <v>1.0537611999999998</v>
      </c>
      <c r="E26" s="314">
        <v>4.0948779999999996</v>
      </c>
      <c r="F26" s="313">
        <v>9.4327760000000005</v>
      </c>
      <c r="G26" s="314">
        <v>10.394158750000001</v>
      </c>
      <c r="H26" s="220">
        <v>0.10191938725143057</v>
      </c>
      <c r="L26" s="8"/>
    </row>
    <row r="27" spans="1:13" ht="20" customHeight="1" thickBot="1">
      <c r="A27" s="927" t="s">
        <v>383</v>
      </c>
      <c r="B27" s="313">
        <v>39.175820000000002</v>
      </c>
      <c r="C27" s="314">
        <v>29.680482999999999</v>
      </c>
      <c r="D27" s="313">
        <v>26.5</v>
      </c>
      <c r="E27" s="314">
        <v>18</v>
      </c>
      <c r="F27" s="313">
        <v>34.5</v>
      </c>
      <c r="G27" s="314">
        <v>36.355446999999998</v>
      </c>
      <c r="H27" s="220">
        <v>5.3781072463768176E-2</v>
      </c>
      <c r="L27" s="8"/>
    </row>
    <row r="28" spans="1:13" ht="20" customHeight="1" thickBot="1">
      <c r="A28" s="927" t="s">
        <v>384</v>
      </c>
      <c r="B28" s="313">
        <v>6.9</v>
      </c>
      <c r="C28" s="314">
        <v>8.4</v>
      </c>
      <c r="D28" s="313">
        <v>7.4222669999999997</v>
      </c>
      <c r="E28" s="314">
        <v>8.632009</v>
      </c>
      <c r="F28" s="313">
        <v>8.0148510000000002</v>
      </c>
      <c r="G28" s="314">
        <v>10.49955108</v>
      </c>
      <c r="H28" s="220">
        <v>0.31001201145224044</v>
      </c>
      <c r="L28" s="8"/>
    </row>
    <row r="29" spans="1:13" ht="20" customHeight="1" thickBot="1">
      <c r="A29" s="927" t="s">
        <v>385</v>
      </c>
      <c r="B29" s="313">
        <v>6.1390690000000001</v>
      </c>
      <c r="C29" s="314">
        <v>18</v>
      </c>
      <c r="D29" s="313">
        <v>17.2</v>
      </c>
      <c r="E29" s="314">
        <v>8.34</v>
      </c>
      <c r="F29" s="313">
        <v>11.774749999999999</v>
      </c>
      <c r="G29" s="314">
        <v>10.065239</v>
      </c>
      <c r="H29" s="220">
        <v>-0.14518448374700099</v>
      </c>
      <c r="I29" s="1220"/>
      <c r="J29" s="1220"/>
      <c r="K29" s="1220"/>
      <c r="L29" s="1137"/>
      <c r="M29" s="1137"/>
    </row>
    <row r="30" spans="1:13" ht="20" customHeight="1" thickBot="1">
      <c r="A30" s="927" t="s">
        <v>386</v>
      </c>
      <c r="B30" s="313">
        <v>27.244868</v>
      </c>
      <c r="C30" s="314">
        <v>40.257382999999997</v>
      </c>
      <c r="D30" s="313">
        <v>33.362901999999998</v>
      </c>
      <c r="E30" s="314">
        <v>34.860502950000004</v>
      </c>
      <c r="F30" s="313">
        <v>38.994125950000011</v>
      </c>
      <c r="G30" s="314">
        <v>38.506505799999999</v>
      </c>
      <c r="H30" s="220">
        <v>-1.2504964225259485E-2</v>
      </c>
      <c r="L30" s="8"/>
    </row>
    <row r="31" spans="1:13" ht="20" customHeight="1" thickBot="1">
      <c r="A31" s="927" t="s">
        <v>387</v>
      </c>
      <c r="B31" s="313">
        <v>1.911</v>
      </c>
      <c r="C31" s="314">
        <v>3.7389999999999999</v>
      </c>
      <c r="D31" s="313">
        <v>2.3620000000000001</v>
      </c>
      <c r="E31" s="314">
        <v>3.0790000000000002</v>
      </c>
      <c r="F31" s="313">
        <v>3.0049999999999999</v>
      </c>
      <c r="G31" s="314">
        <v>3.5673279500000001</v>
      </c>
      <c r="H31" s="220">
        <v>0.18713076539101503</v>
      </c>
      <c r="I31" s="1221"/>
      <c r="J31" s="1221"/>
      <c r="K31" s="1221"/>
      <c r="L31" s="8"/>
    </row>
    <row r="32" spans="1:13" s="110" customFormat="1" ht="30" customHeight="1" thickBot="1">
      <c r="A32" s="1106" t="s">
        <v>1908</v>
      </c>
      <c r="B32" s="1222">
        <v>171.05099729</v>
      </c>
      <c r="C32" s="1223">
        <v>176.63382419999999</v>
      </c>
      <c r="D32" s="1222">
        <v>143.86760755</v>
      </c>
      <c r="E32" s="1223">
        <v>149.18104595</v>
      </c>
      <c r="F32" s="1222">
        <v>184.63230255000002</v>
      </c>
      <c r="G32" s="1224">
        <v>194.37170332999997</v>
      </c>
      <c r="H32" s="1225">
        <v>5.275025358773533E-2</v>
      </c>
    </row>
    <row r="33" spans="1:8" ht="20" customHeight="1">
      <c r="A33" s="1108" t="s">
        <v>1869</v>
      </c>
      <c r="B33" s="201"/>
      <c r="C33" s="201"/>
      <c r="D33" s="1109"/>
      <c r="E33" s="201"/>
      <c r="F33" s="201"/>
      <c r="G33" s="203"/>
      <c r="H33" s="201"/>
    </row>
    <row r="34" spans="1:8" ht="14.25" customHeight="1">
      <c r="A34" s="1111"/>
      <c r="B34" s="203"/>
      <c r="C34" s="203"/>
      <c r="D34" s="1110"/>
      <c r="E34" s="203"/>
      <c r="F34" s="203"/>
      <c r="G34" s="203"/>
      <c r="H34" s="203"/>
    </row>
    <row r="35" spans="1:8" ht="15.75" customHeight="1">
      <c r="A35" s="1111" t="s">
        <v>1969</v>
      </c>
      <c r="B35" s="203"/>
      <c r="C35" s="203"/>
      <c r="D35" s="1110"/>
      <c r="E35" s="203"/>
      <c r="F35" s="203"/>
      <c r="G35" s="203"/>
      <c r="H35" s="203"/>
    </row>
    <row r="36" spans="1:8" ht="15.75" customHeight="1">
      <c r="A36" s="1111"/>
      <c r="B36" s="203"/>
      <c r="C36" s="203"/>
      <c r="D36" s="1110"/>
      <c r="E36" s="203"/>
      <c r="F36" s="203"/>
      <c r="G36" s="203"/>
      <c r="H36" s="203"/>
    </row>
    <row r="37" spans="1:8" ht="13.5" customHeight="1">
      <c r="A37" s="1111" t="s">
        <v>1970</v>
      </c>
      <c r="B37" s="203"/>
      <c r="C37" s="203"/>
      <c r="D37" s="1110"/>
      <c r="E37" s="203"/>
      <c r="F37" s="203"/>
      <c r="G37" s="1110"/>
      <c r="H37" s="203"/>
    </row>
    <row r="38" spans="1:8" s="4" customFormat="1" ht="14">
      <c r="A38" s="61" t="s">
        <v>1971</v>
      </c>
      <c r="B38" s="1226"/>
      <c r="C38" s="1227"/>
      <c r="D38" s="1227"/>
      <c r="E38" s="1228"/>
      <c r="F38" s="1228"/>
      <c r="G38" s="1228"/>
      <c r="H38" s="1226"/>
    </row>
    <row r="39" spans="1:8" s="4" customFormat="1" ht="14">
      <c r="A39" s="61" t="s">
        <v>1972</v>
      </c>
      <c r="B39" s="1226"/>
      <c r="C39" s="1227"/>
      <c r="D39" s="1227"/>
      <c r="E39" s="1228"/>
      <c r="F39" s="1228"/>
      <c r="G39" s="1228"/>
      <c r="H39" s="1226"/>
    </row>
    <row r="40" spans="1:8">
      <c r="A40" s="1226" t="s">
        <v>1973</v>
      </c>
      <c r="F40" s="3"/>
      <c r="G40" s="119"/>
      <c r="H40" s="3"/>
    </row>
    <row r="43" spans="1:8">
      <c r="A43" s="3" t="s">
        <v>719</v>
      </c>
    </row>
    <row r="47" spans="1:8">
      <c r="A47" s="1226"/>
    </row>
    <row r="48" spans="1:8" ht="20" customHeight="1">
      <c r="A48" s="61"/>
    </row>
    <row r="49" spans="1:10" ht="11.25" customHeight="1"/>
    <row r="50" spans="1:10" ht="14.25" customHeight="1"/>
    <row r="51" spans="1:10" ht="13.5" customHeight="1"/>
    <row r="52" spans="1:10" s="4" customFormat="1">
      <c r="A52" s="3"/>
      <c r="B52" s="3"/>
      <c r="C52" s="3"/>
      <c r="D52" s="119"/>
      <c r="E52" s="3"/>
      <c r="F52" s="396"/>
      <c r="G52" s="3"/>
      <c r="H52" s="396"/>
      <c r="J52" s="3"/>
    </row>
  </sheetData>
  <mergeCells count="1">
    <mergeCell ref="A2:H2"/>
  </mergeCells>
  <pageMargins left="0.55118110236220474" right="0.51181102362204722" top="0.82677165354330717" bottom="0.47244094488188981" header="0.43307086614173229" footer="0.51181102362204722"/>
  <pageSetup paperSize="9" scale="75" orientation="portrait" horizontalDpi="1200" verticalDpi="12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ED16-160E-FE40-BB10-98EC74E7244E}">
  <sheetPr>
    <pageSetUpPr fitToPage="1"/>
  </sheetPr>
  <dimension ref="A1:B10"/>
  <sheetViews>
    <sheetView workbookViewId="0">
      <selection activeCell="B8" sqref="B8"/>
    </sheetView>
  </sheetViews>
  <sheetFormatPr baseColWidth="10" defaultColWidth="11.59765625" defaultRowHeight="13"/>
  <cols>
    <col min="1" max="1" width="5.59765625" style="541" customWidth="1"/>
    <col min="2" max="16384" width="11.59765625" style="541"/>
  </cols>
  <sheetData>
    <row r="1" spans="1:2" ht="16">
      <c r="A1" s="540" t="s">
        <v>741</v>
      </c>
    </row>
    <row r="2" spans="1:2" ht="16">
      <c r="A2" s="540"/>
    </row>
    <row r="3" spans="1:2">
      <c r="A3" s="541">
        <v>5.01</v>
      </c>
      <c r="B3" s="549" t="s">
        <v>742</v>
      </c>
    </row>
    <row r="4" spans="1:2">
      <c r="A4" s="541">
        <v>5.0199999999999996</v>
      </c>
      <c r="B4" s="549" t="s">
        <v>743</v>
      </c>
    </row>
    <row r="5" spans="1:2">
      <c r="A5" s="541">
        <v>5.03</v>
      </c>
      <c r="B5" s="541" t="s">
        <v>744</v>
      </c>
    </row>
    <row r="6" spans="1:2">
      <c r="A6" s="541">
        <v>5.04</v>
      </c>
      <c r="B6" s="541" t="s">
        <v>745</v>
      </c>
    </row>
    <row r="7" spans="1:2">
      <c r="A7" s="541">
        <v>5.05</v>
      </c>
      <c r="B7" s="541" t="s">
        <v>746</v>
      </c>
    </row>
    <row r="10" spans="1:2">
      <c r="A10" s="548" t="s">
        <v>719</v>
      </c>
    </row>
  </sheetData>
  <pageMargins left="0.54" right="0.51" top="0.78" bottom="0.984251969" header="0.36" footer="0.4921259845"/>
  <pageSetup paperSize="9" orientation="portrait"/>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2DE1-9CDE-F34C-89D6-F597542A4269}">
  <dimension ref="A1:AD83"/>
  <sheetViews>
    <sheetView zoomScaleNormal="100" workbookViewId="0">
      <selection activeCell="C2" sqref="C2"/>
    </sheetView>
  </sheetViews>
  <sheetFormatPr baseColWidth="10" defaultColWidth="11.3984375" defaultRowHeight="13"/>
  <cols>
    <col min="1" max="1" width="7.59765625" style="119" customWidth="1"/>
    <col min="2" max="2" width="43.59765625" style="119" customWidth="1"/>
    <col min="3" max="4" width="14.3984375" style="119" customWidth="1"/>
    <col min="5" max="7" width="14.3984375" style="3" customWidth="1"/>
    <col min="8" max="9" width="14.3984375" style="8" customWidth="1"/>
    <col min="10" max="16" width="14.3984375" style="3" customWidth="1"/>
    <col min="17" max="17" width="0.59765625" style="3" customWidth="1"/>
    <col min="18" max="18" width="14.3984375" style="3" customWidth="1"/>
    <col min="19" max="19" width="14.3984375" style="611" customWidth="1"/>
    <col min="20" max="30" width="14.3984375" style="3" customWidth="1"/>
    <col min="31" max="16384" width="11.3984375" style="3"/>
  </cols>
  <sheetData>
    <row r="1" spans="1:30" s="2" customFormat="1" ht="9" customHeight="1">
      <c r="A1" s="88"/>
      <c r="B1" s="88"/>
      <c r="C1" s="88"/>
      <c r="D1" s="88"/>
      <c r="H1" s="406"/>
      <c r="I1" s="406"/>
      <c r="S1" s="559"/>
    </row>
    <row r="2" spans="1:30" s="2" customFormat="1" ht="21" customHeight="1">
      <c r="A2" s="1858" t="s">
        <v>1020</v>
      </c>
      <c r="B2" s="1846"/>
      <c r="C2" s="560"/>
      <c r="D2" s="560"/>
      <c r="E2" s="561"/>
      <c r="F2" s="561"/>
      <c r="G2" s="561"/>
      <c r="H2" s="388"/>
      <c r="I2" s="406"/>
      <c r="J2" s="17"/>
      <c r="P2" s="563">
        <v>2011</v>
      </c>
      <c r="V2" s="563"/>
      <c r="AD2" s="563">
        <v>2011</v>
      </c>
    </row>
    <row r="3" spans="1:30" s="2" customFormat="1" ht="8.5" customHeight="1">
      <c r="A3" s="88"/>
      <c r="B3" s="88"/>
      <c r="C3" s="88"/>
      <c r="D3" s="88"/>
      <c r="H3" s="406"/>
      <c r="I3" s="406"/>
      <c r="S3" s="564"/>
      <c r="U3" s="565"/>
      <c r="W3" s="565"/>
      <c r="X3" s="565"/>
      <c r="Y3" s="565"/>
      <c r="Z3" s="565"/>
      <c r="AA3" s="565"/>
      <c r="AB3" s="565"/>
      <c r="AC3" s="565"/>
      <c r="AD3" s="565"/>
    </row>
    <row r="4" spans="1:30" ht="18" customHeight="1">
      <c r="A4" s="719" t="s">
        <v>798</v>
      </c>
      <c r="B4" s="719" t="s">
        <v>1021</v>
      </c>
      <c r="C4" s="720" t="s">
        <v>1022</v>
      </c>
      <c r="D4" s="721" t="s">
        <v>562</v>
      </c>
      <c r="E4" s="720" t="s">
        <v>1023</v>
      </c>
      <c r="F4" s="721" t="s">
        <v>1024</v>
      </c>
      <c r="G4" s="720" t="s">
        <v>1025</v>
      </c>
      <c r="H4" s="722" t="s">
        <v>1026</v>
      </c>
      <c r="I4" s="723" t="s">
        <v>892</v>
      </c>
      <c r="J4" s="721" t="s">
        <v>1027</v>
      </c>
      <c r="K4" s="720" t="s">
        <v>893</v>
      </c>
      <c r="L4" s="721" t="s">
        <v>893</v>
      </c>
      <c r="M4" s="720" t="s">
        <v>1028</v>
      </c>
      <c r="N4" s="722" t="s">
        <v>1026</v>
      </c>
      <c r="O4" s="723" t="s">
        <v>892</v>
      </c>
      <c r="P4" s="722" t="s">
        <v>898</v>
      </c>
      <c r="Q4" s="721"/>
      <c r="R4" s="723" t="s">
        <v>1029</v>
      </c>
      <c r="S4" s="724" t="s">
        <v>1030</v>
      </c>
      <c r="T4" s="723" t="s">
        <v>562</v>
      </c>
      <c r="U4" s="721" t="s">
        <v>1023</v>
      </c>
      <c r="V4" s="723" t="s">
        <v>1024</v>
      </c>
      <c r="W4" s="725" t="s">
        <v>1025</v>
      </c>
      <c r="X4" s="726" t="s">
        <v>1031</v>
      </c>
      <c r="Y4" s="725" t="s">
        <v>893</v>
      </c>
      <c r="Z4" s="726" t="s">
        <v>893</v>
      </c>
      <c r="AA4" s="725" t="s">
        <v>1032</v>
      </c>
      <c r="AB4" s="726" t="s">
        <v>1033</v>
      </c>
      <c r="AC4" s="725" t="s">
        <v>1034</v>
      </c>
      <c r="AD4" s="726" t="s">
        <v>1035</v>
      </c>
    </row>
    <row r="5" spans="1:30" ht="15" customHeight="1">
      <c r="A5" s="727" t="s">
        <v>800</v>
      </c>
      <c r="B5" s="727"/>
      <c r="C5" s="728" t="s">
        <v>1036</v>
      </c>
      <c r="D5" s="724" t="s">
        <v>1037</v>
      </c>
      <c r="E5" s="728" t="s">
        <v>1038</v>
      </c>
      <c r="F5" s="724" t="s">
        <v>1039</v>
      </c>
      <c r="G5" s="728" t="s">
        <v>1038</v>
      </c>
      <c r="H5" s="729" t="s">
        <v>1040</v>
      </c>
      <c r="I5" s="730" t="s">
        <v>895</v>
      </c>
      <c r="J5" s="724" t="s">
        <v>1041</v>
      </c>
      <c r="K5" s="728" t="s">
        <v>897</v>
      </c>
      <c r="L5" s="724" t="s">
        <v>1042</v>
      </c>
      <c r="M5" s="728" t="s">
        <v>1023</v>
      </c>
      <c r="N5" s="729" t="s">
        <v>1043</v>
      </c>
      <c r="O5" s="730" t="s">
        <v>895</v>
      </c>
      <c r="P5" s="729" t="s">
        <v>1044</v>
      </c>
      <c r="Q5" s="724"/>
      <c r="R5" s="730" t="s">
        <v>278</v>
      </c>
      <c r="S5" s="724" t="s">
        <v>278</v>
      </c>
      <c r="T5" s="730" t="s">
        <v>1045</v>
      </c>
      <c r="U5" s="724" t="s">
        <v>1038</v>
      </c>
      <c r="V5" s="730" t="s">
        <v>1039</v>
      </c>
      <c r="W5" s="725" t="s">
        <v>1038</v>
      </c>
      <c r="X5" s="726" t="s">
        <v>1046</v>
      </c>
      <c r="Y5" s="725" t="s">
        <v>897</v>
      </c>
      <c r="Z5" s="726" t="s">
        <v>898</v>
      </c>
      <c r="AA5" s="725" t="s">
        <v>1047</v>
      </c>
      <c r="AB5" s="726" t="s">
        <v>1048</v>
      </c>
      <c r="AC5" s="725" t="s">
        <v>1049</v>
      </c>
      <c r="AD5" s="726" t="s">
        <v>1049</v>
      </c>
    </row>
    <row r="6" spans="1:30" ht="15" customHeight="1">
      <c r="A6" s="727"/>
      <c r="B6" s="727"/>
      <c r="C6" s="728" t="s">
        <v>1050</v>
      </c>
      <c r="D6" s="724" t="s">
        <v>1051</v>
      </c>
      <c r="E6" s="728" t="s">
        <v>1052</v>
      </c>
      <c r="F6" s="724" t="s">
        <v>1052</v>
      </c>
      <c r="G6" s="728" t="s">
        <v>1052</v>
      </c>
      <c r="H6" s="729" t="s">
        <v>1053</v>
      </c>
      <c r="I6" s="730" t="s">
        <v>900</v>
      </c>
      <c r="J6" s="724" t="s">
        <v>1054</v>
      </c>
      <c r="K6" s="728" t="s">
        <v>1055</v>
      </c>
      <c r="L6" s="724" t="s">
        <v>1056</v>
      </c>
      <c r="M6" s="728" t="s">
        <v>1057</v>
      </c>
      <c r="N6" s="729" t="s">
        <v>1058</v>
      </c>
      <c r="O6" s="730" t="s">
        <v>900</v>
      </c>
      <c r="P6" s="729" t="s">
        <v>562</v>
      </c>
      <c r="Q6" s="724"/>
      <c r="R6" s="730" t="s">
        <v>1045</v>
      </c>
      <c r="S6" s="724" t="s">
        <v>1045</v>
      </c>
      <c r="T6" s="730"/>
      <c r="U6" s="724" t="s">
        <v>1045</v>
      </c>
      <c r="V6" s="730" t="s">
        <v>1045</v>
      </c>
      <c r="W6" s="725" t="s">
        <v>1045</v>
      </c>
      <c r="X6" s="726" t="s">
        <v>1045</v>
      </c>
      <c r="Y6" s="725" t="s">
        <v>901</v>
      </c>
      <c r="Z6" s="726" t="s">
        <v>1059</v>
      </c>
      <c r="AA6" s="725" t="s">
        <v>1060</v>
      </c>
      <c r="AB6" s="726" t="s">
        <v>1061</v>
      </c>
      <c r="AC6" s="725" t="s">
        <v>1048</v>
      </c>
      <c r="AD6" s="726" t="s">
        <v>1048</v>
      </c>
    </row>
    <row r="7" spans="1:30" ht="15" customHeight="1">
      <c r="A7" s="727"/>
      <c r="B7" s="727"/>
      <c r="C7" s="728" t="s">
        <v>1062</v>
      </c>
      <c r="D7" s="724" t="s">
        <v>561</v>
      </c>
      <c r="E7" s="728" t="s">
        <v>1051</v>
      </c>
      <c r="F7" s="724" t="s">
        <v>1051</v>
      </c>
      <c r="G7" s="728" t="s">
        <v>1051</v>
      </c>
      <c r="H7" s="729" t="s">
        <v>1051</v>
      </c>
      <c r="I7" s="730" t="s">
        <v>1063</v>
      </c>
      <c r="J7" s="724" t="s">
        <v>1064</v>
      </c>
      <c r="K7" s="728" t="s">
        <v>1054</v>
      </c>
      <c r="L7" s="724" t="s">
        <v>1051</v>
      </c>
      <c r="M7" s="728" t="s">
        <v>562</v>
      </c>
      <c r="N7" s="729" t="s">
        <v>1065</v>
      </c>
      <c r="O7" s="730" t="s">
        <v>1066</v>
      </c>
      <c r="P7" s="729"/>
      <c r="Q7" s="724"/>
      <c r="R7" s="730"/>
      <c r="S7" s="724"/>
      <c r="T7" s="730"/>
      <c r="U7" s="724"/>
      <c r="V7" s="730"/>
      <c r="W7" s="725"/>
      <c r="X7" s="726"/>
      <c r="Y7" s="725" t="s">
        <v>1059</v>
      </c>
      <c r="Z7" s="726"/>
      <c r="AA7" s="725" t="s">
        <v>562</v>
      </c>
      <c r="AB7" s="726" t="s">
        <v>1045</v>
      </c>
      <c r="AC7" s="725" t="s">
        <v>1061</v>
      </c>
      <c r="AD7" s="726" t="s">
        <v>1061</v>
      </c>
    </row>
    <row r="8" spans="1:30" ht="15" customHeight="1">
      <c r="A8" s="727"/>
      <c r="B8" s="727"/>
      <c r="C8" s="731"/>
      <c r="D8" s="724"/>
      <c r="E8" s="728" t="s">
        <v>561</v>
      </c>
      <c r="F8" s="724" t="s">
        <v>561</v>
      </c>
      <c r="G8" s="728" t="s">
        <v>561</v>
      </c>
      <c r="H8" s="729" t="s">
        <v>561</v>
      </c>
      <c r="I8" s="730" t="s">
        <v>1054</v>
      </c>
      <c r="J8" s="724" t="s">
        <v>561</v>
      </c>
      <c r="K8" s="728" t="s">
        <v>1067</v>
      </c>
      <c r="L8" s="724" t="s">
        <v>561</v>
      </c>
      <c r="M8" s="728" t="s">
        <v>617</v>
      </c>
      <c r="N8" s="729"/>
      <c r="O8" s="730" t="s">
        <v>1068</v>
      </c>
      <c r="P8" s="729"/>
      <c r="Q8" s="724"/>
      <c r="R8" s="730"/>
      <c r="S8" s="724"/>
      <c r="T8" s="730"/>
      <c r="U8" s="724"/>
      <c r="V8" s="730"/>
      <c r="W8" s="725"/>
      <c r="X8" s="726"/>
      <c r="Y8" s="725"/>
      <c r="Z8" s="726"/>
      <c r="AA8" s="725" t="s">
        <v>1045</v>
      </c>
      <c r="AB8" s="726"/>
      <c r="AC8" s="725" t="s">
        <v>1069</v>
      </c>
      <c r="AD8" s="726" t="s">
        <v>1070</v>
      </c>
    </row>
    <row r="9" spans="1:30" ht="15" customHeight="1">
      <c r="A9" s="727"/>
      <c r="B9" s="727"/>
      <c r="C9" s="728"/>
      <c r="D9" s="724"/>
      <c r="E9" s="728"/>
      <c r="F9" s="724"/>
      <c r="G9" s="728"/>
      <c r="H9" s="729"/>
      <c r="I9" s="730" t="s">
        <v>1071</v>
      </c>
      <c r="J9" s="724"/>
      <c r="K9" s="728" t="s">
        <v>561</v>
      </c>
      <c r="L9" s="724"/>
      <c r="M9" s="732"/>
      <c r="N9" s="729"/>
      <c r="O9" s="730" t="s">
        <v>1030</v>
      </c>
      <c r="P9" s="729"/>
      <c r="Q9" s="724"/>
      <c r="R9" s="730"/>
      <c r="S9" s="724"/>
      <c r="T9" s="730"/>
      <c r="U9" s="724"/>
      <c r="V9" s="730"/>
      <c r="W9" s="725"/>
      <c r="X9" s="726"/>
      <c r="Y9" s="725"/>
      <c r="Z9" s="726"/>
      <c r="AA9" s="725"/>
      <c r="AB9" s="726"/>
      <c r="AC9" s="725"/>
      <c r="AD9" s="726"/>
    </row>
    <row r="10" spans="1:30" ht="33.5" customHeight="1">
      <c r="A10" s="733">
        <v>0</v>
      </c>
      <c r="B10" s="733"/>
      <c r="C10" s="734">
        <v>1</v>
      </c>
      <c r="D10" s="733" t="s">
        <v>486</v>
      </c>
      <c r="E10" s="734" t="s">
        <v>1006</v>
      </c>
      <c r="F10" s="733" t="s">
        <v>506</v>
      </c>
      <c r="G10" s="734" t="s">
        <v>504</v>
      </c>
      <c r="H10" s="735" t="s">
        <v>994</v>
      </c>
      <c r="I10" s="736" t="s">
        <v>490</v>
      </c>
      <c r="J10" s="733">
        <v>7</v>
      </c>
      <c r="K10" s="734" t="s">
        <v>498</v>
      </c>
      <c r="L10" s="733" t="s">
        <v>500</v>
      </c>
      <c r="M10" s="734">
        <v>15</v>
      </c>
      <c r="N10" s="735" t="s">
        <v>998</v>
      </c>
      <c r="O10" s="736" t="s">
        <v>508</v>
      </c>
      <c r="P10" s="735" t="s">
        <v>989</v>
      </c>
      <c r="Q10" s="733"/>
      <c r="R10" s="736">
        <v>2</v>
      </c>
      <c r="S10" s="733">
        <v>14</v>
      </c>
      <c r="T10" s="736" t="s">
        <v>484</v>
      </c>
      <c r="U10" s="733" t="s">
        <v>1002</v>
      </c>
      <c r="V10" s="736" t="s">
        <v>523</v>
      </c>
      <c r="W10" s="733" t="s">
        <v>519</v>
      </c>
      <c r="X10" s="734" t="s">
        <v>991</v>
      </c>
      <c r="Y10" s="733" t="s">
        <v>512</v>
      </c>
      <c r="Z10" s="734" t="s">
        <v>514</v>
      </c>
      <c r="AA10" s="733">
        <v>10</v>
      </c>
      <c r="AB10" s="734" t="s">
        <v>996</v>
      </c>
      <c r="AC10" s="733" t="s">
        <v>1000</v>
      </c>
      <c r="AD10" s="734" t="s">
        <v>1004</v>
      </c>
    </row>
    <row r="11" spans="1:30" ht="14" thickBot="1">
      <c r="A11" s="737">
        <v>8</v>
      </c>
      <c r="B11" s="738" t="s">
        <v>1074</v>
      </c>
      <c r="C11" s="739">
        <v>853941.11</v>
      </c>
      <c r="D11" s="740">
        <v>2981.314101577801</v>
      </c>
      <c r="E11" s="741">
        <v>2965.2028855245071</v>
      </c>
      <c r="F11" s="740">
        <v>468.16958917693984</v>
      </c>
      <c r="G11" s="741">
        <v>3433.3724747014471</v>
      </c>
      <c r="H11" s="740">
        <v>-236.96393344969658</v>
      </c>
      <c r="I11" s="739">
        <v>143.01102816094661</v>
      </c>
      <c r="J11" s="740">
        <v>89.745205134813105</v>
      </c>
      <c r="K11" s="739">
        <v>722.18094758314191</v>
      </c>
      <c r="L11" s="740">
        <v>437.43934286053991</v>
      </c>
      <c r="M11" s="742">
        <v>0.99459593471054686</v>
      </c>
      <c r="N11" s="743">
        <v>-7.9204402979266203E-2</v>
      </c>
      <c r="O11" s="742">
        <v>4.9279187834442323E-2</v>
      </c>
      <c r="P11" s="743">
        <v>0.14672702303626237</v>
      </c>
      <c r="Q11" s="740"/>
      <c r="R11" s="744">
        <v>2554.8231758399997</v>
      </c>
      <c r="S11" s="745">
        <v>2478.1860557499999</v>
      </c>
      <c r="T11" s="744">
        <v>2545.8666731600001</v>
      </c>
      <c r="U11" s="745">
        <v>2532.1086434400004</v>
      </c>
      <c r="V11" s="744">
        <v>399.78925864999997</v>
      </c>
      <c r="W11" s="745">
        <v>2931.8979020900006</v>
      </c>
      <c r="X11" s="744">
        <v>-202.35324436000002</v>
      </c>
      <c r="Y11" s="745">
        <v>616.70000000000005</v>
      </c>
      <c r="Z11" s="744">
        <v>373.547438</v>
      </c>
      <c r="AA11" s="745" t="s">
        <v>30</v>
      </c>
      <c r="AB11" s="744">
        <v>254.58666731600005</v>
      </c>
      <c r="AC11" s="745">
        <v>118.96077068399995</v>
      </c>
      <c r="AD11" s="744" t="s">
        <v>721</v>
      </c>
    </row>
    <row r="12" spans="1:30" ht="14" thickBot="1">
      <c r="A12" s="737">
        <v>32</v>
      </c>
      <c r="B12" s="738" t="s">
        <v>1075</v>
      </c>
      <c r="C12" s="739">
        <v>38224.629999999997</v>
      </c>
      <c r="D12" s="740">
        <v>2816.4022882628292</v>
      </c>
      <c r="E12" s="741">
        <v>2537.463587744342</v>
      </c>
      <c r="F12" s="740">
        <v>437.71959126877096</v>
      </c>
      <c r="G12" s="741">
        <v>2975.1831790131132</v>
      </c>
      <c r="H12" s="740">
        <v>-40.789859836445764</v>
      </c>
      <c r="I12" s="739">
        <v>122.39330164870141</v>
      </c>
      <c r="J12" s="740">
        <v>156.44008849791351</v>
      </c>
      <c r="K12" s="739">
        <v>525.83896822546103</v>
      </c>
      <c r="L12" s="740">
        <v>678.83089437360161</v>
      </c>
      <c r="M12" s="742">
        <v>0.90095921250989397</v>
      </c>
      <c r="N12" s="743">
        <v>-1.4566678661533917E-2</v>
      </c>
      <c r="O12" s="742">
        <v>4.6294869101211999E-2</v>
      </c>
      <c r="P12" s="743">
        <v>0.24102767463390604</v>
      </c>
      <c r="Q12" s="740"/>
      <c r="R12" s="744">
        <v>107.03725511000002</v>
      </c>
      <c r="S12" s="745">
        <v>101.05739061</v>
      </c>
      <c r="T12" s="746">
        <v>107.65593539999999</v>
      </c>
      <c r="U12" s="747">
        <v>96.993606780000007</v>
      </c>
      <c r="V12" s="746">
        <v>16.731669419999999</v>
      </c>
      <c r="W12" s="745">
        <v>113.72527620000001</v>
      </c>
      <c r="X12" s="744">
        <v>-1.5591772999999998</v>
      </c>
      <c r="Y12" s="747">
        <v>20.100000000000001</v>
      </c>
      <c r="Z12" s="744">
        <v>25.94805977</v>
      </c>
      <c r="AA12" s="745">
        <v>36.202208200000001</v>
      </c>
      <c r="AB12" s="746">
        <v>21.531187079999999</v>
      </c>
      <c r="AC12" s="747">
        <v>4.4168726900000017</v>
      </c>
      <c r="AD12" s="746" t="s">
        <v>721</v>
      </c>
    </row>
    <row r="13" spans="1:30" ht="14" thickBot="1">
      <c r="A13" s="737">
        <v>57</v>
      </c>
      <c r="B13" s="738" t="s">
        <v>1076</v>
      </c>
      <c r="C13" s="739">
        <v>10397.200000000001</v>
      </c>
      <c r="D13" s="740">
        <v>3392.5786933020422</v>
      </c>
      <c r="E13" s="741">
        <v>2829.6373225483785</v>
      </c>
      <c r="F13" s="740">
        <v>445.82099026661024</v>
      </c>
      <c r="G13" s="741">
        <v>3275.4583128149889</v>
      </c>
      <c r="H13" s="740">
        <v>218.88831897049204</v>
      </c>
      <c r="I13" s="739">
        <v>123.24639806871079</v>
      </c>
      <c r="J13" s="740">
        <v>344.02037952525677</v>
      </c>
      <c r="K13" s="739">
        <v>867.69893144308071</v>
      </c>
      <c r="L13" s="740">
        <v>874.32147020351613</v>
      </c>
      <c r="M13" s="742">
        <v>0.83406682006667165</v>
      </c>
      <c r="N13" s="743">
        <v>6.41714452742492E-2</v>
      </c>
      <c r="O13" s="742">
        <v>4.0185040137990978E-2</v>
      </c>
      <c r="P13" s="743">
        <v>0.25771589968706882</v>
      </c>
      <c r="Q13" s="740"/>
      <c r="R13" s="744">
        <v>35.464771290000009</v>
      </c>
      <c r="S13" s="745">
        <v>31.88792261</v>
      </c>
      <c r="T13" s="746">
        <v>35.273319189999995</v>
      </c>
      <c r="U13" s="747">
        <v>29.420305170000002</v>
      </c>
      <c r="V13" s="746">
        <v>4.6352900000000004</v>
      </c>
      <c r="W13" s="745">
        <v>34.055595170000004</v>
      </c>
      <c r="X13" s="744">
        <v>2.2758256299999999</v>
      </c>
      <c r="Y13" s="747">
        <v>9.0216393299999993</v>
      </c>
      <c r="Z13" s="744">
        <v>9.0904951899999986</v>
      </c>
      <c r="AA13" s="745" t="s">
        <v>30</v>
      </c>
      <c r="AB13" s="746">
        <v>7.0546638379999997</v>
      </c>
      <c r="AC13" s="747">
        <v>2.0358313519999989</v>
      </c>
      <c r="AD13" s="746" t="s">
        <v>721</v>
      </c>
    </row>
    <row r="14" spans="1:30" ht="14" thickBot="1">
      <c r="A14" s="737">
        <v>62</v>
      </c>
      <c r="B14" s="738" t="s">
        <v>1077</v>
      </c>
      <c r="C14" s="739">
        <v>41570.080000000002</v>
      </c>
      <c r="D14" s="740">
        <v>3917.4408613117894</v>
      </c>
      <c r="E14" s="741">
        <v>4727.7097679388635</v>
      </c>
      <c r="F14" s="740">
        <v>619.03290251065187</v>
      </c>
      <c r="G14" s="741">
        <v>5346.7426704495165</v>
      </c>
      <c r="H14" s="740">
        <v>-1245.504301170457</v>
      </c>
      <c r="I14" s="739">
        <v>303.58985958169916</v>
      </c>
      <c r="J14" s="740">
        <v>77.193135062525712</v>
      </c>
      <c r="K14" s="739">
        <v>1830.4772807750187</v>
      </c>
      <c r="L14" s="740">
        <v>1891.3461472770803</v>
      </c>
      <c r="M14" s="742">
        <v>1.2068362830002617</v>
      </c>
      <c r="N14" s="743">
        <v>-0.33915962401056438</v>
      </c>
      <c r="O14" s="742">
        <v>8.4444712235689293E-2</v>
      </c>
      <c r="P14" s="743">
        <v>0.48280145488750181</v>
      </c>
      <c r="Q14" s="740"/>
      <c r="R14" s="744">
        <v>152.65883606</v>
      </c>
      <c r="S14" s="745">
        <v>149.44991126000002</v>
      </c>
      <c r="T14" s="746">
        <v>162.84833</v>
      </c>
      <c r="U14" s="747">
        <v>196.53127327000001</v>
      </c>
      <c r="V14" s="746">
        <v>25.733247280000001</v>
      </c>
      <c r="W14" s="745">
        <v>222.26452055000001</v>
      </c>
      <c r="X14" s="744">
        <v>-51.775713439999997</v>
      </c>
      <c r="Y14" s="747">
        <v>76.093086999999997</v>
      </c>
      <c r="Z14" s="744">
        <v>78.623410650000011</v>
      </c>
      <c r="AA14" s="745" t="s">
        <v>30</v>
      </c>
      <c r="AB14" s="746">
        <v>32.569665999999998</v>
      </c>
      <c r="AC14" s="747">
        <v>46.053744650000013</v>
      </c>
      <c r="AD14" s="746" t="s">
        <v>721</v>
      </c>
    </row>
    <row r="15" spans="1:30" ht="14" thickBot="1">
      <c r="A15" s="737">
        <v>134</v>
      </c>
      <c r="B15" s="738" t="s">
        <v>1078</v>
      </c>
      <c r="C15" s="739">
        <v>3556.5</v>
      </c>
      <c r="D15" s="740">
        <v>2539.2068325601008</v>
      </c>
      <c r="E15" s="741">
        <v>2153.0037396316602</v>
      </c>
      <c r="F15" s="740">
        <v>411.48840151834668</v>
      </c>
      <c r="G15" s="741">
        <v>2564.4921411500068</v>
      </c>
      <c r="H15" s="740">
        <v>-23.09883312245185</v>
      </c>
      <c r="I15" s="739">
        <v>125.25660902572753</v>
      </c>
      <c r="J15" s="740">
        <v>200.52917193870383</v>
      </c>
      <c r="K15" s="739">
        <v>745.11457893996908</v>
      </c>
      <c r="L15" s="740">
        <v>1146.8033965977788</v>
      </c>
      <c r="M15" s="742">
        <v>0.84790404311449508</v>
      </c>
      <c r="N15" s="743">
        <v>-9.6886571358338492E-3</v>
      </c>
      <c r="O15" s="742">
        <v>5.7362913046864229E-2</v>
      </c>
      <c r="P15" s="743">
        <v>0.45163843366061629</v>
      </c>
      <c r="Q15" s="740"/>
      <c r="R15" s="744">
        <v>8.4790904299999994</v>
      </c>
      <c r="S15" s="745">
        <v>7.7659084299999996</v>
      </c>
      <c r="T15" s="746">
        <v>9.0306890999999982</v>
      </c>
      <c r="U15" s="747">
        <v>7.6571578000000002</v>
      </c>
      <c r="V15" s="746">
        <v>1.4634585</v>
      </c>
      <c r="W15" s="745">
        <v>9.1206163</v>
      </c>
      <c r="X15" s="744">
        <v>-8.2151000000000002E-2</v>
      </c>
      <c r="Y15" s="747">
        <v>2.65</v>
      </c>
      <c r="Z15" s="744">
        <v>4.0786062799999998</v>
      </c>
      <c r="AA15" s="745" t="s">
        <v>30</v>
      </c>
      <c r="AB15" s="746">
        <v>1.8061378199999996</v>
      </c>
      <c r="AC15" s="747">
        <v>2.2724684600000002</v>
      </c>
      <c r="AD15" s="746" t="s">
        <v>721</v>
      </c>
    </row>
    <row r="16" spans="1:30" ht="14" thickBot="1">
      <c r="A16" s="737">
        <v>182</v>
      </c>
      <c r="B16" s="738" t="s">
        <v>1079</v>
      </c>
      <c r="C16" s="739">
        <v>54526.75</v>
      </c>
      <c r="D16" s="740">
        <v>2698.4767403155329</v>
      </c>
      <c r="E16" s="741">
        <v>2646.2525521876873</v>
      </c>
      <c r="F16" s="740">
        <v>464.01643780346353</v>
      </c>
      <c r="G16" s="741">
        <v>3110.2689899911516</v>
      </c>
      <c r="H16" s="740">
        <v>-42.839542059631292</v>
      </c>
      <c r="I16" s="739">
        <v>113.08622061648643</v>
      </c>
      <c r="J16" s="740">
        <v>-9.7071668492987406</v>
      </c>
      <c r="K16" s="739">
        <v>531.84904656888591</v>
      </c>
      <c r="L16" s="740">
        <v>274.91238868995492</v>
      </c>
      <c r="M16" s="742">
        <v>0.9806467895951777</v>
      </c>
      <c r="N16" s="743">
        <v>-1.5757607314682856E-2</v>
      </c>
      <c r="O16" s="742">
        <v>4.1448347968100124E-2</v>
      </c>
      <c r="P16" s="743">
        <v>0.10187687912322321</v>
      </c>
      <c r="Q16" s="740"/>
      <c r="R16" s="744">
        <v>148.23957428</v>
      </c>
      <c r="S16" s="745">
        <v>148.76887456999998</v>
      </c>
      <c r="T16" s="746">
        <v>147.13916659999998</v>
      </c>
      <c r="U16" s="747">
        <v>144.29155134999999</v>
      </c>
      <c r="V16" s="746">
        <v>25.301308300000006</v>
      </c>
      <c r="W16" s="745">
        <v>169.59285965000001</v>
      </c>
      <c r="X16" s="744">
        <v>-2.3359010000000007</v>
      </c>
      <c r="Y16" s="747">
        <v>29</v>
      </c>
      <c r="Z16" s="744">
        <v>14.99007909</v>
      </c>
      <c r="AA16" s="745" t="s">
        <v>30</v>
      </c>
      <c r="AB16" s="746">
        <v>22.07087499</v>
      </c>
      <c r="AC16" s="747" t="s">
        <v>721</v>
      </c>
      <c r="AD16" s="746">
        <v>-7.0807959</v>
      </c>
    </row>
    <row r="17" spans="1:30" ht="14" thickBot="1">
      <c r="A17" s="737">
        <v>194</v>
      </c>
      <c r="B17" s="738" t="s">
        <v>1080</v>
      </c>
      <c r="C17" s="739">
        <v>20138.260000000002</v>
      </c>
      <c r="D17" s="740">
        <v>2757.2191490228051</v>
      </c>
      <c r="E17" s="741">
        <v>2108.7568762147275</v>
      </c>
      <c r="F17" s="740">
        <v>399.76495734984047</v>
      </c>
      <c r="G17" s="741">
        <v>2508.5218335645677</v>
      </c>
      <c r="H17" s="740">
        <v>409.50156567647855</v>
      </c>
      <c r="I17" s="739">
        <v>87.873280511821761</v>
      </c>
      <c r="J17" s="740">
        <v>23.807821033197534</v>
      </c>
      <c r="K17" s="739">
        <v>529.29101123930263</v>
      </c>
      <c r="L17" s="740">
        <v>407.49324519596024</v>
      </c>
      <c r="M17" s="742">
        <v>0.76481293732567424</v>
      </c>
      <c r="N17" s="743">
        <v>0.15291092079975335</v>
      </c>
      <c r="O17" s="742">
        <v>3.3106854963733799E-2</v>
      </c>
      <c r="P17" s="743">
        <v>0.14779138805139275</v>
      </c>
      <c r="Q17" s="740"/>
      <c r="R17" s="744">
        <v>53.931066250000001</v>
      </c>
      <c r="S17" s="745">
        <v>53.451618159999995</v>
      </c>
      <c r="T17" s="746">
        <v>55.525596100000001</v>
      </c>
      <c r="U17" s="747">
        <v>42.466694250000003</v>
      </c>
      <c r="V17" s="746">
        <v>8.0505706499999992</v>
      </c>
      <c r="W17" s="745">
        <v>50.517264900000001</v>
      </c>
      <c r="X17" s="744">
        <v>8.2466490000000015</v>
      </c>
      <c r="Y17" s="747">
        <v>10.659000000000001</v>
      </c>
      <c r="Z17" s="744">
        <v>8.2062049199999993</v>
      </c>
      <c r="AA17" s="745">
        <v>9.7867584999999995</v>
      </c>
      <c r="AB17" s="746">
        <v>11.105119220000001</v>
      </c>
      <c r="AC17" s="747" t="s">
        <v>721</v>
      </c>
      <c r="AD17" s="746">
        <v>-2.8989143000000013</v>
      </c>
    </row>
    <row r="18" spans="1:30" ht="14" thickBot="1">
      <c r="A18" s="737">
        <v>246</v>
      </c>
      <c r="B18" s="738" t="s">
        <v>1081</v>
      </c>
      <c r="C18" s="739">
        <v>4514.42</v>
      </c>
      <c r="D18" s="740">
        <v>3006.0759189441828</v>
      </c>
      <c r="E18" s="741">
        <v>2609.4239902357335</v>
      </c>
      <c r="F18" s="740">
        <v>420.85471666349167</v>
      </c>
      <c r="G18" s="741">
        <v>3030.2787068992252</v>
      </c>
      <c r="H18" s="740">
        <v>100.04031747156888</v>
      </c>
      <c r="I18" s="739">
        <v>195.88443476681388</v>
      </c>
      <c r="J18" s="740">
        <v>268.8640091085897</v>
      </c>
      <c r="K18" s="739">
        <v>686.68843395164822</v>
      </c>
      <c r="L18" s="740">
        <v>688.38429742912717</v>
      </c>
      <c r="M18" s="742">
        <v>0.86804992974104112</v>
      </c>
      <c r="N18" s="743">
        <v>3.3120356245906798E-2</v>
      </c>
      <c r="O18" s="742">
        <v>7.1188133412999011E-2</v>
      </c>
      <c r="P18" s="743">
        <v>0.22899764210576121</v>
      </c>
      <c r="Q18" s="740"/>
      <c r="R18" s="744">
        <v>13.635843969999998</v>
      </c>
      <c r="S18" s="745">
        <v>12.422078900000001</v>
      </c>
      <c r="T18" s="746">
        <v>13.570689249999997</v>
      </c>
      <c r="U18" s="747">
        <v>11.780035850000001</v>
      </c>
      <c r="V18" s="746">
        <v>1.8999149499999999</v>
      </c>
      <c r="W18" s="745">
        <v>13.6799508</v>
      </c>
      <c r="X18" s="744">
        <v>0.45162401000000002</v>
      </c>
      <c r="Y18" s="747">
        <v>3.1</v>
      </c>
      <c r="Z18" s="744">
        <v>3.1076558400000001</v>
      </c>
      <c r="AA18" s="745">
        <v>1.3120756</v>
      </c>
      <c r="AB18" s="746">
        <v>2.7141378499999997</v>
      </c>
      <c r="AC18" s="747">
        <v>0.39351799000000032</v>
      </c>
      <c r="AD18" s="746" t="s">
        <v>721</v>
      </c>
    </row>
    <row r="19" spans="1:30" ht="14" thickBot="1">
      <c r="A19" s="737">
        <v>290</v>
      </c>
      <c r="B19" s="738" t="s">
        <v>1082</v>
      </c>
      <c r="C19" s="739">
        <v>540359.25</v>
      </c>
      <c r="D19" s="740">
        <v>2902.4249057455754</v>
      </c>
      <c r="E19" s="741">
        <v>2662.3970943774902</v>
      </c>
      <c r="F19" s="740">
        <v>429.30255096031016</v>
      </c>
      <c r="G19" s="741">
        <v>3091.6996453378006</v>
      </c>
      <c r="H19" s="740">
        <v>-184.98926447543931</v>
      </c>
      <c r="I19" s="739">
        <v>150.74502048405765</v>
      </c>
      <c r="J19" s="740">
        <v>175.49742440792863</v>
      </c>
      <c r="K19" s="739">
        <v>687.85803000503836</v>
      </c>
      <c r="L19" s="740">
        <v>673.27731830259222</v>
      </c>
      <c r="M19" s="742">
        <v>0.91730094001986706</v>
      </c>
      <c r="N19" s="743">
        <v>-6.4957302785413604E-2</v>
      </c>
      <c r="O19" s="742">
        <v>5.6408908152513731E-2</v>
      </c>
      <c r="P19" s="743">
        <v>0.23197062462142859</v>
      </c>
      <c r="Q19" s="740"/>
      <c r="R19" s="744">
        <v>1538.8671623299999</v>
      </c>
      <c r="S19" s="745">
        <v>1444.0355057000002</v>
      </c>
      <c r="T19" s="746">
        <v>1568.3521452499999</v>
      </c>
      <c r="U19" s="747">
        <v>1438.6508971199999</v>
      </c>
      <c r="V19" s="746">
        <v>231.97760445999998</v>
      </c>
      <c r="W19" s="745">
        <v>1670.6285015799999</v>
      </c>
      <c r="X19" s="744">
        <v>-99.960660210000029</v>
      </c>
      <c r="Y19" s="747">
        <v>371.69044919999999</v>
      </c>
      <c r="Z19" s="744">
        <v>363.81162675999997</v>
      </c>
      <c r="AA19" s="745">
        <v>560.07171951999999</v>
      </c>
      <c r="AB19" s="746">
        <v>156.835214525</v>
      </c>
      <c r="AC19" s="747">
        <v>206.97641223499997</v>
      </c>
      <c r="AD19" s="746" t="s">
        <v>721</v>
      </c>
    </row>
    <row r="20" spans="1:30" ht="14" thickBot="1">
      <c r="A20" s="737">
        <v>294</v>
      </c>
      <c r="B20" s="738" t="s">
        <v>1083</v>
      </c>
      <c r="C20" s="739">
        <v>7656.42</v>
      </c>
      <c r="D20" s="740">
        <v>2463.6168927514427</v>
      </c>
      <c r="E20" s="741">
        <v>1643.2043174225025</v>
      </c>
      <c r="F20" s="740">
        <v>351.20560914892343</v>
      </c>
      <c r="G20" s="741">
        <v>1994.4099265714258</v>
      </c>
      <c r="H20" s="740">
        <v>595.04794669048977</v>
      </c>
      <c r="I20" s="739">
        <v>109.18805525297726</v>
      </c>
      <c r="J20" s="740">
        <v>44.790803012373935</v>
      </c>
      <c r="K20" s="739">
        <v>394.44022140896141</v>
      </c>
      <c r="L20" s="740">
        <v>511.13659647720482</v>
      </c>
      <c r="M20" s="742">
        <v>0.66698857369309628</v>
      </c>
      <c r="N20" s="743">
        <v>0.24094648884682018</v>
      </c>
      <c r="O20" s="742">
        <v>4.5029044366592122E-2</v>
      </c>
      <c r="P20" s="743">
        <v>0.20747405896634838</v>
      </c>
      <c r="Q20" s="740"/>
      <c r="R20" s="744">
        <v>18.908501309999998</v>
      </c>
      <c r="S20" s="745">
        <v>18.565564109999997</v>
      </c>
      <c r="T20" s="746">
        <v>18.86248565</v>
      </c>
      <c r="U20" s="747">
        <v>12.581062399999997</v>
      </c>
      <c r="V20" s="746">
        <v>2.68897765</v>
      </c>
      <c r="W20" s="745">
        <v>15.270040049999997</v>
      </c>
      <c r="X20" s="744">
        <v>4.5559370000000001</v>
      </c>
      <c r="Y20" s="747">
        <v>3.02</v>
      </c>
      <c r="Z20" s="744">
        <v>3.91347646</v>
      </c>
      <c r="AA20" s="745" t="s">
        <v>30</v>
      </c>
      <c r="AB20" s="746">
        <v>3.7724971300000001</v>
      </c>
      <c r="AC20" s="747">
        <v>0.14097932999999996</v>
      </c>
      <c r="AD20" s="746" t="s">
        <v>721</v>
      </c>
    </row>
    <row r="21" spans="1:30" ht="14" thickBot="1">
      <c r="A21" s="737">
        <v>312</v>
      </c>
      <c r="B21" s="738" t="s">
        <v>1084</v>
      </c>
      <c r="C21" s="739">
        <v>163268.83000000002</v>
      </c>
      <c r="D21" s="740">
        <v>2856.8304611480339</v>
      </c>
      <c r="E21" s="741">
        <v>2483.1731053624867</v>
      </c>
      <c r="F21" s="740">
        <v>436.09764123378591</v>
      </c>
      <c r="G21" s="741">
        <v>2919.2707465962726</v>
      </c>
      <c r="H21" s="740">
        <v>73.847249349431848</v>
      </c>
      <c r="I21" s="739">
        <v>105.4801750585216</v>
      </c>
      <c r="J21" s="740">
        <v>109.80028300564167</v>
      </c>
      <c r="K21" s="739">
        <v>746.2906422493503</v>
      </c>
      <c r="L21" s="740">
        <v>391.57906196792123</v>
      </c>
      <c r="M21" s="742">
        <v>0.86920562460140149</v>
      </c>
      <c r="N21" s="743">
        <v>2.595384905912819E-2</v>
      </c>
      <c r="O21" s="742">
        <v>3.8559332097654407E-2</v>
      </c>
      <c r="P21" s="743">
        <v>0.13706765847440694</v>
      </c>
      <c r="Q21" s="740"/>
      <c r="R21" s="744">
        <v>464.55359945000004</v>
      </c>
      <c r="S21" s="745">
        <v>446.62663570999996</v>
      </c>
      <c r="T21" s="746">
        <v>466.43136690000006</v>
      </c>
      <c r="U21" s="747">
        <v>405.42476759999994</v>
      </c>
      <c r="V21" s="746">
        <v>71.201151649999986</v>
      </c>
      <c r="W21" s="745">
        <v>476.62591924999992</v>
      </c>
      <c r="X21" s="744">
        <v>12.056953999999999</v>
      </c>
      <c r="Y21" s="747">
        <v>121.846</v>
      </c>
      <c r="Z21" s="744">
        <v>63.9326553</v>
      </c>
      <c r="AA21" s="745">
        <v>106.66702053</v>
      </c>
      <c r="AB21" s="746">
        <v>46.643136690000006</v>
      </c>
      <c r="AC21" s="747">
        <v>17.289518609999995</v>
      </c>
      <c r="AD21" s="746" t="s">
        <v>721</v>
      </c>
    </row>
    <row r="22" spans="1:30" ht="14" thickBot="1">
      <c r="A22" s="737">
        <v>343</v>
      </c>
      <c r="B22" s="738" t="s">
        <v>857</v>
      </c>
      <c r="C22" s="739">
        <v>191690.02</v>
      </c>
      <c r="D22" s="740">
        <v>2883.4364282501506</v>
      </c>
      <c r="E22" s="741">
        <v>2491.813005653607</v>
      </c>
      <c r="F22" s="740">
        <v>460.525542174809</v>
      </c>
      <c r="G22" s="741">
        <v>2952.3385478284154</v>
      </c>
      <c r="H22" s="740">
        <v>171.59968056761642</v>
      </c>
      <c r="I22" s="739">
        <v>142.7676309387416</v>
      </c>
      <c r="J22" s="740">
        <v>29.034144761422606</v>
      </c>
      <c r="K22" s="739">
        <v>626.66277566249937</v>
      </c>
      <c r="L22" s="740">
        <v>426.74344950248332</v>
      </c>
      <c r="M22" s="742">
        <v>0.86418170390036819</v>
      </c>
      <c r="N22" s="743">
        <v>5.9344114244427884E-2</v>
      </c>
      <c r="O22" s="742">
        <v>4.9873937093689778E-2</v>
      </c>
      <c r="P22" s="743">
        <v>0.14799821675328484</v>
      </c>
      <c r="Q22" s="740"/>
      <c r="R22" s="744">
        <v>554.29163647999985</v>
      </c>
      <c r="S22" s="745">
        <v>548.72608068999989</v>
      </c>
      <c r="T22" s="746">
        <v>552.72598659999994</v>
      </c>
      <c r="U22" s="747">
        <v>477.65568488999997</v>
      </c>
      <c r="V22" s="746">
        <v>88.278150389999979</v>
      </c>
      <c r="W22" s="745">
        <v>565.93383527999993</v>
      </c>
      <c r="X22" s="744">
        <v>32.893946200000002</v>
      </c>
      <c r="Y22" s="747">
        <v>120.125</v>
      </c>
      <c r="Z22" s="744">
        <v>81.802460370000006</v>
      </c>
      <c r="AA22" s="745" t="s">
        <v>30</v>
      </c>
      <c r="AB22" s="746">
        <v>55.27259866</v>
      </c>
      <c r="AC22" s="747">
        <v>26.529861710000006</v>
      </c>
      <c r="AD22" s="746" t="s">
        <v>721</v>
      </c>
    </row>
    <row r="23" spans="1:30" ht="14" thickBot="1">
      <c r="A23" s="737">
        <v>360</v>
      </c>
      <c r="B23" s="738" t="s">
        <v>1085</v>
      </c>
      <c r="C23" s="739">
        <v>18542</v>
      </c>
      <c r="D23" s="740">
        <v>2314.4348991478805</v>
      </c>
      <c r="E23" s="741">
        <v>1873.5467533167941</v>
      </c>
      <c r="F23" s="740">
        <v>378.96439434796679</v>
      </c>
      <c r="G23" s="741">
        <v>2252.5111476647608</v>
      </c>
      <c r="H23" s="740">
        <v>221.82752669614931</v>
      </c>
      <c r="I23" s="739">
        <v>87.272831949088555</v>
      </c>
      <c r="J23" s="740">
        <v>126.81360802502429</v>
      </c>
      <c r="K23" s="739">
        <v>554.20639898608556</v>
      </c>
      <c r="L23" s="740">
        <v>1053.0445167727321</v>
      </c>
      <c r="M23" s="742">
        <v>0.80950505629110114</v>
      </c>
      <c r="N23" s="743">
        <v>9.5401999850232039E-2</v>
      </c>
      <c r="O23" s="742">
        <v>3.9698814098239624E-2</v>
      </c>
      <c r="P23" s="743">
        <v>0.45498990581261883</v>
      </c>
      <c r="Q23" s="740"/>
      <c r="R23" s="744">
        <v>43.113624520000002</v>
      </c>
      <c r="S23" s="745">
        <v>40.762246600000005</v>
      </c>
      <c r="T23" s="746">
        <v>42.914251900000004</v>
      </c>
      <c r="U23" s="747">
        <v>34.739303899999996</v>
      </c>
      <c r="V23" s="746">
        <v>7.0267578000000004</v>
      </c>
      <c r="W23" s="745">
        <v>41.766061699999995</v>
      </c>
      <c r="X23" s="744">
        <v>4.1131260000000003</v>
      </c>
      <c r="Y23" s="747">
        <v>10.27609505</v>
      </c>
      <c r="Z23" s="744">
        <v>19.52555143</v>
      </c>
      <c r="AA23" s="745">
        <v>7.5078750000000003</v>
      </c>
      <c r="AB23" s="746">
        <v>8.58285038</v>
      </c>
      <c r="AC23" s="747">
        <v>10.94270105</v>
      </c>
      <c r="AD23" s="746" t="s">
        <v>721</v>
      </c>
    </row>
    <row r="24" spans="1:30" ht="14" thickBot="1">
      <c r="A24" s="737">
        <v>376</v>
      </c>
      <c r="B24" s="738" t="s">
        <v>1086</v>
      </c>
      <c r="C24" s="739">
        <v>346668</v>
      </c>
      <c r="D24" s="740">
        <v>3165.9446515109557</v>
      </c>
      <c r="E24" s="741">
        <v>2901.8613477736626</v>
      </c>
      <c r="F24" s="740">
        <v>473.10980012576863</v>
      </c>
      <c r="G24" s="741">
        <v>3374.9711478994309</v>
      </c>
      <c r="H24" s="740">
        <v>-21.213506871127404</v>
      </c>
      <c r="I24" s="739">
        <v>176.97997095203479</v>
      </c>
      <c r="J24" s="740">
        <v>25.55584573713179</v>
      </c>
      <c r="K24" s="739">
        <v>826.80835842939064</v>
      </c>
      <c r="L24" s="740">
        <v>355.49761356687088</v>
      </c>
      <c r="M24" s="742">
        <v>0.91658625377065306</v>
      </c>
      <c r="N24" s="743">
        <v>-6.6984956111935494E-3</v>
      </c>
      <c r="O24" s="742">
        <v>5.6338820713066264E-2</v>
      </c>
      <c r="P24" s="743">
        <v>0.11228800648716607</v>
      </c>
      <c r="Q24" s="740"/>
      <c r="R24" s="744">
        <v>1097.86501729</v>
      </c>
      <c r="S24" s="745">
        <v>1089.0056233599998</v>
      </c>
      <c r="T24" s="746">
        <v>1097.53170045</v>
      </c>
      <c r="U24" s="747">
        <v>1005.98246971</v>
      </c>
      <c r="V24" s="746">
        <v>164.01202818999997</v>
      </c>
      <c r="W24" s="745">
        <v>1169.9944978999999</v>
      </c>
      <c r="X24" s="744">
        <v>-7.3540439999999947</v>
      </c>
      <c r="Y24" s="747">
        <v>286.62799999999999</v>
      </c>
      <c r="Z24" s="744">
        <v>123.23964670000001</v>
      </c>
      <c r="AA24" s="745" t="s">
        <v>30</v>
      </c>
      <c r="AB24" s="746">
        <v>109.75317004500002</v>
      </c>
      <c r="AC24" s="747">
        <v>13.48647665499999</v>
      </c>
      <c r="AD24" s="746" t="s">
        <v>721</v>
      </c>
    </row>
    <row r="25" spans="1:30" ht="14" thickBot="1">
      <c r="A25" s="737">
        <v>455</v>
      </c>
      <c r="B25" s="738" t="s">
        <v>1087</v>
      </c>
      <c r="C25" s="739">
        <v>148455</v>
      </c>
      <c r="D25" s="740">
        <v>2724.8537593883666</v>
      </c>
      <c r="E25" s="741">
        <v>2261.6535591256606</v>
      </c>
      <c r="F25" s="740">
        <v>398.31039964972547</v>
      </c>
      <c r="G25" s="741">
        <v>2659.9639587753863</v>
      </c>
      <c r="H25" s="740">
        <v>185.57864066552153</v>
      </c>
      <c r="I25" s="739">
        <v>203.85142938937727</v>
      </c>
      <c r="J25" s="740">
        <v>55.288760432454261</v>
      </c>
      <c r="K25" s="739">
        <v>542.52923209053256</v>
      </c>
      <c r="L25" s="740">
        <v>464.92838139503561</v>
      </c>
      <c r="M25" s="742">
        <v>0.8300091523566101</v>
      </c>
      <c r="N25" s="743">
        <v>6.8098816790336816E-2</v>
      </c>
      <c r="O25" s="742">
        <v>7.6353174950765726E-2</v>
      </c>
      <c r="P25" s="743">
        <v>0.17062507659104451</v>
      </c>
      <c r="Q25" s="740"/>
      <c r="R25" s="744">
        <v>404.56029045000002</v>
      </c>
      <c r="S25" s="745">
        <v>396.35239751999995</v>
      </c>
      <c r="T25" s="746">
        <v>404.51816484999995</v>
      </c>
      <c r="U25" s="747">
        <v>335.75377911999993</v>
      </c>
      <c r="V25" s="746">
        <v>59.131170379999993</v>
      </c>
      <c r="W25" s="745">
        <v>394.88494949999995</v>
      </c>
      <c r="X25" s="744">
        <v>27.550077099999999</v>
      </c>
      <c r="Y25" s="747">
        <v>80.54117715000001</v>
      </c>
      <c r="Z25" s="744">
        <v>69.020942860000005</v>
      </c>
      <c r="AA25" s="745" t="s">
        <v>30</v>
      </c>
      <c r="AB25" s="746">
        <v>60.677724727499992</v>
      </c>
      <c r="AC25" s="747">
        <v>8.343218132500013</v>
      </c>
      <c r="AD25" s="746" t="s">
        <v>721</v>
      </c>
    </row>
    <row r="26" spans="1:30" ht="14" thickBot="1">
      <c r="A26" s="737">
        <v>509</v>
      </c>
      <c r="B26" s="738" t="s">
        <v>872</v>
      </c>
      <c r="C26" s="739">
        <v>155979.66</v>
      </c>
      <c r="D26" s="740">
        <v>3767.6240735490769</v>
      </c>
      <c r="E26" s="741">
        <v>3459.1382645019225</v>
      </c>
      <c r="F26" s="740">
        <v>478.6091778889633</v>
      </c>
      <c r="G26" s="741">
        <v>3937.7474423908861</v>
      </c>
      <c r="H26" s="740">
        <v>-59.68963075057345</v>
      </c>
      <c r="I26" s="739">
        <v>335.37411659956177</v>
      </c>
      <c r="J26" s="740">
        <v>29.827334025474872</v>
      </c>
      <c r="K26" s="739">
        <v>866.36277787757706</v>
      </c>
      <c r="L26" s="740">
        <v>458.02595158881621</v>
      </c>
      <c r="M26" s="742">
        <v>0.91812192431487394</v>
      </c>
      <c r="N26" s="743">
        <v>-1.5935457525109335E-2</v>
      </c>
      <c r="O26" s="742">
        <v>9.0254183822669629E-2</v>
      </c>
      <c r="P26" s="743">
        <v>0.12156890991445407</v>
      </c>
      <c r="Q26" s="740"/>
      <c r="R26" s="744">
        <v>584.25484774000006</v>
      </c>
      <c r="S26" s="745">
        <v>579.60239032000004</v>
      </c>
      <c r="T26" s="746">
        <v>587.67272200000002</v>
      </c>
      <c r="U26" s="747">
        <v>539.55521038999996</v>
      </c>
      <c r="V26" s="746">
        <v>74.65329684000001</v>
      </c>
      <c r="W26" s="745">
        <v>614.20850723000001</v>
      </c>
      <c r="X26" s="744">
        <v>-9.3103683099999923</v>
      </c>
      <c r="Y26" s="747">
        <v>135.13497153</v>
      </c>
      <c r="Z26" s="744">
        <v>71.442732200000009</v>
      </c>
      <c r="AA26" s="745">
        <v>20.100449299999998</v>
      </c>
      <c r="AB26" s="746">
        <v>58.767272200000001</v>
      </c>
      <c r="AC26" s="747">
        <v>12.675460000000008</v>
      </c>
      <c r="AD26" s="746" t="s">
        <v>721</v>
      </c>
    </row>
    <row r="27" spans="1:30" ht="14" thickBot="1">
      <c r="A27" s="737">
        <v>558</v>
      </c>
      <c r="B27" s="738" t="s">
        <v>1088</v>
      </c>
      <c r="C27" s="739">
        <v>2270.63</v>
      </c>
      <c r="D27" s="740">
        <v>2109.9949353263191</v>
      </c>
      <c r="E27" s="741">
        <v>1501.0995010195409</v>
      </c>
      <c r="F27" s="740">
        <v>384.21272510272473</v>
      </c>
      <c r="G27" s="741">
        <v>1885.3122261222654</v>
      </c>
      <c r="H27" s="740">
        <v>219.09663837789512</v>
      </c>
      <c r="I27" s="739">
        <v>175.13394960869891</v>
      </c>
      <c r="J27" s="740">
        <v>92.526818548156214</v>
      </c>
      <c r="K27" s="739">
        <v>726.67057160347565</v>
      </c>
      <c r="L27" s="740">
        <v>1769.722618832659</v>
      </c>
      <c r="M27" s="742">
        <v>0.71142327210723366</v>
      </c>
      <c r="N27" s="743">
        <v>0.10777367063399504</v>
      </c>
      <c r="O27" s="742">
        <v>9.0256340308948205E-2</v>
      </c>
      <c r="P27" s="743">
        <v>0.83873311220008429</v>
      </c>
      <c r="Q27" s="740"/>
      <c r="R27" s="744">
        <v>4.61603838</v>
      </c>
      <c r="S27" s="745">
        <v>4.4059442100000004</v>
      </c>
      <c r="T27" s="746">
        <v>4.7910177999999997</v>
      </c>
      <c r="U27" s="747">
        <v>3.40844156</v>
      </c>
      <c r="V27" s="746">
        <v>0.87240494000000002</v>
      </c>
      <c r="W27" s="745">
        <v>4.2808465</v>
      </c>
      <c r="X27" s="744">
        <v>0.49748740000000002</v>
      </c>
      <c r="Y27" s="747">
        <v>1.65</v>
      </c>
      <c r="Z27" s="744">
        <v>4.0183852700000005</v>
      </c>
      <c r="AA27" s="745" t="s">
        <v>30</v>
      </c>
      <c r="AB27" s="746">
        <v>0.95820356000000007</v>
      </c>
      <c r="AC27" s="747">
        <v>3.0601817100000002</v>
      </c>
      <c r="AD27" s="746" t="s">
        <v>721</v>
      </c>
    </row>
    <row r="28" spans="1:30" ht="14" thickBot="1">
      <c r="A28" s="737">
        <v>762</v>
      </c>
      <c r="B28" s="738" t="s">
        <v>1089</v>
      </c>
      <c r="C28" s="739">
        <v>21815.58</v>
      </c>
      <c r="D28" s="740">
        <v>3017.3171192331347</v>
      </c>
      <c r="E28" s="741">
        <v>2867.6766008513177</v>
      </c>
      <c r="F28" s="740">
        <v>469.72654176510542</v>
      </c>
      <c r="G28" s="741">
        <v>3337.4031426164229</v>
      </c>
      <c r="H28" s="740">
        <v>-230.56959934138811</v>
      </c>
      <c r="I28" s="739">
        <v>185.35083367024851</v>
      </c>
      <c r="J28" s="740">
        <v>198.48003491082977</v>
      </c>
      <c r="K28" s="739">
        <v>504.22679571205526</v>
      </c>
      <c r="L28" s="740">
        <v>456.4455888864747</v>
      </c>
      <c r="M28" s="742">
        <v>0.95040610168948736</v>
      </c>
      <c r="N28" s="743">
        <v>-7.7261171961979208E-2</v>
      </c>
      <c r="O28" s="742">
        <v>6.6533955879221146E-2</v>
      </c>
      <c r="P28" s="743">
        <v>0.1512753120899942</v>
      </c>
      <c r="Q28" s="740"/>
      <c r="R28" s="744">
        <v>65.103976710000012</v>
      </c>
      <c r="S28" s="745">
        <v>60.774019620000004</v>
      </c>
      <c r="T28" s="746">
        <v>65.824522999999999</v>
      </c>
      <c r="U28" s="747">
        <v>62.560028299999999</v>
      </c>
      <c r="V28" s="746">
        <v>10.24735695</v>
      </c>
      <c r="W28" s="745">
        <v>72.807385249999996</v>
      </c>
      <c r="X28" s="744">
        <v>-5.03000954</v>
      </c>
      <c r="Y28" s="747">
        <v>11</v>
      </c>
      <c r="Z28" s="744">
        <v>9.9576252600000004</v>
      </c>
      <c r="AA28" s="745">
        <v>16.465731300000002</v>
      </c>
      <c r="AB28" s="746">
        <v>13.1649046</v>
      </c>
      <c r="AC28" s="747" t="s">
        <v>721</v>
      </c>
      <c r="AD28" s="746">
        <v>-3.2072793399999995</v>
      </c>
    </row>
    <row r="29" spans="1:30" ht="14" thickBot="1">
      <c r="A29" s="737">
        <v>774</v>
      </c>
      <c r="B29" s="738" t="s">
        <v>863</v>
      </c>
      <c r="C29" s="739">
        <v>187007.08</v>
      </c>
      <c r="D29" s="740">
        <v>2793.9847125039328</v>
      </c>
      <c r="E29" s="741">
        <v>2115.4868685185606</v>
      </c>
      <c r="F29" s="740">
        <v>440.63073670793636</v>
      </c>
      <c r="G29" s="741">
        <v>2556.1176052264973</v>
      </c>
      <c r="H29" s="740">
        <v>474.14970759395845</v>
      </c>
      <c r="I29" s="739">
        <v>125.16477499140673</v>
      </c>
      <c r="J29" s="740">
        <v>48.866178061279811</v>
      </c>
      <c r="K29" s="739">
        <v>551.86038945691246</v>
      </c>
      <c r="L29" s="740">
        <v>478.73730978527652</v>
      </c>
      <c r="M29" s="742">
        <v>0.75715763907050471</v>
      </c>
      <c r="N29" s="743">
        <v>0.16929682315372815</v>
      </c>
      <c r="O29" s="742">
        <v>4.5484123522932692E-2</v>
      </c>
      <c r="P29" s="743">
        <v>0.1713457155448207</v>
      </c>
      <c r="Q29" s="740"/>
      <c r="R29" s="744">
        <v>523.75083387999996</v>
      </c>
      <c r="S29" s="745">
        <v>514.61251261000007</v>
      </c>
      <c r="T29" s="746">
        <v>522.49492265000003</v>
      </c>
      <c r="U29" s="747">
        <v>395.61102205999998</v>
      </c>
      <c r="V29" s="746">
        <v>82.401067429999998</v>
      </c>
      <c r="W29" s="745">
        <v>478.01208948999999</v>
      </c>
      <c r="X29" s="744">
        <v>88.6693523</v>
      </c>
      <c r="Y29" s="747">
        <v>103.20180000000001</v>
      </c>
      <c r="Z29" s="744">
        <v>89.527266389999994</v>
      </c>
      <c r="AA29" s="745" t="s">
        <v>30</v>
      </c>
      <c r="AB29" s="746">
        <v>52.249492265000008</v>
      </c>
      <c r="AC29" s="747">
        <v>37.277774124999986</v>
      </c>
      <c r="AD29" s="746" t="s">
        <v>721</v>
      </c>
    </row>
    <row r="30" spans="1:30" ht="14" thickBot="1">
      <c r="A30" s="737">
        <v>780</v>
      </c>
      <c r="B30" s="738" t="s">
        <v>1090</v>
      </c>
      <c r="C30" s="739">
        <v>5874.1</v>
      </c>
      <c r="D30" s="740">
        <v>2158.4229584106506</v>
      </c>
      <c r="E30" s="741">
        <v>1616.9061813724659</v>
      </c>
      <c r="F30" s="740">
        <v>395.31684853849953</v>
      </c>
      <c r="G30" s="741">
        <v>2012.2230299109654</v>
      </c>
      <c r="H30" s="740">
        <v>380.29110842512046</v>
      </c>
      <c r="I30" s="739">
        <v>119.90640779012956</v>
      </c>
      <c r="J30" s="740">
        <v>8.16773463168823</v>
      </c>
      <c r="K30" s="739">
        <v>357.5015747093172</v>
      </c>
      <c r="L30" s="740">
        <v>487.7115490032516</v>
      </c>
      <c r="M30" s="742">
        <v>0.74911461401572133</v>
      </c>
      <c r="N30" s="743">
        <v>0.17654883088794329</v>
      </c>
      <c r="O30" s="742">
        <v>5.5878015452765002E-2</v>
      </c>
      <c r="P30" s="743">
        <v>0.22595735794173394</v>
      </c>
      <c r="Q30" s="740"/>
      <c r="R30" s="744">
        <v>12.652975320000003</v>
      </c>
      <c r="S30" s="745">
        <v>12.60499723</v>
      </c>
      <c r="T30" s="746">
        <v>12.678792300000001</v>
      </c>
      <c r="U30" s="747">
        <v>9.4978686000000021</v>
      </c>
      <c r="V30" s="746">
        <v>2.3221307000000002</v>
      </c>
      <c r="W30" s="745">
        <v>11.819999300000003</v>
      </c>
      <c r="X30" s="744">
        <v>2.2338680000000002</v>
      </c>
      <c r="Y30" s="747">
        <v>2.1</v>
      </c>
      <c r="Z30" s="744">
        <v>2.8648664100000003</v>
      </c>
      <c r="AA30" s="745">
        <v>1.3601752999999999</v>
      </c>
      <c r="AB30" s="746">
        <v>2.5357584600000003</v>
      </c>
      <c r="AC30" s="747">
        <v>0.32910795000000004</v>
      </c>
      <c r="AD30" s="746" t="s">
        <v>721</v>
      </c>
    </row>
    <row r="31" spans="1:30" ht="14" thickBot="1">
      <c r="A31" s="737">
        <v>790</v>
      </c>
      <c r="B31" s="738" t="s">
        <v>1091</v>
      </c>
      <c r="C31" s="739">
        <v>5824</v>
      </c>
      <c r="D31" s="740">
        <v>2671.7220037774723</v>
      </c>
      <c r="E31" s="741">
        <v>1968.9328554258241</v>
      </c>
      <c r="F31" s="740">
        <v>409.13619505494501</v>
      </c>
      <c r="G31" s="741">
        <v>2378.069050480769</v>
      </c>
      <c r="H31" s="740">
        <v>319.79567307692309</v>
      </c>
      <c r="I31" s="739">
        <v>196.03365212912087</v>
      </c>
      <c r="J31" s="740">
        <v>146.85777815934065</v>
      </c>
      <c r="K31" s="739">
        <v>440.76236263736268</v>
      </c>
      <c r="L31" s="740">
        <v>663.62066105769225</v>
      </c>
      <c r="M31" s="742">
        <v>0.73695274158090007</v>
      </c>
      <c r="N31" s="743">
        <v>0.11903233535064989</v>
      </c>
      <c r="O31" s="742">
        <v>7.7185568338937957E-2</v>
      </c>
      <c r="P31" s="743">
        <v>0.2483868681395062</v>
      </c>
      <c r="Q31" s="740"/>
      <c r="R31" s="744">
        <v>15.646924799999999</v>
      </c>
      <c r="S31" s="745">
        <v>14.791625099999999</v>
      </c>
      <c r="T31" s="746">
        <v>15.56010895</v>
      </c>
      <c r="U31" s="747">
        <v>11.467064949999999</v>
      </c>
      <c r="V31" s="746">
        <v>2.3828091999999996</v>
      </c>
      <c r="W31" s="745">
        <v>13.849874149999998</v>
      </c>
      <c r="X31" s="744">
        <v>1.86249</v>
      </c>
      <c r="Y31" s="747">
        <v>2.5670000000000002</v>
      </c>
      <c r="Z31" s="744">
        <v>3.8649267300000001</v>
      </c>
      <c r="AA31" s="745" t="s">
        <v>30</v>
      </c>
      <c r="AB31" s="746">
        <v>3.11202179</v>
      </c>
      <c r="AC31" s="747">
        <v>0.75290494000000008</v>
      </c>
      <c r="AD31" s="746" t="s">
        <v>721</v>
      </c>
    </row>
    <row r="32" spans="1:30" ht="14" thickBot="1">
      <c r="A32" s="737">
        <v>820</v>
      </c>
      <c r="B32" s="738" t="s">
        <v>1092</v>
      </c>
      <c r="C32" s="739">
        <v>2491.08</v>
      </c>
      <c r="D32" s="740">
        <v>2463.3090065353181</v>
      </c>
      <c r="E32" s="741">
        <v>2219.4876318705137</v>
      </c>
      <c r="F32" s="740">
        <v>376.84994058801806</v>
      </c>
      <c r="G32" s="741">
        <v>2596.3375724585321</v>
      </c>
      <c r="H32" s="740">
        <v>-37.276602919215762</v>
      </c>
      <c r="I32" s="739">
        <v>96.035338086291901</v>
      </c>
      <c r="J32" s="740">
        <v>106.41139184610692</v>
      </c>
      <c r="K32" s="739">
        <v>1071.0214043707949</v>
      </c>
      <c r="L32" s="740">
        <v>594.1035133355814</v>
      </c>
      <c r="M32" s="742">
        <v>0.90101876215370036</v>
      </c>
      <c r="N32" s="743">
        <v>-1.4918065897970798E-2</v>
      </c>
      <c r="O32" s="742">
        <v>4.0142773685049649E-2</v>
      </c>
      <c r="P32" s="743">
        <v>0.24118107462741642</v>
      </c>
      <c r="Q32" s="740"/>
      <c r="R32" s="744">
        <v>6.2246004699999995</v>
      </c>
      <c r="S32" s="745">
        <v>5.9595211799999994</v>
      </c>
      <c r="T32" s="746">
        <v>6.1362997999999997</v>
      </c>
      <c r="U32" s="747">
        <v>5.5289212499999998</v>
      </c>
      <c r="V32" s="746">
        <v>0.93876335</v>
      </c>
      <c r="W32" s="745">
        <v>6.4676846000000001</v>
      </c>
      <c r="X32" s="744">
        <v>-9.2858999999999997E-2</v>
      </c>
      <c r="Y32" s="747">
        <v>2.6680000000000001</v>
      </c>
      <c r="Z32" s="744">
        <v>1.4799593800000002</v>
      </c>
      <c r="AA32" s="745">
        <v>0.75175840000000005</v>
      </c>
      <c r="AB32" s="746">
        <v>1.22725996</v>
      </c>
      <c r="AC32" s="747">
        <v>0.25269942000000012</v>
      </c>
      <c r="AD32" s="746" t="s">
        <v>721</v>
      </c>
    </row>
    <row r="33" spans="1:30" ht="14" thickBot="1">
      <c r="A33" s="737">
        <v>829</v>
      </c>
      <c r="B33" s="738" t="s">
        <v>1093</v>
      </c>
      <c r="C33" s="739">
        <v>13944.67</v>
      </c>
      <c r="D33" s="740">
        <v>2105.6654191171251</v>
      </c>
      <c r="E33" s="741">
        <v>2004.0403645263748</v>
      </c>
      <c r="F33" s="740">
        <v>352.07264496040426</v>
      </c>
      <c r="G33" s="741">
        <v>2356.1130094867785</v>
      </c>
      <c r="H33" s="740">
        <v>-72.713169261086875</v>
      </c>
      <c r="I33" s="739">
        <v>97.716987924418447</v>
      </c>
      <c r="J33" s="740">
        <v>117.12180281067964</v>
      </c>
      <c r="K33" s="739">
        <v>394.41593096143544</v>
      </c>
      <c r="L33" s="740">
        <v>437.57240364956647</v>
      </c>
      <c r="M33" s="742">
        <v>0.95173732081644757</v>
      </c>
      <c r="N33" s="743">
        <v>-3.4375699978278752E-2</v>
      </c>
      <c r="O33" s="742">
        <v>4.8904284974773872E-2</v>
      </c>
      <c r="P33" s="743">
        <v>0.20780718516668911</v>
      </c>
      <c r="Q33" s="740"/>
      <c r="R33" s="744">
        <v>29.496451</v>
      </c>
      <c r="S33" s="745">
        <v>27.863226110000003</v>
      </c>
      <c r="T33" s="746">
        <v>29.3628094</v>
      </c>
      <c r="U33" s="747">
        <v>27.94568155</v>
      </c>
      <c r="V33" s="746">
        <v>4.9095368500000003</v>
      </c>
      <c r="W33" s="745">
        <v>32.855218399999998</v>
      </c>
      <c r="X33" s="744">
        <v>-1.0139611500000003</v>
      </c>
      <c r="Y33" s="747">
        <v>5.5</v>
      </c>
      <c r="Z33" s="744">
        <v>6.1018027699999999</v>
      </c>
      <c r="AA33" s="745" t="s">
        <v>30</v>
      </c>
      <c r="AB33" s="746">
        <v>5.8725618800000001</v>
      </c>
      <c r="AC33" s="747">
        <v>0.22924088999999981</v>
      </c>
      <c r="AD33" s="746" t="s">
        <v>721</v>
      </c>
    </row>
    <row r="34" spans="1:30" ht="14" thickBot="1">
      <c r="A34" s="737">
        <v>881</v>
      </c>
      <c r="B34" s="738" t="s">
        <v>1094</v>
      </c>
      <c r="C34" s="739">
        <v>240768.67</v>
      </c>
      <c r="D34" s="740">
        <v>2436.5849346179461</v>
      </c>
      <c r="E34" s="741">
        <v>1919.5092277994474</v>
      </c>
      <c r="F34" s="740">
        <v>382.55647431204403</v>
      </c>
      <c r="G34" s="741">
        <v>2302.0657021114916</v>
      </c>
      <c r="H34" s="740">
        <v>349.24259452029196</v>
      </c>
      <c r="I34" s="739">
        <v>177.44770542612534</v>
      </c>
      <c r="J34" s="740">
        <v>-101.2669145034526</v>
      </c>
      <c r="K34" s="739">
        <v>383.79059011290792</v>
      </c>
      <c r="L34" s="740">
        <v>56.261175592322701</v>
      </c>
      <c r="M34" s="742">
        <v>0.78778670939308926</v>
      </c>
      <c r="N34" s="743">
        <v>0.14307781165378822</v>
      </c>
      <c r="O34" s="742">
        <v>6.9800991640800641E-2</v>
      </c>
      <c r="P34" s="743">
        <v>2.3090176251600432E-2</v>
      </c>
      <c r="Q34" s="740"/>
      <c r="R34" s="744">
        <v>587.69891724000001</v>
      </c>
      <c r="S34" s="745">
        <v>612.08081756000001</v>
      </c>
      <c r="T34" s="746">
        <v>586.65331404999995</v>
      </c>
      <c r="U34" s="747">
        <v>462.15768383000005</v>
      </c>
      <c r="V34" s="746">
        <v>92.107613520000015</v>
      </c>
      <c r="W34" s="745">
        <v>554.26529735000008</v>
      </c>
      <c r="X34" s="744">
        <v>84.086674989999992</v>
      </c>
      <c r="Y34" s="747">
        <v>92.404749940000002</v>
      </c>
      <c r="Z34" s="744">
        <v>13.545928419999999</v>
      </c>
      <c r="AA34" s="745" t="s">
        <v>30</v>
      </c>
      <c r="AB34" s="746">
        <v>58.665331405000003</v>
      </c>
      <c r="AC34" s="747" t="s">
        <v>721</v>
      </c>
      <c r="AD34" s="746">
        <v>-45.119402985000008</v>
      </c>
    </row>
    <row r="35" spans="1:30" ht="14" thickBot="1">
      <c r="A35" s="737">
        <v>901</v>
      </c>
      <c r="B35" s="738" t="s">
        <v>1095</v>
      </c>
      <c r="C35" s="739">
        <v>2332.67</v>
      </c>
      <c r="D35" s="740">
        <v>2152.5365353864886</v>
      </c>
      <c r="E35" s="741">
        <v>1855.8592514157597</v>
      </c>
      <c r="F35" s="740">
        <v>369.25242318887803</v>
      </c>
      <c r="G35" s="741">
        <v>2225.1116746046378</v>
      </c>
      <c r="H35" s="740">
        <v>40.942246438630413</v>
      </c>
      <c r="I35" s="739">
        <v>127.26763751409327</v>
      </c>
      <c r="J35" s="740">
        <v>205.33549108960972</v>
      </c>
      <c r="K35" s="739">
        <v>771.64793991434703</v>
      </c>
      <c r="L35" s="740">
        <v>1526.7083299395113</v>
      </c>
      <c r="M35" s="742">
        <v>0.86217317146839489</v>
      </c>
      <c r="N35" s="743">
        <v>1.8333451970143279E-2</v>
      </c>
      <c r="O35" s="742">
        <v>6.275946952482564E-2</v>
      </c>
      <c r="P35" s="743">
        <v>0.70926012397062077</v>
      </c>
      <c r="Q35" s="740"/>
      <c r="R35" s="744">
        <v>5.2093162900000012</v>
      </c>
      <c r="S35" s="745">
        <v>4.7303363500000009</v>
      </c>
      <c r="T35" s="746">
        <v>5.0211574000000008</v>
      </c>
      <c r="U35" s="747">
        <v>4.3291072000000002</v>
      </c>
      <c r="V35" s="746">
        <v>0.86134405000000014</v>
      </c>
      <c r="W35" s="745">
        <v>5.1904512500000006</v>
      </c>
      <c r="X35" s="744">
        <v>9.5504749999999999E-2</v>
      </c>
      <c r="Y35" s="747">
        <v>1.8</v>
      </c>
      <c r="Z35" s="744">
        <v>3.5613067200000001</v>
      </c>
      <c r="AA35" s="745" t="s">
        <v>30</v>
      </c>
      <c r="AB35" s="746">
        <v>1.0042314800000001</v>
      </c>
      <c r="AC35" s="747">
        <v>2.5570752400000001</v>
      </c>
      <c r="AD35" s="746" t="s">
        <v>721</v>
      </c>
    </row>
    <row r="36" spans="1:30" ht="14" thickBot="1">
      <c r="A36" s="737">
        <v>923</v>
      </c>
      <c r="B36" s="738" t="s">
        <v>1096</v>
      </c>
      <c r="C36" s="739">
        <v>16665.73</v>
      </c>
      <c r="D36" s="740">
        <v>2523.8148673955475</v>
      </c>
      <c r="E36" s="741">
        <v>2593.5918828638173</v>
      </c>
      <c r="F36" s="740">
        <v>431.6470835660964</v>
      </c>
      <c r="G36" s="741">
        <v>3025.2389664299139</v>
      </c>
      <c r="H36" s="740">
        <v>-210.02278268038663</v>
      </c>
      <c r="I36" s="739">
        <v>143.79372220718801</v>
      </c>
      <c r="J36" s="740">
        <v>18.975686033555004</v>
      </c>
      <c r="K36" s="739">
        <v>777.04366985424576</v>
      </c>
      <c r="L36" s="740">
        <v>1083.2045916980535</v>
      </c>
      <c r="M36" s="742">
        <v>1.0276474381578853</v>
      </c>
      <c r="N36" s="743">
        <v>-8.1214504569386281E-2</v>
      </c>
      <c r="O36" s="742">
        <v>5.6015165513637145E-2</v>
      </c>
      <c r="P36" s="743">
        <v>0.4291933634640433</v>
      </c>
      <c r="Q36" s="740"/>
      <c r="R36" s="744">
        <v>43.098003349999999</v>
      </c>
      <c r="S36" s="745">
        <v>42.781759689999994</v>
      </c>
      <c r="T36" s="746">
        <v>42.061217149999997</v>
      </c>
      <c r="U36" s="747">
        <v>43.224102050000006</v>
      </c>
      <c r="V36" s="746">
        <v>7.1937137499999997</v>
      </c>
      <c r="W36" s="745">
        <v>50.417815800000007</v>
      </c>
      <c r="X36" s="744">
        <v>-3.5001829899999999</v>
      </c>
      <c r="Y36" s="747">
        <v>12.95</v>
      </c>
      <c r="Z36" s="744">
        <v>18.052395260000001</v>
      </c>
      <c r="AA36" s="745" t="s">
        <v>30</v>
      </c>
      <c r="AB36" s="746">
        <v>8.4122434300000002</v>
      </c>
      <c r="AC36" s="747">
        <v>9.6401518300000006</v>
      </c>
      <c r="AD36" s="746" t="s">
        <v>721</v>
      </c>
    </row>
    <row r="37" spans="1:30" ht="14" thickBot="1">
      <c r="A37" s="737">
        <v>941</v>
      </c>
      <c r="B37" s="738" t="s">
        <v>1097</v>
      </c>
      <c r="C37" s="739">
        <v>35769.700000000004</v>
      </c>
      <c r="D37" s="740">
        <v>2590.7704246890521</v>
      </c>
      <c r="E37" s="741">
        <v>2123.8653354654912</v>
      </c>
      <c r="F37" s="740">
        <v>368.05696469358139</v>
      </c>
      <c r="G37" s="741">
        <v>2491.9223001590726</v>
      </c>
      <c r="H37" s="740">
        <v>269.91273060718987</v>
      </c>
      <c r="I37" s="739">
        <v>67.177218427887269</v>
      </c>
      <c r="J37" s="740">
        <v>75.517817594220816</v>
      </c>
      <c r="K37" s="739">
        <v>574.32273684151653</v>
      </c>
      <c r="L37" s="740">
        <v>653.70001649440735</v>
      </c>
      <c r="M37" s="742">
        <v>0.81978137284024322</v>
      </c>
      <c r="N37" s="743">
        <v>0.10562589834654083</v>
      </c>
      <c r="O37" s="742">
        <v>2.7089256604324284E-2</v>
      </c>
      <c r="P37" s="743">
        <v>0.25231877369947403</v>
      </c>
      <c r="Q37" s="740"/>
      <c r="R37" s="744">
        <v>91.404641769999998</v>
      </c>
      <c r="S37" s="745">
        <v>88.703392090000023</v>
      </c>
      <c r="T37" s="746">
        <v>92.671080860000004</v>
      </c>
      <c r="U37" s="747">
        <v>75.970025889999988</v>
      </c>
      <c r="V37" s="746">
        <v>13.165287209999999</v>
      </c>
      <c r="W37" s="745">
        <v>89.135313099999991</v>
      </c>
      <c r="X37" s="744">
        <v>9.6546973999999999</v>
      </c>
      <c r="Y37" s="747">
        <v>20.543351999999999</v>
      </c>
      <c r="Z37" s="744">
        <v>23.382653480000002</v>
      </c>
      <c r="AA37" s="745">
        <v>14.137002300000001</v>
      </c>
      <c r="AB37" s="746">
        <v>18.534216172000001</v>
      </c>
      <c r="AC37" s="747">
        <v>4.8484373080000012</v>
      </c>
      <c r="AD37" s="746" t="s">
        <v>721</v>
      </c>
    </row>
    <row r="38" spans="1:30" ht="14" thickBot="1">
      <c r="A38" s="737">
        <v>966</v>
      </c>
      <c r="B38" s="738" t="s">
        <v>1098</v>
      </c>
      <c r="C38" s="739">
        <v>6934.71</v>
      </c>
      <c r="D38" s="740">
        <v>2088.6850495550639</v>
      </c>
      <c r="E38" s="741">
        <v>1935.3948542909507</v>
      </c>
      <c r="F38" s="740">
        <v>369.68201265806351</v>
      </c>
      <c r="G38" s="741">
        <v>2305.0768669490144</v>
      </c>
      <c r="H38" s="740">
        <v>317.55384147282297</v>
      </c>
      <c r="I38" s="739">
        <v>33.205315002357707</v>
      </c>
      <c r="J38" s="740">
        <v>-145.98569947409482</v>
      </c>
      <c r="K38" s="739">
        <v>317.2447009319784</v>
      </c>
      <c r="L38" s="740">
        <v>107.28273568757741</v>
      </c>
      <c r="M38" s="742">
        <v>0.92660923421807062</v>
      </c>
      <c r="N38" s="743">
        <v>0.14752024261901958</v>
      </c>
      <c r="O38" s="742">
        <v>1.4445901214833089E-2</v>
      </c>
      <c r="P38" s="743">
        <v>5.1363768659344312E-2</v>
      </c>
      <c r="Q38" s="740"/>
      <c r="R38" s="744">
        <v>14.927739820000001</v>
      </c>
      <c r="S38" s="745">
        <v>15.940108309999999</v>
      </c>
      <c r="T38" s="746">
        <v>14.484425099999997</v>
      </c>
      <c r="U38" s="747">
        <v>13.421402049999999</v>
      </c>
      <c r="V38" s="746">
        <v>2.5636375499999997</v>
      </c>
      <c r="W38" s="745">
        <v>15.985039599999999</v>
      </c>
      <c r="X38" s="744">
        <v>2.2021438</v>
      </c>
      <c r="Y38" s="747">
        <v>2.2000000000000002</v>
      </c>
      <c r="Z38" s="744">
        <v>0.74397466000000001</v>
      </c>
      <c r="AA38" s="745">
        <v>3.91541615</v>
      </c>
      <c r="AB38" s="746">
        <v>2.8968850199999996</v>
      </c>
      <c r="AC38" s="747" t="s">
        <v>721</v>
      </c>
      <c r="AD38" s="746">
        <v>-2.1529103599999995</v>
      </c>
    </row>
    <row r="39" spans="1:30" ht="14" thickBot="1">
      <c r="A39" s="737">
        <v>994</v>
      </c>
      <c r="B39" s="738" t="s">
        <v>883</v>
      </c>
      <c r="C39" s="739">
        <v>195214.58</v>
      </c>
      <c r="D39" s="740">
        <v>3006.0086913590162</v>
      </c>
      <c r="E39" s="741">
        <v>2373.7054710257808</v>
      </c>
      <c r="F39" s="740">
        <v>446.33387321787137</v>
      </c>
      <c r="G39" s="741">
        <v>2820.0393442436521</v>
      </c>
      <c r="H39" s="740">
        <v>440.39061544480944</v>
      </c>
      <c r="I39" s="739">
        <v>177.21415936248201</v>
      </c>
      <c r="J39" s="740">
        <v>105.35238049330127</v>
      </c>
      <c r="K39" s="739">
        <v>678.59670112754884</v>
      </c>
      <c r="L39" s="740">
        <v>465.44363028622138</v>
      </c>
      <c r="M39" s="742">
        <v>0.78965356216339777</v>
      </c>
      <c r="N39" s="743">
        <v>0.14457410578116431</v>
      </c>
      <c r="O39" s="742">
        <v>6.0261114464183051E-2</v>
      </c>
      <c r="P39" s="743">
        <v>0.15483775267322811</v>
      </c>
      <c r="Q39" s="740"/>
      <c r="R39" s="744">
        <v>594.64776603999996</v>
      </c>
      <c r="S39" s="745">
        <v>574.08144534999997</v>
      </c>
      <c r="T39" s="746">
        <v>586.81672416000004</v>
      </c>
      <c r="U39" s="747">
        <v>463.38191656999999</v>
      </c>
      <c r="V39" s="746">
        <v>87.130879600000014</v>
      </c>
      <c r="W39" s="745">
        <v>550.51279617</v>
      </c>
      <c r="X39" s="744">
        <v>85.970669029999996</v>
      </c>
      <c r="Y39" s="747">
        <v>132.47197</v>
      </c>
      <c r="Z39" s="744">
        <v>90.861382800000001</v>
      </c>
      <c r="AA39" s="745">
        <v>5.1220800000000004E-2</v>
      </c>
      <c r="AB39" s="746">
        <v>58.681672416000012</v>
      </c>
      <c r="AC39" s="747">
        <v>32.179710383999989</v>
      </c>
      <c r="AD39" s="746" t="s">
        <v>721</v>
      </c>
    </row>
    <row r="40" spans="1:30" ht="14" thickBot="1">
      <c r="A40" s="737">
        <v>1003</v>
      </c>
      <c r="B40" s="738" t="s">
        <v>1099</v>
      </c>
      <c r="C40" s="739">
        <v>171.25</v>
      </c>
      <c r="D40" s="740">
        <v>2128.4341605839413</v>
      </c>
      <c r="E40" s="741">
        <v>1552.2767883211682</v>
      </c>
      <c r="F40" s="740">
        <v>307.80554744525551</v>
      </c>
      <c r="G40" s="741">
        <v>1860.082335766424</v>
      </c>
      <c r="H40" s="740">
        <v>-487.14160583941606</v>
      </c>
      <c r="I40" s="739">
        <v>238.68963503649638</v>
      </c>
      <c r="J40" s="740">
        <v>505.36782481751817</v>
      </c>
      <c r="K40" s="739">
        <v>1985.4014598540145</v>
      </c>
      <c r="L40" s="740">
        <v>8238.0453722627735</v>
      </c>
      <c r="M40" s="742">
        <v>0.72930458318489733</v>
      </c>
      <c r="N40" s="743">
        <v>-0.23711410619311407</v>
      </c>
      <c r="O40" s="742">
        <v>0.15408349185951636</v>
      </c>
      <c r="P40" s="743">
        <v>3.8704722583491353</v>
      </c>
      <c r="Q40" s="740"/>
      <c r="R40" s="744">
        <v>0.3518263900000001</v>
      </c>
      <c r="S40" s="745">
        <v>0.26528215000000005</v>
      </c>
      <c r="T40" s="746">
        <v>0.36449434999999997</v>
      </c>
      <c r="U40" s="747">
        <v>0.26582740000000005</v>
      </c>
      <c r="V40" s="746">
        <v>5.27117E-2</v>
      </c>
      <c r="W40" s="745">
        <v>0.31853910000000007</v>
      </c>
      <c r="X40" s="744">
        <v>-8.3422999999999997E-2</v>
      </c>
      <c r="Y40" s="747">
        <v>0.34</v>
      </c>
      <c r="Z40" s="744">
        <v>1.41076527</v>
      </c>
      <c r="AA40" s="745" t="s">
        <v>30</v>
      </c>
      <c r="AB40" s="746">
        <v>7.2898869999999991E-2</v>
      </c>
      <c r="AC40" s="747">
        <v>1.3378664</v>
      </c>
      <c r="AD40" s="746" t="s">
        <v>721</v>
      </c>
    </row>
    <row r="41" spans="1:30" ht="14" thickBot="1">
      <c r="A41" s="737">
        <v>1040</v>
      </c>
      <c r="B41" s="738" t="s">
        <v>1100</v>
      </c>
      <c r="C41" s="739">
        <v>4363.33</v>
      </c>
      <c r="D41" s="740">
        <v>2082.8332603768217</v>
      </c>
      <c r="E41" s="741">
        <v>1395.9679992116116</v>
      </c>
      <c r="F41" s="740">
        <v>323.35981922064116</v>
      </c>
      <c r="G41" s="741">
        <v>1719.3278184322526</v>
      </c>
      <c r="H41" s="740">
        <v>445.75931685203733</v>
      </c>
      <c r="I41" s="739">
        <v>100.06754015854865</v>
      </c>
      <c r="J41" s="740">
        <v>56.471018694437497</v>
      </c>
      <c r="K41" s="739">
        <v>375.85972181796933</v>
      </c>
      <c r="L41" s="740">
        <v>707.80261635035629</v>
      </c>
      <c r="M41" s="742">
        <v>0.6702255172164171</v>
      </c>
      <c r="N41" s="743">
        <v>0.21276230592747494</v>
      </c>
      <c r="O41" s="742">
        <v>4.9085590429308337E-2</v>
      </c>
      <c r="P41" s="743">
        <v>0.33982682618689419</v>
      </c>
      <c r="Q41" s="740"/>
      <c r="R41" s="744">
        <v>9.1416333900000009</v>
      </c>
      <c r="S41" s="745">
        <v>8.8952317000000001</v>
      </c>
      <c r="T41" s="746">
        <v>9.0880888499999983</v>
      </c>
      <c r="U41" s="747">
        <v>6.0910690500000007</v>
      </c>
      <c r="V41" s="746">
        <v>1.4109256000000001</v>
      </c>
      <c r="W41" s="745">
        <v>7.5019946500000003</v>
      </c>
      <c r="X41" s="744">
        <v>1.944995</v>
      </c>
      <c r="Y41" s="747">
        <v>1.64</v>
      </c>
      <c r="Z41" s="744">
        <v>3.0883763900000001</v>
      </c>
      <c r="AA41" s="745" t="s">
        <v>30</v>
      </c>
      <c r="AB41" s="746">
        <v>1.8176177699999996</v>
      </c>
      <c r="AC41" s="747">
        <v>1.2707586200000005</v>
      </c>
      <c r="AD41" s="746" t="s">
        <v>721</v>
      </c>
    </row>
    <row r="42" spans="1:30" ht="14" thickBot="1">
      <c r="A42" s="737">
        <v>1060</v>
      </c>
      <c r="B42" s="738" t="s">
        <v>1101</v>
      </c>
      <c r="C42" s="739">
        <v>197605.19</v>
      </c>
      <c r="D42" s="740">
        <v>3602.3847941443241</v>
      </c>
      <c r="E42" s="741">
        <v>4067.5481869681657</v>
      </c>
      <c r="F42" s="740">
        <v>551.26626982823666</v>
      </c>
      <c r="G42" s="741">
        <v>4618.8144567964027</v>
      </c>
      <c r="H42" s="740">
        <v>-816.70602396627316</v>
      </c>
      <c r="I42" s="739">
        <v>204.64223019648426</v>
      </c>
      <c r="J42" s="740">
        <v>203.79134404313973</v>
      </c>
      <c r="K42" s="739">
        <v>808.77335256224796</v>
      </c>
      <c r="L42" s="740">
        <v>434.10860939431802</v>
      </c>
      <c r="M42" s="742">
        <v>1.1291265146299654</v>
      </c>
      <c r="N42" s="743">
        <v>-0.22601612406613988</v>
      </c>
      <c r="O42" s="742">
        <v>6.0017764362747091E-2</v>
      </c>
      <c r="P42" s="743">
        <v>0.1205058965660641</v>
      </c>
      <c r="Q42" s="740"/>
      <c r="R42" s="744">
        <v>714.04352103999986</v>
      </c>
      <c r="S42" s="745">
        <v>673.77329378000002</v>
      </c>
      <c r="T42" s="746">
        <v>711.84993170000007</v>
      </c>
      <c r="U42" s="747">
        <v>803.76863231999994</v>
      </c>
      <c r="V42" s="746">
        <v>108.93307598999999</v>
      </c>
      <c r="W42" s="745">
        <v>912.70170830999996</v>
      </c>
      <c r="X42" s="744">
        <v>-161.38534903999997</v>
      </c>
      <c r="Y42" s="747">
        <v>159.817812</v>
      </c>
      <c r="Z42" s="744">
        <v>85.782114239999999</v>
      </c>
      <c r="AA42" s="745" t="s">
        <v>30</v>
      </c>
      <c r="AB42" s="746">
        <v>71.184993169999998</v>
      </c>
      <c r="AC42" s="747">
        <v>14.59712107</v>
      </c>
      <c r="AD42" s="746" t="s">
        <v>721</v>
      </c>
    </row>
    <row r="43" spans="1:30" ht="14" thickBot="1">
      <c r="A43" s="737">
        <v>1113</v>
      </c>
      <c r="B43" s="738" t="s">
        <v>1102</v>
      </c>
      <c r="C43" s="739">
        <v>7950.1</v>
      </c>
      <c r="D43" s="740">
        <v>2313.5184148627063</v>
      </c>
      <c r="E43" s="741">
        <v>1687.5997408837625</v>
      </c>
      <c r="F43" s="740">
        <v>349.58785424082714</v>
      </c>
      <c r="G43" s="741">
        <v>2037.1875951245895</v>
      </c>
      <c r="H43" s="740">
        <v>213.17348209456486</v>
      </c>
      <c r="I43" s="739">
        <v>59.311399856605576</v>
      </c>
      <c r="J43" s="740">
        <v>45.882572546257265</v>
      </c>
      <c r="K43" s="739">
        <v>210.9407428837373</v>
      </c>
      <c r="L43" s="740">
        <v>464.15496408850203</v>
      </c>
      <c r="M43" s="742">
        <v>0.72945161362975863</v>
      </c>
      <c r="N43" s="743">
        <v>0.18296157588885509</v>
      </c>
      <c r="O43" s="742">
        <v>5.2992354026422675E-2</v>
      </c>
      <c r="P43" s="743">
        <v>0.20062730476085144</v>
      </c>
      <c r="Q43" s="740"/>
      <c r="R43" s="744">
        <v>9.2628766000000002</v>
      </c>
      <c r="S43" s="745">
        <v>8.8981055600000012</v>
      </c>
      <c r="T43" s="746">
        <v>18.392702750000002</v>
      </c>
      <c r="U43" s="747">
        <v>13.4165867</v>
      </c>
      <c r="V43" s="746">
        <v>2.7792584000000002</v>
      </c>
      <c r="W43" s="745">
        <v>16.1958451</v>
      </c>
      <c r="X43" s="744">
        <v>1.6947505</v>
      </c>
      <c r="Y43" s="747">
        <v>1.677</v>
      </c>
      <c r="Z43" s="744">
        <v>3.6900783800000001</v>
      </c>
      <c r="AA43" s="745" t="s">
        <v>30</v>
      </c>
      <c r="AB43" s="746">
        <v>3.6785405500000001</v>
      </c>
      <c r="AC43" s="747">
        <v>1.1537829999999971E-2</v>
      </c>
      <c r="AD43" s="746" t="s">
        <v>721</v>
      </c>
    </row>
    <row r="44" spans="1:30" ht="14" thickBot="1">
      <c r="A44" s="737">
        <v>1142</v>
      </c>
      <c r="B44" s="738" t="s">
        <v>1103</v>
      </c>
      <c r="C44" s="739">
        <v>843.42</v>
      </c>
      <c r="D44" s="740">
        <v>3878.9330345498083</v>
      </c>
      <c r="E44" s="741">
        <v>8526.3273932323154</v>
      </c>
      <c r="F44" s="740">
        <v>702.44996561618177</v>
      </c>
      <c r="G44" s="741">
        <v>9228.7773588484961</v>
      </c>
      <c r="H44" s="740">
        <v>-4746.6626354603877</v>
      </c>
      <c r="I44" s="739">
        <v>259.77869863176113</v>
      </c>
      <c r="J44" s="740">
        <v>233.55688743449289</v>
      </c>
      <c r="K44" s="739">
        <v>2371.2978112921201</v>
      </c>
      <c r="L44" s="740">
        <v>18149.038818145167</v>
      </c>
      <c r="M44" s="742">
        <v>2.1981115212064721</v>
      </c>
      <c r="N44" s="743">
        <v>-1.1092107555105957</v>
      </c>
      <c r="O44" s="742">
        <v>6.4210135059450474E-2</v>
      </c>
      <c r="P44" s="743">
        <v>4.6788739729433244</v>
      </c>
      <c r="Q44" s="740"/>
      <c r="R44" s="744">
        <v>3.6092601699999998</v>
      </c>
      <c r="S44" s="745">
        <v>3.4122736200000001</v>
      </c>
      <c r="T44" s="746">
        <v>3.2715696999999997</v>
      </c>
      <c r="U44" s="747">
        <v>7.1912750499999998</v>
      </c>
      <c r="V44" s="746">
        <v>0.59246035000000008</v>
      </c>
      <c r="W44" s="745">
        <v>7.7837353999999994</v>
      </c>
      <c r="X44" s="744">
        <v>-4.0034302000000004</v>
      </c>
      <c r="Y44" s="747">
        <v>2</v>
      </c>
      <c r="Z44" s="744">
        <v>15.30726232</v>
      </c>
      <c r="AA44" s="745" t="s">
        <v>30</v>
      </c>
      <c r="AB44" s="746">
        <v>0.65431393999999998</v>
      </c>
      <c r="AC44" s="747">
        <v>14.65294838</v>
      </c>
      <c r="AD44" s="746" t="s">
        <v>721</v>
      </c>
    </row>
    <row r="45" spans="1:30" ht="14" thickBot="1">
      <c r="A45" s="737">
        <v>1147</v>
      </c>
      <c r="B45" s="738" t="s">
        <v>1104</v>
      </c>
      <c r="C45" s="739">
        <v>385</v>
      </c>
      <c r="D45" s="740">
        <v>2448.971818181818</v>
      </c>
      <c r="E45" s="741">
        <v>2644.1112987012984</v>
      </c>
      <c r="F45" s="740">
        <v>366.7238961038961</v>
      </c>
      <c r="G45" s="741">
        <v>3010.8351948051945</v>
      </c>
      <c r="H45" s="740">
        <v>-564.36363636363637</v>
      </c>
      <c r="I45" s="739">
        <v>230.47467532467533</v>
      </c>
      <c r="J45" s="740">
        <v>165.90922077922079</v>
      </c>
      <c r="K45" s="739">
        <v>1519.4805194805192</v>
      </c>
      <c r="L45" s="740">
        <v>3370.6740259740259</v>
      </c>
      <c r="M45" s="742">
        <v>1.0796822074760979</v>
      </c>
      <c r="N45" s="743">
        <v>-0.2279215070134798</v>
      </c>
      <c r="O45" s="742">
        <v>9.976298452636706E-2</v>
      </c>
      <c r="P45" s="743">
        <v>1.3763629295156625</v>
      </c>
      <c r="Q45" s="740"/>
      <c r="R45" s="744">
        <v>0.95331065000000004</v>
      </c>
      <c r="S45" s="745">
        <v>0.88943559999999999</v>
      </c>
      <c r="T45" s="746">
        <v>0.94285415000000006</v>
      </c>
      <c r="U45" s="747">
        <v>1.0179828499999999</v>
      </c>
      <c r="V45" s="746">
        <v>0.1411887</v>
      </c>
      <c r="W45" s="745">
        <v>1.1591715499999999</v>
      </c>
      <c r="X45" s="744">
        <v>-0.21728</v>
      </c>
      <c r="Y45" s="747">
        <v>0.58499999999999996</v>
      </c>
      <c r="Z45" s="744">
        <v>1.2977095000000001</v>
      </c>
      <c r="AA45" s="745" t="s">
        <v>30</v>
      </c>
      <c r="AB45" s="746">
        <v>0.18857083000000002</v>
      </c>
      <c r="AC45" s="747">
        <v>1.1091386700000001</v>
      </c>
      <c r="AD45" s="746" t="s">
        <v>721</v>
      </c>
    </row>
    <row r="46" spans="1:30" ht="14" thickBot="1">
      <c r="A46" s="737">
        <v>1159</v>
      </c>
      <c r="B46" s="738" t="s">
        <v>1105</v>
      </c>
      <c r="C46" s="739">
        <v>12111.74</v>
      </c>
      <c r="D46" s="740">
        <v>3466.7411866503085</v>
      </c>
      <c r="E46" s="741">
        <v>3181.4764856246911</v>
      </c>
      <c r="F46" s="740">
        <v>496.24396081818134</v>
      </c>
      <c r="G46" s="741">
        <v>3677.7204464428728</v>
      </c>
      <c r="H46" s="740">
        <v>261.67181676621198</v>
      </c>
      <c r="I46" s="739">
        <v>164.92181222516334</v>
      </c>
      <c r="J46" s="740">
        <v>266.40117026950713</v>
      </c>
      <c r="K46" s="739">
        <v>924.72262449491154</v>
      </c>
      <c r="L46" s="740">
        <v>1142.0869074137984</v>
      </c>
      <c r="M46" s="742">
        <v>0.91771387430820861</v>
      </c>
      <c r="N46" s="743">
        <v>7.566280107386196E-2</v>
      </c>
      <c r="O46" s="742">
        <v>5.1667342002478217E-2</v>
      </c>
      <c r="P46" s="743">
        <v>0.32944106465511042</v>
      </c>
      <c r="Q46" s="740"/>
      <c r="R46" s="744">
        <v>41.88717527</v>
      </c>
      <c r="S46" s="745">
        <v>38.660593569999996</v>
      </c>
      <c r="T46" s="746">
        <v>41.988267900000004</v>
      </c>
      <c r="U46" s="747">
        <v>38.533216009999997</v>
      </c>
      <c r="V46" s="746">
        <v>6.0103778299999995</v>
      </c>
      <c r="W46" s="745">
        <v>44.54359384</v>
      </c>
      <c r="X46" s="744">
        <v>3.1693010099999999</v>
      </c>
      <c r="Y46" s="747">
        <v>11.2</v>
      </c>
      <c r="Z46" s="744">
        <v>13.832659679999999</v>
      </c>
      <c r="AA46" s="745" t="s">
        <v>30</v>
      </c>
      <c r="AB46" s="746">
        <v>8.3976535800000018</v>
      </c>
      <c r="AC46" s="747">
        <v>5.4350060999999972</v>
      </c>
      <c r="AD46" s="746" t="s">
        <v>721</v>
      </c>
    </row>
    <row r="47" spans="1:30" ht="14" thickBot="1">
      <c r="A47" s="737">
        <v>1318</v>
      </c>
      <c r="B47" s="738" t="s">
        <v>1106</v>
      </c>
      <c r="C47" s="739">
        <v>6552.43</v>
      </c>
      <c r="D47" s="740">
        <v>2505.9571181988968</v>
      </c>
      <c r="E47" s="741">
        <v>2249.0615267923504</v>
      </c>
      <c r="F47" s="740">
        <v>442.26295740664159</v>
      </c>
      <c r="G47" s="741">
        <v>2691.3244841989922</v>
      </c>
      <c r="H47" s="740">
        <v>-173.33905131378739</v>
      </c>
      <c r="I47" s="739">
        <v>157.50687302268011</v>
      </c>
      <c r="J47" s="740">
        <v>308.67151270597321</v>
      </c>
      <c r="K47" s="739">
        <v>770.70644020615248</v>
      </c>
      <c r="L47" s="740">
        <v>1949.758376663314</v>
      </c>
      <c r="M47" s="742">
        <v>0.89748603855153575</v>
      </c>
      <c r="N47" s="743">
        <v>-6.88928756593018E-2</v>
      </c>
      <c r="O47" s="742">
        <v>7.1354188687158232E-2</v>
      </c>
      <c r="P47" s="743">
        <v>0.77804937782201999</v>
      </c>
      <c r="Q47" s="740"/>
      <c r="R47" s="744">
        <v>16.486349120000003</v>
      </c>
      <c r="S47" s="745">
        <v>14.463800639999999</v>
      </c>
      <c r="T47" s="746">
        <v>16.420108599999999</v>
      </c>
      <c r="U47" s="747">
        <v>14.73681822</v>
      </c>
      <c r="V47" s="746">
        <v>2.8978970700000009</v>
      </c>
      <c r="W47" s="745">
        <v>17.634715290000003</v>
      </c>
      <c r="X47" s="744">
        <v>-1.1357919999999999</v>
      </c>
      <c r="Y47" s="747">
        <v>5.05</v>
      </c>
      <c r="Z47" s="744">
        <v>12.775655279999999</v>
      </c>
      <c r="AA47" s="745">
        <v>1.1042862499999999</v>
      </c>
      <c r="AB47" s="746">
        <v>3.2840217200000001</v>
      </c>
      <c r="AC47" s="747">
        <v>9.4916335599999986</v>
      </c>
      <c r="AD47" s="746" t="s">
        <v>721</v>
      </c>
    </row>
    <row r="48" spans="1:30" ht="14" thickBot="1">
      <c r="A48" s="737">
        <v>1322</v>
      </c>
      <c r="B48" s="738" t="s">
        <v>1107</v>
      </c>
      <c r="C48" s="739">
        <v>8090.31</v>
      </c>
      <c r="D48" s="740">
        <v>2351.2365224571122</v>
      </c>
      <c r="E48" s="741">
        <v>2048.1853600171066</v>
      </c>
      <c r="F48" s="740">
        <v>408.68499476534265</v>
      </c>
      <c r="G48" s="741">
        <v>2456.8703547824489</v>
      </c>
      <c r="H48" s="740">
        <v>-18.389666156179427</v>
      </c>
      <c r="I48" s="739">
        <v>168.2541089278408</v>
      </c>
      <c r="J48" s="740">
        <v>136.01839978937767</v>
      </c>
      <c r="K48" s="739">
        <v>573.80693446851853</v>
      </c>
      <c r="L48" s="740">
        <v>578.39108513765223</v>
      </c>
      <c r="M48" s="742">
        <v>0.87110987791083305</v>
      </c>
      <c r="N48" s="743">
        <v>-7.979621115392339E-3</v>
      </c>
      <c r="O48" s="742">
        <v>7.7587926088743986E-2</v>
      </c>
      <c r="P48" s="743">
        <v>0.24599442872434468</v>
      </c>
      <c r="Q48" s="740"/>
      <c r="R48" s="744">
        <v>18.644757419999998</v>
      </c>
      <c r="S48" s="745">
        <v>17.544326400000003</v>
      </c>
      <c r="T48" s="746">
        <v>19.022232350000003</v>
      </c>
      <c r="U48" s="747">
        <v>16.570454499999997</v>
      </c>
      <c r="V48" s="746">
        <v>3.3063882999999996</v>
      </c>
      <c r="W48" s="745">
        <v>19.876842799999995</v>
      </c>
      <c r="X48" s="744">
        <v>-0.14877809999999997</v>
      </c>
      <c r="Y48" s="747">
        <v>4.6422759800000009</v>
      </c>
      <c r="Z48" s="744">
        <v>4.6793631799999993</v>
      </c>
      <c r="AA48" s="745" t="s">
        <v>30</v>
      </c>
      <c r="AB48" s="746">
        <v>3.8044464700000007</v>
      </c>
      <c r="AC48" s="747">
        <v>0.8749167099999986</v>
      </c>
      <c r="AD48" s="746" t="s">
        <v>721</v>
      </c>
    </row>
    <row r="49" spans="1:30" ht="14" thickBot="1">
      <c r="A49" s="737">
        <v>1328</v>
      </c>
      <c r="B49" s="738" t="s">
        <v>1108</v>
      </c>
      <c r="C49" s="739">
        <v>6454.4</v>
      </c>
      <c r="D49" s="740">
        <v>2962.1093595066932</v>
      </c>
      <c r="E49" s="741">
        <v>2996.0577218641547</v>
      </c>
      <c r="F49" s="740">
        <v>470.95918908031729</v>
      </c>
      <c r="G49" s="741">
        <v>3467.0169109444719</v>
      </c>
      <c r="H49" s="740">
        <v>-365.02231036192359</v>
      </c>
      <c r="I49" s="739">
        <v>235.60463869608324</v>
      </c>
      <c r="J49" s="740">
        <v>78.186214055528012</v>
      </c>
      <c r="K49" s="739">
        <v>838.89588497768943</v>
      </c>
      <c r="L49" s="740">
        <v>823.72065567674747</v>
      </c>
      <c r="M49" s="742">
        <v>1.0114608740722237</v>
      </c>
      <c r="N49" s="743">
        <v>-0.12630089784054255</v>
      </c>
      <c r="O49" s="742">
        <v>8.3787982101188513E-2</v>
      </c>
      <c r="P49" s="743">
        <v>0.27808583536359682</v>
      </c>
      <c r="Q49" s="740"/>
      <c r="R49" s="744">
        <v>18.653865810000003</v>
      </c>
      <c r="S49" s="745">
        <v>18.149220709999998</v>
      </c>
      <c r="T49" s="746">
        <v>19.118638650000001</v>
      </c>
      <c r="U49" s="747">
        <v>19.337754960000002</v>
      </c>
      <c r="V49" s="746">
        <v>3.0397589900000002</v>
      </c>
      <c r="W49" s="745">
        <v>22.377513950000001</v>
      </c>
      <c r="X49" s="744">
        <v>-2.3559999999999999</v>
      </c>
      <c r="Y49" s="747">
        <v>5.4145695999999992</v>
      </c>
      <c r="Z49" s="744">
        <v>5.3166225999999996</v>
      </c>
      <c r="AA49" s="745">
        <v>6.0889144900000005</v>
      </c>
      <c r="AB49" s="746">
        <v>3.8237277300000003</v>
      </c>
      <c r="AC49" s="747">
        <v>1.4928948699999993</v>
      </c>
      <c r="AD49" s="746" t="s">
        <v>721</v>
      </c>
    </row>
    <row r="50" spans="1:30" ht="14" thickBot="1">
      <c r="A50" s="737">
        <v>1331</v>
      </c>
      <c r="B50" s="738" t="s">
        <v>1109</v>
      </c>
      <c r="C50" s="739">
        <v>1692.66</v>
      </c>
      <c r="D50" s="740">
        <v>2148.4304585681712</v>
      </c>
      <c r="E50" s="741">
        <v>1692.8281816785416</v>
      </c>
      <c r="F50" s="740">
        <v>364.4809057932485</v>
      </c>
      <c r="G50" s="741">
        <v>2057.30908747179</v>
      </c>
      <c r="H50" s="740">
        <v>214.17552845816647</v>
      </c>
      <c r="I50" s="739">
        <v>132.03990760105395</v>
      </c>
      <c r="J50" s="740">
        <v>7.6756820625524336</v>
      </c>
      <c r="K50" s="739">
        <v>440.13564448855647</v>
      </c>
      <c r="L50" s="740">
        <v>440.70474873867164</v>
      </c>
      <c r="M50" s="742">
        <v>0.78793715427341904</v>
      </c>
      <c r="N50" s="743">
        <v>0.10402455703257489</v>
      </c>
      <c r="O50" s="742">
        <v>6.4371457350846123E-2</v>
      </c>
      <c r="P50" s="743">
        <v>0.20512870080625314</v>
      </c>
      <c r="Q50" s="740"/>
      <c r="R50" s="744">
        <v>3.4850073900000007</v>
      </c>
      <c r="S50" s="745">
        <v>3.4720150699999999</v>
      </c>
      <c r="T50" s="746">
        <v>3.6365623000000005</v>
      </c>
      <c r="U50" s="747">
        <v>2.8653825500000001</v>
      </c>
      <c r="V50" s="746">
        <v>0.61694225000000003</v>
      </c>
      <c r="W50" s="745">
        <v>3.4823248000000002</v>
      </c>
      <c r="X50" s="744">
        <v>0.36252635000000005</v>
      </c>
      <c r="Y50" s="747">
        <v>0.745</v>
      </c>
      <c r="Z50" s="744">
        <v>0.7459633</v>
      </c>
      <c r="AA50" s="745" t="s">
        <v>30</v>
      </c>
      <c r="AB50" s="746">
        <v>0.72731246000000005</v>
      </c>
      <c r="AC50" s="747">
        <v>1.8650839999999946E-2</v>
      </c>
      <c r="AD50" s="746" t="s">
        <v>721</v>
      </c>
    </row>
    <row r="51" spans="1:30" ht="14" thickBot="1">
      <c r="A51" s="737">
        <v>1362</v>
      </c>
      <c r="B51" s="738" t="s">
        <v>1110</v>
      </c>
      <c r="C51" s="739">
        <v>977.43</v>
      </c>
      <c r="D51" s="740">
        <v>2140.6314007141177</v>
      </c>
      <c r="E51" s="741">
        <v>1909.8789683148666</v>
      </c>
      <c r="F51" s="740">
        <v>330.66071227607097</v>
      </c>
      <c r="G51" s="741">
        <v>2240.5396805909372</v>
      </c>
      <c r="H51" s="740">
        <v>147.05605516507575</v>
      </c>
      <c r="I51" s="739">
        <v>85.945233929795492</v>
      </c>
      <c r="J51" s="740">
        <v>0.71094605240275344</v>
      </c>
      <c r="K51" s="739">
        <v>477.7835752943945</v>
      </c>
      <c r="L51" s="740">
        <v>1289.856276152768</v>
      </c>
      <c r="M51" s="742">
        <v>0.89220356558243896</v>
      </c>
      <c r="N51" s="743">
        <v>6.7889806036514039E-2</v>
      </c>
      <c r="O51" s="742">
        <v>3.969044969645745E-2</v>
      </c>
      <c r="P51" s="743">
        <v>0.6025587944390941</v>
      </c>
      <c r="Q51" s="740"/>
      <c r="R51" s="744">
        <v>2.1172103500000001</v>
      </c>
      <c r="S51" s="745">
        <v>2.1165154500000001</v>
      </c>
      <c r="T51" s="746">
        <v>2.0923173500000001</v>
      </c>
      <c r="U51" s="747">
        <v>1.866773</v>
      </c>
      <c r="V51" s="746">
        <v>0.32319770000000003</v>
      </c>
      <c r="W51" s="745">
        <v>2.1899706999999999</v>
      </c>
      <c r="X51" s="744">
        <v>0.143737</v>
      </c>
      <c r="Y51" s="747">
        <v>0.46700000000000003</v>
      </c>
      <c r="Z51" s="744">
        <v>1.2607442200000001</v>
      </c>
      <c r="AA51" s="745" t="s">
        <v>30</v>
      </c>
      <c r="AB51" s="746">
        <v>0.41846347</v>
      </c>
      <c r="AC51" s="747">
        <v>0.84228075000000002</v>
      </c>
      <c r="AD51" s="746" t="s">
        <v>721</v>
      </c>
    </row>
    <row r="52" spans="1:30" ht="14" thickBot="1">
      <c r="A52" s="737">
        <v>1384</v>
      </c>
      <c r="B52" s="738" t="s">
        <v>1111</v>
      </c>
      <c r="C52" s="739">
        <v>619923.82000000007</v>
      </c>
      <c r="D52" s="740">
        <v>2819.798530583967</v>
      </c>
      <c r="E52" s="741">
        <v>2455.1803119615574</v>
      </c>
      <c r="F52" s="740">
        <v>458.40827756868578</v>
      </c>
      <c r="G52" s="741">
        <v>2913.5885895302426</v>
      </c>
      <c r="H52" s="740">
        <v>95.610214251809182</v>
      </c>
      <c r="I52" s="739">
        <v>146.81810815077242</v>
      </c>
      <c r="J52" s="740">
        <v>81.005316604869265</v>
      </c>
      <c r="K52" s="739">
        <v>484.0744015611466</v>
      </c>
      <c r="L52" s="740">
        <v>394.4296955390422</v>
      </c>
      <c r="M52" s="742">
        <v>0.87069352130384337</v>
      </c>
      <c r="N52" s="743">
        <v>3.3703907103979469E-2</v>
      </c>
      <c r="O52" s="742">
        <v>5.3276732214606909E-2</v>
      </c>
      <c r="P52" s="743">
        <v>0.13987867972161744</v>
      </c>
      <c r="Q52" s="740"/>
      <c r="R52" s="744">
        <v>1758.5809581999999</v>
      </c>
      <c r="S52" s="745">
        <v>1708.3638328900001</v>
      </c>
      <c r="T52" s="746">
        <v>1748.0602767099999</v>
      </c>
      <c r="U52" s="747">
        <v>1522.0247577800003</v>
      </c>
      <c r="V52" s="746">
        <v>284.17821055000002</v>
      </c>
      <c r="W52" s="745">
        <v>1806.2029683300002</v>
      </c>
      <c r="X52" s="744">
        <v>59.271049249999997</v>
      </c>
      <c r="Y52" s="747">
        <v>300.08925218000002</v>
      </c>
      <c r="Z52" s="744">
        <v>244.51636358000002</v>
      </c>
      <c r="AA52" s="745">
        <v>1061.50971551</v>
      </c>
      <c r="AB52" s="746">
        <v>174.80602767100001</v>
      </c>
      <c r="AC52" s="747">
        <v>69.710335909000008</v>
      </c>
      <c r="AD52" s="746" t="s">
        <v>721</v>
      </c>
    </row>
    <row r="53" spans="1:30" ht="14" thickBot="1">
      <c r="A53" s="737">
        <v>1386</v>
      </c>
      <c r="B53" s="738" t="s">
        <v>1112</v>
      </c>
      <c r="C53" s="739">
        <v>13795</v>
      </c>
      <c r="D53" s="740">
        <v>3145.673769481697</v>
      </c>
      <c r="E53" s="741">
        <v>3698.5170228343604</v>
      </c>
      <c r="F53" s="740">
        <v>523.26776368249364</v>
      </c>
      <c r="G53" s="741">
        <v>4221.7847865168533</v>
      </c>
      <c r="H53" s="740">
        <v>-750.877328742298</v>
      </c>
      <c r="I53" s="739">
        <v>159.62152446538602</v>
      </c>
      <c r="J53" s="740">
        <v>66.56443421529535</v>
      </c>
      <c r="K53" s="739">
        <v>877.12939470822766</v>
      </c>
      <c r="L53" s="740">
        <v>644.25266618339981</v>
      </c>
      <c r="M53" s="742">
        <v>1.1757471670190878</v>
      </c>
      <c r="N53" s="743">
        <v>-0.23887909224442383</v>
      </c>
      <c r="O53" s="742">
        <v>5.1879544521362272E-2</v>
      </c>
      <c r="P53" s="743">
        <v>0.20480593774018443</v>
      </c>
      <c r="Q53" s="740"/>
      <c r="R53" s="744">
        <v>43.362324649999991</v>
      </c>
      <c r="S53" s="745">
        <v>42.444068279999996</v>
      </c>
      <c r="T53" s="746">
        <v>43.394569650000008</v>
      </c>
      <c r="U53" s="747">
        <v>51.02104233</v>
      </c>
      <c r="V53" s="746">
        <v>7.2184787999999998</v>
      </c>
      <c r="W53" s="745">
        <v>58.23952113</v>
      </c>
      <c r="X53" s="744">
        <v>-10.35835275</v>
      </c>
      <c r="Y53" s="747">
        <v>12.1</v>
      </c>
      <c r="Z53" s="744">
        <v>8.8874655300000001</v>
      </c>
      <c r="AA53" s="745">
        <v>15.134100050000001</v>
      </c>
      <c r="AB53" s="746">
        <v>8.678913930000002</v>
      </c>
      <c r="AC53" s="747">
        <v>0.20855159999999806</v>
      </c>
      <c r="AD53" s="746" t="s">
        <v>721</v>
      </c>
    </row>
    <row r="54" spans="1:30" ht="14" thickBot="1">
      <c r="A54" s="737">
        <v>1401</v>
      </c>
      <c r="B54" s="738" t="s">
        <v>1113</v>
      </c>
      <c r="C54" s="739">
        <v>9452.16</v>
      </c>
      <c r="D54" s="740">
        <v>2600.0645778319449</v>
      </c>
      <c r="E54" s="741">
        <v>2250.59327709222</v>
      </c>
      <c r="F54" s="740">
        <v>416.50905189924845</v>
      </c>
      <c r="G54" s="741">
        <v>2667.1023289914683</v>
      </c>
      <c r="H54" s="740">
        <v>48.783452671135485</v>
      </c>
      <c r="I54" s="739">
        <v>164.45763931207262</v>
      </c>
      <c r="J54" s="740">
        <v>49.999054184440389</v>
      </c>
      <c r="K54" s="739">
        <v>650.64493195206182</v>
      </c>
      <c r="L54" s="740">
        <v>545.32729132811971</v>
      </c>
      <c r="M54" s="742">
        <v>0.86559129964720705</v>
      </c>
      <c r="N54" s="743">
        <v>1.9034148477789944E-2</v>
      </c>
      <c r="O54" s="742">
        <v>6.5444192567377532E-2</v>
      </c>
      <c r="P54" s="743">
        <v>0.20973605654934882</v>
      </c>
      <c r="Q54" s="740"/>
      <c r="R54" s="744">
        <v>24.225354790000004</v>
      </c>
      <c r="S54" s="745">
        <v>23.752755730000001</v>
      </c>
      <c r="T54" s="746">
        <v>24.576226399999999</v>
      </c>
      <c r="U54" s="747">
        <v>21.272967749999996</v>
      </c>
      <c r="V54" s="746">
        <v>3.9369101999999998</v>
      </c>
      <c r="W54" s="745">
        <v>25.209877949999996</v>
      </c>
      <c r="X54" s="744">
        <v>0.46110899999999994</v>
      </c>
      <c r="Y54" s="747">
        <v>6.15</v>
      </c>
      <c r="Z54" s="744">
        <v>5.1545208099999993</v>
      </c>
      <c r="AA54" s="745">
        <v>14.132405139999999</v>
      </c>
      <c r="AB54" s="746">
        <v>4.9152452800000006</v>
      </c>
      <c r="AC54" s="747">
        <v>0.23927552999999868</v>
      </c>
      <c r="AD54" s="746" t="s">
        <v>721</v>
      </c>
    </row>
    <row r="55" spans="1:30" ht="14" thickBot="1">
      <c r="A55" s="737">
        <v>1423</v>
      </c>
      <c r="B55" s="738" t="s">
        <v>1114</v>
      </c>
      <c r="C55" s="739">
        <v>3542.23</v>
      </c>
      <c r="D55" s="740">
        <v>2895.770376288383</v>
      </c>
      <c r="E55" s="741">
        <v>2720.4405416926625</v>
      </c>
      <c r="F55" s="740">
        <v>450.05770376288388</v>
      </c>
      <c r="G55" s="741">
        <v>3170.4982454555466</v>
      </c>
      <c r="H55" s="740">
        <v>104.09995962995062</v>
      </c>
      <c r="I55" s="739">
        <v>106.07764035649859</v>
      </c>
      <c r="J55" s="740">
        <v>-8.6011297967664273</v>
      </c>
      <c r="K55" s="739">
        <v>649.30848646191794</v>
      </c>
      <c r="L55" s="740">
        <v>607.56341626602443</v>
      </c>
      <c r="M55" s="742">
        <v>0.9394531292842192</v>
      </c>
      <c r="N55" s="743">
        <v>3.5253025616693204E-2</v>
      </c>
      <c r="O55" s="742">
        <v>3.5818429426965989E-2</v>
      </c>
      <c r="P55" s="743">
        <v>0.20981063320523405</v>
      </c>
      <c r="Q55" s="740"/>
      <c r="R55" s="744">
        <v>10.459981619999999</v>
      </c>
      <c r="S55" s="745">
        <v>10.490448799999999</v>
      </c>
      <c r="T55" s="748">
        <v>10.257484699999999</v>
      </c>
      <c r="U55" s="749">
        <v>9.6364260999999996</v>
      </c>
      <c r="V55" s="748">
        <v>1.5942079000000002</v>
      </c>
      <c r="W55" s="745">
        <v>11.230634</v>
      </c>
      <c r="X55" s="744">
        <v>0.36874600000000002</v>
      </c>
      <c r="Y55" s="749">
        <v>2.2999999999999998</v>
      </c>
      <c r="Z55" s="744">
        <v>2.15212936</v>
      </c>
      <c r="AA55" s="745" t="s">
        <v>30</v>
      </c>
      <c r="AB55" s="748">
        <v>2.0514969399999998</v>
      </c>
      <c r="AC55" s="749">
        <v>0.10063242000000017</v>
      </c>
      <c r="AD55" s="748" t="s">
        <v>721</v>
      </c>
    </row>
    <row r="56" spans="1:30" ht="14" thickBot="1">
      <c r="A56" s="737">
        <v>1479</v>
      </c>
      <c r="B56" s="738" t="s">
        <v>1115</v>
      </c>
      <c r="C56" s="739">
        <v>393406.66</v>
      </c>
      <c r="D56" s="740">
        <v>3131.2939259848822</v>
      </c>
      <c r="E56" s="741">
        <v>2628.1818035820738</v>
      </c>
      <c r="F56" s="740">
        <v>483.63200081564457</v>
      </c>
      <c r="G56" s="741">
        <v>3111.8138043977187</v>
      </c>
      <c r="H56" s="740">
        <v>244.80926949736937</v>
      </c>
      <c r="I56" s="739">
        <v>157.6277364496066</v>
      </c>
      <c r="J56" s="740">
        <v>2.2002145820307022</v>
      </c>
      <c r="K56" s="739">
        <v>675.95830736571656</v>
      </c>
      <c r="L56" s="740">
        <v>500.72019962753041</v>
      </c>
      <c r="M56" s="742">
        <v>0.83932772384356569</v>
      </c>
      <c r="N56" s="743">
        <v>7.7896441027888577E-2</v>
      </c>
      <c r="O56" s="742">
        <v>5.0191080980561305E-2</v>
      </c>
      <c r="P56" s="743">
        <v>0.15990839935923276</v>
      </c>
      <c r="Q56" s="740"/>
      <c r="R56" s="744">
        <v>1236.3799395599999</v>
      </c>
      <c r="S56" s="745">
        <v>1235.5143604899997</v>
      </c>
      <c r="T56" s="746">
        <v>1231.8718848999999</v>
      </c>
      <c r="U56" s="747">
        <v>1033.9442252199999</v>
      </c>
      <c r="V56" s="746">
        <v>190.26405011000003</v>
      </c>
      <c r="W56" s="745">
        <v>1224.2082753299999</v>
      </c>
      <c r="X56" s="744">
        <v>96.309597049999979</v>
      </c>
      <c r="Y56" s="747">
        <v>265.92649999999998</v>
      </c>
      <c r="Z56" s="744">
        <v>196.98666133</v>
      </c>
      <c r="AA56" s="745" t="s">
        <v>30</v>
      </c>
      <c r="AB56" s="746">
        <v>123.18718849</v>
      </c>
      <c r="AC56" s="747">
        <v>73.799472840000007</v>
      </c>
      <c r="AD56" s="746" t="s">
        <v>721</v>
      </c>
    </row>
    <row r="57" spans="1:30" ht="14" thickBot="1">
      <c r="A57" s="737">
        <v>1507</v>
      </c>
      <c r="B57" s="738" t="s">
        <v>1116</v>
      </c>
      <c r="C57" s="739">
        <v>9990.2900000000009</v>
      </c>
      <c r="D57" s="740">
        <v>2307.4075727531422</v>
      </c>
      <c r="E57" s="741">
        <v>1687.5979325925473</v>
      </c>
      <c r="F57" s="740">
        <v>348.89241453451302</v>
      </c>
      <c r="G57" s="741">
        <v>2036.4903471270604</v>
      </c>
      <c r="H57" s="740">
        <v>295.02887303571765</v>
      </c>
      <c r="I57" s="739">
        <v>143.56404468739146</v>
      </c>
      <c r="J57" s="740">
        <v>184.78933744666071</v>
      </c>
      <c r="K57" s="739">
        <v>490.47625244112032</v>
      </c>
      <c r="L57" s="740">
        <v>635.56036111063838</v>
      </c>
      <c r="M57" s="742">
        <v>0.73138267921126165</v>
      </c>
      <c r="N57" s="743">
        <v>0.12747070347559736</v>
      </c>
      <c r="O57" s="742">
        <v>6.7410630926770729E-2</v>
      </c>
      <c r="P57" s="743">
        <v>0.27544347544647402</v>
      </c>
      <c r="Q57" s="740"/>
      <c r="R57" s="744">
        <v>23.122363960000005</v>
      </c>
      <c r="S57" s="745">
        <v>21.27626489</v>
      </c>
      <c r="T57" s="746">
        <v>23.051670799999993</v>
      </c>
      <c r="U57" s="747">
        <v>16.859592750000001</v>
      </c>
      <c r="V57" s="746">
        <v>3.4855364</v>
      </c>
      <c r="W57" s="745">
        <v>20.345129150000002</v>
      </c>
      <c r="X57" s="744">
        <v>2.9474239999999998</v>
      </c>
      <c r="Y57" s="747">
        <v>4.9000000000000004</v>
      </c>
      <c r="Z57" s="744">
        <v>6.34943232</v>
      </c>
      <c r="AA57" s="745" t="s">
        <v>30</v>
      </c>
      <c r="AB57" s="746">
        <v>4.610334159999999</v>
      </c>
      <c r="AC57" s="747">
        <v>1.7390981600000011</v>
      </c>
      <c r="AD57" s="746" t="s">
        <v>721</v>
      </c>
    </row>
    <row r="58" spans="1:30" ht="14" thickBot="1">
      <c r="A58" s="737">
        <v>1509</v>
      </c>
      <c r="B58" s="738" t="s">
        <v>1117</v>
      </c>
      <c r="C58" s="739">
        <v>316003.52</v>
      </c>
      <c r="D58" s="740">
        <v>3182.7870369924985</v>
      </c>
      <c r="E58" s="741">
        <v>2590.9176663918179</v>
      </c>
      <c r="F58" s="740">
        <v>482.60584644753322</v>
      </c>
      <c r="G58" s="741">
        <v>3073.523512839351</v>
      </c>
      <c r="H58" s="740">
        <v>181.57590883797752</v>
      </c>
      <c r="I58" s="739">
        <v>174.1112287926413</v>
      </c>
      <c r="J58" s="740">
        <v>177.94826456363521</v>
      </c>
      <c r="K58" s="739">
        <v>598.57469309202634</v>
      </c>
      <c r="L58" s="740">
        <v>356.66633387501503</v>
      </c>
      <c r="M58" s="742">
        <v>0.8140405362590788</v>
      </c>
      <c r="N58" s="743">
        <v>5.6991254140075866E-2</v>
      </c>
      <c r="O58" s="742">
        <v>5.788112814268781E-2</v>
      </c>
      <c r="P58" s="743">
        <v>0.11206101122368484</v>
      </c>
      <c r="Q58" s="740"/>
      <c r="R58" s="744">
        <v>1006.7970464200004</v>
      </c>
      <c r="S58" s="745">
        <v>950.56476843999997</v>
      </c>
      <c r="T58" s="746">
        <v>1005.7719070999999</v>
      </c>
      <c r="U58" s="747">
        <v>818.73910261000026</v>
      </c>
      <c r="V58" s="746">
        <v>152.50514625</v>
      </c>
      <c r="W58" s="745">
        <v>971.2442488600002</v>
      </c>
      <c r="X58" s="744">
        <v>57.378626340000004</v>
      </c>
      <c r="Y58" s="747">
        <v>189.15171000000001</v>
      </c>
      <c r="Z58" s="744">
        <v>112.70781697</v>
      </c>
      <c r="AA58" s="745" t="s">
        <v>30</v>
      </c>
      <c r="AB58" s="746">
        <v>100.57719071</v>
      </c>
      <c r="AC58" s="747">
        <v>12.13062626</v>
      </c>
      <c r="AD58" s="746" t="s">
        <v>721</v>
      </c>
    </row>
    <row r="59" spans="1:30" ht="14" thickBot="1">
      <c r="A59" s="737">
        <v>1529</v>
      </c>
      <c r="B59" s="738" t="s">
        <v>1118</v>
      </c>
      <c r="C59" s="739">
        <v>210728.55</v>
      </c>
      <c r="D59" s="740">
        <v>3595.5809123158679</v>
      </c>
      <c r="E59" s="741">
        <v>3537.215419410421</v>
      </c>
      <c r="F59" s="740">
        <v>539.33766108104464</v>
      </c>
      <c r="G59" s="741">
        <v>4076.5530804914661</v>
      </c>
      <c r="H59" s="740">
        <v>-53.054247846340722</v>
      </c>
      <c r="I59" s="739">
        <v>158.97983642937794</v>
      </c>
      <c r="J59" s="740">
        <v>105.24548126013298</v>
      </c>
      <c r="K59" s="739">
        <v>899.26115849038956</v>
      </c>
      <c r="L59" s="740">
        <v>346.96619148188512</v>
      </c>
      <c r="M59" s="742">
        <v>0.98376743721563076</v>
      </c>
      <c r="N59" s="743">
        <v>-1.4443943430278489E-2</v>
      </c>
      <c r="O59" s="742">
        <v>4.4558773618296896E-2</v>
      </c>
      <c r="P59" s="743">
        <v>9.6497951219350717E-2</v>
      </c>
      <c r="Q59" s="740"/>
      <c r="R59" s="744">
        <v>774.02994368999998</v>
      </c>
      <c r="S59" s="745">
        <v>751.85171605000005</v>
      </c>
      <c r="T59" s="746">
        <v>757.69155206000005</v>
      </c>
      <c r="U59" s="747">
        <v>745.39227636999999</v>
      </c>
      <c r="V59" s="746">
        <v>113.65384327999999</v>
      </c>
      <c r="W59" s="745">
        <v>859.04611965000004</v>
      </c>
      <c r="X59" s="744">
        <v>-11.180044720000005</v>
      </c>
      <c r="Y59" s="747">
        <v>189.5</v>
      </c>
      <c r="Z59" s="744">
        <v>73.115682430000007</v>
      </c>
      <c r="AA59" s="745" t="s">
        <v>30</v>
      </c>
      <c r="AB59" s="746">
        <v>75.769155206000022</v>
      </c>
      <c r="AC59" s="747" t="s">
        <v>721</v>
      </c>
      <c r="AD59" s="746">
        <v>-2.6534727760000152</v>
      </c>
    </row>
    <row r="60" spans="1:30" ht="14" thickBot="1">
      <c r="A60" s="737">
        <v>1535</v>
      </c>
      <c r="B60" s="738" t="s">
        <v>852</v>
      </c>
      <c r="C60" s="739">
        <v>282182.61</v>
      </c>
      <c r="D60" s="740">
        <v>2875.337024134833</v>
      </c>
      <c r="E60" s="741">
        <v>2388.2563531112</v>
      </c>
      <c r="F60" s="740">
        <v>428.93831983480487</v>
      </c>
      <c r="G60" s="741">
        <v>2817.1946729460046</v>
      </c>
      <c r="H60" s="740">
        <v>206.19000671232007</v>
      </c>
      <c r="I60" s="739">
        <v>143.70722767076256</v>
      </c>
      <c r="J60" s="740">
        <v>38.15377974567604</v>
      </c>
      <c r="K60" s="739">
        <v>598.72576839515375</v>
      </c>
      <c r="L60" s="740">
        <v>415.86905220700874</v>
      </c>
      <c r="M60" s="742">
        <v>0.83060049415591841</v>
      </c>
      <c r="N60" s="743">
        <v>7.1384675089328498E-2</v>
      </c>
      <c r="O60" s="742">
        <v>5.041861050938528E-2</v>
      </c>
      <c r="P60" s="743">
        <v>0.14463315038074209</v>
      </c>
      <c r="Q60" s="740"/>
      <c r="R60" s="744">
        <v>815.06617740000013</v>
      </c>
      <c r="S60" s="745">
        <v>804.29984425000009</v>
      </c>
      <c r="T60" s="746">
        <v>811.37010610000016</v>
      </c>
      <c r="U60" s="747">
        <v>673.92441107000002</v>
      </c>
      <c r="V60" s="746">
        <v>121.03893462000001</v>
      </c>
      <c r="W60" s="745">
        <v>794.96334568999998</v>
      </c>
      <c r="X60" s="744">
        <v>58.183234249999991</v>
      </c>
      <c r="Y60" s="747">
        <v>168.95</v>
      </c>
      <c r="Z60" s="744">
        <v>117.35101456999999</v>
      </c>
      <c r="AA60" s="745" t="s">
        <v>30</v>
      </c>
      <c r="AB60" s="746">
        <v>81.137010610000019</v>
      </c>
      <c r="AC60" s="747">
        <v>36.214003959999971</v>
      </c>
      <c r="AD60" s="746" t="s">
        <v>721</v>
      </c>
    </row>
    <row r="61" spans="1:30" ht="14" thickBot="1">
      <c r="A61" s="737">
        <v>1542</v>
      </c>
      <c r="B61" s="738" t="s">
        <v>1119</v>
      </c>
      <c r="C61" s="739">
        <v>623760.42000000004</v>
      </c>
      <c r="D61" s="740">
        <v>2649.6221593380351</v>
      </c>
      <c r="E61" s="741">
        <v>1588.8341075248088</v>
      </c>
      <c r="F61" s="740">
        <v>340.47172090527954</v>
      </c>
      <c r="G61" s="741">
        <v>1929.3058284300885</v>
      </c>
      <c r="H61" s="740">
        <v>654.36995760327341</v>
      </c>
      <c r="I61" s="739">
        <v>123.78980306252836</v>
      </c>
      <c r="J61" s="740">
        <v>45.486877333448</v>
      </c>
      <c r="K61" s="739">
        <v>935.14969898218283</v>
      </c>
      <c r="L61" s="740">
        <v>550.39132465314162</v>
      </c>
      <c r="M61" s="742">
        <v>0.59964553886496519</v>
      </c>
      <c r="N61" s="743">
        <v>0.2502699413593451</v>
      </c>
      <c r="O61" s="742">
        <v>4.8182804455604418E-2</v>
      </c>
      <c r="P61" s="743">
        <v>0.20772445713189827</v>
      </c>
      <c r="Q61" s="740"/>
      <c r="R61" s="744">
        <v>1630.9193080600005</v>
      </c>
      <c r="S61" s="745">
        <v>1602.5463943500001</v>
      </c>
      <c r="T61" s="746">
        <v>1652.7294309500001</v>
      </c>
      <c r="U61" s="747">
        <v>991.05183022000006</v>
      </c>
      <c r="V61" s="746">
        <v>212.37278362999996</v>
      </c>
      <c r="W61" s="745">
        <v>1203.42461385</v>
      </c>
      <c r="X61" s="744">
        <v>408.17007959000006</v>
      </c>
      <c r="Y61" s="747">
        <v>583.30936899999995</v>
      </c>
      <c r="Z61" s="744">
        <v>343.31232382999997</v>
      </c>
      <c r="AA61" s="745" t="s">
        <v>30</v>
      </c>
      <c r="AB61" s="746">
        <v>165.27294309500002</v>
      </c>
      <c r="AC61" s="747">
        <v>178.03938073499995</v>
      </c>
      <c r="AD61" s="746" t="s">
        <v>721</v>
      </c>
    </row>
    <row r="62" spans="1:30" ht="14" thickBot="1">
      <c r="A62" s="737">
        <v>1555</v>
      </c>
      <c r="B62" s="738" t="s">
        <v>1120</v>
      </c>
      <c r="C62" s="739">
        <v>442505.5</v>
      </c>
      <c r="D62" s="740">
        <v>3388.2991377508301</v>
      </c>
      <c r="E62" s="741">
        <v>3741.4549119954436</v>
      </c>
      <c r="F62" s="740">
        <v>523.59170857763343</v>
      </c>
      <c r="G62" s="741">
        <v>4265.0466205730772</v>
      </c>
      <c r="H62" s="740">
        <v>-645.97725614709884</v>
      </c>
      <c r="I62" s="739">
        <v>145.83316494371257</v>
      </c>
      <c r="J62" s="740">
        <v>0.92625131213060641</v>
      </c>
      <c r="K62" s="739">
        <v>1083.3534994932268</v>
      </c>
      <c r="L62" s="740">
        <v>563.36250229658162</v>
      </c>
      <c r="M62" s="742">
        <v>1.1042280388735217</v>
      </c>
      <c r="N62" s="743">
        <v>-0.19025092364579796</v>
      </c>
      <c r="O62" s="742">
        <v>4.2961984857252535E-2</v>
      </c>
      <c r="P62" s="743">
        <v>0.16626705004285555</v>
      </c>
      <c r="Q62" s="740"/>
      <c r="R62" s="744">
        <v>1502.48147679</v>
      </c>
      <c r="S62" s="745">
        <v>1502.0716055</v>
      </c>
      <c r="T62" s="746">
        <v>1499.3410041</v>
      </c>
      <c r="U62" s="747">
        <v>1655.6143765599998</v>
      </c>
      <c r="V62" s="746">
        <v>231.69221079999997</v>
      </c>
      <c r="W62" s="745">
        <v>1887.3065873599996</v>
      </c>
      <c r="X62" s="744">
        <v>-285.84848872000003</v>
      </c>
      <c r="Y62" s="747">
        <v>479.38988197000003</v>
      </c>
      <c r="Z62" s="744">
        <v>249.29100575999999</v>
      </c>
      <c r="AA62" s="745" t="s">
        <v>30</v>
      </c>
      <c r="AB62" s="746">
        <v>149.93410040999999</v>
      </c>
      <c r="AC62" s="747">
        <v>99.356905350000005</v>
      </c>
      <c r="AD62" s="746" t="s">
        <v>721</v>
      </c>
    </row>
    <row r="63" spans="1:30" ht="14" thickBot="1">
      <c r="A63" s="737">
        <v>1560</v>
      </c>
      <c r="B63" s="738" t="s">
        <v>1121</v>
      </c>
      <c r="C63" s="739">
        <v>101101</v>
      </c>
      <c r="D63" s="740">
        <v>2255.793066834156</v>
      </c>
      <c r="E63" s="741">
        <v>1517.7619160047873</v>
      </c>
      <c r="F63" s="740">
        <v>340.36540617798033</v>
      </c>
      <c r="G63" s="741">
        <v>1858.1273221827678</v>
      </c>
      <c r="H63" s="740">
        <v>404.60770912256061</v>
      </c>
      <c r="I63" s="739">
        <v>139.24033253874839</v>
      </c>
      <c r="J63" s="740">
        <v>149.26680586739988</v>
      </c>
      <c r="K63" s="739">
        <v>418.04334279581803</v>
      </c>
      <c r="L63" s="740">
        <v>809.92119504258108</v>
      </c>
      <c r="M63" s="742">
        <v>0.67282852240292479</v>
      </c>
      <c r="N63" s="743">
        <v>0.18017085464380161</v>
      </c>
      <c r="O63" s="742">
        <v>6.6418077390452537E-2</v>
      </c>
      <c r="P63" s="743">
        <v>0.35904055516016259</v>
      </c>
      <c r="Q63" s="740"/>
      <c r="R63" s="744">
        <v>227.04140512000004</v>
      </c>
      <c r="S63" s="745">
        <v>211.95038178000001</v>
      </c>
      <c r="T63" s="746">
        <v>228.06293485000003</v>
      </c>
      <c r="U63" s="747">
        <v>153.44724747000001</v>
      </c>
      <c r="V63" s="746">
        <v>34.411282929999992</v>
      </c>
      <c r="W63" s="745">
        <v>187.85853040000001</v>
      </c>
      <c r="X63" s="744">
        <v>40.906244000000001</v>
      </c>
      <c r="Y63" s="747">
        <v>42.264600000000002</v>
      </c>
      <c r="Z63" s="744">
        <v>81.883842739999992</v>
      </c>
      <c r="AA63" s="745">
        <v>16.11454895</v>
      </c>
      <c r="AB63" s="746">
        <v>34.209440227499996</v>
      </c>
      <c r="AC63" s="747">
        <v>47.674402512499995</v>
      </c>
      <c r="AD63" s="746" t="s">
        <v>721</v>
      </c>
    </row>
    <row r="64" spans="1:30" ht="14" thickBot="1">
      <c r="A64" s="737">
        <v>1562</v>
      </c>
      <c r="B64" s="738" t="s">
        <v>1122</v>
      </c>
      <c r="C64" s="739">
        <v>585975.32999999996</v>
      </c>
      <c r="D64" s="740">
        <v>3733.5016899602251</v>
      </c>
      <c r="E64" s="741">
        <v>4491.5868065298928</v>
      </c>
      <c r="F64" s="740">
        <v>577.13758591167993</v>
      </c>
      <c r="G64" s="741">
        <v>5068.7243924415725</v>
      </c>
      <c r="H64" s="740">
        <v>-1075.7632889937536</v>
      </c>
      <c r="I64" s="739">
        <v>234.8378700686938</v>
      </c>
      <c r="J64" s="740">
        <v>70.236462975326987</v>
      </c>
      <c r="K64" s="739">
        <v>1032.8594208906372</v>
      </c>
      <c r="L64" s="740">
        <v>451.83810004424595</v>
      </c>
      <c r="M64" s="742">
        <v>1.2030493567495195</v>
      </c>
      <c r="N64" s="743">
        <v>-0.28584279157801323</v>
      </c>
      <c r="O64" s="742">
        <v>6.3585827310117318E-2</v>
      </c>
      <c r="P64" s="743">
        <v>0.12102260493393793</v>
      </c>
      <c r="Q64" s="740"/>
      <c r="R64" s="744">
        <v>2205.3057374299997</v>
      </c>
      <c r="S64" s="745">
        <v>2164.14890285</v>
      </c>
      <c r="T64" s="746">
        <v>2187.7398848300004</v>
      </c>
      <c r="U64" s="747">
        <v>2631.9590611799999</v>
      </c>
      <c r="V64" s="746">
        <v>338.18838736000004</v>
      </c>
      <c r="W64" s="745">
        <v>2970.1474485399999</v>
      </c>
      <c r="X64" s="744">
        <v>-630.37074827000015</v>
      </c>
      <c r="Y64" s="747">
        <v>605.23014000000001</v>
      </c>
      <c r="Z64" s="744">
        <v>264.76597978000001</v>
      </c>
      <c r="AA64" s="745" t="s">
        <v>30</v>
      </c>
      <c r="AB64" s="746">
        <v>218.77398848300004</v>
      </c>
      <c r="AC64" s="747">
        <v>45.99199129699997</v>
      </c>
      <c r="AD64" s="746" t="s">
        <v>721</v>
      </c>
    </row>
    <row r="65" spans="1:30" ht="14" thickBot="1">
      <c r="A65" s="737">
        <v>1563</v>
      </c>
      <c r="B65" s="738" t="s">
        <v>1123</v>
      </c>
      <c r="C65" s="739">
        <v>34019.11</v>
      </c>
      <c r="D65" s="740">
        <v>3108.4873296214978</v>
      </c>
      <c r="E65" s="741">
        <v>3067.6468138055347</v>
      </c>
      <c r="F65" s="740">
        <v>485.79875840373245</v>
      </c>
      <c r="G65" s="741">
        <v>3553.4455722092671</v>
      </c>
      <c r="H65" s="740">
        <v>-197.33790801699396</v>
      </c>
      <c r="I65" s="739">
        <v>206.6786729576406</v>
      </c>
      <c r="J65" s="740">
        <v>2.1824486296084968</v>
      </c>
      <c r="K65" s="739">
        <v>680.79382441222003</v>
      </c>
      <c r="L65" s="740">
        <v>787.51717402365909</v>
      </c>
      <c r="M65" s="742">
        <v>0.98686161097496383</v>
      </c>
      <c r="N65" s="743">
        <v>-6.3878643327410806E-2</v>
      </c>
      <c r="O65" s="742">
        <v>6.6949563462044656E-2</v>
      </c>
      <c r="P65" s="743">
        <v>0.25334418014808202</v>
      </c>
      <c r="Q65" s="740"/>
      <c r="R65" s="744">
        <v>105.09396646999998</v>
      </c>
      <c r="S65" s="745">
        <v>105.01972151</v>
      </c>
      <c r="T65" s="746">
        <v>105.74797239999999</v>
      </c>
      <c r="U65" s="747">
        <v>104.35861440000001</v>
      </c>
      <c r="V65" s="746">
        <v>16.5264414</v>
      </c>
      <c r="W65" s="745">
        <v>120.8850558</v>
      </c>
      <c r="X65" s="744">
        <v>-6.71326</v>
      </c>
      <c r="Y65" s="747">
        <v>23.16</v>
      </c>
      <c r="Z65" s="744">
        <v>26.790633370000002</v>
      </c>
      <c r="AA65" s="745" t="s">
        <v>30</v>
      </c>
      <c r="AB65" s="746">
        <v>21.149594480000001</v>
      </c>
      <c r="AC65" s="747">
        <v>5.6410388900000008</v>
      </c>
      <c r="AD65" s="746" t="s">
        <v>721</v>
      </c>
    </row>
    <row r="66" spans="1:30" ht="14" thickBot="1">
      <c r="A66" s="737">
        <v>1565</v>
      </c>
      <c r="B66" s="738" t="s">
        <v>1124</v>
      </c>
      <c r="C66" s="739">
        <v>185628.17</v>
      </c>
      <c r="D66" s="740">
        <v>2786.3751042743133</v>
      </c>
      <c r="E66" s="741">
        <v>1992.8908090296854</v>
      </c>
      <c r="F66" s="740">
        <v>436.44267553787762</v>
      </c>
      <c r="G66" s="741">
        <v>2429.3334845675631</v>
      </c>
      <c r="H66" s="740">
        <v>601.95136874968921</v>
      </c>
      <c r="I66" s="739">
        <v>139.48338175181061</v>
      </c>
      <c r="J66" s="740">
        <v>46.379879034523661</v>
      </c>
      <c r="K66" s="739">
        <v>459.32796730151466</v>
      </c>
      <c r="L66" s="740">
        <v>301.35418045655462</v>
      </c>
      <c r="M66" s="742">
        <v>0.71522703672329724</v>
      </c>
      <c r="N66" s="743">
        <v>0.21555195563199908</v>
      </c>
      <c r="O66" s="742">
        <v>5.0790958223153763E-2</v>
      </c>
      <c r="P66" s="743">
        <v>0.10815276808720969</v>
      </c>
      <c r="Q66" s="740"/>
      <c r="R66" s="744">
        <v>518.38606930000003</v>
      </c>
      <c r="S66" s="745">
        <v>509.77665722</v>
      </c>
      <c r="T66" s="746">
        <v>517.22971154000004</v>
      </c>
      <c r="U66" s="747">
        <v>369.93667389000001</v>
      </c>
      <c r="V66" s="746">
        <v>81.016055170000001</v>
      </c>
      <c r="W66" s="745">
        <v>450.95272906000002</v>
      </c>
      <c r="X66" s="744">
        <v>111.73913101000001</v>
      </c>
      <c r="Y66" s="747">
        <v>85.264210000000006</v>
      </c>
      <c r="Z66" s="744">
        <v>55.939825040000002</v>
      </c>
      <c r="AA66" s="745" t="s">
        <v>30</v>
      </c>
      <c r="AB66" s="746">
        <v>51.722971154000007</v>
      </c>
      <c r="AC66" s="747">
        <v>4.2168538859999956</v>
      </c>
      <c r="AD66" s="746" t="s">
        <v>721</v>
      </c>
    </row>
    <row r="67" spans="1:30" ht="14" thickBot="1">
      <c r="A67" s="737">
        <v>1566</v>
      </c>
      <c r="B67" s="738" t="s">
        <v>1125</v>
      </c>
      <c r="C67" s="739">
        <v>167493.67000000001</v>
      </c>
      <c r="D67" s="740">
        <v>2433.4295167692007</v>
      </c>
      <c r="E67" s="741">
        <v>1762.1920652881986</v>
      </c>
      <c r="F67" s="740">
        <v>368.43215006274562</v>
      </c>
      <c r="G67" s="741">
        <v>2130.6242153509438</v>
      </c>
      <c r="H67" s="740">
        <v>452.42072109351949</v>
      </c>
      <c r="I67" s="739">
        <v>122.14104425558288</v>
      </c>
      <c r="J67" s="740">
        <v>39.807698225252338</v>
      </c>
      <c r="K67" s="739">
        <v>407.16159601733006</v>
      </c>
      <c r="L67" s="740">
        <v>323.62149512874123</v>
      </c>
      <c r="M67" s="742">
        <v>0.72415989579505624</v>
      </c>
      <c r="N67" s="743">
        <v>0.18660067344149675</v>
      </c>
      <c r="O67" s="742">
        <v>5.1217935424760885E-2</v>
      </c>
      <c r="P67" s="743">
        <v>0.13298987823506181</v>
      </c>
      <c r="Q67" s="740"/>
      <c r="R67" s="744">
        <v>406.09503471999994</v>
      </c>
      <c r="S67" s="745">
        <v>399.42749723000003</v>
      </c>
      <c r="T67" s="746">
        <v>407.58404044999997</v>
      </c>
      <c r="U67" s="747">
        <v>295.15601626</v>
      </c>
      <c r="V67" s="746">
        <v>61.710052959999999</v>
      </c>
      <c r="W67" s="745">
        <v>356.86606921999999</v>
      </c>
      <c r="X67" s="744">
        <v>75.77760696</v>
      </c>
      <c r="Y67" s="747">
        <v>68.19699</v>
      </c>
      <c r="Z67" s="744">
        <v>54.204551909999999</v>
      </c>
      <c r="AA67" s="745" t="s">
        <v>30</v>
      </c>
      <c r="AB67" s="746">
        <v>40.758404044999999</v>
      </c>
      <c r="AC67" s="747">
        <v>13.446147865</v>
      </c>
      <c r="AD67" s="746" t="s">
        <v>721</v>
      </c>
    </row>
    <row r="68" spans="1:30" ht="14" thickBot="1">
      <c r="A68" s="737">
        <v>1568</v>
      </c>
      <c r="B68" s="738" t="s">
        <v>1126</v>
      </c>
      <c r="C68" s="739">
        <v>62454.67</v>
      </c>
      <c r="D68" s="740">
        <v>2807.3811136941404</v>
      </c>
      <c r="E68" s="741">
        <v>1684.49994003651</v>
      </c>
      <c r="F68" s="740">
        <v>415.94601892860845</v>
      </c>
      <c r="G68" s="741">
        <v>2100.4459589651187</v>
      </c>
      <c r="H68" s="740">
        <v>942.41655587964829</v>
      </c>
      <c r="I68" s="739">
        <v>98.002302309819285</v>
      </c>
      <c r="J68" s="740">
        <v>158.67606985994806</v>
      </c>
      <c r="K68" s="739">
        <v>535.58845159217083</v>
      </c>
      <c r="L68" s="740">
        <v>426.35339278872181</v>
      </c>
      <c r="M68" s="742">
        <v>0.60002538729767685</v>
      </c>
      <c r="N68" s="743">
        <v>0.33756054421828979</v>
      </c>
      <c r="O68" s="742">
        <v>3.7218394539720957E-2</v>
      </c>
      <c r="P68" s="743">
        <v>0.15186872587729902</v>
      </c>
      <c r="Q68" s="740"/>
      <c r="R68" s="744">
        <v>174.36372825000001</v>
      </c>
      <c r="S68" s="745">
        <v>164.45366667999997</v>
      </c>
      <c r="T68" s="746">
        <v>175.33406102000001</v>
      </c>
      <c r="U68" s="747">
        <v>105.20488787000001</v>
      </c>
      <c r="V68" s="746">
        <v>25.977771349999994</v>
      </c>
      <c r="W68" s="745">
        <v>131.18265922000001</v>
      </c>
      <c r="X68" s="744">
        <v>58.85831499999999</v>
      </c>
      <c r="Y68" s="747">
        <v>33.450000000000003</v>
      </c>
      <c r="Z68" s="744">
        <v>26.62776045</v>
      </c>
      <c r="AA68" s="745" t="s">
        <v>30</v>
      </c>
      <c r="AB68" s="746">
        <v>26.300109153000001</v>
      </c>
      <c r="AC68" s="747">
        <v>0.32765129699999918</v>
      </c>
      <c r="AD68" s="746" t="s">
        <v>721</v>
      </c>
    </row>
    <row r="69" spans="1:30" ht="14" thickBot="1">
      <c r="A69" s="737">
        <v>1569</v>
      </c>
      <c r="B69" s="738" t="s">
        <v>1127</v>
      </c>
      <c r="C69" s="739">
        <v>123121.83</v>
      </c>
      <c r="D69" s="740">
        <v>2737.7501307444827</v>
      </c>
      <c r="E69" s="741">
        <v>1945.3286844420684</v>
      </c>
      <c r="F69" s="740">
        <v>401.2954962576498</v>
      </c>
      <c r="G69" s="741">
        <v>2346.6241806997186</v>
      </c>
      <c r="H69" s="740">
        <v>521.3044625798691</v>
      </c>
      <c r="I69" s="739">
        <v>137.48314640872377</v>
      </c>
      <c r="J69" s="740">
        <v>122.90424086451601</v>
      </c>
      <c r="K69" s="739">
        <v>538.3773129427982</v>
      </c>
      <c r="L69" s="740">
        <v>451.94865890151243</v>
      </c>
      <c r="M69" s="742">
        <v>0.71055742545543066</v>
      </c>
      <c r="N69" s="743">
        <v>0.189924655993855</v>
      </c>
      <c r="O69" s="742">
        <v>5.2436618947257457E-2</v>
      </c>
      <c r="P69" s="743">
        <v>0.16508031679962445</v>
      </c>
      <c r="Q69" s="740"/>
      <c r="R69" s="744">
        <v>337.94432368000002</v>
      </c>
      <c r="S69" s="745">
        <v>322.81212861999995</v>
      </c>
      <c r="T69" s="746">
        <v>337.07680617999995</v>
      </c>
      <c r="U69" s="747">
        <v>239.51242758000001</v>
      </c>
      <c r="V69" s="746">
        <v>49.408235869999999</v>
      </c>
      <c r="W69" s="745">
        <v>288.92066345000001</v>
      </c>
      <c r="X69" s="744">
        <v>64.183959419999994</v>
      </c>
      <c r="Y69" s="747">
        <v>66.286000000000001</v>
      </c>
      <c r="Z69" s="744">
        <v>55.644745950000001</v>
      </c>
      <c r="AA69" s="745" t="s">
        <v>30</v>
      </c>
      <c r="AB69" s="746">
        <v>50.561520926999997</v>
      </c>
      <c r="AC69" s="747">
        <v>5.0832250230000042</v>
      </c>
      <c r="AD69" s="746" t="s">
        <v>721</v>
      </c>
    </row>
    <row r="70" spans="1:30" ht="14" thickBot="1">
      <c r="A70" s="737">
        <v>1570</v>
      </c>
      <c r="B70" s="738" t="s">
        <v>1128</v>
      </c>
      <c r="C70" s="739">
        <v>10123.75</v>
      </c>
      <c r="D70" s="740">
        <v>3162.3252865785898</v>
      </c>
      <c r="E70" s="741">
        <v>1900.5308270156809</v>
      </c>
      <c r="F70" s="740">
        <v>423.91466502037292</v>
      </c>
      <c r="G70" s="741">
        <v>2324.4454920360536</v>
      </c>
      <c r="H70" s="740">
        <v>907.05094357328062</v>
      </c>
      <c r="I70" s="739">
        <v>109.6166153846154</v>
      </c>
      <c r="J70" s="740">
        <v>296.33261785405608</v>
      </c>
      <c r="K70" s="739">
        <v>1251.5125324114088</v>
      </c>
      <c r="L70" s="740">
        <v>1133.60536066181</v>
      </c>
      <c r="M70" s="742">
        <v>0.60099156626354511</v>
      </c>
      <c r="N70" s="743">
        <v>0.28577718552314613</v>
      </c>
      <c r="O70" s="742">
        <v>3.8092447689465868E-2</v>
      </c>
      <c r="P70" s="743">
        <v>0.358472091872715</v>
      </c>
      <c r="Q70" s="740"/>
      <c r="R70" s="744">
        <v>32.132575500000002</v>
      </c>
      <c r="S70" s="745">
        <v>29.132578169999999</v>
      </c>
      <c r="T70" s="746">
        <v>32.01459062</v>
      </c>
      <c r="U70" s="747">
        <v>19.24049896</v>
      </c>
      <c r="V70" s="746">
        <v>4.2916060900000002</v>
      </c>
      <c r="W70" s="745">
        <v>23.532105049999998</v>
      </c>
      <c r="X70" s="744">
        <v>9.1827569899999997</v>
      </c>
      <c r="Y70" s="747">
        <v>12.67</v>
      </c>
      <c r="Z70" s="744">
        <v>11.47633727</v>
      </c>
      <c r="AA70" s="745" t="s">
        <v>30</v>
      </c>
      <c r="AB70" s="746">
        <v>6.402918124000001</v>
      </c>
      <c r="AC70" s="747">
        <v>5.0734191459999991</v>
      </c>
      <c r="AD70" s="746" t="s">
        <v>721</v>
      </c>
    </row>
    <row r="71" spans="1:30" ht="14" thickBot="1">
      <c r="A71" s="737">
        <v>1574</v>
      </c>
      <c r="B71" s="738" t="s">
        <v>1129</v>
      </c>
      <c r="C71" s="739">
        <v>2397.5</v>
      </c>
      <c r="D71" s="740">
        <v>3287.2659395203341</v>
      </c>
      <c r="E71" s="741">
        <v>2189.6699770594373</v>
      </c>
      <c r="F71" s="740">
        <v>425.77876955161634</v>
      </c>
      <c r="G71" s="741">
        <v>2615.4487466110536</v>
      </c>
      <c r="H71" s="740">
        <v>662.15640875912402</v>
      </c>
      <c r="I71" s="739">
        <v>154.43129092805003</v>
      </c>
      <c r="J71" s="740">
        <v>87.990994786235646</v>
      </c>
      <c r="K71" s="739">
        <v>515.11991657977057</v>
      </c>
      <c r="L71" s="740">
        <v>4048.4347570385821</v>
      </c>
      <c r="M71" s="742">
        <v>0.66610673348166838</v>
      </c>
      <c r="N71" s="743">
        <v>0.19850690699180337</v>
      </c>
      <c r="O71" s="742">
        <v>4.7551067194411739E-2</v>
      </c>
      <c r="P71" s="743">
        <v>1.2315507268113861</v>
      </c>
      <c r="Q71" s="740"/>
      <c r="R71" s="744">
        <v>7.9973035399999999</v>
      </c>
      <c r="S71" s="745">
        <v>7.78634512</v>
      </c>
      <c r="T71" s="746">
        <v>7.8812200900000011</v>
      </c>
      <c r="U71" s="747">
        <v>5.2497337700000006</v>
      </c>
      <c r="V71" s="746">
        <v>1.0208046000000002</v>
      </c>
      <c r="W71" s="745">
        <v>6.2705383700000006</v>
      </c>
      <c r="X71" s="744">
        <v>1.5875199899999999</v>
      </c>
      <c r="Y71" s="747">
        <v>1.2350000000000001</v>
      </c>
      <c r="Z71" s="744">
        <v>9.7061223299999995</v>
      </c>
      <c r="AA71" s="745" t="s">
        <v>30</v>
      </c>
      <c r="AB71" s="746">
        <v>1.5762440180000001</v>
      </c>
      <c r="AC71" s="747">
        <v>8.1298783119999989</v>
      </c>
      <c r="AD71" s="746" t="s">
        <v>721</v>
      </c>
    </row>
    <row r="72" spans="1:30" ht="14" thickBot="1">
      <c r="A72" s="737">
        <v>1575</v>
      </c>
      <c r="B72" s="738" t="s">
        <v>1130</v>
      </c>
      <c r="C72" s="739">
        <v>51906.5</v>
      </c>
      <c r="D72" s="740">
        <v>2311.7108743606291</v>
      </c>
      <c r="E72" s="741">
        <v>1031.325356554574</v>
      </c>
      <c r="F72" s="740">
        <v>262.74773197961719</v>
      </c>
      <c r="G72" s="741">
        <v>1294.0730885341914</v>
      </c>
      <c r="H72" s="740">
        <v>1043.7337135040889</v>
      </c>
      <c r="I72" s="739">
        <v>162.77315596312599</v>
      </c>
      <c r="J72" s="740">
        <v>214.01248764605589</v>
      </c>
      <c r="K72" s="739">
        <v>300.38867964513116</v>
      </c>
      <c r="L72" s="740">
        <v>329.79468717790644</v>
      </c>
      <c r="M72" s="742">
        <v>0.44613077179896776</v>
      </c>
      <c r="N72" s="743">
        <v>0.44689232342876806</v>
      </c>
      <c r="O72" s="742">
        <v>7.6724604424848089E-2</v>
      </c>
      <c r="P72" s="743">
        <v>0.14266260146789367</v>
      </c>
      <c r="Q72" s="740"/>
      <c r="R72" s="744">
        <v>121.22956953999999</v>
      </c>
      <c r="S72" s="745">
        <v>110.12093034999999</v>
      </c>
      <c r="T72" s="746">
        <v>119.99282049999999</v>
      </c>
      <c r="U72" s="747">
        <v>53.53248962</v>
      </c>
      <c r="V72" s="746">
        <v>13.63831515</v>
      </c>
      <c r="W72" s="745">
        <v>67.170804770000004</v>
      </c>
      <c r="X72" s="744">
        <v>54.176563999999999</v>
      </c>
      <c r="Y72" s="747">
        <v>15.592124999999999</v>
      </c>
      <c r="Z72" s="744">
        <v>17.118487930000001</v>
      </c>
      <c r="AA72" s="745" t="s">
        <v>30</v>
      </c>
      <c r="AB72" s="746">
        <v>17.998923075</v>
      </c>
      <c r="AC72" s="747" t="s">
        <v>721</v>
      </c>
      <c r="AD72" s="746">
        <v>-0.88043514499999986</v>
      </c>
    </row>
    <row r="73" spans="1:30" ht="14" thickBot="1">
      <c r="A73" s="737">
        <v>1577</v>
      </c>
      <c r="B73" s="738" t="s">
        <v>1131</v>
      </c>
      <c r="C73" s="739">
        <v>29659.58</v>
      </c>
      <c r="D73" s="740">
        <v>1946.9498924125021</v>
      </c>
      <c r="E73" s="741">
        <v>794.67398661747734</v>
      </c>
      <c r="F73" s="740">
        <v>242.76839085381513</v>
      </c>
      <c r="G73" s="741">
        <v>1037.4423774712925</v>
      </c>
      <c r="H73" s="740">
        <v>928.83213450763628</v>
      </c>
      <c r="I73" s="739">
        <v>99.441741926217418</v>
      </c>
      <c r="J73" s="740">
        <v>242.63836743473777</v>
      </c>
      <c r="K73" s="739">
        <v>414.70580500465616</v>
      </c>
      <c r="L73" s="740">
        <v>515.69056844365286</v>
      </c>
      <c r="M73" s="742">
        <v>0.40816355352257266</v>
      </c>
      <c r="N73" s="743">
        <v>0.40575101873091202</v>
      </c>
      <c r="O73" s="742">
        <v>4.8590430334832214E-2</v>
      </c>
      <c r="P73" s="743">
        <v>0.26487100179278422</v>
      </c>
      <c r="Q73" s="740"/>
      <c r="R73" s="744">
        <v>67.895753129999989</v>
      </c>
      <c r="S73" s="745">
        <v>60.699201050000006</v>
      </c>
      <c r="T73" s="746">
        <v>57.745716090000002</v>
      </c>
      <c r="U73" s="747">
        <v>23.56969668</v>
      </c>
      <c r="V73" s="746">
        <v>7.200408509999999</v>
      </c>
      <c r="W73" s="745">
        <v>30.770105189999999</v>
      </c>
      <c r="X73" s="744">
        <v>27.548770999999999</v>
      </c>
      <c r="Y73" s="747">
        <v>12.3</v>
      </c>
      <c r="Z73" s="744">
        <v>15.295165669999999</v>
      </c>
      <c r="AA73" s="745" t="s">
        <v>30</v>
      </c>
      <c r="AB73" s="746">
        <v>11.549143218000003</v>
      </c>
      <c r="AC73" s="747">
        <v>3.7460224519999965</v>
      </c>
      <c r="AD73" s="746" t="s">
        <v>721</v>
      </c>
    </row>
    <row r="74" spans="1:30" ht="14" thickBot="1">
      <c r="A74" s="737"/>
      <c r="B74" s="738"/>
      <c r="C74" s="739"/>
      <c r="D74" s="740"/>
      <c r="E74" s="741"/>
      <c r="F74" s="740"/>
      <c r="G74" s="741"/>
      <c r="H74" s="740"/>
      <c r="I74" s="739"/>
      <c r="J74" s="740"/>
      <c r="K74" s="739"/>
      <c r="L74" s="740"/>
      <c r="M74" s="742"/>
      <c r="N74" s="743"/>
      <c r="O74" s="742"/>
      <c r="P74" s="743"/>
      <c r="Q74" s="740"/>
      <c r="R74" s="744"/>
      <c r="S74" s="745"/>
      <c r="T74" s="746"/>
      <c r="U74" s="747"/>
      <c r="V74" s="746"/>
      <c r="W74" s="745"/>
      <c r="X74" s="744"/>
      <c r="Y74" s="747"/>
      <c r="Z74" s="744"/>
      <c r="AA74" s="745"/>
      <c r="AB74" s="746"/>
      <c r="AC74" s="747"/>
      <c r="AD74" s="746"/>
    </row>
    <row r="75" spans="1:30" ht="14" thickBot="1">
      <c r="A75" s="737"/>
      <c r="B75" s="738"/>
      <c r="C75" s="739"/>
      <c r="D75" s="740"/>
      <c r="E75" s="741"/>
      <c r="F75" s="740"/>
      <c r="G75" s="741"/>
      <c r="H75" s="740"/>
      <c r="I75" s="739"/>
      <c r="J75" s="740"/>
      <c r="K75" s="739"/>
      <c r="L75" s="740"/>
      <c r="M75" s="742"/>
      <c r="N75" s="743"/>
      <c r="O75" s="742"/>
      <c r="P75" s="743"/>
      <c r="Q75" s="740"/>
      <c r="R75" s="744"/>
      <c r="S75" s="745"/>
      <c r="T75" s="746"/>
      <c r="U75" s="747"/>
      <c r="V75" s="746"/>
      <c r="W75" s="745"/>
      <c r="X75" s="744"/>
      <c r="Y75" s="747"/>
      <c r="Z75" s="744"/>
      <c r="AA75" s="745"/>
      <c r="AB75" s="746"/>
      <c r="AC75" s="747"/>
      <c r="AD75" s="746"/>
    </row>
    <row r="76" spans="1:30" ht="14" thickBot="1">
      <c r="A76" s="737"/>
      <c r="B76" s="738"/>
      <c r="C76" s="739"/>
      <c r="D76" s="740"/>
      <c r="E76" s="741"/>
      <c r="F76" s="740"/>
      <c r="G76" s="741"/>
      <c r="H76" s="740"/>
      <c r="I76" s="739"/>
      <c r="J76" s="740"/>
      <c r="K76" s="739"/>
      <c r="L76" s="740"/>
      <c r="M76" s="742"/>
      <c r="N76" s="743"/>
      <c r="O76" s="742"/>
      <c r="P76" s="743"/>
      <c r="Q76" s="740"/>
      <c r="R76" s="744"/>
      <c r="S76" s="745"/>
      <c r="T76" s="746"/>
      <c r="U76" s="747"/>
      <c r="V76" s="746"/>
      <c r="W76" s="745"/>
      <c r="X76" s="744"/>
      <c r="Y76" s="747"/>
      <c r="Z76" s="744"/>
      <c r="AA76" s="745"/>
      <c r="AB76" s="746"/>
      <c r="AC76" s="747"/>
      <c r="AD76" s="746"/>
    </row>
    <row r="77" spans="1:30" s="110" customFormat="1" ht="14" thickBot="1">
      <c r="A77" s="750" t="s">
        <v>1132</v>
      </c>
      <c r="B77" s="751">
        <v>63</v>
      </c>
      <c r="C77" s="752">
        <v>7862770.4600000018</v>
      </c>
      <c r="D77" s="753">
        <v>3005.4532783232225</v>
      </c>
      <c r="E77" s="754">
        <v>2716.1426047721602</v>
      </c>
      <c r="F77" s="753">
        <v>454.68760346082888</v>
      </c>
      <c r="G77" s="754">
        <v>3170.8302082329897</v>
      </c>
      <c r="H77" s="755">
        <v>0.45961550555043307</v>
      </c>
      <c r="I77" s="752">
        <v>159.56958936710458</v>
      </c>
      <c r="J77" s="753">
        <v>74.740772619476971</v>
      </c>
      <c r="K77" s="752">
        <v>718.40285248896839</v>
      </c>
      <c r="L77" s="753">
        <v>471.93399801474027</v>
      </c>
      <c r="M77" s="756">
        <v>0.90373808981237158</v>
      </c>
      <c r="N77" s="757" t="s">
        <v>30</v>
      </c>
      <c r="O77" s="756">
        <v>5.4420163641072848E-2</v>
      </c>
      <c r="P77" s="757">
        <v>0.15702589736415321</v>
      </c>
      <c r="Q77" s="753"/>
      <c r="R77" s="758">
        <v>23642.709613289993</v>
      </c>
      <c r="S77" s="759">
        <v>23055.040074210003</v>
      </c>
      <c r="T77" s="758">
        <v>23631.189255709996</v>
      </c>
      <c r="U77" s="759">
        <v>21356.405837950002</v>
      </c>
      <c r="V77" s="758">
        <v>3575.1042570200002</v>
      </c>
      <c r="W77" s="759">
        <v>24931.510094970006</v>
      </c>
      <c r="X77" s="758">
        <v>3.613851219999912</v>
      </c>
      <c r="Y77" s="759">
        <v>5648.636726929999</v>
      </c>
      <c r="Z77" s="758">
        <v>3710.7086986599993</v>
      </c>
      <c r="AA77" s="759">
        <v>1892.41338129</v>
      </c>
      <c r="AB77" s="758">
        <v>2551.0531248760008</v>
      </c>
      <c r="AC77" s="759">
        <v>1223.6487845900003</v>
      </c>
      <c r="AD77" s="758">
        <v>-63.993210806000022</v>
      </c>
    </row>
    <row r="78" spans="1:30" ht="15.75" customHeight="1" thickBot="1">
      <c r="A78" s="599" t="s">
        <v>720</v>
      </c>
      <c r="C78" s="760"/>
      <c r="D78" s="600"/>
      <c r="E78" s="600"/>
      <c r="F78" s="600"/>
      <c r="G78" s="600"/>
      <c r="H78" s="601"/>
      <c r="I78" s="600"/>
      <c r="J78" s="602"/>
      <c r="K78" s="603"/>
      <c r="L78" s="604"/>
      <c r="M78" s="604"/>
      <c r="N78" s="600"/>
      <c r="O78" s="604"/>
      <c r="P78" s="600"/>
      <c r="Q78" s="604"/>
      <c r="R78" s="601"/>
    </row>
    <row r="79" spans="1:30" ht="10.25" customHeight="1"/>
    <row r="80" spans="1:30">
      <c r="A80" s="609" t="s">
        <v>1072</v>
      </c>
    </row>
    <row r="81" spans="1:2" ht="11.5" customHeight="1"/>
    <row r="82" spans="1:2" ht="7.5" customHeight="1"/>
    <row r="83" spans="1:2" ht="24.75" customHeight="1">
      <c r="A83" s="1859" t="s">
        <v>719</v>
      </c>
      <c r="B83" s="1846"/>
    </row>
  </sheetData>
  <mergeCells count="2">
    <mergeCell ref="A2:B2"/>
    <mergeCell ref="A83:B83"/>
  </mergeCells>
  <pageMargins left="0.35433070866141736" right="0.25" top="0.23" bottom="0.22" header="0.17" footer="0.16"/>
  <pageSetup paperSize="9" scale="49" fitToHeight="2" pageOrder="overThenDown" orientation="landscape"/>
  <headerFooter alignWithMargins="0">
    <oddFooter>&amp;R&amp;P/&amp;N</oddFooter>
  </headerFooter>
  <colBreaks count="1" manualBreakCount="1">
    <brk id="17" max="1048575"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DF97-203E-BA42-92AB-CEFC8AE12F10}">
  <sheetPr>
    <pageSetUpPr fitToPage="1"/>
  </sheetPr>
  <dimension ref="A1:K97"/>
  <sheetViews>
    <sheetView zoomScale="115" zoomScaleNormal="115" workbookViewId="0">
      <selection activeCell="A5" sqref="A5"/>
    </sheetView>
  </sheetViews>
  <sheetFormatPr baseColWidth="10" defaultColWidth="11.3984375" defaultRowHeight="13"/>
  <cols>
    <col min="1" max="1" width="14" style="707" customWidth="1"/>
    <col min="2" max="2" width="11.796875" style="3" customWidth="1"/>
    <col min="3" max="3" width="12.796875" style="119" customWidth="1"/>
    <col min="4" max="4" width="12.19921875" style="3" customWidth="1"/>
    <col min="5" max="5" width="12.3984375" style="119" customWidth="1"/>
    <col min="6" max="6" width="9.59765625" style="3" customWidth="1"/>
    <col min="7" max="7" width="11.19921875" style="119" customWidth="1"/>
    <col min="8" max="8" width="11.3984375" style="3"/>
    <col min="9" max="9" width="11.59765625" style="3" customWidth="1"/>
    <col min="10" max="10" width="10.796875" style="3" customWidth="1"/>
    <col min="11" max="11" width="18" style="3" customWidth="1"/>
    <col min="12" max="16384" width="11.3984375" style="3"/>
  </cols>
  <sheetData>
    <row r="1" spans="1:11" s="2" customFormat="1" ht="21" customHeight="1">
      <c r="A1" s="1860" t="s">
        <v>918</v>
      </c>
      <c r="B1" s="1861"/>
      <c r="C1" s="1861"/>
      <c r="D1" s="1861"/>
      <c r="E1" s="1861"/>
      <c r="F1" s="1861"/>
      <c r="G1" s="1861"/>
      <c r="H1" s="1861"/>
      <c r="I1" s="683"/>
      <c r="K1" s="684">
        <v>2011</v>
      </c>
    </row>
    <row r="2" spans="1:11" s="2" customFormat="1" ht="9.75" customHeight="1">
      <c r="A2" s="685"/>
      <c r="B2" s="23"/>
      <c r="C2"/>
      <c r="D2"/>
      <c r="E2"/>
      <c r="F2"/>
      <c r="G2"/>
      <c r="H2"/>
      <c r="I2"/>
      <c r="J2"/>
    </row>
    <row r="3" spans="1:11" s="2" customFormat="1" ht="13.5" customHeight="1">
      <c r="A3" s="686" t="s">
        <v>919</v>
      </c>
      <c r="B3" s="23"/>
      <c r="C3"/>
      <c r="D3"/>
      <c r="E3"/>
      <c r="F3"/>
      <c r="G3"/>
      <c r="H3"/>
      <c r="I3"/>
      <c r="J3"/>
    </row>
    <row r="4" spans="1:11" s="2" customFormat="1" ht="13.5" customHeight="1">
      <c r="A4" s="687" t="s">
        <v>920</v>
      </c>
      <c r="B4" s="23"/>
      <c r="C4"/>
      <c r="D4"/>
      <c r="E4"/>
      <c r="F4"/>
      <c r="G4"/>
      <c r="H4"/>
      <c r="I4"/>
      <c r="J4"/>
    </row>
    <row r="5" spans="1:11" s="2" customFormat="1" ht="10.5" customHeight="1">
      <c r="A5" s="685"/>
      <c r="B5" s="23"/>
      <c r="C5"/>
      <c r="D5"/>
      <c r="E5"/>
      <c r="F5"/>
      <c r="G5"/>
      <c r="H5"/>
      <c r="I5"/>
      <c r="J5"/>
    </row>
    <row r="6" spans="1:11" ht="14.25" customHeight="1">
      <c r="A6" s="686" t="s">
        <v>921</v>
      </c>
      <c r="B6"/>
      <c r="C6"/>
      <c r="D6"/>
      <c r="E6"/>
      <c r="F6"/>
      <c r="G6"/>
      <c r="H6"/>
      <c r="I6"/>
      <c r="J6"/>
    </row>
    <row r="7" spans="1:11" ht="15" customHeight="1">
      <c r="A7" s="688" t="s">
        <v>922</v>
      </c>
      <c r="B7"/>
      <c r="C7"/>
      <c r="D7"/>
      <c r="E7"/>
      <c r="F7"/>
      <c r="G7"/>
      <c r="H7"/>
      <c r="I7"/>
      <c r="J7"/>
    </row>
    <row r="8" spans="1:11" ht="11.25" customHeight="1">
      <c r="A8" s="688"/>
      <c r="B8"/>
      <c r="C8"/>
      <c r="D8"/>
      <c r="E8"/>
      <c r="F8"/>
      <c r="G8"/>
      <c r="H8"/>
      <c r="I8"/>
      <c r="J8"/>
    </row>
    <row r="9" spans="1:11" ht="13.5" customHeight="1">
      <c r="A9" s="686" t="s">
        <v>923</v>
      </c>
      <c r="B9"/>
      <c r="C9"/>
      <c r="D9"/>
      <c r="E9"/>
      <c r="F9"/>
      <c r="G9"/>
      <c r="H9"/>
      <c r="I9"/>
      <c r="J9"/>
    </row>
    <row r="10" spans="1:11" ht="17.25" customHeight="1">
      <c r="A10" s="688" t="s">
        <v>924</v>
      </c>
      <c r="B10" s="610"/>
      <c r="C10" s="610"/>
      <c r="D10" s="610"/>
      <c r="E10" s="610"/>
      <c r="F10" s="610"/>
      <c r="G10" s="610"/>
      <c r="H10" s="610"/>
      <c r="I10" s="610"/>
      <c r="J10" s="610"/>
    </row>
    <row r="11" spans="1:11" ht="8.25" customHeight="1">
      <c r="A11" s="688"/>
      <c r="B11"/>
      <c r="C11"/>
      <c r="D11"/>
      <c r="E11"/>
      <c r="F11"/>
      <c r="G11"/>
      <c r="H11"/>
      <c r="I11"/>
      <c r="J11"/>
    </row>
    <row r="12" spans="1:11" ht="15.75" customHeight="1">
      <c r="A12" s="686" t="s">
        <v>925</v>
      </c>
      <c r="B12"/>
      <c r="C12"/>
      <c r="D12"/>
      <c r="E12"/>
      <c r="F12"/>
      <c r="G12"/>
      <c r="H12"/>
      <c r="I12"/>
      <c r="J12"/>
      <c r="K12" s="9"/>
    </row>
    <row r="13" spans="1:11" ht="14.25" customHeight="1">
      <c r="A13" s="688" t="s">
        <v>926</v>
      </c>
      <c r="B13"/>
      <c r="C13"/>
      <c r="D13"/>
      <c r="E13"/>
      <c r="F13"/>
      <c r="G13"/>
      <c r="H13"/>
      <c r="I13"/>
      <c r="J13"/>
    </row>
    <row r="14" spans="1:11" ht="9.75" customHeight="1">
      <c r="A14" s="688"/>
      <c r="B14"/>
      <c r="C14"/>
      <c r="D14"/>
      <c r="E14"/>
      <c r="F14"/>
      <c r="G14"/>
      <c r="H14"/>
      <c r="I14"/>
      <c r="J14"/>
    </row>
    <row r="15" spans="1:11" ht="16.5" customHeight="1">
      <c r="A15" s="686" t="s">
        <v>927</v>
      </c>
      <c r="B15"/>
      <c r="C15"/>
      <c r="D15"/>
      <c r="E15"/>
      <c r="F15"/>
      <c r="G15"/>
      <c r="H15"/>
      <c r="I15"/>
      <c r="J15"/>
    </row>
    <row r="16" spans="1:11" ht="15.75" customHeight="1">
      <c r="A16" s="688" t="s">
        <v>928</v>
      </c>
      <c r="B16" s="610"/>
      <c r="C16" s="610"/>
      <c r="D16" s="610"/>
      <c r="E16" s="610"/>
      <c r="F16" s="610"/>
      <c r="G16" s="610"/>
      <c r="H16" s="610"/>
      <c r="I16" s="610"/>
      <c r="J16" s="610"/>
    </row>
    <row r="17" spans="1:10" ht="14.5" customHeight="1">
      <c r="A17" s="688" t="s">
        <v>929</v>
      </c>
      <c r="B17" s="610"/>
      <c r="C17" s="610"/>
      <c r="D17" s="610"/>
      <c r="E17" s="610"/>
      <c r="F17" s="610"/>
      <c r="G17" s="610"/>
      <c r="H17" s="610"/>
      <c r="I17" s="610"/>
      <c r="J17" s="610"/>
    </row>
    <row r="18" spans="1:10" ht="15.75" customHeight="1">
      <c r="A18" s="688" t="s">
        <v>930</v>
      </c>
      <c r="B18" s="610"/>
      <c r="C18" s="610"/>
      <c r="D18" s="610"/>
      <c r="E18" s="610"/>
      <c r="F18" s="610"/>
      <c r="G18" s="610"/>
      <c r="H18" s="610"/>
      <c r="I18" s="610"/>
      <c r="J18" s="610"/>
    </row>
    <row r="19" spans="1:10" ht="15.75" customHeight="1">
      <c r="A19" s="688" t="s">
        <v>931</v>
      </c>
      <c r="B19" s="610"/>
      <c r="C19" s="610"/>
      <c r="D19" s="610"/>
      <c r="E19" s="610"/>
      <c r="F19" s="610"/>
      <c r="G19" s="610"/>
      <c r="H19" s="610"/>
      <c r="I19" s="610"/>
      <c r="J19" s="610"/>
    </row>
    <row r="20" spans="1:10" ht="12" customHeight="1">
      <c r="A20" s="688"/>
      <c r="B20"/>
      <c r="C20"/>
      <c r="D20"/>
      <c r="E20"/>
      <c r="F20"/>
      <c r="G20"/>
      <c r="H20"/>
      <c r="I20"/>
      <c r="J20"/>
    </row>
    <row r="21" spans="1:10" ht="14.25" customHeight="1">
      <c r="A21" s="686" t="s">
        <v>932</v>
      </c>
      <c r="B21"/>
      <c r="C21"/>
      <c r="D21"/>
      <c r="E21"/>
      <c r="F21"/>
      <c r="G21"/>
      <c r="H21"/>
      <c r="I21"/>
      <c r="J21"/>
    </row>
    <row r="22" spans="1:10" ht="17.25" customHeight="1">
      <c r="A22" s="688" t="s">
        <v>933</v>
      </c>
      <c r="B22" s="610"/>
      <c r="C22" s="610"/>
      <c r="D22" s="610"/>
      <c r="E22" s="610"/>
      <c r="F22" s="610"/>
      <c r="G22" s="610"/>
      <c r="H22" s="610"/>
      <c r="I22" s="610"/>
      <c r="J22" s="610"/>
    </row>
    <row r="23" spans="1:10" ht="13.5" customHeight="1">
      <c r="A23" s="688" t="s">
        <v>934</v>
      </c>
      <c r="B23" s="610"/>
      <c r="C23" s="610"/>
      <c r="D23" s="610"/>
      <c r="E23" s="610"/>
      <c r="F23" s="610"/>
      <c r="G23" s="610"/>
      <c r="H23" s="610"/>
      <c r="I23" s="610"/>
      <c r="J23" s="610"/>
    </row>
    <row r="24" spans="1:10" ht="13.5" customHeight="1">
      <c r="A24" s="688"/>
      <c r="B24"/>
      <c r="C24"/>
      <c r="D24"/>
      <c r="E24"/>
      <c r="F24"/>
      <c r="G24"/>
      <c r="H24"/>
      <c r="I24"/>
      <c r="J24"/>
    </row>
    <row r="25" spans="1:10" ht="15.75" customHeight="1">
      <c r="A25" s="686" t="s">
        <v>935</v>
      </c>
      <c r="B25"/>
      <c r="C25"/>
      <c r="D25"/>
      <c r="E25"/>
      <c r="F25"/>
      <c r="G25"/>
      <c r="H25"/>
      <c r="I25"/>
      <c r="J25"/>
    </row>
    <row r="26" spans="1:10" ht="15.75" customHeight="1">
      <c r="A26" s="688" t="s">
        <v>936</v>
      </c>
      <c r="B26" s="610"/>
      <c r="C26" s="610"/>
      <c r="D26" s="610"/>
      <c r="E26" s="610"/>
      <c r="F26" s="610"/>
      <c r="G26" s="610"/>
      <c r="H26" s="610"/>
      <c r="I26" s="610"/>
      <c r="J26" s="610"/>
    </row>
    <row r="27" spans="1:10" ht="14.25" customHeight="1">
      <c r="A27" s="688" t="s">
        <v>937</v>
      </c>
      <c r="B27" s="610"/>
      <c r="C27" s="610"/>
      <c r="D27" s="610"/>
      <c r="E27" s="610"/>
      <c r="F27" s="610"/>
      <c r="G27" s="610"/>
      <c r="H27" s="610"/>
      <c r="I27" s="610"/>
      <c r="J27" s="610"/>
    </row>
    <row r="28" spans="1:10" ht="9.75" customHeight="1">
      <c r="A28" s="688"/>
      <c r="B28"/>
      <c r="C28"/>
      <c r="D28"/>
      <c r="E28"/>
      <c r="F28"/>
      <c r="G28"/>
      <c r="H28"/>
      <c r="I28"/>
      <c r="J28"/>
    </row>
    <row r="29" spans="1:10">
      <c r="A29" s="686" t="s">
        <v>938</v>
      </c>
      <c r="B29"/>
      <c r="C29"/>
      <c r="D29"/>
      <c r="E29"/>
      <c r="F29"/>
      <c r="G29"/>
      <c r="H29"/>
      <c r="I29"/>
      <c r="J29"/>
    </row>
    <row r="30" spans="1:10" ht="18" customHeight="1">
      <c r="A30" s="688" t="s">
        <v>939</v>
      </c>
      <c r="B30" s="610"/>
      <c r="C30" s="610"/>
      <c r="D30" s="610"/>
      <c r="E30" s="610"/>
      <c r="F30" s="610"/>
      <c r="G30" s="610"/>
      <c r="H30" s="610"/>
      <c r="I30" s="610"/>
      <c r="J30" s="610"/>
    </row>
    <row r="31" spans="1:10" ht="10.5" customHeight="1">
      <c r="A31" s="688"/>
      <c r="B31"/>
      <c r="C31"/>
      <c r="D31"/>
      <c r="E31"/>
      <c r="F31"/>
      <c r="G31"/>
      <c r="H31"/>
      <c r="I31"/>
      <c r="J31"/>
    </row>
    <row r="32" spans="1:10">
      <c r="A32" s="686" t="s">
        <v>940</v>
      </c>
      <c r="B32"/>
      <c r="C32"/>
      <c r="D32"/>
      <c r="E32"/>
      <c r="F32"/>
      <c r="G32"/>
      <c r="H32"/>
      <c r="I32"/>
      <c r="J32"/>
    </row>
    <row r="33" spans="1:11" ht="17.25" customHeight="1">
      <c r="A33" s="688" t="s">
        <v>941</v>
      </c>
      <c r="B33" s="610"/>
      <c r="C33" s="610"/>
      <c r="D33" s="610"/>
      <c r="E33" s="610"/>
      <c r="F33" s="610"/>
      <c r="G33" s="610"/>
      <c r="H33" s="610"/>
      <c r="I33" s="610"/>
      <c r="J33" s="610"/>
    </row>
    <row r="34" spans="1:11" ht="14.25" customHeight="1">
      <c r="A34" s="688" t="s">
        <v>942</v>
      </c>
      <c r="B34" s="610"/>
      <c r="C34" s="610"/>
      <c r="D34" s="610"/>
      <c r="E34" s="610"/>
      <c r="F34" s="610"/>
      <c r="G34" s="610"/>
      <c r="H34" s="610"/>
      <c r="I34" s="610"/>
      <c r="J34" s="610"/>
    </row>
    <row r="35" spans="1:11" ht="14.25" customHeight="1">
      <c r="A35" s="688" t="s">
        <v>943</v>
      </c>
      <c r="B35" s="610"/>
      <c r="C35" s="610"/>
      <c r="D35" s="610"/>
      <c r="E35" s="610"/>
      <c r="F35" s="610"/>
      <c r="G35" s="610"/>
      <c r="H35" s="610"/>
      <c r="I35" s="610"/>
      <c r="J35" s="610"/>
      <c r="K35" s="4"/>
    </row>
    <row r="36" spans="1:11" ht="10.5" customHeight="1">
      <c r="A36" s="688"/>
      <c r="B36"/>
      <c r="C36"/>
      <c r="D36"/>
      <c r="E36"/>
      <c r="F36"/>
      <c r="G36"/>
      <c r="H36"/>
      <c r="I36"/>
      <c r="J36"/>
    </row>
    <row r="37" spans="1:11">
      <c r="A37" s="686" t="s">
        <v>944</v>
      </c>
      <c r="B37"/>
      <c r="C37"/>
      <c r="D37"/>
      <c r="E37"/>
      <c r="F37"/>
      <c r="G37"/>
      <c r="H37"/>
      <c r="I37"/>
      <c r="J37"/>
    </row>
    <row r="38" spans="1:11" ht="16.5" customHeight="1">
      <c r="A38" s="688" t="s">
        <v>945</v>
      </c>
      <c r="B38" s="610"/>
      <c r="C38" s="610"/>
      <c r="D38" s="610"/>
      <c r="E38" s="610"/>
      <c r="F38" s="610"/>
      <c r="G38" s="610"/>
      <c r="H38" s="610"/>
      <c r="I38" s="610"/>
      <c r="J38" s="610"/>
    </row>
    <row r="39" spans="1:11" ht="13.5" customHeight="1">
      <c r="A39" s="688" t="s">
        <v>946</v>
      </c>
      <c r="B39" s="610"/>
      <c r="C39" s="610"/>
      <c r="D39" s="610"/>
      <c r="E39" s="610"/>
      <c r="F39" s="610"/>
      <c r="G39" s="610"/>
      <c r="H39" s="610"/>
      <c r="I39" s="610"/>
      <c r="J39" s="610"/>
    </row>
    <row r="40" spans="1:11" ht="9.75" customHeight="1">
      <c r="A40" s="688"/>
      <c r="B40"/>
      <c r="C40"/>
      <c r="D40"/>
      <c r="E40"/>
      <c r="F40"/>
      <c r="G40"/>
      <c r="H40"/>
      <c r="I40"/>
      <c r="J40"/>
    </row>
    <row r="41" spans="1:11" ht="18" customHeight="1">
      <c r="A41" s="689" t="s">
        <v>702</v>
      </c>
      <c r="B41" s="690" t="s">
        <v>947</v>
      </c>
      <c r="C41" s="690" t="s">
        <v>948</v>
      </c>
      <c r="D41" s="690" t="s">
        <v>949</v>
      </c>
      <c r="E41" s="690" t="s">
        <v>950</v>
      </c>
      <c r="F41" s="690" t="s">
        <v>951</v>
      </c>
      <c r="G41" s="690" t="s">
        <v>952</v>
      </c>
      <c r="H41" s="690" t="s">
        <v>953</v>
      </c>
      <c r="I41" s="691" t="s">
        <v>954</v>
      </c>
      <c r="J41" s="691" t="s">
        <v>955</v>
      </c>
    </row>
    <row r="42" spans="1:11" ht="16.5" customHeight="1">
      <c r="A42" s="692" t="s">
        <v>956</v>
      </c>
      <c r="B42" s="693">
        <v>1.82</v>
      </c>
      <c r="C42" s="693">
        <v>0.96</v>
      </c>
      <c r="D42" s="693">
        <v>0.73</v>
      </c>
      <c r="E42" s="693">
        <v>0.52</v>
      </c>
      <c r="F42" s="693">
        <v>0.42</v>
      </c>
      <c r="G42" s="693">
        <v>0.34</v>
      </c>
      <c r="H42" s="693">
        <v>0.24</v>
      </c>
      <c r="I42" s="693">
        <v>0.2</v>
      </c>
      <c r="J42" s="693">
        <v>0.15</v>
      </c>
    </row>
    <row r="43" spans="1:11" ht="12.75" customHeight="1">
      <c r="A43" s="688"/>
      <c r="B43"/>
      <c r="C43"/>
      <c r="D43"/>
      <c r="E43"/>
      <c r="F43"/>
      <c r="G43"/>
      <c r="H43"/>
      <c r="I43"/>
      <c r="J43"/>
    </row>
    <row r="44" spans="1:11" ht="16.5" customHeight="1">
      <c r="A44" s="689" t="s">
        <v>702</v>
      </c>
      <c r="B44" s="694" t="s">
        <v>957</v>
      </c>
      <c r="C44" s="694" t="s">
        <v>958</v>
      </c>
      <c r="D44" s="694" t="s">
        <v>959</v>
      </c>
      <c r="E44" s="694" t="s">
        <v>960</v>
      </c>
      <c r="G44" s="3"/>
    </row>
    <row r="45" spans="1:11" ht="15.75" customHeight="1">
      <c r="A45" s="695" t="s">
        <v>961</v>
      </c>
      <c r="B45" s="696" t="s">
        <v>962</v>
      </c>
      <c r="C45" s="697">
        <v>0.2</v>
      </c>
      <c r="D45" s="697">
        <v>0.2</v>
      </c>
      <c r="E45" s="697">
        <v>0.15</v>
      </c>
      <c r="G45" s="3"/>
    </row>
    <row r="46" spans="1:11" ht="14.25" customHeight="1">
      <c r="A46" s="698">
        <v>2007</v>
      </c>
      <c r="B46" s="699" t="s">
        <v>962</v>
      </c>
      <c r="C46" s="700">
        <v>0.18</v>
      </c>
      <c r="D46" s="700">
        <v>0.16</v>
      </c>
      <c r="E46" s="700">
        <v>0.13</v>
      </c>
      <c r="F46"/>
      <c r="G46"/>
      <c r="H46"/>
      <c r="I46"/>
      <c r="J46"/>
    </row>
    <row r="47" spans="1:11" ht="14.25" customHeight="1">
      <c r="A47" s="698">
        <v>2008</v>
      </c>
      <c r="B47" s="699" t="s">
        <v>962</v>
      </c>
      <c r="C47" s="700">
        <v>0.16</v>
      </c>
      <c r="D47" s="700">
        <v>0.12</v>
      </c>
      <c r="E47" s="700">
        <v>0.11</v>
      </c>
      <c r="G47" s="3"/>
    </row>
    <row r="48" spans="1:11" ht="14.25" customHeight="1">
      <c r="A48" s="701" t="s">
        <v>963</v>
      </c>
      <c r="B48" s="702" t="s">
        <v>962</v>
      </c>
      <c r="C48" s="703">
        <v>0.15</v>
      </c>
      <c r="D48" s="703">
        <v>0.1</v>
      </c>
      <c r="E48" s="703">
        <v>0.1</v>
      </c>
      <c r="G48" s="3"/>
    </row>
    <row r="49" spans="1:7" ht="9" customHeight="1">
      <c r="A49" s="704"/>
      <c r="C49" s="3"/>
      <c r="E49" s="3"/>
      <c r="G49" s="3"/>
    </row>
    <row r="50" spans="1:7" ht="15" customHeight="1">
      <c r="A50" s="704" t="s">
        <v>964</v>
      </c>
      <c r="C50" s="3"/>
      <c r="E50" s="3"/>
      <c r="G50" s="3"/>
    </row>
    <row r="51" spans="1:7" ht="15" customHeight="1">
      <c r="A51" s="688" t="s">
        <v>965</v>
      </c>
      <c r="C51" s="3"/>
      <c r="E51" s="3"/>
      <c r="G51" s="3"/>
    </row>
    <row r="52" spans="1:7" ht="11.25" customHeight="1">
      <c r="A52" s="704"/>
      <c r="C52" s="3"/>
      <c r="E52" s="3"/>
      <c r="G52" s="3"/>
    </row>
    <row r="53" spans="1:7" ht="14.25" customHeight="1">
      <c r="A53" s="705" t="s">
        <v>966</v>
      </c>
      <c r="C53" s="3"/>
      <c r="E53" s="3"/>
      <c r="G53" s="3"/>
    </row>
    <row r="54" spans="1:7" ht="16.5" customHeight="1">
      <c r="A54" s="704" t="s">
        <v>967</v>
      </c>
      <c r="C54" s="3"/>
      <c r="E54" s="3"/>
      <c r="G54" s="3"/>
    </row>
    <row r="55" spans="1:7" ht="11.25" customHeight="1">
      <c r="A55" s="704"/>
      <c r="C55" s="3"/>
      <c r="E55" s="3"/>
      <c r="G55" s="3"/>
    </row>
    <row r="56" spans="1:7" ht="13.5" customHeight="1">
      <c r="A56" s="705" t="s">
        <v>968</v>
      </c>
      <c r="C56" s="3"/>
      <c r="E56" s="3"/>
      <c r="G56" s="3"/>
    </row>
    <row r="57" spans="1:7" ht="13.5" customHeight="1">
      <c r="A57" s="704" t="s">
        <v>969</v>
      </c>
      <c r="C57" s="3"/>
      <c r="E57" s="3"/>
      <c r="G57" s="3"/>
    </row>
    <row r="58" spans="1:7" ht="16.5" customHeight="1">
      <c r="A58" s="704" t="s">
        <v>970</v>
      </c>
      <c r="C58" s="3"/>
      <c r="E58" s="3"/>
      <c r="G58" s="3"/>
    </row>
    <row r="59" spans="1:7" ht="11.25" customHeight="1">
      <c r="A59" s="704"/>
      <c r="C59" s="3"/>
      <c r="E59" s="3"/>
      <c r="G59" s="3"/>
    </row>
    <row r="60" spans="1:7" ht="17.25" customHeight="1">
      <c r="A60" s="686" t="s">
        <v>971</v>
      </c>
      <c r="C60" s="3"/>
      <c r="E60" s="3"/>
      <c r="G60" s="3"/>
    </row>
    <row r="61" spans="1:7" ht="16.5" customHeight="1">
      <c r="A61" s="688" t="s">
        <v>972</v>
      </c>
      <c r="C61" s="3"/>
      <c r="E61" s="3"/>
      <c r="G61" s="3"/>
    </row>
    <row r="62" spans="1:7" ht="16.5" customHeight="1">
      <c r="A62" s="686" t="s">
        <v>973</v>
      </c>
      <c r="C62" s="3"/>
      <c r="E62" s="3"/>
      <c r="G62" s="3"/>
    </row>
    <row r="63" spans="1:7" ht="10.5" customHeight="1">
      <c r="A63" s="706"/>
      <c r="C63" s="3"/>
      <c r="E63" s="3"/>
      <c r="G63" s="3"/>
    </row>
    <row r="64" spans="1:7" ht="17.25" customHeight="1">
      <c r="A64" s="686" t="s">
        <v>974</v>
      </c>
      <c r="C64" s="3"/>
      <c r="E64" s="3"/>
      <c r="G64" s="3"/>
    </row>
    <row r="65" spans="1:10" ht="17.25" customHeight="1">
      <c r="A65" s="688" t="s">
        <v>975</v>
      </c>
      <c r="C65" s="3"/>
      <c r="E65" s="3"/>
      <c r="G65" s="3"/>
    </row>
    <row r="66" spans="1:10" ht="16.5" customHeight="1">
      <c r="A66" s="173" t="s">
        <v>976</v>
      </c>
      <c r="C66" s="3"/>
      <c r="E66" s="3"/>
      <c r="G66" s="3"/>
    </row>
    <row r="67" spans="1:10" ht="10.5" customHeight="1">
      <c r="A67" s="173"/>
      <c r="C67" s="3"/>
      <c r="E67" s="3"/>
      <c r="G67" s="3"/>
    </row>
    <row r="68" spans="1:10" ht="14.25" customHeight="1">
      <c r="A68" s="686" t="s">
        <v>977</v>
      </c>
      <c r="C68" s="3"/>
      <c r="E68" s="3"/>
      <c r="G68" s="3"/>
    </row>
    <row r="69" spans="1:10" ht="17.25" customHeight="1">
      <c r="A69" s="707" t="s">
        <v>978</v>
      </c>
      <c r="C69" s="3"/>
      <c r="E69" s="3"/>
      <c r="G69" s="3"/>
    </row>
    <row r="70" spans="1:10" ht="9.75" customHeight="1">
      <c r="C70" s="3"/>
      <c r="E70" s="3"/>
      <c r="G70" s="3"/>
    </row>
    <row r="71" spans="1:10" ht="18" customHeight="1">
      <c r="A71" s="686" t="s">
        <v>979</v>
      </c>
      <c r="C71" s="3"/>
      <c r="E71" s="3"/>
      <c r="G71" s="3"/>
    </row>
    <row r="72" spans="1:10" ht="12" customHeight="1">
      <c r="A72" s="704"/>
      <c r="C72" s="3"/>
      <c r="E72" s="3"/>
      <c r="G72" s="3"/>
    </row>
    <row r="73" spans="1:10" ht="15" customHeight="1">
      <c r="B73" s="708" t="s">
        <v>980</v>
      </c>
      <c r="C73" s="3"/>
      <c r="E73" s="3"/>
      <c r="G73" s="3"/>
    </row>
    <row r="74" spans="1:10">
      <c r="A74" s="709">
        <v>0</v>
      </c>
      <c r="B74" s="710" t="s">
        <v>981</v>
      </c>
      <c r="C74" s="115"/>
      <c r="D74" s="115"/>
      <c r="E74" s="115"/>
      <c r="G74" s="3"/>
    </row>
    <row r="75" spans="1:10">
      <c r="A75" s="709">
        <v>1</v>
      </c>
      <c r="B75" s="710" t="s">
        <v>982</v>
      </c>
      <c r="C75" s="115"/>
      <c r="D75" s="115"/>
      <c r="E75" s="115"/>
      <c r="G75" s="711" t="s">
        <v>498</v>
      </c>
      <c r="H75" s="712" t="s">
        <v>983</v>
      </c>
      <c r="I75" s="115"/>
      <c r="J75" s="115"/>
    </row>
    <row r="76" spans="1:10">
      <c r="A76" s="709">
        <v>2</v>
      </c>
      <c r="B76" s="710" t="s">
        <v>984</v>
      </c>
      <c r="C76" s="115"/>
      <c r="D76" s="115"/>
      <c r="E76" s="115"/>
      <c r="G76" s="709" t="s">
        <v>514</v>
      </c>
      <c r="H76" s="710" t="s">
        <v>985</v>
      </c>
      <c r="I76" s="115"/>
      <c r="J76" s="115"/>
    </row>
    <row r="77" spans="1:10">
      <c r="A77" s="709" t="s">
        <v>484</v>
      </c>
      <c r="B77" s="710" t="s">
        <v>986</v>
      </c>
      <c r="C77" s="115"/>
      <c r="D77" s="115"/>
      <c r="E77" s="115"/>
      <c r="G77" s="713" t="s">
        <v>500</v>
      </c>
      <c r="H77" s="712" t="s">
        <v>987</v>
      </c>
      <c r="I77" s="115"/>
      <c r="J77" s="115"/>
    </row>
    <row r="78" spans="1:10">
      <c r="A78" s="709" t="s">
        <v>486</v>
      </c>
      <c r="B78" s="712" t="s">
        <v>988</v>
      </c>
      <c r="C78" s="115"/>
      <c r="D78" s="115"/>
      <c r="E78" s="115"/>
      <c r="G78" s="711" t="s">
        <v>989</v>
      </c>
      <c r="H78" s="712" t="s">
        <v>990</v>
      </c>
      <c r="I78" s="115"/>
      <c r="J78" s="115"/>
    </row>
    <row r="79" spans="1:10">
      <c r="A79" s="709" t="s">
        <v>991</v>
      </c>
      <c r="B79" s="710" t="s">
        <v>992</v>
      </c>
      <c r="C79" s="115"/>
      <c r="D79" s="115"/>
      <c r="E79" s="115"/>
      <c r="G79" s="714">
        <v>10</v>
      </c>
      <c r="H79" s="715" t="s">
        <v>993</v>
      </c>
      <c r="I79" s="115"/>
      <c r="J79" s="115"/>
    </row>
    <row r="80" spans="1:10">
      <c r="A80" s="709" t="s">
        <v>994</v>
      </c>
      <c r="B80" s="710" t="s">
        <v>995</v>
      </c>
      <c r="C80" s="115"/>
      <c r="D80" s="115"/>
      <c r="E80" s="115"/>
      <c r="G80" s="714" t="s">
        <v>996</v>
      </c>
      <c r="H80" s="715" t="s">
        <v>997</v>
      </c>
      <c r="I80" s="115"/>
      <c r="J80" s="115"/>
    </row>
    <row r="81" spans="1:10">
      <c r="A81" s="709" t="s">
        <v>998</v>
      </c>
      <c r="B81" s="710" t="s">
        <v>999</v>
      </c>
      <c r="C81" s="115"/>
      <c r="D81" s="115"/>
      <c r="E81" s="115"/>
      <c r="G81" s="714" t="s">
        <v>1000</v>
      </c>
      <c r="H81" s="715" t="s">
        <v>1001</v>
      </c>
      <c r="I81" s="115"/>
      <c r="J81" s="115"/>
    </row>
    <row r="82" spans="1:10">
      <c r="A82" s="709" t="s">
        <v>1002</v>
      </c>
      <c r="B82" s="710" t="s">
        <v>1003</v>
      </c>
      <c r="C82" s="115"/>
      <c r="D82" s="115"/>
      <c r="E82" s="115"/>
      <c r="G82" s="714" t="s">
        <v>1004</v>
      </c>
      <c r="H82" s="715" t="s">
        <v>1005</v>
      </c>
      <c r="I82" s="115"/>
      <c r="J82" s="115"/>
    </row>
    <row r="83" spans="1:10">
      <c r="A83" s="713" t="s">
        <v>1006</v>
      </c>
      <c r="B83" s="712" t="s">
        <v>1007</v>
      </c>
      <c r="C83" s="115"/>
      <c r="D83" s="115"/>
      <c r="E83" s="115"/>
      <c r="G83" s="714" t="s">
        <v>519</v>
      </c>
      <c r="H83" s="712" t="s">
        <v>1008</v>
      </c>
      <c r="I83" s="115"/>
      <c r="J83" s="115"/>
    </row>
    <row r="84" spans="1:10">
      <c r="A84" s="716" t="s">
        <v>508</v>
      </c>
      <c r="B84" s="710" t="s">
        <v>1009</v>
      </c>
      <c r="C84" s="115"/>
      <c r="D84" s="115"/>
      <c r="E84" s="115"/>
      <c r="G84" s="714" t="s">
        <v>504</v>
      </c>
      <c r="H84" s="712" t="s">
        <v>1010</v>
      </c>
      <c r="I84" s="115"/>
      <c r="J84" s="115"/>
    </row>
    <row r="85" spans="1:10">
      <c r="A85" s="711" t="s">
        <v>490</v>
      </c>
      <c r="B85" s="710" t="s">
        <v>1011</v>
      </c>
      <c r="C85" s="115"/>
      <c r="D85" s="115"/>
      <c r="E85" s="115"/>
      <c r="G85" s="714" t="s">
        <v>523</v>
      </c>
      <c r="H85" s="712" t="s">
        <v>1012</v>
      </c>
      <c r="I85" s="115"/>
      <c r="J85" s="115"/>
    </row>
    <row r="86" spans="1:10">
      <c r="A86" s="709">
        <v>7</v>
      </c>
      <c r="B86" s="710" t="s">
        <v>1013</v>
      </c>
      <c r="C86" s="115"/>
      <c r="D86" s="115"/>
      <c r="E86" s="115"/>
      <c r="G86" s="714" t="s">
        <v>506</v>
      </c>
      <c r="H86" s="712" t="s">
        <v>1014</v>
      </c>
      <c r="I86" s="115"/>
      <c r="J86" s="115"/>
    </row>
    <row r="87" spans="1:10">
      <c r="A87" s="709"/>
      <c r="B87" s="710" t="s">
        <v>1015</v>
      </c>
      <c r="C87" s="115"/>
      <c r="D87" s="115"/>
      <c r="E87" s="115"/>
      <c r="G87" s="714">
        <v>14</v>
      </c>
      <c r="H87" s="715" t="s">
        <v>1016</v>
      </c>
      <c r="I87" s="115"/>
      <c r="J87" s="115"/>
    </row>
    <row r="88" spans="1:10">
      <c r="A88" s="709" t="s">
        <v>512</v>
      </c>
      <c r="B88" s="710" t="s">
        <v>1017</v>
      </c>
      <c r="C88" s="115"/>
      <c r="D88" s="115"/>
      <c r="E88" s="115"/>
      <c r="G88" s="714">
        <v>15</v>
      </c>
      <c r="H88" s="712" t="s">
        <v>1018</v>
      </c>
      <c r="I88" s="115"/>
      <c r="J88" s="115"/>
    </row>
    <row r="89" spans="1:10">
      <c r="E89" s="115"/>
      <c r="G89" s="3"/>
    </row>
    <row r="90" spans="1:10" ht="6.75" customHeight="1">
      <c r="E90" s="115"/>
      <c r="G90" s="3"/>
    </row>
    <row r="91" spans="1:10">
      <c r="A91" s="717" t="s">
        <v>720</v>
      </c>
      <c r="B91" s="715"/>
      <c r="C91" s="115"/>
      <c r="D91" s="115"/>
      <c r="E91" s="115"/>
      <c r="G91" s="3"/>
    </row>
    <row r="92" spans="1:10">
      <c r="A92" s="717"/>
      <c r="B92" s="715"/>
      <c r="C92" s="115"/>
      <c r="D92" s="115"/>
      <c r="E92" s="115"/>
      <c r="G92" s="3"/>
    </row>
    <row r="93" spans="1:10">
      <c r="A93" s="717" t="s">
        <v>1019</v>
      </c>
      <c r="B93" s="715"/>
      <c r="C93" s="115"/>
      <c r="D93" s="115"/>
      <c r="E93" s="115"/>
      <c r="G93" s="3"/>
    </row>
    <row r="94" spans="1:10">
      <c r="A94" s="714"/>
      <c r="B94" s="715"/>
      <c r="C94" s="115"/>
      <c r="D94" s="115"/>
      <c r="E94" s="115"/>
      <c r="G94" s="3"/>
    </row>
    <row r="95" spans="1:10" ht="7.5" customHeight="1">
      <c r="A95" s="714"/>
      <c r="B95" s="715"/>
      <c r="C95" s="115"/>
      <c r="D95" s="115"/>
      <c r="E95" s="115"/>
      <c r="G95" s="3"/>
    </row>
    <row r="96" spans="1:10">
      <c r="A96" s="718" t="s">
        <v>719</v>
      </c>
      <c r="B96" s="715"/>
      <c r="C96" s="115"/>
      <c r="D96" s="115"/>
      <c r="E96" s="115"/>
      <c r="G96" s="3"/>
    </row>
    <row r="97" spans="3:7">
      <c r="C97" s="3"/>
      <c r="E97" s="3"/>
      <c r="G97" s="3"/>
    </row>
  </sheetData>
  <mergeCells count="1">
    <mergeCell ref="A1:H1"/>
  </mergeCells>
  <pageMargins left="0.51181102362204722" right="0.51181102362204722" top="0.3" bottom="0.25" header="0.23622047244094491" footer="0.3"/>
  <pageSetup paperSize="9" scale="61" orientation="portrait"/>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6A76-442F-CF46-954F-B187D7AAD278}">
  <dimension ref="A1:I97"/>
  <sheetViews>
    <sheetView zoomScaleNormal="100" workbookViewId="0">
      <selection activeCell="A3" sqref="A3"/>
    </sheetView>
  </sheetViews>
  <sheetFormatPr baseColWidth="10" defaultColWidth="11.3984375" defaultRowHeight="13"/>
  <cols>
    <col min="1" max="1" width="5.796875" style="3" customWidth="1"/>
    <col min="2" max="2" width="53.796875" style="119" customWidth="1"/>
    <col min="3" max="4" width="13" style="119" customWidth="1"/>
    <col min="5" max="5" width="13" style="3" customWidth="1"/>
    <col min="6" max="7" width="13" style="8" customWidth="1"/>
    <col min="8" max="9" width="13" style="3" customWidth="1"/>
    <col min="10" max="10" width="6.19921875" style="3" customWidth="1"/>
    <col min="11" max="16384" width="11.3984375" style="3"/>
  </cols>
  <sheetData>
    <row r="1" spans="1:9" s="2" customFormat="1" ht="14" customHeight="1">
      <c r="B1" s="88"/>
      <c r="C1" s="88"/>
      <c r="D1" s="88"/>
      <c r="F1" s="406"/>
      <c r="G1" s="406"/>
    </row>
    <row r="2" spans="1:9" s="2" customFormat="1" ht="19.5" customHeight="1">
      <c r="A2" s="246" t="s">
        <v>889</v>
      </c>
      <c r="C2" s="88"/>
      <c r="D2" s="88"/>
      <c r="F2" s="406"/>
      <c r="G2" s="406"/>
      <c r="H2" s="17"/>
      <c r="I2" s="642">
        <v>2011</v>
      </c>
    </row>
    <row r="3" spans="1:9" s="2" customFormat="1" ht="8" customHeight="1" thickBot="1">
      <c r="A3" s="643"/>
      <c r="B3" s="644"/>
      <c r="C3" s="644"/>
      <c r="D3" s="644"/>
      <c r="E3" s="643"/>
      <c r="F3" s="645"/>
      <c r="G3" s="645"/>
      <c r="H3" s="643"/>
      <c r="I3" s="643"/>
    </row>
    <row r="4" spans="1:9" ht="18" customHeight="1">
      <c r="A4" s="573" t="s">
        <v>798</v>
      </c>
      <c r="B4" s="573" t="s">
        <v>890</v>
      </c>
      <c r="C4" s="574" t="s">
        <v>891</v>
      </c>
      <c r="D4" s="571" t="s">
        <v>562</v>
      </c>
      <c r="E4" s="576" t="s">
        <v>574</v>
      </c>
      <c r="F4" s="575" t="s">
        <v>892</v>
      </c>
      <c r="G4" s="576" t="s">
        <v>416</v>
      </c>
      <c r="H4" s="575" t="s">
        <v>893</v>
      </c>
      <c r="I4" s="574" t="s">
        <v>893</v>
      </c>
    </row>
    <row r="5" spans="1:9" ht="15" customHeight="1">
      <c r="A5" s="573" t="s">
        <v>800</v>
      </c>
      <c r="B5" s="573"/>
      <c r="C5" s="574" t="s">
        <v>894</v>
      </c>
      <c r="D5" s="571"/>
      <c r="E5" s="574"/>
      <c r="F5" s="575" t="s">
        <v>895</v>
      </c>
      <c r="G5" s="576" t="s">
        <v>896</v>
      </c>
      <c r="H5" s="575" t="s">
        <v>897</v>
      </c>
      <c r="I5" s="574" t="s">
        <v>898</v>
      </c>
    </row>
    <row r="6" spans="1:9" ht="15" customHeight="1">
      <c r="A6" s="573"/>
      <c r="B6" s="573"/>
      <c r="C6" s="574" t="s">
        <v>899</v>
      </c>
      <c r="D6" s="571"/>
      <c r="E6" s="574"/>
      <c r="F6" s="575" t="s">
        <v>900</v>
      </c>
      <c r="G6" s="576"/>
      <c r="H6" s="575" t="s">
        <v>901</v>
      </c>
      <c r="I6" s="574"/>
    </row>
    <row r="7" spans="1:9" ht="15" customHeight="1">
      <c r="A7" s="573"/>
      <c r="B7" s="573"/>
      <c r="C7" s="574" t="s">
        <v>902</v>
      </c>
      <c r="D7" s="571" t="s">
        <v>903</v>
      </c>
      <c r="E7" s="574" t="s">
        <v>903</v>
      </c>
      <c r="F7" s="571" t="s">
        <v>904</v>
      </c>
      <c r="G7" s="574" t="s">
        <v>903</v>
      </c>
      <c r="H7" s="571" t="s">
        <v>903</v>
      </c>
      <c r="I7" s="574" t="s">
        <v>903</v>
      </c>
    </row>
    <row r="8" spans="1:9" ht="15" customHeight="1">
      <c r="A8" s="573"/>
      <c r="B8" s="573"/>
      <c r="C8" s="574" t="s">
        <v>905</v>
      </c>
      <c r="D8" s="571" t="s">
        <v>906</v>
      </c>
      <c r="E8" s="574" t="s">
        <v>906</v>
      </c>
      <c r="F8" s="571" t="s">
        <v>907</v>
      </c>
      <c r="G8" s="574" t="s">
        <v>906</v>
      </c>
      <c r="H8" s="571" t="s">
        <v>906</v>
      </c>
      <c r="I8" s="574" t="s">
        <v>906</v>
      </c>
    </row>
    <row r="9" spans="1:9" ht="15" customHeight="1">
      <c r="A9" s="573"/>
      <c r="B9" s="573"/>
      <c r="C9" s="574"/>
      <c r="D9" s="571"/>
      <c r="E9" s="574"/>
      <c r="F9" s="571"/>
      <c r="G9" s="576"/>
      <c r="H9" s="571"/>
      <c r="I9" s="574"/>
    </row>
    <row r="10" spans="1:9" ht="18" customHeight="1">
      <c r="A10" s="618">
        <v>0</v>
      </c>
      <c r="B10" s="618"/>
      <c r="C10" s="619">
        <v>1</v>
      </c>
      <c r="D10" s="620">
        <v>2</v>
      </c>
      <c r="E10" s="619">
        <v>3</v>
      </c>
      <c r="F10" s="622">
        <v>4</v>
      </c>
      <c r="G10" s="621">
        <v>5</v>
      </c>
      <c r="H10" s="620">
        <v>6</v>
      </c>
      <c r="I10" s="619">
        <v>7</v>
      </c>
    </row>
    <row r="11" spans="1:9" ht="3.5" customHeight="1" thickBot="1">
      <c r="A11" s="584"/>
      <c r="B11" s="585"/>
      <c r="C11" s="646" t="s">
        <v>1133</v>
      </c>
      <c r="D11" s="647" t="s">
        <v>1133</v>
      </c>
      <c r="E11" s="648" t="s">
        <v>1133</v>
      </c>
      <c r="F11" s="647" t="s">
        <v>1133</v>
      </c>
      <c r="G11" s="649" t="s">
        <v>1133</v>
      </c>
      <c r="H11" s="647" t="s">
        <v>1133</v>
      </c>
      <c r="I11" s="649" t="s">
        <v>1133</v>
      </c>
    </row>
    <row r="12" spans="1:9" ht="17" customHeight="1" thickBot="1">
      <c r="A12" s="584">
        <v>8</v>
      </c>
      <c r="B12" s="585" t="s">
        <v>1074</v>
      </c>
      <c r="C12" s="646" t="s">
        <v>1133</v>
      </c>
      <c r="D12" s="647">
        <v>840.2</v>
      </c>
      <c r="E12" s="648">
        <v>685.82140000000004</v>
      </c>
      <c r="F12" s="647">
        <v>44.999900000000004</v>
      </c>
      <c r="G12" s="649">
        <v>114.34721</v>
      </c>
      <c r="H12" s="647">
        <v>2000</v>
      </c>
      <c r="I12" s="649">
        <v>9673.7292300000008</v>
      </c>
    </row>
    <row r="13" spans="1:9" ht="16.5" customHeight="1" thickBot="1">
      <c r="A13" s="650">
        <v>32</v>
      </c>
      <c r="B13" s="651" t="s">
        <v>1075</v>
      </c>
      <c r="C13" s="652" t="s">
        <v>1133</v>
      </c>
      <c r="D13" s="653">
        <v>1297.0999999999999</v>
      </c>
      <c r="E13" s="654">
        <v>404.59015000000005</v>
      </c>
      <c r="F13" s="653">
        <v>123.14887999999999</v>
      </c>
      <c r="G13" s="655">
        <v>811.64816000000008</v>
      </c>
      <c r="H13" s="653">
        <v>3000</v>
      </c>
      <c r="I13" s="655">
        <v>2236.9778199999996</v>
      </c>
    </row>
    <row r="14" spans="1:9" ht="16.5" customHeight="1" thickBot="1">
      <c r="A14" s="650">
        <v>57</v>
      </c>
      <c r="B14" s="651" t="s">
        <v>1076</v>
      </c>
      <c r="C14" s="652" t="s">
        <v>1133</v>
      </c>
      <c r="D14" s="653">
        <v>26071.4</v>
      </c>
      <c r="E14" s="654">
        <v>22326.056949999998</v>
      </c>
      <c r="F14" s="653">
        <v>4164.5986999999996</v>
      </c>
      <c r="G14" s="655">
        <v>-1778.8223700000001</v>
      </c>
      <c r="H14" s="653">
        <v>2746.752</v>
      </c>
      <c r="I14" s="655">
        <v>35210.551869999996</v>
      </c>
    </row>
    <row r="15" spans="1:9" ht="16.5" customHeight="1" thickBot="1">
      <c r="A15" s="650">
        <v>134</v>
      </c>
      <c r="B15" s="651" t="s">
        <v>1078</v>
      </c>
      <c r="C15" s="652" t="s">
        <v>1133</v>
      </c>
      <c r="D15" s="653">
        <v>108.9</v>
      </c>
      <c r="E15" s="654">
        <v>72.843000000000004</v>
      </c>
      <c r="F15" s="653">
        <v>16.579800000000002</v>
      </c>
      <c r="G15" s="655">
        <v>15.19745</v>
      </c>
      <c r="H15" s="653">
        <v>100</v>
      </c>
      <c r="I15" s="655">
        <v>314.21040000000005</v>
      </c>
    </row>
    <row r="16" spans="1:9" ht="16.5" customHeight="1" thickBot="1">
      <c r="A16" s="650">
        <v>182</v>
      </c>
      <c r="B16" s="651" t="s">
        <v>1079</v>
      </c>
      <c r="C16" s="652" t="s">
        <v>1133</v>
      </c>
      <c r="D16" s="653">
        <v>2.9</v>
      </c>
      <c r="E16" s="654" t="s">
        <v>1133</v>
      </c>
      <c r="F16" s="653">
        <v>20</v>
      </c>
      <c r="G16" s="655">
        <v>-15.42409</v>
      </c>
      <c r="H16" s="653">
        <v>0</v>
      </c>
      <c r="I16" s="655">
        <v>355.37342999999998</v>
      </c>
    </row>
    <row r="17" spans="1:9" ht="16.5" customHeight="1" thickBot="1">
      <c r="A17" s="650">
        <v>194</v>
      </c>
      <c r="B17" s="651" t="s">
        <v>1080</v>
      </c>
      <c r="C17" s="652" t="s">
        <v>1133</v>
      </c>
      <c r="D17" s="653">
        <v>1291.8</v>
      </c>
      <c r="E17" s="654">
        <v>714.06325000000004</v>
      </c>
      <c r="F17" s="653">
        <v>196.62389000000002</v>
      </c>
      <c r="G17" s="655">
        <v>-413.50082000000003</v>
      </c>
      <c r="H17" s="653">
        <v>570</v>
      </c>
      <c r="I17" s="655">
        <v>1647.65969</v>
      </c>
    </row>
    <row r="18" spans="1:9" ht="16.5" customHeight="1" thickBot="1">
      <c r="A18" s="650">
        <v>246</v>
      </c>
      <c r="B18" s="651" t="s">
        <v>1081</v>
      </c>
      <c r="C18" s="656" t="s">
        <v>1133</v>
      </c>
      <c r="D18" s="657">
        <v>24.3</v>
      </c>
      <c r="E18" s="658">
        <v>-2.8364000000000003</v>
      </c>
      <c r="F18" s="657">
        <v>42.785499999999999</v>
      </c>
      <c r="G18" s="659">
        <v>-21.855800000000002</v>
      </c>
      <c r="H18" s="657">
        <v>23</v>
      </c>
      <c r="I18" s="659">
        <v>130.1892</v>
      </c>
    </row>
    <row r="19" spans="1:9" ht="16.5" customHeight="1" thickBot="1">
      <c r="A19" s="650">
        <v>290</v>
      </c>
      <c r="B19" s="651" t="s">
        <v>1134</v>
      </c>
      <c r="C19" s="656" t="s">
        <v>1133</v>
      </c>
      <c r="D19" s="657">
        <v>4127.8</v>
      </c>
      <c r="E19" s="658">
        <v>2676.8741</v>
      </c>
      <c r="F19" s="657">
        <v>1991.9427200000005</v>
      </c>
      <c r="G19" s="659">
        <v>-553.13345000000004</v>
      </c>
      <c r="H19" s="657">
        <v>495.22199999999998</v>
      </c>
      <c r="I19" s="659">
        <v>2432.2949399999998</v>
      </c>
    </row>
    <row r="20" spans="1:9" ht="16.5" customHeight="1" thickBot="1">
      <c r="A20" s="650">
        <v>294</v>
      </c>
      <c r="B20" s="651" t="s">
        <v>1083</v>
      </c>
      <c r="C20" s="656" t="s">
        <v>1133</v>
      </c>
      <c r="D20" s="657">
        <v>53.3</v>
      </c>
      <c r="E20" s="658">
        <v>7.2785500000000001</v>
      </c>
      <c r="F20" s="657">
        <v>36</v>
      </c>
      <c r="G20" s="659">
        <v>8.448030000000001</v>
      </c>
      <c r="H20" s="657">
        <v>51</v>
      </c>
      <c r="I20" s="659">
        <v>167.36658000000003</v>
      </c>
    </row>
    <row r="21" spans="1:9" ht="16.5" customHeight="1" thickBot="1">
      <c r="A21" s="650">
        <v>312</v>
      </c>
      <c r="B21" s="651" t="s">
        <v>1084</v>
      </c>
      <c r="C21" s="656" t="s">
        <v>1133</v>
      </c>
      <c r="D21" s="657">
        <v>458.8</v>
      </c>
      <c r="E21" s="658">
        <v>349.65449999999998</v>
      </c>
      <c r="F21" s="657">
        <v>16.941180000000003</v>
      </c>
      <c r="G21" s="659">
        <v>85.251609999999999</v>
      </c>
      <c r="H21" s="657">
        <v>115</v>
      </c>
      <c r="I21" s="659">
        <v>3351.6310600000002</v>
      </c>
    </row>
    <row r="22" spans="1:9" ht="16.5" customHeight="1" thickBot="1">
      <c r="A22" s="650">
        <v>343</v>
      </c>
      <c r="B22" s="651" t="s">
        <v>857</v>
      </c>
      <c r="C22" s="656" t="s">
        <v>1133</v>
      </c>
      <c r="D22" s="657">
        <v>7337.1</v>
      </c>
      <c r="E22" s="658">
        <v>5213.2478000000001</v>
      </c>
      <c r="F22" s="657">
        <v>1339.6202900000001</v>
      </c>
      <c r="G22" s="659">
        <v>1985.50857</v>
      </c>
      <c r="H22" s="657">
        <v>600</v>
      </c>
      <c r="I22" s="659">
        <v>34353.658439999999</v>
      </c>
    </row>
    <row r="23" spans="1:9" ht="16.5" customHeight="1" thickBot="1">
      <c r="A23" s="650">
        <v>360</v>
      </c>
      <c r="B23" s="651" t="s">
        <v>1085</v>
      </c>
      <c r="C23" s="656" t="s">
        <v>1133</v>
      </c>
      <c r="D23" s="657">
        <v>1220.4000000000001</v>
      </c>
      <c r="E23" s="658">
        <v>1037.3932</v>
      </c>
      <c r="F23" s="657">
        <v>50.145600000000002</v>
      </c>
      <c r="G23" s="659">
        <v>120.462</v>
      </c>
      <c r="H23" s="657">
        <v>523.55430000000001</v>
      </c>
      <c r="I23" s="659">
        <v>2512.4980499999997</v>
      </c>
    </row>
    <row r="24" spans="1:9" ht="16.5" customHeight="1" thickBot="1">
      <c r="A24" s="650">
        <v>376</v>
      </c>
      <c r="B24" s="651" t="s">
        <v>1086</v>
      </c>
      <c r="C24" s="656" t="s">
        <v>1133</v>
      </c>
      <c r="D24" s="657">
        <v>647.20000000000005</v>
      </c>
      <c r="E24" s="658">
        <v>321.74400000000003</v>
      </c>
      <c r="F24" s="657">
        <v>26.50723</v>
      </c>
      <c r="G24" s="659">
        <v>299.48041000000001</v>
      </c>
      <c r="H24" s="657">
        <v>180</v>
      </c>
      <c r="I24" s="659">
        <v>5394.2307099999998</v>
      </c>
    </row>
    <row r="25" spans="1:9" ht="16.5" customHeight="1" thickBot="1">
      <c r="A25" s="650">
        <v>455</v>
      </c>
      <c r="B25" s="651" t="s">
        <v>1087</v>
      </c>
      <c r="C25" s="656" t="s">
        <v>1133</v>
      </c>
      <c r="D25" s="657">
        <v>3428</v>
      </c>
      <c r="E25" s="658">
        <v>2125.8382499999998</v>
      </c>
      <c r="F25" s="657">
        <v>515.59050000000002</v>
      </c>
      <c r="G25" s="659">
        <v>718.14775000000009</v>
      </c>
      <c r="H25" s="657">
        <v>630.846</v>
      </c>
      <c r="I25" s="659">
        <v>15091.479800000001</v>
      </c>
    </row>
    <row r="26" spans="1:9" ht="16.5" customHeight="1" thickBot="1">
      <c r="A26" s="650">
        <v>509</v>
      </c>
      <c r="B26" s="651" t="s">
        <v>872</v>
      </c>
      <c r="C26" s="656" t="s">
        <v>1133</v>
      </c>
      <c r="D26" s="657">
        <v>817.4</v>
      </c>
      <c r="E26" s="658">
        <v>809.27980000000002</v>
      </c>
      <c r="F26" s="657">
        <v>207.21736000000001</v>
      </c>
      <c r="G26" s="659">
        <v>58.403319999999987</v>
      </c>
      <c r="H26" s="657">
        <v>145.18299999999999</v>
      </c>
      <c r="I26" s="659">
        <v>4426.5704500000002</v>
      </c>
    </row>
    <row r="27" spans="1:9" ht="16.5" customHeight="1" thickBot="1">
      <c r="A27" s="650">
        <v>558</v>
      </c>
      <c r="B27" s="651" t="s">
        <v>1088</v>
      </c>
      <c r="C27" s="656" t="s">
        <v>1133</v>
      </c>
      <c r="D27" s="657">
        <v>9.8000000000000007</v>
      </c>
      <c r="E27" s="658">
        <v>0.371</v>
      </c>
      <c r="F27" s="657">
        <v>1.0859799999999999</v>
      </c>
      <c r="G27" s="659">
        <v>5.8268699999999995</v>
      </c>
      <c r="H27" s="657">
        <v>24.6</v>
      </c>
      <c r="I27" s="659">
        <v>159.87532000000002</v>
      </c>
    </row>
    <row r="28" spans="1:9" ht="16.5" customHeight="1" thickBot="1">
      <c r="A28" s="650">
        <v>762</v>
      </c>
      <c r="B28" s="651" t="s">
        <v>1089</v>
      </c>
      <c r="C28" s="656" t="s">
        <v>1133</v>
      </c>
      <c r="D28" s="657">
        <v>195.3</v>
      </c>
      <c r="E28" s="658">
        <v>76.038200000000003</v>
      </c>
      <c r="F28" s="657">
        <v>68.534510000000012</v>
      </c>
      <c r="G28" s="659">
        <v>29.430240000000001</v>
      </c>
      <c r="H28" s="657">
        <v>200</v>
      </c>
      <c r="I28" s="659">
        <v>1495.60321</v>
      </c>
    </row>
    <row r="29" spans="1:9" ht="16.5" customHeight="1" thickBot="1">
      <c r="A29" s="650">
        <v>774</v>
      </c>
      <c r="B29" s="651" t="s">
        <v>863</v>
      </c>
      <c r="C29" s="656" t="s">
        <v>1133</v>
      </c>
      <c r="D29" s="657">
        <v>5011.3</v>
      </c>
      <c r="E29" s="658">
        <v>3987.3682899999999</v>
      </c>
      <c r="F29" s="657">
        <v>959.78561999999999</v>
      </c>
      <c r="G29" s="659">
        <v>790.83248000000015</v>
      </c>
      <c r="H29" s="657">
        <v>400</v>
      </c>
      <c r="I29" s="659">
        <v>8764.2565399999985</v>
      </c>
    </row>
    <row r="30" spans="1:9" ht="16.5" customHeight="1" thickBot="1">
      <c r="A30" s="650">
        <v>780</v>
      </c>
      <c r="B30" s="651" t="s">
        <v>1090</v>
      </c>
      <c r="C30" s="656" t="s">
        <v>1133</v>
      </c>
      <c r="D30" s="657">
        <v>166.5</v>
      </c>
      <c r="E30" s="658">
        <v>122.2623</v>
      </c>
      <c r="F30" s="657">
        <v>38.096499999999999</v>
      </c>
      <c r="G30" s="659">
        <v>-4.1180000000000003</v>
      </c>
      <c r="H30" s="657">
        <v>53</v>
      </c>
      <c r="I30" s="659">
        <v>143.67285000000001</v>
      </c>
    </row>
    <row r="31" spans="1:9" ht="16.5" customHeight="1" thickBot="1">
      <c r="A31" s="650">
        <v>790</v>
      </c>
      <c r="B31" s="651" t="s">
        <v>1091</v>
      </c>
      <c r="C31" s="656" t="s">
        <v>1133</v>
      </c>
      <c r="D31" s="657">
        <v>53.1</v>
      </c>
      <c r="E31" s="658">
        <v>24.082999999999998</v>
      </c>
      <c r="F31" s="657">
        <v>15.523199999999999</v>
      </c>
      <c r="G31" s="659">
        <v>13.367850000000001</v>
      </c>
      <c r="H31" s="657">
        <v>2</v>
      </c>
      <c r="I31" s="659">
        <v>40.260370000000002</v>
      </c>
    </row>
    <row r="32" spans="1:9" ht="16.5" customHeight="1" thickBot="1">
      <c r="A32" s="650">
        <v>820</v>
      </c>
      <c r="B32" s="651" t="s">
        <v>1092</v>
      </c>
      <c r="C32" s="656" t="s">
        <v>1133</v>
      </c>
      <c r="D32" s="657">
        <v>343.1</v>
      </c>
      <c r="E32" s="658">
        <v>157.35849999999999</v>
      </c>
      <c r="F32" s="657">
        <v>42.217340000000007</v>
      </c>
      <c r="G32" s="659">
        <v>112.37799</v>
      </c>
      <c r="H32" s="657">
        <v>290</v>
      </c>
      <c r="I32" s="659">
        <v>373.92271</v>
      </c>
    </row>
    <row r="33" spans="1:9" ht="16.5" customHeight="1" thickBot="1">
      <c r="A33" s="650">
        <v>829</v>
      </c>
      <c r="B33" s="651" t="s">
        <v>1093</v>
      </c>
      <c r="C33" s="656" t="s">
        <v>1133</v>
      </c>
      <c r="D33" s="657">
        <v>335.5</v>
      </c>
      <c r="E33" s="658">
        <v>126.41244999999999</v>
      </c>
      <c r="F33" s="657">
        <v>200.36798000000002</v>
      </c>
      <c r="G33" s="659">
        <v>2.6855500000000001</v>
      </c>
      <c r="H33" s="657">
        <v>100</v>
      </c>
      <c r="I33" s="659">
        <v>1504.9946499999999</v>
      </c>
    </row>
    <row r="34" spans="1:9" ht="16.5" customHeight="1" thickBot="1">
      <c r="A34" s="650">
        <v>881</v>
      </c>
      <c r="B34" s="651" t="s">
        <v>1094</v>
      </c>
      <c r="C34" s="656" t="s">
        <v>1133</v>
      </c>
      <c r="D34" s="657">
        <v>289.8</v>
      </c>
      <c r="E34" s="658">
        <v>157.744</v>
      </c>
      <c r="F34" s="657">
        <v>77.533840000000012</v>
      </c>
      <c r="G34" s="659">
        <v>113.22775</v>
      </c>
      <c r="H34" s="657">
        <v>44.026040000000002</v>
      </c>
      <c r="I34" s="659">
        <v>5244.0192300000008</v>
      </c>
    </row>
    <row r="35" spans="1:9" ht="16.5" customHeight="1" thickBot="1">
      <c r="A35" s="650">
        <v>901</v>
      </c>
      <c r="B35" s="651" t="s">
        <v>1095</v>
      </c>
      <c r="C35" s="656" t="s">
        <v>1133</v>
      </c>
      <c r="D35" s="657">
        <v>265.10000000000002</v>
      </c>
      <c r="E35" s="658">
        <v>82.497900000000016</v>
      </c>
      <c r="F35" s="657">
        <v>22.535000000000004</v>
      </c>
      <c r="G35" s="659">
        <v>160.08555000000001</v>
      </c>
      <c r="H35" s="657">
        <v>50</v>
      </c>
      <c r="I35" s="659">
        <v>973.6739</v>
      </c>
    </row>
    <row r="36" spans="1:9" ht="16.5" customHeight="1" thickBot="1">
      <c r="A36" s="650">
        <v>923</v>
      </c>
      <c r="B36" s="651" t="s">
        <v>1096</v>
      </c>
      <c r="C36" s="656" t="s">
        <v>1133</v>
      </c>
      <c r="D36" s="657">
        <v>101.7</v>
      </c>
      <c r="E36" s="658">
        <v>11.83</v>
      </c>
      <c r="F36" s="657">
        <v>0.56230000000000002</v>
      </c>
      <c r="G36" s="659">
        <v>88.596410000000006</v>
      </c>
      <c r="H36" s="657">
        <v>10</v>
      </c>
      <c r="I36" s="659">
        <v>4246.6419800000003</v>
      </c>
    </row>
    <row r="37" spans="1:9" ht="16.5" customHeight="1" thickBot="1">
      <c r="A37" s="650">
        <v>941</v>
      </c>
      <c r="B37" s="651" t="s">
        <v>1097</v>
      </c>
      <c r="C37" s="656" t="s">
        <v>1133</v>
      </c>
      <c r="D37" s="657">
        <v>3701.9</v>
      </c>
      <c r="E37" s="658">
        <v>2571.1799999999998</v>
      </c>
      <c r="F37" s="657">
        <v>930.75164000000007</v>
      </c>
      <c r="G37" s="659">
        <v>200.00000999999997</v>
      </c>
      <c r="H37" s="657">
        <v>3111.2484800000002</v>
      </c>
      <c r="I37" s="659">
        <v>4220.6680700000006</v>
      </c>
    </row>
    <row r="38" spans="1:9" ht="16.5" customHeight="1" thickBot="1">
      <c r="A38" s="650">
        <v>966</v>
      </c>
      <c r="B38" s="651" t="s">
        <v>1098</v>
      </c>
      <c r="C38" s="656" t="s">
        <v>1133</v>
      </c>
      <c r="D38" s="657">
        <v>1056.4000000000001</v>
      </c>
      <c r="E38" s="658">
        <v>612.85585000000003</v>
      </c>
      <c r="F38" s="657">
        <v>399.38630999999998</v>
      </c>
      <c r="G38" s="659">
        <v>16.12294</v>
      </c>
      <c r="H38" s="657">
        <v>160</v>
      </c>
      <c r="I38" s="659">
        <v>745.78049999999996</v>
      </c>
    </row>
    <row r="39" spans="1:9" ht="16.5" customHeight="1" thickBot="1">
      <c r="A39" s="650">
        <v>994</v>
      </c>
      <c r="B39" s="651" t="s">
        <v>883</v>
      </c>
      <c r="C39" s="656" t="s">
        <v>1133</v>
      </c>
      <c r="D39" s="657">
        <v>556.70000000000005</v>
      </c>
      <c r="E39" s="658">
        <v>346.88185000000004</v>
      </c>
      <c r="F39" s="657">
        <v>58.144979999999997</v>
      </c>
      <c r="G39" s="659">
        <v>124.99758</v>
      </c>
      <c r="H39" s="657">
        <v>413.59</v>
      </c>
      <c r="I39" s="659">
        <v>2184.3607099999999</v>
      </c>
    </row>
    <row r="40" spans="1:9" ht="16.5" customHeight="1" thickBot="1">
      <c r="A40" s="650">
        <v>1040</v>
      </c>
      <c r="B40" s="651" t="s">
        <v>1100</v>
      </c>
      <c r="C40" s="656" t="s">
        <v>1133</v>
      </c>
      <c r="D40" s="657">
        <v>156.4</v>
      </c>
      <c r="E40" s="658">
        <v>106.58340000000001</v>
      </c>
      <c r="F40" s="657">
        <v>23.455950000000001</v>
      </c>
      <c r="G40" s="659">
        <v>18.840650000000004</v>
      </c>
      <c r="H40" s="657">
        <v>0</v>
      </c>
      <c r="I40" s="659">
        <v>672.72438</v>
      </c>
    </row>
    <row r="41" spans="1:9" ht="16.5" customHeight="1" thickBot="1">
      <c r="A41" s="650">
        <v>1060</v>
      </c>
      <c r="B41" s="651" t="s">
        <v>1101</v>
      </c>
      <c r="C41" s="656" t="s">
        <v>1133</v>
      </c>
      <c r="D41" s="657">
        <v>3986.3</v>
      </c>
      <c r="E41" s="658">
        <v>1804.02325</v>
      </c>
      <c r="F41" s="657">
        <v>226.45326</v>
      </c>
      <c r="G41" s="659">
        <v>2205.8290099999999</v>
      </c>
      <c r="H41" s="657">
        <v>647.61099999999999</v>
      </c>
      <c r="I41" s="659">
        <v>16431.549429999999</v>
      </c>
    </row>
    <row r="42" spans="1:9" ht="16.5" customHeight="1" thickBot="1">
      <c r="A42" s="650">
        <v>1113</v>
      </c>
      <c r="B42" s="651" t="s">
        <v>1102</v>
      </c>
      <c r="C42" s="656" t="s">
        <v>1133</v>
      </c>
      <c r="D42" s="657">
        <v>0.2</v>
      </c>
      <c r="E42" s="658" t="s">
        <v>1133</v>
      </c>
      <c r="F42" s="657">
        <v>0</v>
      </c>
      <c r="G42" s="659">
        <v>0.1195</v>
      </c>
      <c r="H42" s="657">
        <v>0</v>
      </c>
      <c r="I42" s="659">
        <v>0.22640000000000002</v>
      </c>
    </row>
    <row r="43" spans="1:9" ht="16.5" customHeight="1" thickBot="1">
      <c r="A43" s="650">
        <v>1147</v>
      </c>
      <c r="B43" s="651" t="s">
        <v>1104</v>
      </c>
      <c r="C43" s="656" t="s">
        <v>1133</v>
      </c>
      <c r="D43" s="657">
        <v>8.6999999999999993</v>
      </c>
      <c r="E43" s="658">
        <v>3.33</v>
      </c>
      <c r="F43" s="657">
        <v>1</v>
      </c>
      <c r="G43" s="659">
        <v>16.652650000000001</v>
      </c>
      <c r="H43" s="657">
        <v>31</v>
      </c>
      <c r="I43" s="659">
        <v>197.5675</v>
      </c>
    </row>
    <row r="44" spans="1:9" ht="16.5" customHeight="1" thickBot="1">
      <c r="A44" s="650">
        <v>1159</v>
      </c>
      <c r="B44" s="651" t="s">
        <v>1105</v>
      </c>
      <c r="C44" s="656" t="s">
        <v>1133</v>
      </c>
      <c r="D44" s="657">
        <v>0.8</v>
      </c>
      <c r="E44" s="658">
        <v>6.2E-2</v>
      </c>
      <c r="F44" s="657">
        <v>3.671E-2</v>
      </c>
      <c r="G44" s="659">
        <v>0.67076999999999998</v>
      </c>
      <c r="H44" s="657">
        <v>0.2</v>
      </c>
      <c r="I44" s="659">
        <v>1.2076100000000001</v>
      </c>
    </row>
    <row r="45" spans="1:9" ht="16.5" customHeight="1" thickBot="1">
      <c r="A45" s="650">
        <v>1179</v>
      </c>
      <c r="B45" s="651" t="s">
        <v>1135</v>
      </c>
      <c r="C45" s="656" t="s">
        <v>1136</v>
      </c>
      <c r="D45" s="657">
        <v>1355.7</v>
      </c>
      <c r="E45" s="658">
        <v>812.51440000000002</v>
      </c>
      <c r="F45" s="657">
        <v>128.8494</v>
      </c>
      <c r="G45" s="659">
        <v>249.67980000000003</v>
      </c>
      <c r="H45" s="657">
        <v>60</v>
      </c>
      <c r="I45" s="659">
        <v>2101.08043</v>
      </c>
    </row>
    <row r="46" spans="1:9" ht="16.5" customHeight="1" thickBot="1">
      <c r="A46" s="650">
        <v>1318</v>
      </c>
      <c r="B46" s="651" t="s">
        <v>1106</v>
      </c>
      <c r="C46" s="656" t="s">
        <v>1133</v>
      </c>
      <c r="D46" s="657">
        <v>48.5</v>
      </c>
      <c r="E46" s="658">
        <v>6.7</v>
      </c>
      <c r="F46" s="657">
        <v>5.5360399999999998</v>
      </c>
      <c r="G46" s="659">
        <v>37.342740000000006</v>
      </c>
      <c r="H46" s="657">
        <v>20</v>
      </c>
      <c r="I46" s="659">
        <v>309.83222000000001</v>
      </c>
    </row>
    <row r="47" spans="1:9" ht="16.5" customHeight="1" thickBot="1">
      <c r="A47" s="650">
        <v>1322</v>
      </c>
      <c r="B47" s="651" t="s">
        <v>1107</v>
      </c>
      <c r="C47" s="656" t="s">
        <v>1133</v>
      </c>
      <c r="D47" s="657">
        <v>78.5</v>
      </c>
      <c r="E47" s="658">
        <v>79.64755000000001</v>
      </c>
      <c r="F47" s="657">
        <v>8.6057999999999986</v>
      </c>
      <c r="G47" s="659">
        <v>-8.2246000000000024</v>
      </c>
      <c r="H47" s="657">
        <v>34.549999999999997</v>
      </c>
      <c r="I47" s="659">
        <v>304.99283000000003</v>
      </c>
    </row>
    <row r="48" spans="1:9" ht="16.5" customHeight="1" thickBot="1">
      <c r="A48" s="650">
        <v>1328</v>
      </c>
      <c r="B48" s="651" t="s">
        <v>1108</v>
      </c>
      <c r="C48" s="656" t="s">
        <v>1133</v>
      </c>
      <c r="D48" s="657">
        <v>44.2</v>
      </c>
      <c r="E48" s="658">
        <v>0.91249999999999998</v>
      </c>
      <c r="F48" s="657">
        <v>1.7844899999999999</v>
      </c>
      <c r="G48" s="659">
        <v>41.489910000000002</v>
      </c>
      <c r="H48" s="657">
        <v>255.46148000000002</v>
      </c>
      <c r="I48" s="659">
        <v>463.76852000000002</v>
      </c>
    </row>
    <row r="49" spans="1:9" ht="16.5" customHeight="1" thickBot="1">
      <c r="A49" s="650">
        <v>1331</v>
      </c>
      <c r="B49" s="651" t="s">
        <v>1109</v>
      </c>
      <c r="C49" s="656" t="s">
        <v>1133</v>
      </c>
      <c r="D49" s="657">
        <v>1.4</v>
      </c>
      <c r="E49" s="658">
        <v>0</v>
      </c>
      <c r="F49" s="657">
        <v>4.5611999999999995</v>
      </c>
      <c r="G49" s="659">
        <v>-3.6417899999999999</v>
      </c>
      <c r="H49" s="657">
        <v>4</v>
      </c>
      <c r="I49" s="659">
        <v>669.54342000000008</v>
      </c>
    </row>
    <row r="50" spans="1:9" ht="16.5" customHeight="1" thickBot="1">
      <c r="A50" s="650">
        <v>1362</v>
      </c>
      <c r="B50" s="651" t="s">
        <v>1110</v>
      </c>
      <c r="C50" s="656" t="s">
        <v>1133</v>
      </c>
      <c r="D50" s="657">
        <v>18</v>
      </c>
      <c r="E50" s="658" t="s">
        <v>1133</v>
      </c>
      <c r="F50" s="657">
        <v>1.7966000000000002</v>
      </c>
      <c r="G50" s="659">
        <v>0</v>
      </c>
      <c r="H50" s="657">
        <v>1.5</v>
      </c>
      <c r="I50" s="659">
        <v>10.3765</v>
      </c>
    </row>
    <row r="51" spans="1:9" ht="16.5" customHeight="1" thickBot="1">
      <c r="A51" s="650">
        <v>1384</v>
      </c>
      <c r="B51" s="651" t="s">
        <v>1111</v>
      </c>
      <c r="C51" s="656" t="s">
        <v>1133</v>
      </c>
      <c r="D51" s="657">
        <v>4580.5</v>
      </c>
      <c r="E51" s="658">
        <v>3449.9528500000001</v>
      </c>
      <c r="F51" s="657">
        <v>1707.79838</v>
      </c>
      <c r="G51" s="659">
        <v>-544.84029999999996</v>
      </c>
      <c r="H51" s="657">
        <v>1113.5889999999999</v>
      </c>
      <c r="I51" s="659">
        <v>5426.22973</v>
      </c>
    </row>
    <row r="52" spans="1:9" ht="16.5" customHeight="1" thickBot="1">
      <c r="A52" s="650">
        <v>1386</v>
      </c>
      <c r="B52" s="651" t="s">
        <v>1112</v>
      </c>
      <c r="C52" s="656" t="s">
        <v>1133</v>
      </c>
      <c r="D52" s="657">
        <v>776.3</v>
      </c>
      <c r="E52" s="658">
        <v>276.60715000000005</v>
      </c>
      <c r="F52" s="657">
        <v>117.764</v>
      </c>
      <c r="G52" s="659">
        <v>288.49200999999999</v>
      </c>
      <c r="H52" s="657">
        <v>100</v>
      </c>
      <c r="I52" s="659">
        <v>1030.4322400000001</v>
      </c>
    </row>
    <row r="53" spans="1:9" ht="16.5" customHeight="1" thickBot="1">
      <c r="A53" s="650">
        <v>1401</v>
      </c>
      <c r="B53" s="651" t="s">
        <v>1113</v>
      </c>
      <c r="C53" s="656" t="s">
        <v>1133</v>
      </c>
      <c r="D53" s="657">
        <v>17.399999999999999</v>
      </c>
      <c r="E53" s="658">
        <v>30.108000000000001</v>
      </c>
      <c r="F53" s="657">
        <v>15.83394</v>
      </c>
      <c r="G53" s="659">
        <v>-28.531940000000002</v>
      </c>
      <c r="H53" s="657">
        <v>110</v>
      </c>
      <c r="I53" s="659">
        <v>109.23792</v>
      </c>
    </row>
    <row r="54" spans="1:9" ht="16.5" customHeight="1" thickBot="1">
      <c r="A54" s="650">
        <v>1402</v>
      </c>
      <c r="B54" s="651" t="s">
        <v>1137</v>
      </c>
      <c r="C54" s="656" t="s">
        <v>1136</v>
      </c>
      <c r="D54" s="657" t="s">
        <v>1133</v>
      </c>
      <c r="E54" s="658">
        <v>132.01990000000001</v>
      </c>
      <c r="F54" s="657">
        <v>2.4078000000000004</v>
      </c>
      <c r="G54" s="659">
        <v>64.449820000000003</v>
      </c>
      <c r="H54" s="657">
        <v>10</v>
      </c>
      <c r="I54" s="659">
        <v>1637.85097</v>
      </c>
    </row>
    <row r="55" spans="1:9" ht="16.5" customHeight="1" thickBot="1">
      <c r="A55" s="650">
        <v>1423</v>
      </c>
      <c r="B55" s="651" t="s">
        <v>1114</v>
      </c>
      <c r="C55" s="656" t="s">
        <v>1133</v>
      </c>
      <c r="D55" s="657">
        <v>42.9</v>
      </c>
      <c r="E55" s="658" t="s">
        <v>1133</v>
      </c>
      <c r="F55" s="657">
        <v>10.7493</v>
      </c>
      <c r="G55" s="659">
        <v>42.342800000000004</v>
      </c>
      <c r="H55" s="657">
        <v>60</v>
      </c>
      <c r="I55" s="659">
        <v>464.00008000000003</v>
      </c>
    </row>
    <row r="56" spans="1:9" ht="16.5" customHeight="1" thickBot="1">
      <c r="A56" s="650">
        <v>1479</v>
      </c>
      <c r="B56" s="651" t="s">
        <v>1115</v>
      </c>
      <c r="C56" s="656" t="s">
        <v>1133</v>
      </c>
      <c r="D56" s="657">
        <v>14703.6</v>
      </c>
      <c r="E56" s="658">
        <v>10644.344580000001</v>
      </c>
      <c r="F56" s="657">
        <v>3051.98227</v>
      </c>
      <c r="G56" s="659">
        <v>2718.2210000000005</v>
      </c>
      <c r="H56" s="657">
        <v>1000</v>
      </c>
      <c r="I56" s="659">
        <v>40681.654790000001</v>
      </c>
    </row>
    <row r="57" spans="1:9" ht="16.5" customHeight="1" thickBot="1">
      <c r="A57" s="650">
        <v>1491</v>
      </c>
      <c r="B57" s="651" t="s">
        <v>1138</v>
      </c>
      <c r="C57" s="656" t="s">
        <v>1136</v>
      </c>
      <c r="D57" s="657">
        <v>1483.2</v>
      </c>
      <c r="E57" s="658">
        <v>1306.7126499999999</v>
      </c>
      <c r="F57" s="657">
        <v>145.03319999999999</v>
      </c>
      <c r="G57" s="659">
        <v>25.507300000000004</v>
      </c>
      <c r="H57" s="657">
        <v>0</v>
      </c>
      <c r="I57" s="659">
        <v>2410.5380399999999</v>
      </c>
    </row>
    <row r="58" spans="1:9" ht="16.5" customHeight="1" thickBot="1">
      <c r="A58" s="650">
        <v>1507</v>
      </c>
      <c r="B58" s="651" t="s">
        <v>1116</v>
      </c>
      <c r="C58" s="656" t="s">
        <v>1133</v>
      </c>
      <c r="D58" s="657">
        <v>404.8</v>
      </c>
      <c r="E58" s="658">
        <v>258.35415</v>
      </c>
      <c r="F58" s="657">
        <v>77.82396</v>
      </c>
      <c r="G58" s="659">
        <v>110.45525000000001</v>
      </c>
      <c r="H58" s="657">
        <v>100</v>
      </c>
      <c r="I58" s="659">
        <v>2309.2622500000002</v>
      </c>
    </row>
    <row r="59" spans="1:9" ht="16.5" customHeight="1" thickBot="1">
      <c r="A59" s="650">
        <v>1509</v>
      </c>
      <c r="B59" s="651" t="s">
        <v>1117</v>
      </c>
      <c r="C59" s="656" t="s">
        <v>1133</v>
      </c>
      <c r="D59" s="657">
        <v>3920.7</v>
      </c>
      <c r="E59" s="658">
        <v>2801.7889500000001</v>
      </c>
      <c r="F59" s="657">
        <v>214.47651999999999</v>
      </c>
      <c r="G59" s="659">
        <v>208.82850000000005</v>
      </c>
      <c r="H59" s="657">
        <v>1195.6079999999999</v>
      </c>
      <c r="I59" s="659">
        <v>24073.424170000002</v>
      </c>
    </row>
    <row r="60" spans="1:9" ht="16.5" customHeight="1" thickBot="1">
      <c r="A60" s="650">
        <v>1520</v>
      </c>
      <c r="B60" s="651" t="s">
        <v>1139</v>
      </c>
      <c r="C60" s="656" t="s">
        <v>1136</v>
      </c>
      <c r="D60" s="657">
        <v>17746.5</v>
      </c>
      <c r="E60" s="658">
        <v>15587.666050000002</v>
      </c>
      <c r="F60" s="657">
        <v>2377.4802400000003</v>
      </c>
      <c r="G60" s="659">
        <v>-792.72905000000026</v>
      </c>
      <c r="H60" s="657">
        <v>3500</v>
      </c>
      <c r="I60" s="659">
        <v>20679.78397</v>
      </c>
    </row>
    <row r="61" spans="1:9" ht="16.5" customHeight="1" thickBot="1">
      <c r="A61" s="650">
        <v>1522</v>
      </c>
      <c r="B61" s="651" t="s">
        <v>1140</v>
      </c>
      <c r="C61" s="656" t="s">
        <v>1136</v>
      </c>
      <c r="D61" s="657">
        <v>2917.4</v>
      </c>
      <c r="E61" s="658">
        <v>2069.3359999999998</v>
      </c>
      <c r="F61" s="657">
        <v>428.21044000000001</v>
      </c>
      <c r="G61" s="659">
        <v>12.956709999999992</v>
      </c>
      <c r="H61" s="657">
        <v>350</v>
      </c>
      <c r="I61" s="659">
        <v>5195.7620800000004</v>
      </c>
    </row>
    <row r="62" spans="1:9" ht="16.5" customHeight="1" thickBot="1">
      <c r="A62" s="650">
        <v>1529</v>
      </c>
      <c r="B62" s="651" t="s">
        <v>1118</v>
      </c>
      <c r="C62" s="656" t="s">
        <v>1133</v>
      </c>
      <c r="D62" s="657">
        <v>363.5</v>
      </c>
      <c r="E62" s="658">
        <v>273.07234999999997</v>
      </c>
      <c r="F62" s="657">
        <v>16.40747</v>
      </c>
      <c r="G62" s="659">
        <v>75.897329999999997</v>
      </c>
      <c r="H62" s="657">
        <v>123.83499999999999</v>
      </c>
      <c r="I62" s="659">
        <v>7618.2116500000002</v>
      </c>
    </row>
    <row r="63" spans="1:9" ht="16.5" customHeight="1" thickBot="1">
      <c r="A63" s="650">
        <v>1535</v>
      </c>
      <c r="B63" s="651" t="s">
        <v>852</v>
      </c>
      <c r="C63" s="656" t="s">
        <v>1133</v>
      </c>
      <c r="D63" s="657">
        <v>22901.3</v>
      </c>
      <c r="E63" s="658">
        <v>16327.597810000001</v>
      </c>
      <c r="F63" s="657">
        <v>4210.3032000000003</v>
      </c>
      <c r="G63" s="659">
        <v>4706.8491599999998</v>
      </c>
      <c r="H63" s="657">
        <v>2300</v>
      </c>
      <c r="I63" s="659">
        <v>49127.846549999995</v>
      </c>
    </row>
    <row r="64" spans="1:9" ht="16.5" customHeight="1" thickBot="1">
      <c r="A64" s="650">
        <v>1540</v>
      </c>
      <c r="B64" s="651" t="s">
        <v>1141</v>
      </c>
      <c r="C64" s="656" t="s">
        <v>1136</v>
      </c>
      <c r="D64" s="657">
        <v>2187.1999999999998</v>
      </c>
      <c r="E64" s="658">
        <v>2336.9919</v>
      </c>
      <c r="F64" s="657">
        <v>136.02337</v>
      </c>
      <c r="G64" s="659">
        <v>-227.85982000000001</v>
      </c>
      <c r="H64" s="657">
        <v>21.872</v>
      </c>
      <c r="I64" s="659">
        <v>1826.2341999999999</v>
      </c>
    </row>
    <row r="65" spans="1:9" ht="16.5" customHeight="1" thickBot="1">
      <c r="A65" s="650">
        <v>1555</v>
      </c>
      <c r="B65" s="651" t="s">
        <v>1120</v>
      </c>
      <c r="C65" s="656" t="s">
        <v>1133</v>
      </c>
      <c r="D65" s="657">
        <v>1810.2</v>
      </c>
      <c r="E65" s="658">
        <v>867.98559999999998</v>
      </c>
      <c r="F65" s="657">
        <v>53.783160000000002</v>
      </c>
      <c r="G65" s="659">
        <v>894.34077000000002</v>
      </c>
      <c r="H65" s="657">
        <v>400</v>
      </c>
      <c r="I65" s="659">
        <v>51465.41087</v>
      </c>
    </row>
    <row r="66" spans="1:9" ht="16.5" customHeight="1" thickBot="1">
      <c r="A66" s="650">
        <v>1560</v>
      </c>
      <c r="B66" s="651" t="s">
        <v>1121</v>
      </c>
      <c r="C66" s="656" t="s">
        <v>1133</v>
      </c>
      <c r="D66" s="657">
        <v>12691.4</v>
      </c>
      <c r="E66" s="658">
        <v>15892.082</v>
      </c>
      <c r="F66" s="657">
        <v>2846.8970900000004</v>
      </c>
      <c r="G66" s="659">
        <v>-5922.7348400000001</v>
      </c>
      <c r="H66" s="657">
        <v>3643.82</v>
      </c>
      <c r="I66" s="659">
        <v>22813.16187</v>
      </c>
    </row>
    <row r="67" spans="1:9" ht="16.5" customHeight="1" thickBot="1">
      <c r="A67" s="650">
        <v>1562</v>
      </c>
      <c r="B67" s="651" t="s">
        <v>1122</v>
      </c>
      <c r="C67" s="656" t="s">
        <v>1133</v>
      </c>
      <c r="D67" s="657">
        <v>86403.6</v>
      </c>
      <c r="E67" s="658">
        <v>67183.556500000006</v>
      </c>
      <c r="F67" s="657">
        <v>13037.804699999999</v>
      </c>
      <c r="G67" s="659">
        <v>6768.5754300000008</v>
      </c>
      <c r="H67" s="657">
        <v>65655.38</v>
      </c>
      <c r="I67" s="659">
        <v>113218.58206999999</v>
      </c>
    </row>
    <row r="68" spans="1:9" ht="16.5" customHeight="1" thickBot="1">
      <c r="A68" s="650">
        <v>1563</v>
      </c>
      <c r="B68" s="651" t="s">
        <v>1123</v>
      </c>
      <c r="C68" s="656" t="s">
        <v>1133</v>
      </c>
      <c r="D68" s="657">
        <v>817.4</v>
      </c>
      <c r="E68" s="658">
        <v>672.58845000000008</v>
      </c>
      <c r="F68" s="657">
        <v>512.35398999999995</v>
      </c>
      <c r="G68" s="659">
        <v>-200.78138999999999</v>
      </c>
      <c r="H68" s="657">
        <v>102.27800000000001</v>
      </c>
      <c r="I68" s="659">
        <v>1358.9625800000001</v>
      </c>
    </row>
    <row r="69" spans="1:9" ht="16.5" customHeight="1" thickBot="1">
      <c r="A69" s="650">
        <v>1565</v>
      </c>
      <c r="B69" s="651" t="s">
        <v>1124</v>
      </c>
      <c r="C69" s="656" t="s">
        <v>1133</v>
      </c>
      <c r="D69" s="657">
        <v>226.9</v>
      </c>
      <c r="E69" s="658">
        <v>149.56375</v>
      </c>
      <c r="F69" s="657">
        <v>33.967440000000003</v>
      </c>
      <c r="G69" s="659">
        <v>-9.7624200000000059</v>
      </c>
      <c r="H69" s="657">
        <v>130.30000000000001</v>
      </c>
      <c r="I69" s="659">
        <v>183.91692</v>
      </c>
    </row>
    <row r="70" spans="1:9" ht="16.5" customHeight="1" thickBot="1">
      <c r="A70" s="650">
        <v>1566</v>
      </c>
      <c r="B70" s="651" t="s">
        <v>1125</v>
      </c>
      <c r="C70" s="656" t="s">
        <v>1133</v>
      </c>
      <c r="D70" s="657">
        <v>235.3</v>
      </c>
      <c r="E70" s="658">
        <v>140.84639999999999</v>
      </c>
      <c r="F70" s="657">
        <v>35.291309999999996</v>
      </c>
      <c r="G70" s="659">
        <v>2.2608499999999987</v>
      </c>
      <c r="H70" s="657">
        <v>122.6</v>
      </c>
      <c r="I70" s="659">
        <v>491.94186999999999</v>
      </c>
    </row>
    <row r="71" spans="1:9" ht="16.5" customHeight="1" thickBot="1">
      <c r="A71" s="660">
        <v>1569</v>
      </c>
      <c r="B71" s="661" t="s">
        <v>1127</v>
      </c>
      <c r="C71" s="662" t="s">
        <v>1133</v>
      </c>
      <c r="D71" s="663">
        <v>6.5</v>
      </c>
      <c r="E71" s="664">
        <v>3.06</v>
      </c>
      <c r="F71" s="663">
        <v>0.32494999999999996</v>
      </c>
      <c r="G71" s="665">
        <v>3.0874399999999995</v>
      </c>
      <c r="H71" s="663">
        <v>1</v>
      </c>
      <c r="I71" s="665">
        <v>5.1437600000000003</v>
      </c>
    </row>
    <row r="72" spans="1:9" ht="18" customHeight="1" thickBot="1">
      <c r="A72" s="666">
        <v>1574</v>
      </c>
      <c r="B72" s="667" t="s">
        <v>1129</v>
      </c>
      <c r="C72" s="668" t="s">
        <v>1133</v>
      </c>
      <c r="D72" s="669">
        <v>0.5</v>
      </c>
      <c r="E72" s="670" t="s">
        <v>1133</v>
      </c>
      <c r="F72" s="669">
        <v>7.776000000000001E-2</v>
      </c>
      <c r="G72" s="671">
        <v>0.46034999999999998</v>
      </c>
      <c r="H72" s="669">
        <v>0</v>
      </c>
      <c r="I72" s="671">
        <v>1.5181300000000002</v>
      </c>
    </row>
    <row r="73" spans="1:9" ht="16.5" customHeight="1" thickBot="1">
      <c r="A73" s="672">
        <v>1575</v>
      </c>
      <c r="B73" s="673" t="s">
        <v>1130</v>
      </c>
      <c r="C73" s="656" t="s">
        <v>1133</v>
      </c>
      <c r="D73" s="657">
        <v>32.299999999999997</v>
      </c>
      <c r="E73" s="658">
        <v>2.4049999999999998</v>
      </c>
      <c r="F73" s="657">
        <v>2.2727400000000002</v>
      </c>
      <c r="G73" s="659">
        <v>30.484190000000002</v>
      </c>
      <c r="H73" s="657">
        <v>0.83699999999999997</v>
      </c>
      <c r="I73" s="659">
        <v>177.8777</v>
      </c>
    </row>
    <row r="74" spans="1:9" ht="14" thickBot="1">
      <c r="A74" s="650" t="s">
        <v>1133</v>
      </c>
      <c r="B74" s="651" t="s">
        <v>1133</v>
      </c>
      <c r="C74" s="656" t="s">
        <v>1133</v>
      </c>
      <c r="D74" s="657" t="s">
        <v>1133</v>
      </c>
      <c r="E74" s="658" t="s">
        <v>1133</v>
      </c>
      <c r="F74" s="657" t="s">
        <v>1133</v>
      </c>
      <c r="G74" s="659" t="s">
        <v>1133</v>
      </c>
      <c r="H74" s="657" t="s">
        <v>1133</v>
      </c>
      <c r="I74" s="659" t="s">
        <v>1133</v>
      </c>
    </row>
    <row r="75" spans="1:9" ht="14" thickBot="1">
      <c r="A75" s="650" t="s">
        <v>1133</v>
      </c>
      <c r="B75" s="651" t="s">
        <v>1133</v>
      </c>
      <c r="C75" s="656" t="s">
        <v>1133</v>
      </c>
      <c r="D75" s="657" t="s">
        <v>1133</v>
      </c>
      <c r="E75" s="658" t="s">
        <v>1133</v>
      </c>
      <c r="F75" s="657" t="s">
        <v>1133</v>
      </c>
      <c r="G75" s="659" t="s">
        <v>1133</v>
      </c>
      <c r="H75" s="657" t="s">
        <v>1133</v>
      </c>
      <c r="I75" s="659" t="s">
        <v>1133</v>
      </c>
    </row>
    <row r="76" spans="1:9" ht="14" thickBot="1">
      <c r="A76" s="650" t="s">
        <v>1133</v>
      </c>
      <c r="B76" s="651" t="s">
        <v>1133</v>
      </c>
      <c r="C76" s="656" t="s">
        <v>1133</v>
      </c>
      <c r="D76" s="657" t="s">
        <v>1133</v>
      </c>
      <c r="E76" s="658" t="s">
        <v>1133</v>
      </c>
      <c r="F76" s="657" t="s">
        <v>1133</v>
      </c>
      <c r="G76" s="659" t="s">
        <v>1133</v>
      </c>
      <c r="H76" s="657" t="s">
        <v>1133</v>
      </c>
      <c r="I76" s="659" t="s">
        <v>1133</v>
      </c>
    </row>
    <row r="77" spans="1:9" ht="14" thickBot="1">
      <c r="A77" s="650" t="s">
        <v>1133</v>
      </c>
      <c r="B77" s="651" t="s">
        <v>1133</v>
      </c>
      <c r="C77" s="656" t="s">
        <v>1133</v>
      </c>
      <c r="D77" s="657" t="s">
        <v>1133</v>
      </c>
      <c r="E77" s="658" t="s">
        <v>1133</v>
      </c>
      <c r="F77" s="657" t="s">
        <v>1133</v>
      </c>
      <c r="G77" s="659" t="s">
        <v>1133</v>
      </c>
      <c r="H77" s="657" t="s">
        <v>1133</v>
      </c>
      <c r="I77" s="659" t="s">
        <v>1133</v>
      </c>
    </row>
    <row r="78" spans="1:9" ht="14" thickBot="1">
      <c r="A78" s="650" t="s">
        <v>1133</v>
      </c>
      <c r="B78" s="651" t="s">
        <v>1133</v>
      </c>
      <c r="C78" s="656" t="s">
        <v>1133</v>
      </c>
      <c r="D78" s="657" t="s">
        <v>1133</v>
      </c>
      <c r="E78" s="658" t="s">
        <v>1133</v>
      </c>
      <c r="F78" s="657" t="s">
        <v>1133</v>
      </c>
      <c r="G78" s="659" t="s">
        <v>1133</v>
      </c>
      <c r="H78" s="657" t="s">
        <v>1133</v>
      </c>
      <c r="I78" s="659" t="s">
        <v>1133</v>
      </c>
    </row>
    <row r="79" spans="1:9" ht="14" thickBot="1">
      <c r="A79" s="650" t="s">
        <v>1133</v>
      </c>
      <c r="B79" s="651" t="s">
        <v>1133</v>
      </c>
      <c r="C79" s="656" t="s">
        <v>1133</v>
      </c>
      <c r="D79" s="657" t="s">
        <v>1133</v>
      </c>
      <c r="E79" s="658" t="s">
        <v>1133</v>
      </c>
      <c r="F79" s="657" t="s">
        <v>1133</v>
      </c>
      <c r="G79" s="659" t="s">
        <v>1133</v>
      </c>
      <c r="H79" s="657" t="s">
        <v>1133</v>
      </c>
      <c r="I79" s="659" t="s">
        <v>1133</v>
      </c>
    </row>
    <row r="80" spans="1:9" ht="14" thickBot="1">
      <c r="A80" s="650" t="s">
        <v>1133</v>
      </c>
      <c r="B80" s="651" t="s">
        <v>1133</v>
      </c>
      <c r="C80" s="656" t="s">
        <v>1133</v>
      </c>
      <c r="D80" s="657" t="s">
        <v>1133</v>
      </c>
      <c r="E80" s="658" t="s">
        <v>1133</v>
      </c>
      <c r="F80" s="657" t="s">
        <v>1133</v>
      </c>
      <c r="G80" s="659" t="s">
        <v>1133</v>
      </c>
      <c r="H80" s="657" t="s">
        <v>1133</v>
      </c>
      <c r="I80" s="659" t="s">
        <v>1133</v>
      </c>
    </row>
    <row r="81" spans="1:9" s="110" customFormat="1" ht="18.75" customHeight="1" thickBot="1">
      <c r="A81" s="674" t="s">
        <v>278</v>
      </c>
      <c r="B81" s="675">
        <v>62</v>
      </c>
      <c r="C81" s="676">
        <v>6</v>
      </c>
      <c r="D81" s="677">
        <v>239780.5</v>
      </c>
      <c r="E81" s="678">
        <v>188239.14503000001</v>
      </c>
      <c r="F81" s="677">
        <v>41044.373430000007</v>
      </c>
      <c r="G81" s="678">
        <v>13872.31899</v>
      </c>
      <c r="H81" s="677">
        <v>97134.463300000003</v>
      </c>
      <c r="I81" s="679">
        <v>520866.00535999995</v>
      </c>
    </row>
    <row r="82" spans="1:9" ht="16.5" customHeight="1" thickBot="1">
      <c r="A82" s="102" t="s">
        <v>720</v>
      </c>
      <c r="C82" s="680"/>
      <c r="D82" s="600"/>
      <c r="E82" s="600"/>
      <c r="F82" s="601"/>
      <c r="G82" s="600"/>
      <c r="H82" s="602"/>
      <c r="I82" s="603"/>
    </row>
    <row r="84" spans="1:9">
      <c r="A84" s="3" t="s">
        <v>908</v>
      </c>
    </row>
    <row r="86" spans="1:9">
      <c r="A86" s="681" t="s">
        <v>909</v>
      </c>
      <c r="B86" s="682"/>
    </row>
    <row r="87" spans="1:9">
      <c r="A87" s="119">
        <v>0</v>
      </c>
      <c r="B87" s="609" t="s">
        <v>910</v>
      </c>
    </row>
    <row r="88" spans="1:9">
      <c r="A88" s="119">
        <v>1</v>
      </c>
      <c r="B88" s="609" t="s">
        <v>911</v>
      </c>
    </row>
    <row r="89" spans="1:9">
      <c r="A89" s="119">
        <v>2</v>
      </c>
      <c r="B89" s="609" t="s">
        <v>912</v>
      </c>
    </row>
    <row r="90" spans="1:9">
      <c r="A90" s="119">
        <v>3</v>
      </c>
      <c r="B90" s="609" t="s">
        <v>913</v>
      </c>
    </row>
    <row r="91" spans="1:9">
      <c r="A91" s="119" t="s">
        <v>805</v>
      </c>
      <c r="B91" s="609" t="s">
        <v>914</v>
      </c>
    </row>
    <row r="92" spans="1:9">
      <c r="A92" s="119">
        <v>5</v>
      </c>
      <c r="B92" s="609" t="s">
        <v>915</v>
      </c>
    </row>
    <row r="93" spans="1:9">
      <c r="A93" s="119">
        <v>6</v>
      </c>
      <c r="B93" s="609" t="s">
        <v>916</v>
      </c>
    </row>
    <row r="94" spans="1:9">
      <c r="A94" s="119">
        <v>7</v>
      </c>
      <c r="B94" s="609" t="s">
        <v>917</v>
      </c>
    </row>
    <row r="97" spans="1:1">
      <c r="A97" s="3" t="s">
        <v>719</v>
      </c>
    </row>
  </sheetData>
  <pageMargins left="0.39370078740157483" right="0.35433070866141736" top="0.35433070866141736" bottom="0.31496062992125984" header="0.27559055118110237" footer="0.23622047244094491"/>
  <pageSetup paperSize="9" scale="53" pageOrder="overThenDown" orientation="portrait" horizontalDpi="1200" verticalDpi="12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E992C-7406-7040-9620-962DA5E04BAE}">
  <sheetPr>
    <pageSetUpPr fitToPage="1"/>
  </sheetPr>
  <dimension ref="A1:O44"/>
  <sheetViews>
    <sheetView topLeftCell="A27" zoomScaleNormal="100" workbookViewId="0">
      <selection activeCell="A40" sqref="A40"/>
    </sheetView>
  </sheetViews>
  <sheetFormatPr baseColWidth="10" defaultColWidth="11.3984375" defaultRowHeight="13"/>
  <cols>
    <col min="1" max="1" width="7.3984375" style="3" customWidth="1"/>
    <col min="2" max="2" width="41.59765625" style="119" customWidth="1"/>
    <col min="3" max="3" width="10.59765625" style="119" customWidth="1"/>
    <col min="4" max="4" width="11.3984375" style="119" customWidth="1"/>
    <col min="5" max="5" width="10.19921875" style="8" customWidth="1"/>
    <col min="6" max="6" width="20.796875" style="8" customWidth="1"/>
    <col min="7" max="7" width="15.19921875" style="3" customWidth="1"/>
    <col min="8" max="8" width="7.59765625" style="310" customWidth="1"/>
    <col min="9" max="9" width="26.19921875" style="3" customWidth="1"/>
    <col min="10" max="16384" width="11.3984375" style="3"/>
  </cols>
  <sheetData>
    <row r="1" spans="1:9" s="2" customFormat="1" ht="14" customHeight="1">
      <c r="A1" s="561"/>
      <c r="B1" s="560"/>
      <c r="C1" s="560"/>
      <c r="D1" s="560"/>
      <c r="E1" s="561"/>
      <c r="F1" s="388"/>
      <c r="G1" s="561"/>
      <c r="H1" s="612"/>
      <c r="I1" s="561"/>
    </row>
    <row r="2" spans="1:9" s="2" customFormat="1" ht="19.5" customHeight="1">
      <c r="A2" s="246" t="s">
        <v>833</v>
      </c>
      <c r="C2" s="560"/>
      <c r="D2" s="560"/>
      <c r="E2" s="388"/>
      <c r="F2" s="388"/>
      <c r="G2" s="613"/>
      <c r="H2" s="612"/>
      <c r="I2" s="246">
        <v>2011</v>
      </c>
    </row>
    <row r="3" spans="1:9" s="2" customFormat="1" ht="11.25" customHeight="1">
      <c r="A3" s="561"/>
      <c r="B3" s="561"/>
      <c r="C3" s="560"/>
      <c r="D3" s="560"/>
      <c r="E3" s="388"/>
      <c r="F3" s="388"/>
      <c r="G3" s="561"/>
      <c r="H3" s="612"/>
      <c r="I3" s="561"/>
    </row>
    <row r="4" spans="1:9" ht="18" customHeight="1">
      <c r="A4" s="566" t="s">
        <v>798</v>
      </c>
      <c r="B4" s="566" t="s">
        <v>834</v>
      </c>
      <c r="C4" s="567" t="s">
        <v>835</v>
      </c>
      <c r="D4" s="568" t="s">
        <v>836</v>
      </c>
      <c r="E4" s="570" t="s">
        <v>837</v>
      </c>
      <c r="F4" s="569" t="s">
        <v>837</v>
      </c>
      <c r="G4" s="567" t="s">
        <v>838</v>
      </c>
      <c r="H4" s="614" t="s">
        <v>839</v>
      </c>
      <c r="I4" s="568"/>
    </row>
    <row r="5" spans="1:9" ht="15" customHeight="1">
      <c r="A5" s="573" t="s">
        <v>800</v>
      </c>
      <c r="B5" s="573"/>
      <c r="C5" s="574"/>
      <c r="D5" s="571" t="s">
        <v>840</v>
      </c>
      <c r="E5" s="576" t="s">
        <v>841</v>
      </c>
      <c r="F5" s="575" t="s">
        <v>842</v>
      </c>
      <c r="G5" s="574" t="s">
        <v>843</v>
      </c>
      <c r="H5" s="615" t="s">
        <v>844</v>
      </c>
      <c r="I5" s="571"/>
    </row>
    <row r="6" spans="1:9" ht="15" customHeight="1">
      <c r="A6" s="573"/>
      <c r="B6" s="573"/>
      <c r="C6" s="574"/>
      <c r="D6" s="571" t="s">
        <v>845</v>
      </c>
      <c r="E6" s="576"/>
      <c r="F6" s="575"/>
      <c r="G6" s="574" t="s">
        <v>846</v>
      </c>
      <c r="H6" s="616"/>
      <c r="I6" s="571"/>
    </row>
    <row r="7" spans="1:9" ht="18" customHeight="1">
      <c r="A7" s="617"/>
      <c r="B7" s="618"/>
      <c r="C7" s="619"/>
      <c r="D7" s="620"/>
      <c r="E7" s="621"/>
      <c r="F7" s="622"/>
      <c r="G7" s="619"/>
      <c r="H7" s="623"/>
      <c r="I7" s="620"/>
    </row>
    <row r="8" spans="1:9" ht="44.25" customHeight="1" thickBot="1">
      <c r="A8" s="584">
        <v>97</v>
      </c>
      <c r="B8" s="585" t="s">
        <v>847</v>
      </c>
      <c r="C8" s="624" t="s">
        <v>848</v>
      </c>
      <c r="D8" s="625" t="s">
        <v>849</v>
      </c>
      <c r="E8" s="626"/>
      <c r="F8" s="627"/>
      <c r="G8" s="626"/>
      <c r="H8" s="628">
        <v>780</v>
      </c>
      <c r="I8" s="629" t="s">
        <v>850</v>
      </c>
    </row>
    <row r="9" spans="1:9" ht="44.25" customHeight="1" thickBot="1">
      <c r="A9" s="584">
        <v>160</v>
      </c>
      <c r="B9" s="585" t="s">
        <v>851</v>
      </c>
      <c r="C9" s="624" t="s">
        <v>848</v>
      </c>
      <c r="D9" s="625" t="s">
        <v>849</v>
      </c>
      <c r="E9" s="626"/>
      <c r="F9" s="630"/>
      <c r="G9" s="626"/>
      <c r="H9" s="628">
        <v>1535</v>
      </c>
      <c r="I9" s="631" t="s">
        <v>852</v>
      </c>
    </row>
    <row r="10" spans="1:9" ht="44.25" customHeight="1" thickBot="1">
      <c r="A10" s="584">
        <v>216</v>
      </c>
      <c r="B10" s="585" t="s">
        <v>853</v>
      </c>
      <c r="C10" s="624" t="s">
        <v>848</v>
      </c>
      <c r="D10" s="625" t="s">
        <v>849</v>
      </c>
      <c r="E10" s="626"/>
      <c r="F10" s="625"/>
      <c r="G10" s="626"/>
      <c r="H10" s="628">
        <v>1535</v>
      </c>
      <c r="I10" s="631" t="s">
        <v>852</v>
      </c>
    </row>
    <row r="11" spans="1:9" ht="44.25" customHeight="1" thickBot="1">
      <c r="A11" s="584">
        <v>261</v>
      </c>
      <c r="B11" s="585" t="s">
        <v>854</v>
      </c>
      <c r="C11" s="624" t="s">
        <v>848</v>
      </c>
      <c r="D11" s="625" t="s">
        <v>849</v>
      </c>
      <c r="E11" s="626"/>
      <c r="F11" s="631"/>
      <c r="G11" s="626"/>
      <c r="H11" s="584">
        <v>1394</v>
      </c>
      <c r="I11" s="630" t="s">
        <v>855</v>
      </c>
    </row>
    <row r="12" spans="1:9" ht="44.25" customHeight="1" thickBot="1">
      <c r="A12" s="584">
        <v>263</v>
      </c>
      <c r="B12" s="630" t="s">
        <v>856</v>
      </c>
      <c r="C12" s="624" t="s">
        <v>848</v>
      </c>
      <c r="D12" s="625" t="s">
        <v>849</v>
      </c>
      <c r="E12" s="626"/>
      <c r="F12" s="625"/>
      <c r="G12" s="626"/>
      <c r="H12" s="628">
        <v>343</v>
      </c>
      <c r="I12" s="630" t="s">
        <v>857</v>
      </c>
    </row>
    <row r="13" spans="1:9" ht="44.25" customHeight="1" thickBot="1">
      <c r="A13" s="584">
        <v>343</v>
      </c>
      <c r="B13" s="585" t="s">
        <v>858</v>
      </c>
      <c r="C13" s="624" t="s">
        <v>848</v>
      </c>
      <c r="D13" s="625"/>
      <c r="E13" s="626"/>
      <c r="F13" s="630" t="s">
        <v>857</v>
      </c>
      <c r="G13" s="626"/>
      <c r="H13" s="584"/>
      <c r="I13" s="630"/>
    </row>
    <row r="14" spans="1:9" ht="44.25" customHeight="1" thickBot="1">
      <c r="A14" s="584">
        <v>411</v>
      </c>
      <c r="B14" s="585" t="s">
        <v>859</v>
      </c>
      <c r="C14" s="624" t="s">
        <v>848</v>
      </c>
      <c r="D14" s="625" t="s">
        <v>849</v>
      </c>
      <c r="E14" s="626"/>
      <c r="F14" s="627"/>
      <c r="G14" s="626"/>
      <c r="H14" s="628" t="s">
        <v>860</v>
      </c>
      <c r="I14" s="629" t="s">
        <v>861</v>
      </c>
    </row>
    <row r="15" spans="1:9" ht="44.25" customHeight="1" thickBot="1">
      <c r="A15" s="584">
        <v>445</v>
      </c>
      <c r="B15" s="585" t="s">
        <v>862</v>
      </c>
      <c r="C15" s="624" t="s">
        <v>848</v>
      </c>
      <c r="D15" s="625" t="s">
        <v>849</v>
      </c>
      <c r="E15" s="626"/>
      <c r="F15" s="630"/>
      <c r="G15" s="626"/>
      <c r="H15" s="628">
        <v>774</v>
      </c>
      <c r="I15" s="631" t="s">
        <v>863</v>
      </c>
    </row>
    <row r="16" spans="1:9" ht="44.25" customHeight="1" thickBot="1">
      <c r="A16" s="584">
        <v>484</v>
      </c>
      <c r="B16" s="585" t="s">
        <v>864</v>
      </c>
      <c r="C16" s="624" t="s">
        <v>848</v>
      </c>
      <c r="D16" s="625" t="s">
        <v>849</v>
      </c>
      <c r="E16" s="626"/>
      <c r="F16" s="625"/>
      <c r="G16" s="626"/>
      <c r="H16" s="628">
        <v>1535</v>
      </c>
      <c r="I16" s="631" t="s">
        <v>852</v>
      </c>
    </row>
    <row r="17" spans="1:15" ht="44.25" customHeight="1" thickBot="1">
      <c r="A17" s="584">
        <v>556</v>
      </c>
      <c r="B17" s="585" t="s">
        <v>865</v>
      </c>
      <c r="C17" s="624" t="s">
        <v>848</v>
      </c>
      <c r="D17" s="625" t="s">
        <v>849</v>
      </c>
      <c r="E17" s="626"/>
      <c r="F17" s="625"/>
      <c r="G17" s="626"/>
      <c r="H17" s="628">
        <v>343</v>
      </c>
      <c r="I17" s="630" t="s">
        <v>857</v>
      </c>
    </row>
    <row r="18" spans="1:15" ht="44.25" customHeight="1" thickBot="1">
      <c r="A18" s="584">
        <v>749</v>
      </c>
      <c r="B18" s="630" t="s">
        <v>866</v>
      </c>
      <c r="C18" s="624" t="s">
        <v>848</v>
      </c>
      <c r="D18" s="625" t="s">
        <v>849</v>
      </c>
      <c r="E18" s="626"/>
      <c r="F18" s="631"/>
      <c r="G18" s="626"/>
      <c r="H18" s="628">
        <v>774</v>
      </c>
      <c r="I18" s="631" t="s">
        <v>863</v>
      </c>
    </row>
    <row r="19" spans="1:15" ht="44.25" customHeight="1" thickBot="1">
      <c r="A19" s="584">
        <v>774</v>
      </c>
      <c r="B19" s="585" t="s">
        <v>863</v>
      </c>
      <c r="C19" s="624" t="s">
        <v>848</v>
      </c>
      <c r="D19" s="625"/>
      <c r="E19" s="626"/>
      <c r="F19" s="631"/>
      <c r="G19" s="626" t="s">
        <v>444</v>
      </c>
      <c r="H19" s="584"/>
      <c r="I19" s="630"/>
    </row>
    <row r="20" spans="1:15" ht="44.25" customHeight="1" thickBot="1">
      <c r="A20" s="584">
        <v>774</v>
      </c>
      <c r="B20" s="585" t="s">
        <v>867</v>
      </c>
      <c r="C20" s="624" t="s">
        <v>848</v>
      </c>
      <c r="D20" s="625"/>
      <c r="E20" s="626"/>
      <c r="F20" s="631" t="s">
        <v>863</v>
      </c>
      <c r="G20" s="626"/>
      <c r="H20" s="584"/>
      <c r="I20" s="630"/>
    </row>
    <row r="21" spans="1:15" s="633" customFormat="1" ht="44.25" customHeight="1" thickBot="1">
      <c r="A21" s="584">
        <v>780</v>
      </c>
      <c r="B21" s="585" t="s">
        <v>868</v>
      </c>
      <c r="C21" s="624" t="s">
        <v>848</v>
      </c>
      <c r="D21" s="625"/>
      <c r="E21" s="626"/>
      <c r="F21" s="627" t="s">
        <v>850</v>
      </c>
      <c r="G21" s="632"/>
      <c r="H21" s="628"/>
      <c r="I21" s="629"/>
    </row>
    <row r="22" spans="1:15" ht="44.25" customHeight="1" thickBot="1">
      <c r="A22" s="584">
        <v>1097</v>
      </c>
      <c r="B22" s="585" t="s">
        <v>869</v>
      </c>
      <c r="C22" s="624" t="s">
        <v>848</v>
      </c>
      <c r="D22" s="625" t="s">
        <v>849</v>
      </c>
      <c r="E22" s="626"/>
      <c r="F22" s="630"/>
      <c r="G22" s="626"/>
      <c r="H22" s="628">
        <v>1535</v>
      </c>
      <c r="I22" s="631" t="s">
        <v>852</v>
      </c>
    </row>
    <row r="23" spans="1:15" ht="44.25" customHeight="1" thickBot="1">
      <c r="A23" s="584">
        <v>1215</v>
      </c>
      <c r="B23" s="585" t="s">
        <v>870</v>
      </c>
      <c r="C23" s="624" t="s">
        <v>848</v>
      </c>
      <c r="D23" s="625" t="s">
        <v>849</v>
      </c>
      <c r="E23" s="626"/>
      <c r="F23" s="625"/>
      <c r="G23" s="626"/>
      <c r="H23" s="628">
        <v>1535</v>
      </c>
      <c r="I23" s="631" t="s">
        <v>852</v>
      </c>
      <c r="J23"/>
      <c r="K23"/>
      <c r="L23"/>
      <c r="M23"/>
      <c r="N23"/>
      <c r="O23"/>
    </row>
    <row r="24" spans="1:15" ht="44.25" customHeight="1" thickBot="1">
      <c r="A24" s="584">
        <v>1395</v>
      </c>
      <c r="B24" s="585" t="s">
        <v>871</v>
      </c>
      <c r="C24" s="624" t="s">
        <v>848</v>
      </c>
      <c r="D24" s="625" t="s">
        <v>849</v>
      </c>
      <c r="E24" s="626"/>
      <c r="F24" s="627"/>
      <c r="G24" s="634"/>
      <c r="H24" s="628">
        <v>509</v>
      </c>
      <c r="I24" s="629" t="s">
        <v>872</v>
      </c>
      <c r="J24"/>
      <c r="K24"/>
      <c r="L24"/>
      <c r="M24"/>
      <c r="N24"/>
      <c r="O24"/>
    </row>
    <row r="25" spans="1:15" ht="27.75" customHeight="1" thickBot="1">
      <c r="A25" s="584">
        <v>1442</v>
      </c>
      <c r="B25" s="585" t="s">
        <v>873</v>
      </c>
      <c r="C25" s="624" t="s">
        <v>848</v>
      </c>
      <c r="D25" s="625" t="s">
        <v>849</v>
      </c>
      <c r="E25" s="626"/>
      <c r="F25" s="625"/>
      <c r="G25" s="626"/>
      <c r="H25" s="628">
        <v>1479</v>
      </c>
      <c r="I25" s="629" t="s">
        <v>874</v>
      </c>
    </row>
    <row r="26" spans="1:15" ht="27.75" customHeight="1" thickBot="1">
      <c r="A26" s="584">
        <v>1479</v>
      </c>
      <c r="B26" s="585" t="s">
        <v>875</v>
      </c>
      <c r="C26" s="624" t="s">
        <v>848</v>
      </c>
      <c r="D26" s="625"/>
      <c r="E26" s="626"/>
      <c r="F26" s="629" t="s">
        <v>874</v>
      </c>
      <c r="G26" s="626"/>
      <c r="H26" s="628"/>
      <c r="I26" s="629"/>
    </row>
    <row r="27" spans="1:15" ht="27.75" customHeight="1" thickBot="1">
      <c r="A27" s="584">
        <v>1520</v>
      </c>
      <c r="B27" s="630" t="s">
        <v>876</v>
      </c>
      <c r="C27" s="624" t="s">
        <v>848</v>
      </c>
      <c r="D27" s="625"/>
      <c r="E27" s="626"/>
      <c r="F27" s="627" t="s">
        <v>877</v>
      </c>
      <c r="G27" s="632"/>
      <c r="H27" s="628"/>
      <c r="I27" s="629"/>
    </row>
    <row r="28" spans="1:15" s="633" customFormat="1" ht="44.25" customHeight="1" thickBot="1">
      <c r="A28" s="584">
        <v>1520</v>
      </c>
      <c r="B28" s="630" t="s">
        <v>878</v>
      </c>
      <c r="C28" s="624" t="s">
        <v>848</v>
      </c>
      <c r="D28" s="625"/>
      <c r="E28" s="626"/>
      <c r="F28" s="627"/>
      <c r="G28" s="632"/>
      <c r="H28" s="628">
        <v>455</v>
      </c>
      <c r="I28" s="629" t="s">
        <v>879</v>
      </c>
    </row>
    <row r="29" spans="1:15" ht="44.25" customHeight="1" thickBot="1">
      <c r="A29" s="584">
        <v>1535</v>
      </c>
      <c r="B29" s="585" t="s">
        <v>880</v>
      </c>
      <c r="C29" s="624" t="s">
        <v>848</v>
      </c>
      <c r="D29" s="625"/>
      <c r="E29" s="626"/>
      <c r="F29" s="631" t="s">
        <v>852</v>
      </c>
      <c r="G29" s="626"/>
      <c r="H29" s="584"/>
      <c r="I29" s="630"/>
    </row>
    <row r="30" spans="1:15" ht="44.25" customHeight="1" thickBot="1">
      <c r="A30" s="584">
        <v>1551</v>
      </c>
      <c r="B30" s="585" t="s">
        <v>881</v>
      </c>
      <c r="C30" s="624" t="s">
        <v>848</v>
      </c>
      <c r="D30" s="625" t="s">
        <v>849</v>
      </c>
      <c r="E30" s="626"/>
      <c r="F30" s="625"/>
      <c r="G30" s="626"/>
      <c r="H30" s="628">
        <v>1479</v>
      </c>
      <c r="I30" s="629" t="s">
        <v>874</v>
      </c>
      <c r="J30"/>
      <c r="K30"/>
      <c r="L30"/>
      <c r="M30"/>
      <c r="N30"/>
      <c r="O30"/>
    </row>
    <row r="31" spans="1:15" ht="44.25" customHeight="1" thickBot="1">
      <c r="A31" s="584">
        <v>1552</v>
      </c>
      <c r="B31" s="585" t="s">
        <v>882</v>
      </c>
      <c r="C31" s="624" t="s">
        <v>848</v>
      </c>
      <c r="D31" s="625" t="s">
        <v>849</v>
      </c>
      <c r="E31" s="626"/>
      <c r="F31" s="629"/>
      <c r="G31" s="626"/>
      <c r="H31" s="628">
        <v>994</v>
      </c>
      <c r="I31" s="629" t="s">
        <v>883</v>
      </c>
      <c r="J31"/>
      <c r="K31"/>
      <c r="L31"/>
      <c r="M31"/>
      <c r="N31"/>
      <c r="O31"/>
    </row>
    <row r="32" spans="1:15" ht="27.75" customHeight="1" thickBot="1">
      <c r="A32" s="584">
        <v>1571</v>
      </c>
      <c r="B32" s="585" t="s">
        <v>884</v>
      </c>
      <c r="C32" s="624" t="s">
        <v>848</v>
      </c>
      <c r="D32" s="625" t="s">
        <v>849</v>
      </c>
      <c r="E32" s="626"/>
      <c r="F32" s="630"/>
      <c r="G32" s="626"/>
      <c r="H32" s="628">
        <v>62</v>
      </c>
      <c r="I32" s="629" t="s">
        <v>885</v>
      </c>
    </row>
    <row r="33" spans="1:9" ht="27.75" customHeight="1" thickBot="1">
      <c r="A33" s="584"/>
      <c r="B33" s="585"/>
      <c r="C33" s="635"/>
      <c r="D33" s="625"/>
      <c r="E33" s="626"/>
      <c r="F33" s="625"/>
      <c r="G33" s="626"/>
      <c r="H33" s="628"/>
      <c r="I33" s="625"/>
    </row>
    <row r="34" spans="1:9" s="633" customFormat="1" ht="27.75" customHeight="1" thickBot="1">
      <c r="A34" s="636"/>
      <c r="B34" s="637" t="s">
        <v>278</v>
      </c>
      <c r="C34" s="638"/>
      <c r="D34" s="636">
        <v>17</v>
      </c>
      <c r="E34" s="639">
        <v>0</v>
      </c>
      <c r="F34" s="636">
        <v>6</v>
      </c>
      <c r="G34" s="638">
        <v>1</v>
      </c>
      <c r="H34" s="636"/>
      <c r="I34" s="636">
        <v>19</v>
      </c>
    </row>
    <row r="35" spans="1:9">
      <c r="B35" s="179"/>
    </row>
    <row r="36" spans="1:9">
      <c r="A36" s="599" t="s">
        <v>1073</v>
      </c>
      <c r="G36" s="102"/>
      <c r="I36" s="102"/>
    </row>
    <row r="37" spans="1:9">
      <c r="A37" s="599"/>
      <c r="G37" s="102"/>
      <c r="I37" s="102"/>
    </row>
    <row r="38" spans="1:9">
      <c r="A38" s="640" t="s">
        <v>886</v>
      </c>
      <c r="G38" s="102"/>
      <c r="I38" s="102"/>
    </row>
    <row r="39" spans="1:9">
      <c r="A39" s="641" t="s">
        <v>887</v>
      </c>
      <c r="G39" s="102"/>
      <c r="I39" s="102"/>
    </row>
    <row r="40" spans="1:9">
      <c r="A40" s="641"/>
    </row>
    <row r="41" spans="1:9">
      <c r="A41" s="609" t="s">
        <v>888</v>
      </c>
    </row>
    <row r="42" spans="1:9">
      <c r="A42" s="609"/>
    </row>
    <row r="43" spans="1:9">
      <c r="A43" s="609"/>
    </row>
    <row r="44" spans="1:9">
      <c r="A44" s="609" t="s">
        <v>719</v>
      </c>
    </row>
  </sheetData>
  <pageMargins left="0.46" right="0.45" top="0.55000000000000004" bottom="0.44" header="0.31496062992125984" footer="0.27559055118110237"/>
  <pageSetup paperSize="9" scale="56" pageOrder="overThenDown" orientation="portrait" horizontalDpi="1200" verticalDpi="12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EAB1-43DB-1343-AFF9-7E3FA595F688}">
  <dimension ref="A1:AE85"/>
  <sheetViews>
    <sheetView topLeftCell="I1" zoomScaleNormal="100" workbookViewId="0">
      <selection activeCell="Q2" sqref="Q2"/>
    </sheetView>
  </sheetViews>
  <sheetFormatPr baseColWidth="10" defaultColWidth="11.3984375" defaultRowHeight="13"/>
  <cols>
    <col min="1" max="1" width="7.59765625" style="119" customWidth="1"/>
    <col min="2" max="2" width="50.3984375" style="119" customWidth="1"/>
    <col min="3" max="4" width="15.3984375" style="119" customWidth="1"/>
    <col min="5" max="7" width="15.3984375" style="3" customWidth="1"/>
    <col min="8" max="9" width="15.3984375" style="8" customWidth="1"/>
    <col min="10" max="16" width="15.3984375" style="3" customWidth="1"/>
    <col min="17" max="17" width="1.19921875" style="3" customWidth="1"/>
    <col min="18" max="18" width="15.3984375" style="3" customWidth="1"/>
    <col min="19" max="19" width="15.3984375" style="611" customWidth="1"/>
    <col min="20" max="31" width="15.3984375" style="3" customWidth="1"/>
    <col min="32" max="16384" width="11.3984375" style="3"/>
  </cols>
  <sheetData>
    <row r="1" spans="1:31" s="2" customFormat="1" ht="14" customHeight="1">
      <c r="A1" s="88"/>
      <c r="B1" s="88"/>
      <c r="C1" s="88"/>
      <c r="D1" s="88"/>
      <c r="H1" s="406"/>
      <c r="I1" s="406"/>
      <c r="S1" s="559"/>
    </row>
    <row r="2" spans="1:31" s="2" customFormat="1" ht="40.25" customHeight="1">
      <c r="A2" s="1858" t="s">
        <v>797</v>
      </c>
      <c r="B2" s="1846"/>
      <c r="C2" s="560"/>
      <c r="D2" s="560"/>
      <c r="E2" s="561"/>
      <c r="F2" s="561"/>
      <c r="G2" s="561"/>
      <c r="H2" s="388"/>
      <c r="I2" s="406"/>
      <c r="J2" s="17"/>
      <c r="P2" s="562">
        <v>2011</v>
      </c>
      <c r="Q2" s="562"/>
      <c r="V2" s="563"/>
      <c r="AE2" s="563">
        <v>2011</v>
      </c>
    </row>
    <row r="3" spans="1:31" s="2" customFormat="1" ht="12" customHeight="1">
      <c r="A3" s="88"/>
      <c r="B3" s="88"/>
      <c r="C3" s="88"/>
      <c r="D3" s="88"/>
      <c r="H3" s="406"/>
      <c r="I3" s="406"/>
      <c r="S3" s="564"/>
      <c r="U3" s="565"/>
      <c r="W3" s="565"/>
      <c r="X3" s="565"/>
      <c r="Y3" s="565"/>
      <c r="Z3" s="565"/>
      <c r="AA3" s="565"/>
      <c r="AB3" s="565"/>
      <c r="AC3" s="565"/>
      <c r="AD3" s="565"/>
      <c r="AE3" s="565"/>
    </row>
    <row r="4" spans="1:31" ht="18" customHeight="1">
      <c r="A4" s="566" t="s">
        <v>798</v>
      </c>
      <c r="B4" s="566" t="s">
        <v>799</v>
      </c>
      <c r="C4" s="567"/>
      <c r="D4" s="568"/>
      <c r="E4" s="567"/>
      <c r="F4" s="568"/>
      <c r="G4" s="567"/>
      <c r="H4" s="569"/>
      <c r="I4" s="570"/>
      <c r="J4" s="568"/>
      <c r="K4" s="567"/>
      <c r="L4" s="568"/>
      <c r="M4" s="567"/>
      <c r="N4" s="569"/>
      <c r="O4" s="570"/>
      <c r="P4" s="569"/>
      <c r="Q4" s="568"/>
      <c r="R4" s="570"/>
      <c r="S4" s="571"/>
      <c r="T4" s="570"/>
      <c r="U4" s="16"/>
      <c r="V4" s="570"/>
      <c r="W4" s="16"/>
      <c r="X4" s="572"/>
      <c r="Y4" s="16"/>
      <c r="Z4" s="572"/>
      <c r="AA4" s="16"/>
      <c r="AB4" s="572"/>
      <c r="AC4" s="16"/>
      <c r="AD4" s="572"/>
      <c r="AE4" s="16"/>
    </row>
    <row r="5" spans="1:31" ht="15" customHeight="1">
      <c r="A5" s="573" t="s">
        <v>800</v>
      </c>
      <c r="B5" s="573"/>
      <c r="C5" s="574" t="s">
        <v>444</v>
      </c>
      <c r="D5" s="571" t="s">
        <v>362</v>
      </c>
      <c r="E5" s="574" t="s">
        <v>363</v>
      </c>
      <c r="F5" s="571" t="s">
        <v>364</v>
      </c>
      <c r="G5" s="574" t="s">
        <v>365</v>
      </c>
      <c r="H5" s="575" t="s">
        <v>366</v>
      </c>
      <c r="I5" s="576" t="s">
        <v>367</v>
      </c>
      <c r="J5" s="571" t="s">
        <v>368</v>
      </c>
      <c r="K5" s="574" t="s">
        <v>369</v>
      </c>
      <c r="L5" s="571" t="s">
        <v>370</v>
      </c>
      <c r="M5" s="574" t="s">
        <v>371</v>
      </c>
      <c r="N5" s="575" t="s">
        <v>372</v>
      </c>
      <c r="O5" s="576" t="s">
        <v>373</v>
      </c>
      <c r="P5" s="575" t="s">
        <v>374</v>
      </c>
      <c r="Q5" s="571"/>
      <c r="R5" s="576" t="s">
        <v>375</v>
      </c>
      <c r="S5" s="571" t="s">
        <v>376</v>
      </c>
      <c r="T5" s="576" t="s">
        <v>377</v>
      </c>
      <c r="U5" s="571" t="s">
        <v>378</v>
      </c>
      <c r="V5" s="576" t="s">
        <v>379</v>
      </c>
      <c r="W5" s="577" t="s">
        <v>380</v>
      </c>
      <c r="X5" s="578" t="s">
        <v>381</v>
      </c>
      <c r="Y5" s="577" t="s">
        <v>382</v>
      </c>
      <c r="Z5" s="578" t="s">
        <v>383</v>
      </c>
      <c r="AA5" s="577" t="s">
        <v>384</v>
      </c>
      <c r="AB5" s="578" t="s">
        <v>385</v>
      </c>
      <c r="AC5" s="577" t="s">
        <v>386</v>
      </c>
      <c r="AD5" s="578" t="s">
        <v>387</v>
      </c>
      <c r="AE5" s="577" t="s">
        <v>801</v>
      </c>
    </row>
    <row r="6" spans="1:31" ht="15" customHeight="1">
      <c r="A6" s="573"/>
      <c r="B6" s="573"/>
      <c r="C6" s="574"/>
      <c r="D6" s="571"/>
      <c r="E6" s="574"/>
      <c r="F6" s="571"/>
      <c r="G6" s="574"/>
      <c r="H6" s="575"/>
      <c r="I6" s="576"/>
      <c r="J6" s="571"/>
      <c r="K6" s="574"/>
      <c r="L6" s="571"/>
      <c r="M6" s="574"/>
      <c r="N6" s="575"/>
      <c r="O6" s="576"/>
      <c r="P6" s="575"/>
      <c r="Q6" s="571"/>
      <c r="R6" s="576"/>
      <c r="S6" s="571"/>
      <c r="T6" s="576"/>
      <c r="U6" s="571"/>
      <c r="V6" s="576"/>
      <c r="W6" s="577"/>
      <c r="X6" s="578"/>
      <c r="Y6" s="577"/>
      <c r="Z6" s="578"/>
      <c r="AA6" s="577"/>
      <c r="AB6" s="578"/>
      <c r="AC6" s="577"/>
      <c r="AD6" s="578"/>
      <c r="AE6" s="577"/>
    </row>
    <row r="7" spans="1:31" ht="15" customHeight="1">
      <c r="A7" s="573"/>
      <c r="B7" s="573"/>
      <c r="C7" s="574"/>
      <c r="D7" s="571" t="s">
        <v>802</v>
      </c>
      <c r="E7" s="574" t="s">
        <v>803</v>
      </c>
      <c r="F7" s="571" t="s">
        <v>804</v>
      </c>
      <c r="G7" s="574" t="s">
        <v>805</v>
      </c>
      <c r="H7" s="575" t="s">
        <v>806</v>
      </c>
      <c r="I7" s="576" t="s">
        <v>807</v>
      </c>
      <c r="J7" s="571" t="s">
        <v>808</v>
      </c>
      <c r="K7" s="574" t="s">
        <v>809</v>
      </c>
      <c r="L7" s="571" t="s">
        <v>810</v>
      </c>
      <c r="M7" s="574" t="s">
        <v>811</v>
      </c>
      <c r="N7" s="575" t="s">
        <v>812</v>
      </c>
      <c r="O7" s="576" t="s">
        <v>813</v>
      </c>
      <c r="P7" s="575" t="s">
        <v>814</v>
      </c>
      <c r="Q7" s="571"/>
      <c r="R7" s="576" t="s">
        <v>815</v>
      </c>
      <c r="S7" s="571" t="s">
        <v>816</v>
      </c>
      <c r="T7" s="576" t="s">
        <v>817</v>
      </c>
      <c r="U7" s="571" t="s">
        <v>818</v>
      </c>
      <c r="V7" s="576" t="s">
        <v>819</v>
      </c>
      <c r="W7" s="577" t="s">
        <v>820</v>
      </c>
      <c r="X7" s="578" t="s">
        <v>821</v>
      </c>
      <c r="Y7" s="577" t="s">
        <v>822</v>
      </c>
      <c r="Z7" s="578" t="s">
        <v>823</v>
      </c>
      <c r="AA7" s="577" t="s">
        <v>824</v>
      </c>
      <c r="AB7" s="578" t="s">
        <v>825</v>
      </c>
      <c r="AC7" s="577" t="s">
        <v>826</v>
      </c>
      <c r="AD7" s="578" t="s">
        <v>827</v>
      </c>
      <c r="AE7" s="577" t="s">
        <v>828</v>
      </c>
    </row>
    <row r="8" spans="1:31" ht="21" customHeight="1">
      <c r="A8" s="579"/>
      <c r="B8" s="579"/>
      <c r="C8" s="580"/>
      <c r="D8" s="581"/>
      <c r="E8" s="580"/>
      <c r="F8" s="581"/>
      <c r="G8" s="580"/>
      <c r="H8" s="582"/>
      <c r="I8" s="583"/>
      <c r="J8" s="581"/>
      <c r="K8" s="580"/>
      <c r="L8" s="581"/>
      <c r="M8" s="580"/>
      <c r="N8" s="582"/>
      <c r="O8" s="583"/>
      <c r="P8" s="582"/>
      <c r="Q8" s="579"/>
      <c r="R8" s="583"/>
      <c r="S8" s="581"/>
      <c r="T8" s="583"/>
      <c r="U8" s="581"/>
      <c r="V8" s="583"/>
      <c r="W8" s="581"/>
      <c r="X8" s="580"/>
      <c r="Y8" s="581"/>
      <c r="Z8" s="580"/>
      <c r="AA8" s="581"/>
      <c r="AB8" s="580"/>
      <c r="AC8" s="581"/>
      <c r="AD8" s="580"/>
      <c r="AE8" s="581"/>
    </row>
    <row r="9" spans="1:31" ht="14" thickBot="1">
      <c r="A9" s="584">
        <v>8</v>
      </c>
      <c r="B9" s="585" t="s">
        <v>1074</v>
      </c>
      <c r="C9" s="586">
        <v>853941.11</v>
      </c>
      <c r="D9" s="587">
        <v>107023.19</v>
      </c>
      <c r="E9" s="588">
        <v>22383.119999999999</v>
      </c>
      <c r="F9" s="587">
        <v>94747.14</v>
      </c>
      <c r="G9" s="588">
        <v>4263.7</v>
      </c>
      <c r="H9" s="587">
        <v>42503.67</v>
      </c>
      <c r="I9" s="586">
        <v>8966.15</v>
      </c>
      <c r="J9" s="587">
        <v>9062.17</v>
      </c>
      <c r="K9" s="586">
        <v>1557.32</v>
      </c>
      <c r="L9" s="587">
        <v>23563.83</v>
      </c>
      <c r="M9" s="588">
        <v>81312.92</v>
      </c>
      <c r="N9" s="587">
        <v>29199.45</v>
      </c>
      <c r="O9" s="588">
        <v>6116.27</v>
      </c>
      <c r="P9" s="587">
        <v>26160.38</v>
      </c>
      <c r="Q9" s="587" t="s">
        <v>1133</v>
      </c>
      <c r="R9" s="588">
        <v>2512.66</v>
      </c>
      <c r="S9" s="587">
        <v>2823.77</v>
      </c>
      <c r="T9" s="588">
        <v>2775.21</v>
      </c>
      <c r="U9" s="587">
        <v>76448.070000000007</v>
      </c>
      <c r="V9" s="588">
        <v>6557.54</v>
      </c>
      <c r="W9" s="587">
        <v>91991.58</v>
      </c>
      <c r="X9" s="588">
        <v>24291.88</v>
      </c>
      <c r="Y9" s="587">
        <v>19332.38</v>
      </c>
      <c r="Z9" s="588">
        <v>49953.36</v>
      </c>
      <c r="AA9" s="587">
        <v>41400.71</v>
      </c>
      <c r="AB9" s="588">
        <v>18751.75</v>
      </c>
      <c r="AC9" s="587">
        <v>49050.47</v>
      </c>
      <c r="AD9" s="588">
        <v>11192.41</v>
      </c>
      <c r="AE9" s="587" t="s">
        <v>1133</v>
      </c>
    </row>
    <row r="10" spans="1:31" ht="14" thickBot="1">
      <c r="A10" s="584">
        <v>32</v>
      </c>
      <c r="B10" s="585" t="s">
        <v>1075</v>
      </c>
      <c r="C10" s="586">
        <v>38224.629999999997</v>
      </c>
      <c r="D10" s="587">
        <v>9378.1</v>
      </c>
      <c r="E10" s="588">
        <v>507</v>
      </c>
      <c r="F10" s="587">
        <v>245.43</v>
      </c>
      <c r="G10" s="588">
        <v>18.79</v>
      </c>
      <c r="H10" s="587">
        <v>1509.65</v>
      </c>
      <c r="I10" s="586">
        <v>841.36</v>
      </c>
      <c r="J10" s="587">
        <v>349.71</v>
      </c>
      <c r="K10" s="586">
        <v>450.9</v>
      </c>
      <c r="L10" s="587">
        <v>229.67</v>
      </c>
      <c r="M10" s="588">
        <v>147.27000000000001</v>
      </c>
      <c r="N10" s="587">
        <v>289.42</v>
      </c>
      <c r="O10" s="588">
        <v>142.92000000000002</v>
      </c>
      <c r="P10" s="587">
        <v>326.86</v>
      </c>
      <c r="Q10" s="587" t="s">
        <v>1133</v>
      </c>
      <c r="R10" s="588">
        <v>121.12</v>
      </c>
      <c r="S10" s="587">
        <v>34</v>
      </c>
      <c r="T10" s="589">
        <v>8.25</v>
      </c>
      <c r="U10" s="590">
        <v>331.29</v>
      </c>
      <c r="V10" s="589">
        <v>2592.9500000000003</v>
      </c>
      <c r="W10" s="587">
        <v>18829.86</v>
      </c>
      <c r="X10" s="588">
        <v>464</v>
      </c>
      <c r="Y10" s="590">
        <v>394.97</v>
      </c>
      <c r="Z10" s="588">
        <v>596.08000000000004</v>
      </c>
      <c r="AA10" s="587">
        <v>101.01</v>
      </c>
      <c r="AB10" s="589">
        <v>32.83</v>
      </c>
      <c r="AC10" s="590">
        <v>271.92</v>
      </c>
      <c r="AD10" s="589">
        <v>9.32</v>
      </c>
      <c r="AE10" s="590" t="s">
        <v>1133</v>
      </c>
    </row>
    <row r="11" spans="1:31" ht="14" thickBot="1">
      <c r="A11" s="584">
        <v>57</v>
      </c>
      <c r="B11" s="585" t="s">
        <v>1076</v>
      </c>
      <c r="C11" s="586">
        <v>10397.200000000001</v>
      </c>
      <c r="D11" s="587">
        <v>323.83</v>
      </c>
      <c r="E11" s="588">
        <v>486.16</v>
      </c>
      <c r="F11" s="587">
        <v>520.07000000000005</v>
      </c>
      <c r="G11" s="588">
        <v>10</v>
      </c>
      <c r="H11" s="587">
        <v>15.07</v>
      </c>
      <c r="I11" s="586">
        <v>59.58</v>
      </c>
      <c r="J11" s="587">
        <v>33.17</v>
      </c>
      <c r="K11" s="586">
        <v>9.08</v>
      </c>
      <c r="L11" s="587">
        <v>13.18</v>
      </c>
      <c r="M11" s="588">
        <v>127.5</v>
      </c>
      <c r="N11" s="587">
        <v>2063.17</v>
      </c>
      <c r="O11" s="588">
        <v>465.42</v>
      </c>
      <c r="P11" s="587">
        <v>1028.75</v>
      </c>
      <c r="Q11" s="587" t="s">
        <v>1133</v>
      </c>
      <c r="R11" s="588">
        <v>7</v>
      </c>
      <c r="S11" s="587">
        <v>3</v>
      </c>
      <c r="T11" s="589">
        <v>5</v>
      </c>
      <c r="U11" s="590">
        <v>61.84</v>
      </c>
      <c r="V11" s="589">
        <v>26.84</v>
      </c>
      <c r="W11" s="587">
        <v>1405.17</v>
      </c>
      <c r="X11" s="588">
        <v>45</v>
      </c>
      <c r="Y11" s="590">
        <v>169.42</v>
      </c>
      <c r="Z11" s="588">
        <v>1415.51</v>
      </c>
      <c r="AA11" s="587">
        <v>831.93</v>
      </c>
      <c r="AB11" s="589">
        <v>31.26</v>
      </c>
      <c r="AC11" s="590">
        <v>1232</v>
      </c>
      <c r="AD11" s="589">
        <v>8.25</v>
      </c>
      <c r="AE11" s="590" t="s">
        <v>1133</v>
      </c>
    </row>
    <row r="12" spans="1:31" ht="14" thickBot="1">
      <c r="A12" s="584">
        <v>62</v>
      </c>
      <c r="B12" s="585" t="s">
        <v>1077</v>
      </c>
      <c r="C12" s="586">
        <v>41570.080000000002</v>
      </c>
      <c r="D12" s="587">
        <v>1389.42</v>
      </c>
      <c r="E12" s="588">
        <v>2640.92</v>
      </c>
      <c r="F12" s="587">
        <v>122</v>
      </c>
      <c r="G12" s="588">
        <v>21.58</v>
      </c>
      <c r="H12" s="587">
        <v>87.5</v>
      </c>
      <c r="I12" s="586">
        <v>18.5</v>
      </c>
      <c r="J12" s="587">
        <v>30.67</v>
      </c>
      <c r="K12" s="586">
        <v>41.08</v>
      </c>
      <c r="L12" s="587">
        <v>59.75</v>
      </c>
      <c r="M12" s="588">
        <v>892.25</v>
      </c>
      <c r="N12" s="587">
        <v>184.67</v>
      </c>
      <c r="O12" s="588">
        <v>236.5</v>
      </c>
      <c r="P12" s="587">
        <v>986.17</v>
      </c>
      <c r="Q12" s="587" t="s">
        <v>1133</v>
      </c>
      <c r="R12" s="588">
        <v>65.75</v>
      </c>
      <c r="S12" s="587">
        <v>44.5</v>
      </c>
      <c r="T12" s="589">
        <v>6</v>
      </c>
      <c r="U12" s="590">
        <v>215.83</v>
      </c>
      <c r="V12" s="589">
        <v>170.08</v>
      </c>
      <c r="W12" s="587">
        <v>918.33</v>
      </c>
      <c r="X12" s="588">
        <v>136.67000000000002</v>
      </c>
      <c r="Y12" s="590">
        <v>8455.42</v>
      </c>
      <c r="Z12" s="588">
        <v>18797.25</v>
      </c>
      <c r="AA12" s="587">
        <v>1413.75</v>
      </c>
      <c r="AB12" s="589">
        <v>1192.92</v>
      </c>
      <c r="AC12" s="590">
        <v>3332.5</v>
      </c>
      <c r="AD12" s="589">
        <v>110.08</v>
      </c>
      <c r="AE12" s="590" t="s">
        <v>1133</v>
      </c>
    </row>
    <row r="13" spans="1:31" ht="14" thickBot="1">
      <c r="A13" s="584">
        <v>134</v>
      </c>
      <c r="B13" s="585" t="s">
        <v>1078</v>
      </c>
      <c r="C13" s="586">
        <v>3556.5</v>
      </c>
      <c r="D13" s="587">
        <v>132.26</v>
      </c>
      <c r="E13" s="588" t="s">
        <v>1133</v>
      </c>
      <c r="F13" s="587">
        <v>14.58</v>
      </c>
      <c r="G13" s="588">
        <v>3</v>
      </c>
      <c r="H13" s="587">
        <v>3329.25</v>
      </c>
      <c r="I13" s="586" t="s">
        <v>1133</v>
      </c>
      <c r="J13" s="587">
        <v>2.5</v>
      </c>
      <c r="K13" s="586">
        <v>7</v>
      </c>
      <c r="L13" s="587">
        <v>34</v>
      </c>
      <c r="M13" s="588" t="s">
        <v>1133</v>
      </c>
      <c r="N13" s="587" t="s">
        <v>1133</v>
      </c>
      <c r="O13" s="588" t="s">
        <v>1133</v>
      </c>
      <c r="P13" s="587" t="s">
        <v>1133</v>
      </c>
      <c r="Q13" s="587" t="s">
        <v>1133</v>
      </c>
      <c r="R13" s="588" t="s">
        <v>1133</v>
      </c>
      <c r="S13" s="587" t="s">
        <v>1133</v>
      </c>
      <c r="T13" s="589" t="s">
        <v>1133</v>
      </c>
      <c r="U13" s="590">
        <v>33.92</v>
      </c>
      <c r="V13" s="589" t="s">
        <v>1133</v>
      </c>
      <c r="W13" s="587" t="s">
        <v>1133</v>
      </c>
      <c r="X13" s="588" t="s">
        <v>1133</v>
      </c>
      <c r="Y13" s="590" t="s">
        <v>1133</v>
      </c>
      <c r="Z13" s="588" t="s">
        <v>1133</v>
      </c>
      <c r="AA13" s="587" t="s">
        <v>1133</v>
      </c>
      <c r="AB13" s="589" t="s">
        <v>1133</v>
      </c>
      <c r="AC13" s="590" t="s">
        <v>1133</v>
      </c>
      <c r="AD13" s="589" t="s">
        <v>1133</v>
      </c>
      <c r="AE13" s="590" t="s">
        <v>1133</v>
      </c>
    </row>
    <row r="14" spans="1:31" ht="14" thickBot="1">
      <c r="A14" s="584">
        <v>182</v>
      </c>
      <c r="B14" s="585" t="s">
        <v>1079</v>
      </c>
      <c r="C14" s="586">
        <v>54526.75</v>
      </c>
      <c r="D14" s="587">
        <v>31385.58</v>
      </c>
      <c r="E14" s="588">
        <v>1844.58</v>
      </c>
      <c r="F14" s="587">
        <v>298</v>
      </c>
      <c r="G14" s="588">
        <v>45.17</v>
      </c>
      <c r="H14" s="587">
        <v>294.42</v>
      </c>
      <c r="I14" s="586">
        <v>58.92</v>
      </c>
      <c r="J14" s="587">
        <v>51.67</v>
      </c>
      <c r="K14" s="586">
        <v>51.58</v>
      </c>
      <c r="L14" s="587">
        <v>166.5</v>
      </c>
      <c r="M14" s="588">
        <v>297.42</v>
      </c>
      <c r="N14" s="587">
        <v>4052.42</v>
      </c>
      <c r="O14" s="588">
        <v>144.83000000000001</v>
      </c>
      <c r="P14" s="587">
        <v>351.33</v>
      </c>
      <c r="Q14" s="587" t="s">
        <v>1133</v>
      </c>
      <c r="R14" s="588">
        <v>1026.42</v>
      </c>
      <c r="S14" s="587">
        <v>167.08</v>
      </c>
      <c r="T14" s="589">
        <v>27.92</v>
      </c>
      <c r="U14" s="590">
        <v>6815.08</v>
      </c>
      <c r="V14" s="589">
        <v>206.25</v>
      </c>
      <c r="W14" s="587">
        <v>2266.58</v>
      </c>
      <c r="X14" s="588">
        <v>3522.5</v>
      </c>
      <c r="Y14" s="590">
        <v>84.67</v>
      </c>
      <c r="Z14" s="588">
        <v>388.25</v>
      </c>
      <c r="AA14" s="587">
        <v>74.08</v>
      </c>
      <c r="AB14" s="589">
        <v>161.17000000000002</v>
      </c>
      <c r="AC14" s="590">
        <v>729.67</v>
      </c>
      <c r="AD14" s="589">
        <v>14.67</v>
      </c>
      <c r="AE14" s="590" t="s">
        <v>1133</v>
      </c>
    </row>
    <row r="15" spans="1:31" ht="14" thickBot="1">
      <c r="A15" s="584">
        <v>194</v>
      </c>
      <c r="B15" s="585" t="s">
        <v>1080</v>
      </c>
      <c r="C15" s="586">
        <v>20138.260000000002</v>
      </c>
      <c r="D15" s="587">
        <v>595.75</v>
      </c>
      <c r="E15" s="588">
        <v>16869.5</v>
      </c>
      <c r="F15" s="587">
        <v>196.42</v>
      </c>
      <c r="G15" s="588">
        <v>16.41</v>
      </c>
      <c r="H15" s="587">
        <v>74.34</v>
      </c>
      <c r="I15" s="586">
        <v>17.59</v>
      </c>
      <c r="J15" s="587">
        <v>11.25</v>
      </c>
      <c r="K15" s="586">
        <v>14</v>
      </c>
      <c r="L15" s="587">
        <v>58.75</v>
      </c>
      <c r="M15" s="588">
        <v>243.33</v>
      </c>
      <c r="N15" s="587">
        <v>688.41</v>
      </c>
      <c r="O15" s="588">
        <v>67.83</v>
      </c>
      <c r="P15" s="587">
        <v>279.75</v>
      </c>
      <c r="Q15" s="587" t="s">
        <v>1133</v>
      </c>
      <c r="R15" s="588">
        <v>63.83</v>
      </c>
      <c r="S15" s="587">
        <v>28.67</v>
      </c>
      <c r="T15" s="589">
        <v>4.67</v>
      </c>
      <c r="U15" s="590">
        <v>75.59</v>
      </c>
      <c r="V15" s="589">
        <v>98.25</v>
      </c>
      <c r="W15" s="587">
        <v>527.5</v>
      </c>
      <c r="X15" s="588">
        <v>135.42000000000002</v>
      </c>
      <c r="Y15" s="590" t="s">
        <v>1133</v>
      </c>
      <c r="Z15" s="588" t="s">
        <v>1133</v>
      </c>
      <c r="AA15" s="587">
        <v>71</v>
      </c>
      <c r="AB15" s="589" t="s">
        <v>1133</v>
      </c>
      <c r="AC15" s="590" t="s">
        <v>1133</v>
      </c>
      <c r="AD15" s="589" t="s">
        <v>1133</v>
      </c>
      <c r="AE15" s="590" t="s">
        <v>1133</v>
      </c>
    </row>
    <row r="16" spans="1:31" ht="14" thickBot="1">
      <c r="A16" s="584">
        <v>246</v>
      </c>
      <c r="B16" s="585" t="s">
        <v>1081</v>
      </c>
      <c r="C16" s="586">
        <v>4514.42</v>
      </c>
      <c r="D16" s="587">
        <v>617.58000000000004</v>
      </c>
      <c r="E16" s="588">
        <v>3490.08</v>
      </c>
      <c r="F16" s="587" t="s">
        <v>1133</v>
      </c>
      <c r="G16" s="588" t="s">
        <v>1133</v>
      </c>
      <c r="H16" s="587" t="s">
        <v>1133</v>
      </c>
      <c r="I16" s="586" t="s">
        <v>1133</v>
      </c>
      <c r="J16" s="587" t="s">
        <v>1133</v>
      </c>
      <c r="K16" s="586" t="s">
        <v>1133</v>
      </c>
      <c r="L16" s="587" t="s">
        <v>1133</v>
      </c>
      <c r="M16" s="588" t="s">
        <v>1133</v>
      </c>
      <c r="N16" s="587">
        <v>225.09</v>
      </c>
      <c r="O16" s="588" t="s">
        <v>1133</v>
      </c>
      <c r="P16" s="587" t="s">
        <v>1133</v>
      </c>
      <c r="Q16" s="587" t="s">
        <v>1133</v>
      </c>
      <c r="R16" s="588" t="s">
        <v>1133</v>
      </c>
      <c r="S16" s="587" t="s">
        <v>1133</v>
      </c>
      <c r="T16" s="589" t="s">
        <v>1133</v>
      </c>
      <c r="U16" s="590" t="s">
        <v>1133</v>
      </c>
      <c r="V16" s="589" t="s">
        <v>1133</v>
      </c>
      <c r="W16" s="587">
        <v>181.67</v>
      </c>
      <c r="X16" s="588" t="s">
        <v>1133</v>
      </c>
      <c r="Y16" s="590" t="s">
        <v>1133</v>
      </c>
      <c r="Z16" s="588" t="s">
        <v>1133</v>
      </c>
      <c r="AA16" s="587" t="s">
        <v>1133</v>
      </c>
      <c r="AB16" s="589" t="s">
        <v>1133</v>
      </c>
      <c r="AC16" s="590" t="s">
        <v>1133</v>
      </c>
      <c r="AD16" s="589" t="s">
        <v>1133</v>
      </c>
      <c r="AE16" s="590" t="s">
        <v>1133</v>
      </c>
    </row>
    <row r="17" spans="1:31" ht="14" thickBot="1">
      <c r="A17" s="584">
        <v>290</v>
      </c>
      <c r="B17" s="585" t="s">
        <v>1142</v>
      </c>
      <c r="C17" s="586">
        <v>540359.25</v>
      </c>
      <c r="D17" s="587">
        <v>67725.58</v>
      </c>
      <c r="E17" s="588">
        <v>24783.42</v>
      </c>
      <c r="F17" s="587">
        <v>93059.5</v>
      </c>
      <c r="G17" s="588">
        <v>8717.66</v>
      </c>
      <c r="H17" s="587">
        <v>23424.91</v>
      </c>
      <c r="I17" s="586">
        <v>9991.5</v>
      </c>
      <c r="J17" s="587">
        <v>11624.25</v>
      </c>
      <c r="K17" s="586">
        <v>3147.5</v>
      </c>
      <c r="L17" s="587">
        <v>19558.080000000002</v>
      </c>
      <c r="M17" s="588">
        <v>16284.08</v>
      </c>
      <c r="N17" s="587">
        <v>11705.25</v>
      </c>
      <c r="O17" s="588">
        <v>6457.51</v>
      </c>
      <c r="P17" s="587">
        <v>16597.510000000002</v>
      </c>
      <c r="Q17" s="587" t="s">
        <v>1133</v>
      </c>
      <c r="R17" s="588">
        <v>4258.25</v>
      </c>
      <c r="S17" s="587">
        <v>1534.42</v>
      </c>
      <c r="T17" s="589">
        <v>1538.25</v>
      </c>
      <c r="U17" s="590">
        <v>35609.660000000003</v>
      </c>
      <c r="V17" s="589">
        <v>6411.59</v>
      </c>
      <c r="W17" s="587">
        <v>91404.25</v>
      </c>
      <c r="X17" s="588">
        <v>14894.25</v>
      </c>
      <c r="Y17" s="590">
        <v>15363.91</v>
      </c>
      <c r="Z17" s="588">
        <v>23460.42</v>
      </c>
      <c r="AA17" s="587">
        <v>10590.08</v>
      </c>
      <c r="AB17" s="589">
        <v>7391.42</v>
      </c>
      <c r="AC17" s="590">
        <v>9806.66</v>
      </c>
      <c r="AD17" s="589">
        <v>4444.75</v>
      </c>
      <c r="AE17" s="590">
        <v>574.59</v>
      </c>
    </row>
    <row r="18" spans="1:31" ht="14" thickBot="1">
      <c r="A18" s="584">
        <v>294</v>
      </c>
      <c r="B18" s="585" t="s">
        <v>1083</v>
      </c>
      <c r="C18" s="586">
        <v>7656.42</v>
      </c>
      <c r="D18" s="587">
        <v>508.72</v>
      </c>
      <c r="E18" s="588">
        <v>670.65</v>
      </c>
      <c r="F18" s="587">
        <v>3648.01</v>
      </c>
      <c r="G18" s="588">
        <v>17.25</v>
      </c>
      <c r="H18" s="587">
        <v>30.5</v>
      </c>
      <c r="I18" s="586">
        <v>445.09</v>
      </c>
      <c r="J18" s="587">
        <v>83.59</v>
      </c>
      <c r="K18" s="586">
        <v>1</v>
      </c>
      <c r="L18" s="587">
        <v>38.92</v>
      </c>
      <c r="M18" s="588">
        <v>54.5</v>
      </c>
      <c r="N18" s="587">
        <v>30.92</v>
      </c>
      <c r="O18" s="588">
        <v>42.16</v>
      </c>
      <c r="P18" s="587">
        <v>201.33</v>
      </c>
      <c r="Q18" s="587" t="s">
        <v>1133</v>
      </c>
      <c r="R18" s="588">
        <v>9.09</v>
      </c>
      <c r="S18" s="587">
        <v>7.09</v>
      </c>
      <c r="T18" s="589">
        <v>1.58</v>
      </c>
      <c r="U18" s="590">
        <v>19.080000000000002</v>
      </c>
      <c r="V18" s="589">
        <v>18.09</v>
      </c>
      <c r="W18" s="587">
        <v>486.17</v>
      </c>
      <c r="X18" s="588">
        <v>272.75</v>
      </c>
      <c r="Y18" s="590">
        <v>36.92</v>
      </c>
      <c r="Z18" s="588">
        <v>35</v>
      </c>
      <c r="AA18" s="587">
        <v>260.76</v>
      </c>
      <c r="AB18" s="589">
        <v>636.41999999999996</v>
      </c>
      <c r="AC18" s="590">
        <v>3</v>
      </c>
      <c r="AD18" s="589">
        <v>97.83</v>
      </c>
      <c r="AE18" s="590" t="s">
        <v>1133</v>
      </c>
    </row>
    <row r="19" spans="1:31" ht="14" thickBot="1">
      <c r="A19" s="584">
        <v>312</v>
      </c>
      <c r="B19" s="585" t="s">
        <v>1084</v>
      </c>
      <c r="C19" s="586">
        <v>163268.83000000002</v>
      </c>
      <c r="D19" s="587">
        <v>54407.92</v>
      </c>
      <c r="E19" s="588">
        <v>21402.83</v>
      </c>
      <c r="F19" s="587">
        <v>7293.83</v>
      </c>
      <c r="G19" s="588">
        <v>1226.92</v>
      </c>
      <c r="H19" s="587">
        <v>1931.58</v>
      </c>
      <c r="I19" s="586">
        <v>380.75</v>
      </c>
      <c r="J19" s="587">
        <v>358.33</v>
      </c>
      <c r="K19" s="586">
        <v>503.92</v>
      </c>
      <c r="L19" s="587">
        <v>1020.92</v>
      </c>
      <c r="M19" s="588">
        <v>5595.67</v>
      </c>
      <c r="N19" s="587">
        <v>5562.42</v>
      </c>
      <c r="O19" s="588">
        <v>1735.17</v>
      </c>
      <c r="P19" s="587">
        <v>6203.58</v>
      </c>
      <c r="Q19" s="587" t="s">
        <v>1133</v>
      </c>
      <c r="R19" s="588">
        <v>1240.08</v>
      </c>
      <c r="S19" s="587">
        <v>486.08</v>
      </c>
      <c r="T19" s="589">
        <v>59.42</v>
      </c>
      <c r="U19" s="590">
        <v>10933.17</v>
      </c>
      <c r="V19" s="589">
        <v>1629.33</v>
      </c>
      <c r="W19" s="587">
        <v>12788.5</v>
      </c>
      <c r="X19" s="588">
        <v>4506.25</v>
      </c>
      <c r="Y19" s="590">
        <v>10340.83</v>
      </c>
      <c r="Z19" s="588">
        <v>6273.42</v>
      </c>
      <c r="AA19" s="587">
        <v>4001.08</v>
      </c>
      <c r="AB19" s="589">
        <v>1146</v>
      </c>
      <c r="AC19" s="590">
        <v>1381.33</v>
      </c>
      <c r="AD19" s="589">
        <v>782.25</v>
      </c>
      <c r="AE19" s="590">
        <v>77.25</v>
      </c>
    </row>
    <row r="20" spans="1:31" ht="14" thickBot="1">
      <c r="A20" s="584">
        <v>343</v>
      </c>
      <c r="B20" s="585" t="s">
        <v>857</v>
      </c>
      <c r="C20" s="586">
        <v>191690.02</v>
      </c>
      <c r="D20" s="587">
        <v>3034.3</v>
      </c>
      <c r="E20" s="588">
        <v>21439.88</v>
      </c>
      <c r="F20" s="587">
        <v>10796</v>
      </c>
      <c r="G20" s="588">
        <v>1222.08</v>
      </c>
      <c r="H20" s="587">
        <v>240.67</v>
      </c>
      <c r="I20" s="586">
        <v>142.5</v>
      </c>
      <c r="J20" s="587">
        <v>152.67000000000002</v>
      </c>
      <c r="K20" s="586">
        <v>2587.75</v>
      </c>
      <c r="L20" s="587">
        <v>3612.48</v>
      </c>
      <c r="M20" s="588">
        <v>8847.65</v>
      </c>
      <c r="N20" s="587">
        <v>1103.67</v>
      </c>
      <c r="O20" s="588">
        <v>8777.8700000000008</v>
      </c>
      <c r="P20" s="587">
        <v>10473.85</v>
      </c>
      <c r="Q20" s="587" t="s">
        <v>1133</v>
      </c>
      <c r="R20" s="588">
        <v>637.41999999999996</v>
      </c>
      <c r="S20" s="587">
        <v>196.08</v>
      </c>
      <c r="T20" s="589">
        <v>29.25</v>
      </c>
      <c r="U20" s="590">
        <v>16264.19</v>
      </c>
      <c r="V20" s="589">
        <v>2855.9</v>
      </c>
      <c r="W20" s="587">
        <v>35011.270000000004</v>
      </c>
      <c r="X20" s="588">
        <v>380.83</v>
      </c>
      <c r="Y20" s="590">
        <v>1557.43</v>
      </c>
      <c r="Z20" s="588">
        <v>40550.43</v>
      </c>
      <c r="AA20" s="587">
        <v>2483.58</v>
      </c>
      <c r="AB20" s="589">
        <v>509.58</v>
      </c>
      <c r="AC20" s="590">
        <v>18467.04</v>
      </c>
      <c r="AD20" s="589">
        <v>315.66000000000003</v>
      </c>
      <c r="AE20" s="590" t="s">
        <v>1133</v>
      </c>
    </row>
    <row r="21" spans="1:31" ht="14" thickBot="1">
      <c r="A21" s="584">
        <v>360</v>
      </c>
      <c r="B21" s="585" t="s">
        <v>1085</v>
      </c>
      <c r="C21" s="586">
        <v>18542</v>
      </c>
      <c r="D21" s="587">
        <v>811.33</v>
      </c>
      <c r="E21" s="588">
        <v>1643.42</v>
      </c>
      <c r="F21" s="587">
        <v>13474.08</v>
      </c>
      <c r="G21" s="588">
        <v>18.580000000000002</v>
      </c>
      <c r="H21" s="587">
        <v>66.42</v>
      </c>
      <c r="I21" s="586">
        <v>36.67</v>
      </c>
      <c r="J21" s="587">
        <v>74.75</v>
      </c>
      <c r="K21" s="586" t="s">
        <v>1133</v>
      </c>
      <c r="L21" s="587">
        <v>160.58000000000001</v>
      </c>
      <c r="M21" s="588" t="s">
        <v>1133</v>
      </c>
      <c r="N21" s="587">
        <v>824.67</v>
      </c>
      <c r="O21" s="588" t="s">
        <v>1133</v>
      </c>
      <c r="P21" s="587">
        <v>4</v>
      </c>
      <c r="Q21" s="587" t="s">
        <v>1133</v>
      </c>
      <c r="R21" s="588" t="s">
        <v>1133</v>
      </c>
      <c r="S21" s="587" t="s">
        <v>1133</v>
      </c>
      <c r="T21" s="589" t="s">
        <v>1133</v>
      </c>
      <c r="U21" s="590" t="s">
        <v>1133</v>
      </c>
      <c r="V21" s="589" t="s">
        <v>1133</v>
      </c>
      <c r="W21" s="587">
        <v>1427.33</v>
      </c>
      <c r="X21" s="588">
        <v>0.17</v>
      </c>
      <c r="Y21" s="590" t="s">
        <v>1133</v>
      </c>
      <c r="Z21" s="588" t="s">
        <v>1133</v>
      </c>
      <c r="AA21" s="587" t="s">
        <v>1133</v>
      </c>
      <c r="AB21" s="589" t="s">
        <v>1133</v>
      </c>
      <c r="AC21" s="590" t="s">
        <v>1133</v>
      </c>
      <c r="AD21" s="589" t="s">
        <v>1133</v>
      </c>
      <c r="AE21" s="590" t="s">
        <v>1133</v>
      </c>
    </row>
    <row r="22" spans="1:31" ht="14" thickBot="1">
      <c r="A22" s="584">
        <v>376</v>
      </c>
      <c r="B22" s="585" t="s">
        <v>1086</v>
      </c>
      <c r="C22" s="586">
        <v>346668</v>
      </c>
      <c r="D22" s="587">
        <v>35262</v>
      </c>
      <c r="E22" s="588">
        <v>117358</v>
      </c>
      <c r="F22" s="587">
        <v>9280</v>
      </c>
      <c r="G22" s="588">
        <v>1460</v>
      </c>
      <c r="H22" s="587">
        <v>3253</v>
      </c>
      <c r="I22" s="586">
        <v>260</v>
      </c>
      <c r="J22" s="587">
        <v>2271</v>
      </c>
      <c r="K22" s="586">
        <v>1042</v>
      </c>
      <c r="L22" s="587">
        <v>1803</v>
      </c>
      <c r="M22" s="588">
        <v>13176</v>
      </c>
      <c r="N22" s="587">
        <v>6966</v>
      </c>
      <c r="O22" s="588">
        <v>4690</v>
      </c>
      <c r="P22" s="587">
        <v>11892</v>
      </c>
      <c r="Q22" s="587" t="s">
        <v>1133</v>
      </c>
      <c r="R22" s="588">
        <v>1207</v>
      </c>
      <c r="S22" s="587">
        <v>1954</v>
      </c>
      <c r="T22" s="589">
        <v>297</v>
      </c>
      <c r="U22" s="590">
        <v>24204</v>
      </c>
      <c r="V22" s="589">
        <v>7524</v>
      </c>
      <c r="W22" s="587">
        <v>10411</v>
      </c>
      <c r="X22" s="588">
        <v>5311</v>
      </c>
      <c r="Y22" s="590">
        <v>29971</v>
      </c>
      <c r="Z22" s="588">
        <v>33517</v>
      </c>
      <c r="AA22" s="587">
        <v>9121</v>
      </c>
      <c r="AB22" s="589">
        <v>1141</v>
      </c>
      <c r="AC22" s="590">
        <v>12209</v>
      </c>
      <c r="AD22" s="589">
        <v>1044</v>
      </c>
      <c r="AE22" s="590">
        <v>44</v>
      </c>
    </row>
    <row r="23" spans="1:31" ht="14" thickBot="1">
      <c r="A23" s="584">
        <v>455</v>
      </c>
      <c r="B23" s="585" t="s">
        <v>1087</v>
      </c>
      <c r="C23" s="586">
        <v>148455</v>
      </c>
      <c r="D23" s="587">
        <v>24621</v>
      </c>
      <c r="E23" s="588">
        <v>2898</v>
      </c>
      <c r="F23" s="587">
        <v>1648</v>
      </c>
      <c r="G23" s="588">
        <v>214</v>
      </c>
      <c r="H23" s="587">
        <v>2105</v>
      </c>
      <c r="I23" s="586">
        <v>508</v>
      </c>
      <c r="J23" s="587">
        <v>166</v>
      </c>
      <c r="K23" s="586">
        <v>2142</v>
      </c>
      <c r="L23" s="587">
        <v>863</v>
      </c>
      <c r="M23" s="588">
        <v>197</v>
      </c>
      <c r="N23" s="587">
        <v>289</v>
      </c>
      <c r="O23" s="588">
        <v>350</v>
      </c>
      <c r="P23" s="587">
        <v>349</v>
      </c>
      <c r="Q23" s="587" t="s">
        <v>1133</v>
      </c>
      <c r="R23" s="588">
        <v>4287</v>
      </c>
      <c r="S23" s="587">
        <v>505</v>
      </c>
      <c r="T23" s="589">
        <v>97</v>
      </c>
      <c r="U23" s="590">
        <v>8443</v>
      </c>
      <c r="V23" s="589">
        <v>78282</v>
      </c>
      <c r="W23" s="587">
        <v>1071</v>
      </c>
      <c r="X23" s="588">
        <v>6643</v>
      </c>
      <c r="Y23" s="590">
        <v>10379</v>
      </c>
      <c r="Z23" s="588">
        <v>1085</v>
      </c>
      <c r="AA23" s="587">
        <v>1162</v>
      </c>
      <c r="AB23" s="589">
        <v>54</v>
      </c>
      <c r="AC23" s="590">
        <v>81</v>
      </c>
      <c r="AD23" s="589">
        <v>12</v>
      </c>
      <c r="AE23" s="590">
        <v>4</v>
      </c>
    </row>
    <row r="24" spans="1:31" ht="14" thickBot="1">
      <c r="A24" s="584">
        <v>509</v>
      </c>
      <c r="B24" s="585" t="s">
        <v>872</v>
      </c>
      <c r="C24" s="586">
        <v>155979.66</v>
      </c>
      <c r="D24" s="587">
        <v>16929.02</v>
      </c>
      <c r="E24" s="588">
        <v>8369.75</v>
      </c>
      <c r="F24" s="587">
        <v>8574.36</v>
      </c>
      <c r="G24" s="588">
        <v>952.18</v>
      </c>
      <c r="H24" s="587">
        <v>2768.34</v>
      </c>
      <c r="I24" s="586">
        <v>742.27</v>
      </c>
      <c r="J24" s="587">
        <v>892.49</v>
      </c>
      <c r="K24" s="586">
        <v>395.41</v>
      </c>
      <c r="L24" s="587">
        <v>3591.75</v>
      </c>
      <c r="M24" s="588">
        <v>2563.02</v>
      </c>
      <c r="N24" s="587">
        <v>4408.07</v>
      </c>
      <c r="O24" s="588">
        <v>56040.81</v>
      </c>
      <c r="P24" s="587">
        <v>21155.26</v>
      </c>
      <c r="Q24" s="587" t="s">
        <v>1133</v>
      </c>
      <c r="R24" s="588">
        <v>2303.67</v>
      </c>
      <c r="S24" s="587">
        <v>511.65</v>
      </c>
      <c r="T24" s="589">
        <v>162.92000000000002</v>
      </c>
      <c r="U24" s="590">
        <v>5288.84</v>
      </c>
      <c r="V24" s="589">
        <v>563.19000000000005</v>
      </c>
      <c r="W24" s="587">
        <v>9617.84</v>
      </c>
      <c r="X24" s="588">
        <v>4218.41</v>
      </c>
      <c r="Y24" s="590">
        <v>378.4</v>
      </c>
      <c r="Z24" s="588">
        <v>976.74</v>
      </c>
      <c r="AA24" s="587">
        <v>544.81000000000006</v>
      </c>
      <c r="AB24" s="589">
        <v>239.83</v>
      </c>
      <c r="AC24" s="590">
        <v>767.55</v>
      </c>
      <c r="AD24" s="589">
        <v>266</v>
      </c>
      <c r="AE24" s="590">
        <v>2757.08</v>
      </c>
    </row>
    <row r="25" spans="1:31" ht="14" thickBot="1">
      <c r="A25" s="584">
        <v>558</v>
      </c>
      <c r="B25" s="585" t="s">
        <v>1088</v>
      </c>
      <c r="C25" s="586">
        <v>2270.63</v>
      </c>
      <c r="D25" s="587">
        <v>2270.66</v>
      </c>
      <c r="E25" s="588" t="s">
        <v>1133</v>
      </c>
      <c r="F25" s="587" t="s">
        <v>1133</v>
      </c>
      <c r="G25" s="588" t="s">
        <v>1133</v>
      </c>
      <c r="H25" s="587" t="s">
        <v>1133</v>
      </c>
      <c r="I25" s="586" t="s">
        <v>1133</v>
      </c>
      <c r="J25" s="587" t="s">
        <v>1133</v>
      </c>
      <c r="K25" s="586" t="s">
        <v>1133</v>
      </c>
      <c r="L25" s="587" t="s">
        <v>1133</v>
      </c>
      <c r="M25" s="588" t="s">
        <v>1133</v>
      </c>
      <c r="N25" s="587" t="s">
        <v>1133</v>
      </c>
      <c r="O25" s="588" t="s">
        <v>1133</v>
      </c>
      <c r="P25" s="587" t="s">
        <v>1133</v>
      </c>
      <c r="Q25" s="587" t="s">
        <v>1133</v>
      </c>
      <c r="R25" s="588" t="s">
        <v>1133</v>
      </c>
      <c r="S25" s="587" t="s">
        <v>1133</v>
      </c>
      <c r="T25" s="589" t="s">
        <v>1133</v>
      </c>
      <c r="U25" s="590" t="s">
        <v>1133</v>
      </c>
      <c r="V25" s="589" t="s">
        <v>1133</v>
      </c>
      <c r="W25" s="587" t="s">
        <v>1133</v>
      </c>
      <c r="X25" s="588" t="s">
        <v>1133</v>
      </c>
      <c r="Y25" s="590" t="s">
        <v>1133</v>
      </c>
      <c r="Z25" s="588" t="s">
        <v>1133</v>
      </c>
      <c r="AA25" s="587" t="s">
        <v>1133</v>
      </c>
      <c r="AB25" s="589" t="s">
        <v>1133</v>
      </c>
      <c r="AC25" s="590" t="s">
        <v>1133</v>
      </c>
      <c r="AD25" s="589" t="s">
        <v>1133</v>
      </c>
      <c r="AE25" s="590" t="s">
        <v>1133</v>
      </c>
    </row>
    <row r="26" spans="1:31" ht="14" thickBot="1">
      <c r="A26" s="584">
        <v>762</v>
      </c>
      <c r="B26" s="585" t="s">
        <v>1089</v>
      </c>
      <c r="C26" s="586">
        <v>21815.58</v>
      </c>
      <c r="D26" s="587">
        <v>4349.75</v>
      </c>
      <c r="E26" s="588">
        <v>2292.25</v>
      </c>
      <c r="F26" s="587">
        <v>1443.83</v>
      </c>
      <c r="G26" s="588">
        <v>324.75</v>
      </c>
      <c r="H26" s="587">
        <v>1369.75</v>
      </c>
      <c r="I26" s="586">
        <v>438.08</v>
      </c>
      <c r="J26" s="587">
        <v>836.5</v>
      </c>
      <c r="K26" s="586">
        <v>519.83000000000004</v>
      </c>
      <c r="L26" s="587">
        <v>418.5</v>
      </c>
      <c r="M26" s="588">
        <v>616.16999999999996</v>
      </c>
      <c r="N26" s="587">
        <v>965.33</v>
      </c>
      <c r="O26" s="588">
        <v>377.58</v>
      </c>
      <c r="P26" s="587">
        <v>296.75</v>
      </c>
      <c r="Q26" s="587" t="s">
        <v>1133</v>
      </c>
      <c r="R26" s="588">
        <v>209.25</v>
      </c>
      <c r="S26" s="587">
        <v>241</v>
      </c>
      <c r="T26" s="589">
        <v>186.42</v>
      </c>
      <c r="U26" s="590">
        <v>1496.42</v>
      </c>
      <c r="V26" s="589">
        <v>638.91999999999996</v>
      </c>
      <c r="W26" s="587">
        <v>1012.92</v>
      </c>
      <c r="X26" s="588">
        <v>525.25</v>
      </c>
      <c r="Y26" s="590">
        <v>506.17</v>
      </c>
      <c r="Z26" s="588">
        <v>944.08</v>
      </c>
      <c r="AA26" s="587">
        <v>773.42</v>
      </c>
      <c r="AB26" s="589">
        <v>134.75</v>
      </c>
      <c r="AC26" s="590">
        <v>786.58</v>
      </c>
      <c r="AD26" s="589">
        <v>111.33</v>
      </c>
      <c r="AE26" s="590" t="s">
        <v>1133</v>
      </c>
    </row>
    <row r="27" spans="1:31" ht="14" thickBot="1">
      <c r="A27" s="584">
        <v>774</v>
      </c>
      <c r="B27" s="585" t="s">
        <v>863</v>
      </c>
      <c r="C27" s="586">
        <v>187007.08</v>
      </c>
      <c r="D27" s="587">
        <v>37129.72</v>
      </c>
      <c r="E27" s="588">
        <v>8185.31</v>
      </c>
      <c r="F27" s="587">
        <v>422.68</v>
      </c>
      <c r="G27" s="588">
        <v>66.42</v>
      </c>
      <c r="H27" s="587">
        <v>2228.5700000000002</v>
      </c>
      <c r="I27" s="586">
        <v>31.92</v>
      </c>
      <c r="J27" s="587">
        <v>48.33</v>
      </c>
      <c r="K27" s="586">
        <v>92.75</v>
      </c>
      <c r="L27" s="587">
        <v>227.33</v>
      </c>
      <c r="M27" s="588">
        <v>9504.380000000001</v>
      </c>
      <c r="N27" s="587">
        <v>782.16</v>
      </c>
      <c r="O27" s="588">
        <v>7525.5</v>
      </c>
      <c r="P27" s="587">
        <v>24050.06</v>
      </c>
      <c r="Q27" s="587" t="s">
        <v>1133</v>
      </c>
      <c r="R27" s="588">
        <v>1591.14</v>
      </c>
      <c r="S27" s="587">
        <v>92.5</v>
      </c>
      <c r="T27" s="589">
        <v>17.5</v>
      </c>
      <c r="U27" s="590">
        <v>1057.4100000000001</v>
      </c>
      <c r="V27" s="589">
        <v>1918.15</v>
      </c>
      <c r="W27" s="587">
        <v>2382.59</v>
      </c>
      <c r="X27" s="588">
        <v>19856.900000000001</v>
      </c>
      <c r="Y27" s="590">
        <v>16698.03</v>
      </c>
      <c r="Z27" s="588">
        <v>14014.79</v>
      </c>
      <c r="AA27" s="587">
        <v>18795.25</v>
      </c>
      <c r="AB27" s="589">
        <v>5911.56</v>
      </c>
      <c r="AC27" s="590">
        <v>7178.01</v>
      </c>
      <c r="AD27" s="589">
        <v>7198.14</v>
      </c>
      <c r="AE27" s="590" t="s">
        <v>1133</v>
      </c>
    </row>
    <row r="28" spans="1:31" ht="14" thickBot="1">
      <c r="A28" s="584">
        <v>780</v>
      </c>
      <c r="B28" s="585" t="s">
        <v>1090</v>
      </c>
      <c r="C28" s="586">
        <v>5874.1</v>
      </c>
      <c r="D28" s="587" t="s">
        <v>1133</v>
      </c>
      <c r="E28" s="588" t="s">
        <v>1133</v>
      </c>
      <c r="F28" s="587" t="s">
        <v>1133</v>
      </c>
      <c r="G28" s="588">
        <v>7</v>
      </c>
      <c r="H28" s="587">
        <v>103.58</v>
      </c>
      <c r="I28" s="586" t="s">
        <v>1133</v>
      </c>
      <c r="J28" s="587" t="s">
        <v>1133</v>
      </c>
      <c r="K28" s="586">
        <v>5564.26</v>
      </c>
      <c r="L28" s="587" t="s">
        <v>1133</v>
      </c>
      <c r="M28" s="588" t="s">
        <v>1133</v>
      </c>
      <c r="N28" s="587" t="s">
        <v>1133</v>
      </c>
      <c r="O28" s="588" t="s">
        <v>1133</v>
      </c>
      <c r="P28" s="587" t="s">
        <v>1133</v>
      </c>
      <c r="Q28" s="587" t="s">
        <v>1133</v>
      </c>
      <c r="R28" s="588" t="s">
        <v>1133</v>
      </c>
      <c r="S28" s="587" t="s">
        <v>1133</v>
      </c>
      <c r="T28" s="589" t="s">
        <v>1133</v>
      </c>
      <c r="U28" s="590">
        <v>144.92000000000002</v>
      </c>
      <c r="V28" s="589">
        <v>54.33</v>
      </c>
      <c r="W28" s="587" t="s">
        <v>1133</v>
      </c>
      <c r="X28" s="588" t="s">
        <v>1133</v>
      </c>
      <c r="Y28" s="590" t="s">
        <v>1133</v>
      </c>
      <c r="Z28" s="588" t="s">
        <v>1133</v>
      </c>
      <c r="AA28" s="587" t="s">
        <v>1133</v>
      </c>
      <c r="AB28" s="589" t="s">
        <v>1133</v>
      </c>
      <c r="AC28" s="590" t="s">
        <v>1133</v>
      </c>
      <c r="AD28" s="589" t="s">
        <v>1133</v>
      </c>
      <c r="AE28" s="590" t="s">
        <v>1133</v>
      </c>
    </row>
    <row r="29" spans="1:31" ht="14" thickBot="1">
      <c r="A29" s="584">
        <v>790</v>
      </c>
      <c r="B29" s="585" t="s">
        <v>1091</v>
      </c>
      <c r="C29" s="586">
        <v>5824</v>
      </c>
      <c r="D29" s="587">
        <v>1460.24</v>
      </c>
      <c r="E29" s="588">
        <v>1329.32</v>
      </c>
      <c r="F29" s="587">
        <v>293.75</v>
      </c>
      <c r="G29" s="588">
        <v>1.83</v>
      </c>
      <c r="H29" s="587">
        <v>73.84</v>
      </c>
      <c r="I29" s="586">
        <v>4.41</v>
      </c>
      <c r="J29" s="587">
        <v>2.75</v>
      </c>
      <c r="K29" s="586">
        <v>0.08</v>
      </c>
      <c r="L29" s="587">
        <v>2.09</v>
      </c>
      <c r="M29" s="588">
        <v>42.08</v>
      </c>
      <c r="N29" s="587">
        <v>219.33</v>
      </c>
      <c r="O29" s="588">
        <v>7.83</v>
      </c>
      <c r="P29" s="587">
        <v>7.42</v>
      </c>
      <c r="Q29" s="587" t="s">
        <v>1133</v>
      </c>
      <c r="R29" s="588">
        <v>5.08</v>
      </c>
      <c r="S29" s="587">
        <v>5.92</v>
      </c>
      <c r="T29" s="589" t="s">
        <v>1133</v>
      </c>
      <c r="U29" s="590">
        <v>735.92</v>
      </c>
      <c r="V29" s="589">
        <v>192.17</v>
      </c>
      <c r="W29" s="587">
        <v>816.76</v>
      </c>
      <c r="X29" s="588">
        <v>26.33</v>
      </c>
      <c r="Y29" s="590" t="s">
        <v>1133</v>
      </c>
      <c r="Z29" s="588" t="s">
        <v>1133</v>
      </c>
      <c r="AA29" s="587">
        <v>596.85</v>
      </c>
      <c r="AB29" s="589" t="s">
        <v>1133</v>
      </c>
      <c r="AC29" s="590" t="s">
        <v>1133</v>
      </c>
      <c r="AD29" s="589" t="s">
        <v>1133</v>
      </c>
      <c r="AE29" s="590" t="s">
        <v>1133</v>
      </c>
    </row>
    <row r="30" spans="1:31" ht="14" thickBot="1">
      <c r="A30" s="584">
        <v>820</v>
      </c>
      <c r="B30" s="585" t="s">
        <v>1092</v>
      </c>
      <c r="C30" s="586">
        <v>2491.08</v>
      </c>
      <c r="D30" s="587" t="s">
        <v>1133</v>
      </c>
      <c r="E30" s="588" t="s">
        <v>1133</v>
      </c>
      <c r="F30" s="587" t="s">
        <v>1133</v>
      </c>
      <c r="G30" s="588" t="s">
        <v>1133</v>
      </c>
      <c r="H30" s="587" t="s">
        <v>1133</v>
      </c>
      <c r="I30" s="586" t="s">
        <v>1133</v>
      </c>
      <c r="J30" s="587" t="s">
        <v>1133</v>
      </c>
      <c r="K30" s="586" t="s">
        <v>1133</v>
      </c>
      <c r="L30" s="587" t="s">
        <v>1133</v>
      </c>
      <c r="M30" s="588" t="s">
        <v>1133</v>
      </c>
      <c r="N30" s="587" t="s">
        <v>1133</v>
      </c>
      <c r="O30" s="588" t="s">
        <v>1133</v>
      </c>
      <c r="P30" s="587" t="s">
        <v>1133</v>
      </c>
      <c r="Q30" s="587" t="s">
        <v>1133</v>
      </c>
      <c r="R30" s="588" t="s">
        <v>1133</v>
      </c>
      <c r="S30" s="587" t="s">
        <v>1133</v>
      </c>
      <c r="T30" s="589" t="s">
        <v>1133</v>
      </c>
      <c r="U30" s="590" t="s">
        <v>1133</v>
      </c>
      <c r="V30" s="589">
        <v>2491.08</v>
      </c>
      <c r="W30" s="587" t="s">
        <v>1133</v>
      </c>
      <c r="X30" s="588" t="s">
        <v>1133</v>
      </c>
      <c r="Y30" s="590" t="s">
        <v>1133</v>
      </c>
      <c r="Z30" s="588" t="s">
        <v>1133</v>
      </c>
      <c r="AA30" s="587" t="s">
        <v>1133</v>
      </c>
      <c r="AB30" s="589" t="s">
        <v>1133</v>
      </c>
      <c r="AC30" s="590" t="s">
        <v>1133</v>
      </c>
      <c r="AD30" s="589" t="s">
        <v>1133</v>
      </c>
      <c r="AE30" s="590" t="s">
        <v>1133</v>
      </c>
    </row>
    <row r="31" spans="1:31" ht="14" thickBot="1">
      <c r="A31" s="584">
        <v>829</v>
      </c>
      <c r="B31" s="585" t="s">
        <v>1093</v>
      </c>
      <c r="C31" s="586">
        <v>13944.67</v>
      </c>
      <c r="D31" s="587">
        <v>4551.42</v>
      </c>
      <c r="E31" s="588">
        <v>127.33</v>
      </c>
      <c r="F31" s="587">
        <v>2057.83</v>
      </c>
      <c r="G31" s="588">
        <v>28</v>
      </c>
      <c r="H31" s="587">
        <v>2170.75</v>
      </c>
      <c r="I31" s="586">
        <v>32.58</v>
      </c>
      <c r="J31" s="587">
        <v>38.42</v>
      </c>
      <c r="K31" s="586">
        <v>10</v>
      </c>
      <c r="L31" s="587">
        <v>3236.25</v>
      </c>
      <c r="M31" s="588">
        <v>8</v>
      </c>
      <c r="N31" s="587">
        <v>10.5</v>
      </c>
      <c r="O31" s="588">
        <v>31.5</v>
      </c>
      <c r="P31" s="587">
        <v>35</v>
      </c>
      <c r="Q31" s="587" t="s">
        <v>1133</v>
      </c>
      <c r="R31" s="588">
        <v>11.5</v>
      </c>
      <c r="S31" s="587">
        <v>2.17</v>
      </c>
      <c r="T31" s="589" t="s">
        <v>1133</v>
      </c>
      <c r="U31" s="590">
        <v>82.75</v>
      </c>
      <c r="V31" s="589">
        <v>14.33</v>
      </c>
      <c r="W31" s="587">
        <v>1323.92</v>
      </c>
      <c r="X31" s="588">
        <v>35.92</v>
      </c>
      <c r="Y31" s="590">
        <v>80.75</v>
      </c>
      <c r="Z31" s="588">
        <v>23.42</v>
      </c>
      <c r="AA31" s="587">
        <v>15.83</v>
      </c>
      <c r="AB31" s="589">
        <v>3.33</v>
      </c>
      <c r="AC31" s="590">
        <v>13.17</v>
      </c>
      <c r="AD31" s="589" t="s">
        <v>1133</v>
      </c>
      <c r="AE31" s="590" t="s">
        <v>1133</v>
      </c>
    </row>
    <row r="32" spans="1:31" ht="14" thickBot="1">
      <c r="A32" s="584">
        <v>881</v>
      </c>
      <c r="B32" s="585" t="s">
        <v>1094</v>
      </c>
      <c r="C32" s="586">
        <v>240768.67</v>
      </c>
      <c r="D32" s="587">
        <v>35718.99</v>
      </c>
      <c r="E32" s="588">
        <v>16880.5</v>
      </c>
      <c r="F32" s="587">
        <v>20196.59</v>
      </c>
      <c r="G32" s="588">
        <v>232.33</v>
      </c>
      <c r="H32" s="587">
        <v>4024.75</v>
      </c>
      <c r="I32" s="586">
        <v>386.84</v>
      </c>
      <c r="J32" s="587">
        <v>2124.5</v>
      </c>
      <c r="K32" s="586">
        <v>290</v>
      </c>
      <c r="L32" s="587">
        <v>8516.66</v>
      </c>
      <c r="M32" s="588">
        <v>6908.59</v>
      </c>
      <c r="N32" s="587">
        <v>13049</v>
      </c>
      <c r="O32" s="588">
        <v>1344.75</v>
      </c>
      <c r="P32" s="587">
        <v>7741.08</v>
      </c>
      <c r="Q32" s="587" t="s">
        <v>1133</v>
      </c>
      <c r="R32" s="588">
        <v>4749.08</v>
      </c>
      <c r="S32" s="587">
        <v>3849.75</v>
      </c>
      <c r="T32" s="589">
        <v>166</v>
      </c>
      <c r="U32" s="590">
        <v>13471</v>
      </c>
      <c r="V32" s="589">
        <v>8328.49</v>
      </c>
      <c r="W32" s="587">
        <v>36367.42</v>
      </c>
      <c r="X32" s="588">
        <v>9801.41</v>
      </c>
      <c r="Y32" s="590">
        <v>11589.33</v>
      </c>
      <c r="Z32" s="588">
        <v>19446.330000000002</v>
      </c>
      <c r="AA32" s="587">
        <v>7292.91</v>
      </c>
      <c r="AB32" s="589">
        <v>516.99</v>
      </c>
      <c r="AC32" s="590">
        <v>2719.84</v>
      </c>
      <c r="AD32" s="589">
        <v>5055.5</v>
      </c>
      <c r="AE32" s="590" t="s">
        <v>1133</v>
      </c>
    </row>
    <row r="33" spans="1:31" ht="14" thickBot="1">
      <c r="A33" s="584">
        <v>901</v>
      </c>
      <c r="B33" s="585" t="s">
        <v>1095</v>
      </c>
      <c r="C33" s="586">
        <v>2332.67</v>
      </c>
      <c r="D33" s="587" t="s">
        <v>1133</v>
      </c>
      <c r="E33" s="588" t="s">
        <v>1133</v>
      </c>
      <c r="F33" s="587" t="s">
        <v>1133</v>
      </c>
      <c r="G33" s="588" t="s">
        <v>1133</v>
      </c>
      <c r="H33" s="587" t="s">
        <v>1133</v>
      </c>
      <c r="I33" s="586" t="s">
        <v>1133</v>
      </c>
      <c r="J33" s="587" t="s">
        <v>1133</v>
      </c>
      <c r="K33" s="586" t="s">
        <v>1133</v>
      </c>
      <c r="L33" s="587" t="s">
        <v>1133</v>
      </c>
      <c r="M33" s="588" t="s">
        <v>1133</v>
      </c>
      <c r="N33" s="587" t="s">
        <v>1133</v>
      </c>
      <c r="O33" s="588" t="s">
        <v>1133</v>
      </c>
      <c r="P33" s="587" t="s">
        <v>1133</v>
      </c>
      <c r="Q33" s="587" t="s">
        <v>1133</v>
      </c>
      <c r="R33" s="588" t="s">
        <v>1133</v>
      </c>
      <c r="S33" s="587" t="s">
        <v>1133</v>
      </c>
      <c r="T33" s="589" t="s">
        <v>1133</v>
      </c>
      <c r="U33" s="590" t="s">
        <v>1133</v>
      </c>
      <c r="V33" s="589">
        <v>2332.67</v>
      </c>
      <c r="W33" s="587" t="s">
        <v>1133</v>
      </c>
      <c r="X33" s="588" t="s">
        <v>1133</v>
      </c>
      <c r="Y33" s="590" t="s">
        <v>1133</v>
      </c>
      <c r="Z33" s="588" t="s">
        <v>1133</v>
      </c>
      <c r="AA33" s="587" t="s">
        <v>1133</v>
      </c>
      <c r="AB33" s="589" t="s">
        <v>1133</v>
      </c>
      <c r="AC33" s="590" t="s">
        <v>1133</v>
      </c>
      <c r="AD33" s="589" t="s">
        <v>1133</v>
      </c>
      <c r="AE33" s="590" t="s">
        <v>1133</v>
      </c>
    </row>
    <row r="34" spans="1:31" ht="14" thickBot="1">
      <c r="A34" s="584">
        <v>923</v>
      </c>
      <c r="B34" s="585" t="s">
        <v>1096</v>
      </c>
      <c r="C34" s="586">
        <v>16665.73</v>
      </c>
      <c r="D34" s="587">
        <v>5084.0600000000004</v>
      </c>
      <c r="E34" s="588">
        <v>3078.49</v>
      </c>
      <c r="F34" s="587">
        <v>95.74</v>
      </c>
      <c r="G34" s="588">
        <v>11</v>
      </c>
      <c r="H34" s="587">
        <v>95.83</v>
      </c>
      <c r="I34" s="586">
        <v>20.92</v>
      </c>
      <c r="J34" s="587">
        <v>24.6</v>
      </c>
      <c r="K34" s="586">
        <v>68.67</v>
      </c>
      <c r="L34" s="587">
        <v>65.17</v>
      </c>
      <c r="M34" s="588">
        <v>403.48</v>
      </c>
      <c r="N34" s="587">
        <v>565.41</v>
      </c>
      <c r="O34" s="588">
        <v>240.73</v>
      </c>
      <c r="P34" s="587">
        <v>1032.9000000000001</v>
      </c>
      <c r="Q34" s="587" t="s">
        <v>1133</v>
      </c>
      <c r="R34" s="588">
        <v>149.02000000000001</v>
      </c>
      <c r="S34" s="587">
        <v>133.19999999999999</v>
      </c>
      <c r="T34" s="589">
        <v>7.5</v>
      </c>
      <c r="U34" s="590">
        <v>3190.93</v>
      </c>
      <c r="V34" s="589">
        <v>643.07000000000005</v>
      </c>
      <c r="W34" s="587">
        <v>734.4</v>
      </c>
      <c r="X34" s="588">
        <v>1017.21</v>
      </c>
      <c r="Y34" s="590" t="s">
        <v>1133</v>
      </c>
      <c r="Z34" s="588" t="s">
        <v>1133</v>
      </c>
      <c r="AA34" s="587">
        <v>3.41</v>
      </c>
      <c r="AB34" s="589" t="s">
        <v>1133</v>
      </c>
      <c r="AC34" s="590" t="s">
        <v>1133</v>
      </c>
      <c r="AD34" s="589" t="s">
        <v>1133</v>
      </c>
      <c r="AE34" s="590" t="s">
        <v>1133</v>
      </c>
    </row>
    <row r="35" spans="1:31" ht="14" thickBot="1">
      <c r="A35" s="584">
        <v>941</v>
      </c>
      <c r="B35" s="585" t="s">
        <v>1097</v>
      </c>
      <c r="C35" s="586">
        <v>35769.700000000004</v>
      </c>
      <c r="D35" s="587" t="s">
        <v>1133</v>
      </c>
      <c r="E35" s="588">
        <v>236.8</v>
      </c>
      <c r="F35" s="587" t="s">
        <v>1133</v>
      </c>
      <c r="G35" s="588" t="s">
        <v>1133</v>
      </c>
      <c r="H35" s="587" t="s">
        <v>1133</v>
      </c>
      <c r="I35" s="586" t="s">
        <v>1133</v>
      </c>
      <c r="J35" s="587" t="s">
        <v>1133</v>
      </c>
      <c r="K35" s="586" t="s">
        <v>1133</v>
      </c>
      <c r="L35" s="587" t="s">
        <v>1133</v>
      </c>
      <c r="M35" s="588" t="s">
        <v>1133</v>
      </c>
      <c r="N35" s="587" t="s">
        <v>1133</v>
      </c>
      <c r="O35" s="588" t="s">
        <v>1133</v>
      </c>
      <c r="P35" s="587" t="s">
        <v>1133</v>
      </c>
      <c r="Q35" s="587" t="s">
        <v>1133</v>
      </c>
      <c r="R35" s="588" t="s">
        <v>1133</v>
      </c>
      <c r="S35" s="587" t="s">
        <v>1133</v>
      </c>
      <c r="T35" s="589" t="s">
        <v>1133</v>
      </c>
      <c r="U35" s="590" t="s">
        <v>1133</v>
      </c>
      <c r="V35" s="589" t="s">
        <v>1133</v>
      </c>
      <c r="W35" s="587" t="s">
        <v>1133</v>
      </c>
      <c r="X35" s="588" t="s">
        <v>1133</v>
      </c>
      <c r="Y35" s="590" t="s">
        <v>1133</v>
      </c>
      <c r="Z35" s="588" t="s">
        <v>1133</v>
      </c>
      <c r="AA35" s="587">
        <v>35532.71</v>
      </c>
      <c r="AB35" s="589" t="s">
        <v>1133</v>
      </c>
      <c r="AC35" s="590" t="s">
        <v>1133</v>
      </c>
      <c r="AD35" s="589" t="s">
        <v>1133</v>
      </c>
      <c r="AE35" s="590" t="s">
        <v>1133</v>
      </c>
    </row>
    <row r="36" spans="1:31" ht="14" thickBot="1">
      <c r="A36" s="584">
        <v>966</v>
      </c>
      <c r="B36" s="585" t="s">
        <v>1098</v>
      </c>
      <c r="C36" s="586">
        <v>6934.71</v>
      </c>
      <c r="D36" s="587">
        <v>76.58</v>
      </c>
      <c r="E36" s="588">
        <v>13.25</v>
      </c>
      <c r="F36" s="587">
        <v>25.17</v>
      </c>
      <c r="G36" s="588">
        <v>1</v>
      </c>
      <c r="H36" s="587">
        <v>9.75</v>
      </c>
      <c r="I36" s="586" t="s">
        <v>1133</v>
      </c>
      <c r="J36" s="587" t="s">
        <v>1133</v>
      </c>
      <c r="K36" s="586">
        <v>5.25</v>
      </c>
      <c r="L36" s="587">
        <v>6.83</v>
      </c>
      <c r="M36" s="588">
        <v>0.08</v>
      </c>
      <c r="N36" s="587">
        <v>10.5</v>
      </c>
      <c r="O36" s="588">
        <v>5.21</v>
      </c>
      <c r="P36" s="587">
        <v>5</v>
      </c>
      <c r="Q36" s="587" t="s">
        <v>1133</v>
      </c>
      <c r="R36" s="588">
        <v>2</v>
      </c>
      <c r="S36" s="587">
        <v>10.17</v>
      </c>
      <c r="T36" s="589">
        <v>2.42</v>
      </c>
      <c r="U36" s="590">
        <v>85.54</v>
      </c>
      <c r="V36" s="589">
        <v>6631.04</v>
      </c>
      <c r="W36" s="587">
        <v>17.580000000000002</v>
      </c>
      <c r="X36" s="588">
        <v>18.5</v>
      </c>
      <c r="Y36" s="590">
        <v>5.33</v>
      </c>
      <c r="Z36" s="588">
        <v>2</v>
      </c>
      <c r="AA36" s="587">
        <v>0.5</v>
      </c>
      <c r="AB36" s="589" t="s">
        <v>1133</v>
      </c>
      <c r="AC36" s="590" t="s">
        <v>1133</v>
      </c>
      <c r="AD36" s="589">
        <v>1</v>
      </c>
      <c r="AE36" s="590" t="s">
        <v>1133</v>
      </c>
    </row>
    <row r="37" spans="1:31" ht="14" thickBot="1">
      <c r="A37" s="584">
        <v>994</v>
      </c>
      <c r="B37" s="585" t="s">
        <v>883</v>
      </c>
      <c r="C37" s="586">
        <v>195214.58</v>
      </c>
      <c r="D37" s="587">
        <v>31250.33</v>
      </c>
      <c r="E37" s="588">
        <v>40223.75</v>
      </c>
      <c r="F37" s="587">
        <v>7904.83</v>
      </c>
      <c r="G37" s="588">
        <v>7760.75</v>
      </c>
      <c r="H37" s="587">
        <v>865.58</v>
      </c>
      <c r="I37" s="586">
        <v>2649.33</v>
      </c>
      <c r="J37" s="587">
        <v>2003.5800000000002</v>
      </c>
      <c r="K37" s="586">
        <v>3568.83</v>
      </c>
      <c r="L37" s="587">
        <v>2228</v>
      </c>
      <c r="M37" s="588">
        <v>2324.83</v>
      </c>
      <c r="N37" s="587">
        <v>1221</v>
      </c>
      <c r="O37" s="588">
        <v>1363.08</v>
      </c>
      <c r="P37" s="587">
        <v>2665.33</v>
      </c>
      <c r="Q37" s="587" t="s">
        <v>1133</v>
      </c>
      <c r="R37" s="588">
        <v>4079</v>
      </c>
      <c r="S37" s="587">
        <v>404.08</v>
      </c>
      <c r="T37" s="589">
        <v>285.92</v>
      </c>
      <c r="U37" s="590">
        <v>7536.92</v>
      </c>
      <c r="V37" s="589">
        <v>5159.25</v>
      </c>
      <c r="W37" s="587">
        <v>35759.08</v>
      </c>
      <c r="X37" s="588">
        <v>12008.67</v>
      </c>
      <c r="Y37" s="590">
        <v>2825.25</v>
      </c>
      <c r="Z37" s="588">
        <v>10241.08</v>
      </c>
      <c r="AA37" s="587">
        <v>5023.08</v>
      </c>
      <c r="AB37" s="589">
        <v>2591</v>
      </c>
      <c r="AC37" s="590">
        <v>3063.83</v>
      </c>
      <c r="AD37" s="589">
        <v>208.17</v>
      </c>
      <c r="AE37" s="590" t="s">
        <v>1133</v>
      </c>
    </row>
    <row r="38" spans="1:31" ht="14" thickBot="1">
      <c r="A38" s="584">
        <v>1003</v>
      </c>
      <c r="B38" s="585" t="s">
        <v>1099</v>
      </c>
      <c r="C38" s="586">
        <v>171.25</v>
      </c>
      <c r="D38" s="587" t="s">
        <v>1133</v>
      </c>
      <c r="E38" s="588" t="s">
        <v>1133</v>
      </c>
      <c r="F38" s="587" t="s">
        <v>1133</v>
      </c>
      <c r="G38" s="588" t="s">
        <v>1133</v>
      </c>
      <c r="H38" s="587" t="s">
        <v>1133</v>
      </c>
      <c r="I38" s="586" t="s">
        <v>1133</v>
      </c>
      <c r="J38" s="587" t="s">
        <v>1133</v>
      </c>
      <c r="K38" s="586" t="s">
        <v>1133</v>
      </c>
      <c r="L38" s="587" t="s">
        <v>1133</v>
      </c>
      <c r="M38" s="588" t="s">
        <v>1133</v>
      </c>
      <c r="N38" s="587" t="s">
        <v>1133</v>
      </c>
      <c r="O38" s="588" t="s">
        <v>1133</v>
      </c>
      <c r="P38" s="587" t="s">
        <v>1133</v>
      </c>
      <c r="Q38" s="587" t="s">
        <v>1133</v>
      </c>
      <c r="R38" s="588" t="s">
        <v>1133</v>
      </c>
      <c r="S38" s="587" t="s">
        <v>1133</v>
      </c>
      <c r="T38" s="589" t="s">
        <v>1133</v>
      </c>
      <c r="U38" s="590" t="s">
        <v>1133</v>
      </c>
      <c r="V38" s="589" t="s">
        <v>1133</v>
      </c>
      <c r="W38" s="587" t="s">
        <v>1133</v>
      </c>
      <c r="X38" s="588" t="s">
        <v>1133</v>
      </c>
      <c r="Y38" s="590" t="s">
        <v>1133</v>
      </c>
      <c r="Z38" s="588" t="s">
        <v>1133</v>
      </c>
      <c r="AA38" s="587">
        <v>171.25</v>
      </c>
      <c r="AB38" s="589" t="s">
        <v>1133</v>
      </c>
      <c r="AC38" s="590" t="s">
        <v>1133</v>
      </c>
      <c r="AD38" s="589" t="s">
        <v>1133</v>
      </c>
      <c r="AE38" s="590" t="s">
        <v>1133</v>
      </c>
    </row>
    <row r="39" spans="1:31" ht="14" thickBot="1">
      <c r="A39" s="584">
        <v>1040</v>
      </c>
      <c r="B39" s="585" t="s">
        <v>1100</v>
      </c>
      <c r="C39" s="586">
        <v>4363.33</v>
      </c>
      <c r="D39" s="587" t="s">
        <v>1133</v>
      </c>
      <c r="E39" s="588" t="s">
        <v>1133</v>
      </c>
      <c r="F39" s="587" t="s">
        <v>1133</v>
      </c>
      <c r="G39" s="588" t="s">
        <v>1133</v>
      </c>
      <c r="H39" s="587" t="s">
        <v>1133</v>
      </c>
      <c r="I39" s="586" t="s">
        <v>1133</v>
      </c>
      <c r="J39" s="587" t="s">
        <v>1133</v>
      </c>
      <c r="K39" s="586" t="s">
        <v>1133</v>
      </c>
      <c r="L39" s="587" t="s">
        <v>1133</v>
      </c>
      <c r="M39" s="588" t="s">
        <v>1133</v>
      </c>
      <c r="N39" s="587" t="s">
        <v>1133</v>
      </c>
      <c r="O39" s="588" t="s">
        <v>1133</v>
      </c>
      <c r="P39" s="587" t="s">
        <v>1133</v>
      </c>
      <c r="Q39" s="587" t="s">
        <v>1133</v>
      </c>
      <c r="R39" s="588" t="s">
        <v>1133</v>
      </c>
      <c r="S39" s="587" t="s">
        <v>1133</v>
      </c>
      <c r="T39" s="589" t="s">
        <v>1133</v>
      </c>
      <c r="U39" s="590" t="s">
        <v>1133</v>
      </c>
      <c r="V39" s="589" t="s">
        <v>1133</v>
      </c>
      <c r="W39" s="587" t="s">
        <v>1133</v>
      </c>
      <c r="X39" s="588" t="s">
        <v>1133</v>
      </c>
      <c r="Y39" s="590" t="s">
        <v>1133</v>
      </c>
      <c r="Z39" s="588" t="s">
        <v>1133</v>
      </c>
      <c r="AA39" s="587">
        <v>4363.33</v>
      </c>
      <c r="AB39" s="589" t="s">
        <v>1133</v>
      </c>
      <c r="AC39" s="590" t="s">
        <v>1133</v>
      </c>
      <c r="AD39" s="589" t="s">
        <v>1133</v>
      </c>
      <c r="AE39" s="590" t="s">
        <v>1133</v>
      </c>
    </row>
    <row r="40" spans="1:31" ht="14" thickBot="1">
      <c r="A40" s="584">
        <v>1060</v>
      </c>
      <c r="B40" s="585" t="s">
        <v>1101</v>
      </c>
      <c r="C40" s="586">
        <v>197605.19</v>
      </c>
      <c r="D40" s="587">
        <v>90966.33</v>
      </c>
      <c r="E40" s="588">
        <v>11443.74</v>
      </c>
      <c r="F40" s="587">
        <v>2851.9</v>
      </c>
      <c r="G40" s="588">
        <v>233.37</v>
      </c>
      <c r="H40" s="587">
        <v>894.2</v>
      </c>
      <c r="I40" s="586">
        <v>270.2</v>
      </c>
      <c r="J40" s="587">
        <v>1940.22</v>
      </c>
      <c r="K40" s="586">
        <v>314.99</v>
      </c>
      <c r="L40" s="587">
        <v>1442.37</v>
      </c>
      <c r="M40" s="588">
        <v>632.74</v>
      </c>
      <c r="N40" s="587">
        <v>3876.22</v>
      </c>
      <c r="O40" s="588">
        <v>1496.75</v>
      </c>
      <c r="P40" s="587">
        <v>12509.01</v>
      </c>
      <c r="Q40" s="587" t="s">
        <v>1133</v>
      </c>
      <c r="R40" s="588">
        <v>5584.36</v>
      </c>
      <c r="S40" s="587">
        <v>1577.41</v>
      </c>
      <c r="T40" s="589">
        <v>782.74</v>
      </c>
      <c r="U40" s="590">
        <v>6824.2</v>
      </c>
      <c r="V40" s="589">
        <v>2143.3000000000002</v>
      </c>
      <c r="W40" s="587">
        <v>18144.78</v>
      </c>
      <c r="X40" s="588">
        <v>7727.07</v>
      </c>
      <c r="Y40" s="590">
        <v>12060.05</v>
      </c>
      <c r="Z40" s="588">
        <v>2236.0300000000002</v>
      </c>
      <c r="AA40" s="587">
        <v>1652.51</v>
      </c>
      <c r="AB40" s="589">
        <v>9100.1200000000008</v>
      </c>
      <c r="AC40" s="590">
        <v>620.93000000000006</v>
      </c>
      <c r="AD40" s="589">
        <v>208.68</v>
      </c>
      <c r="AE40" s="590">
        <v>70.98</v>
      </c>
    </row>
    <row r="41" spans="1:31" ht="14" thickBot="1">
      <c r="A41" s="584">
        <v>1113</v>
      </c>
      <c r="B41" s="585" t="s">
        <v>1102</v>
      </c>
      <c r="C41" s="586">
        <v>7950.1</v>
      </c>
      <c r="D41" s="587" t="s">
        <v>1133</v>
      </c>
      <c r="E41" s="588" t="s">
        <v>1133</v>
      </c>
      <c r="F41" s="587" t="s">
        <v>1133</v>
      </c>
      <c r="G41" s="588" t="s">
        <v>1133</v>
      </c>
      <c r="H41" s="587" t="s">
        <v>1133</v>
      </c>
      <c r="I41" s="586" t="s">
        <v>1133</v>
      </c>
      <c r="J41" s="587" t="s">
        <v>1133</v>
      </c>
      <c r="K41" s="586" t="s">
        <v>1133</v>
      </c>
      <c r="L41" s="587" t="s">
        <v>1133</v>
      </c>
      <c r="M41" s="588" t="s">
        <v>1133</v>
      </c>
      <c r="N41" s="587" t="s">
        <v>1133</v>
      </c>
      <c r="O41" s="588" t="s">
        <v>1133</v>
      </c>
      <c r="P41" s="587" t="s">
        <v>1133</v>
      </c>
      <c r="Q41" s="587" t="s">
        <v>1133</v>
      </c>
      <c r="R41" s="588" t="s">
        <v>1133</v>
      </c>
      <c r="S41" s="587" t="s">
        <v>1133</v>
      </c>
      <c r="T41" s="589" t="s">
        <v>1133</v>
      </c>
      <c r="U41" s="590" t="s">
        <v>1133</v>
      </c>
      <c r="V41" s="589" t="s">
        <v>1133</v>
      </c>
      <c r="W41" s="587" t="s">
        <v>1133</v>
      </c>
      <c r="X41" s="588" t="s">
        <v>1133</v>
      </c>
      <c r="Y41" s="590" t="s">
        <v>1133</v>
      </c>
      <c r="Z41" s="588" t="s">
        <v>1133</v>
      </c>
      <c r="AA41" s="587">
        <v>7950.1</v>
      </c>
      <c r="AB41" s="589" t="s">
        <v>1133</v>
      </c>
      <c r="AC41" s="590" t="s">
        <v>1133</v>
      </c>
      <c r="AD41" s="589" t="s">
        <v>1133</v>
      </c>
      <c r="AE41" s="590" t="s">
        <v>1133</v>
      </c>
    </row>
    <row r="42" spans="1:31" ht="14" thickBot="1">
      <c r="A42" s="584">
        <v>1142</v>
      </c>
      <c r="B42" s="585" t="s">
        <v>1103</v>
      </c>
      <c r="C42" s="586">
        <v>843.42</v>
      </c>
      <c r="D42" s="587">
        <v>18</v>
      </c>
      <c r="E42" s="588">
        <v>15.25</v>
      </c>
      <c r="F42" s="587">
        <v>58.92</v>
      </c>
      <c r="G42" s="588">
        <v>1</v>
      </c>
      <c r="H42" s="587">
        <v>418.92</v>
      </c>
      <c r="I42" s="586" t="s">
        <v>1133</v>
      </c>
      <c r="J42" s="587" t="s">
        <v>1133</v>
      </c>
      <c r="K42" s="586" t="s">
        <v>1133</v>
      </c>
      <c r="L42" s="587">
        <v>7</v>
      </c>
      <c r="M42" s="588">
        <v>83.42</v>
      </c>
      <c r="N42" s="587">
        <v>56</v>
      </c>
      <c r="O42" s="588">
        <v>10.75</v>
      </c>
      <c r="P42" s="587">
        <v>3.08</v>
      </c>
      <c r="Q42" s="587" t="s">
        <v>1133</v>
      </c>
      <c r="R42" s="588" t="s">
        <v>1133</v>
      </c>
      <c r="S42" s="587">
        <v>1</v>
      </c>
      <c r="T42" s="589">
        <v>5.33</v>
      </c>
      <c r="U42" s="590">
        <v>46.42</v>
      </c>
      <c r="V42" s="589">
        <v>5.25</v>
      </c>
      <c r="W42" s="587">
        <v>13.83</v>
      </c>
      <c r="X42" s="588">
        <v>1</v>
      </c>
      <c r="Y42" s="590">
        <v>49.92</v>
      </c>
      <c r="Z42" s="588" t="s">
        <v>1133</v>
      </c>
      <c r="AA42" s="587">
        <v>32.33</v>
      </c>
      <c r="AB42" s="589" t="s">
        <v>1133</v>
      </c>
      <c r="AC42" s="590">
        <v>10</v>
      </c>
      <c r="AD42" s="589">
        <v>6</v>
      </c>
      <c r="AE42" s="590" t="s">
        <v>1133</v>
      </c>
    </row>
    <row r="43" spans="1:31" ht="14" thickBot="1">
      <c r="A43" s="584">
        <v>1147</v>
      </c>
      <c r="B43" s="585" t="s">
        <v>1104</v>
      </c>
      <c r="C43" s="586">
        <v>385</v>
      </c>
      <c r="D43" s="587">
        <v>385</v>
      </c>
      <c r="E43" s="588" t="s">
        <v>1133</v>
      </c>
      <c r="F43" s="587" t="s">
        <v>1133</v>
      </c>
      <c r="G43" s="588" t="s">
        <v>1133</v>
      </c>
      <c r="H43" s="587" t="s">
        <v>1133</v>
      </c>
      <c r="I43" s="586" t="s">
        <v>1133</v>
      </c>
      <c r="J43" s="587" t="s">
        <v>1133</v>
      </c>
      <c r="K43" s="586" t="s">
        <v>1133</v>
      </c>
      <c r="L43" s="587" t="s">
        <v>1133</v>
      </c>
      <c r="M43" s="588" t="s">
        <v>1133</v>
      </c>
      <c r="N43" s="587" t="s">
        <v>1133</v>
      </c>
      <c r="O43" s="588" t="s">
        <v>1133</v>
      </c>
      <c r="P43" s="587" t="s">
        <v>1133</v>
      </c>
      <c r="Q43" s="587" t="s">
        <v>1133</v>
      </c>
      <c r="R43" s="588" t="s">
        <v>1133</v>
      </c>
      <c r="S43" s="587" t="s">
        <v>1133</v>
      </c>
      <c r="T43" s="589" t="s">
        <v>1133</v>
      </c>
      <c r="U43" s="590" t="s">
        <v>1133</v>
      </c>
      <c r="V43" s="589" t="s">
        <v>1133</v>
      </c>
      <c r="W43" s="587" t="s">
        <v>1133</v>
      </c>
      <c r="X43" s="588" t="s">
        <v>1133</v>
      </c>
      <c r="Y43" s="590" t="s">
        <v>1133</v>
      </c>
      <c r="Z43" s="588" t="s">
        <v>1133</v>
      </c>
      <c r="AA43" s="587" t="s">
        <v>1133</v>
      </c>
      <c r="AB43" s="589" t="s">
        <v>1133</v>
      </c>
      <c r="AC43" s="590" t="s">
        <v>1133</v>
      </c>
      <c r="AD43" s="589" t="s">
        <v>1133</v>
      </c>
      <c r="AE43" s="590" t="s">
        <v>1133</v>
      </c>
    </row>
    <row r="44" spans="1:31" ht="14" thickBot="1">
      <c r="A44" s="584">
        <v>1159</v>
      </c>
      <c r="B44" s="585" t="s">
        <v>1105</v>
      </c>
      <c r="C44" s="586">
        <v>12111.74</v>
      </c>
      <c r="D44" s="587">
        <v>33</v>
      </c>
      <c r="E44" s="588">
        <v>502.62</v>
      </c>
      <c r="F44" s="587">
        <v>18.07</v>
      </c>
      <c r="G44" s="588" t="s">
        <v>1133</v>
      </c>
      <c r="H44" s="587">
        <v>52</v>
      </c>
      <c r="I44" s="586">
        <v>2.17</v>
      </c>
      <c r="J44" s="587">
        <v>3.33</v>
      </c>
      <c r="K44" s="586" t="s">
        <v>1133</v>
      </c>
      <c r="L44" s="587">
        <v>16.55</v>
      </c>
      <c r="M44" s="588">
        <v>509.4</v>
      </c>
      <c r="N44" s="587">
        <v>58.41</v>
      </c>
      <c r="O44" s="588">
        <v>13.02</v>
      </c>
      <c r="P44" s="587">
        <v>1880.83</v>
      </c>
      <c r="Q44" s="587" t="s">
        <v>1133</v>
      </c>
      <c r="R44" s="588">
        <v>5.88</v>
      </c>
      <c r="S44" s="587">
        <v>216.94</v>
      </c>
      <c r="T44" s="589" t="s">
        <v>1133</v>
      </c>
      <c r="U44" s="590">
        <v>115.31</v>
      </c>
      <c r="V44" s="589">
        <v>14</v>
      </c>
      <c r="W44" s="587">
        <v>1100.44</v>
      </c>
      <c r="X44" s="588">
        <v>1.56</v>
      </c>
      <c r="Y44" s="590">
        <v>3.33</v>
      </c>
      <c r="Z44" s="588">
        <v>2104.1999999999998</v>
      </c>
      <c r="AA44" s="587">
        <v>3332.81</v>
      </c>
      <c r="AB44" s="589">
        <v>101.45</v>
      </c>
      <c r="AC44" s="590">
        <v>1992.34</v>
      </c>
      <c r="AD44" s="589">
        <v>34.08</v>
      </c>
      <c r="AE44" s="590" t="s">
        <v>1133</v>
      </c>
    </row>
    <row r="45" spans="1:31" ht="14" thickBot="1">
      <c r="A45" s="584">
        <v>1318</v>
      </c>
      <c r="B45" s="585" t="s">
        <v>1106</v>
      </c>
      <c r="C45" s="586">
        <v>6552.43</v>
      </c>
      <c r="D45" s="587">
        <v>6342.51</v>
      </c>
      <c r="E45" s="588" t="s">
        <v>1133</v>
      </c>
      <c r="F45" s="587" t="s">
        <v>1133</v>
      </c>
      <c r="G45" s="588" t="s">
        <v>1133</v>
      </c>
      <c r="H45" s="587">
        <v>133</v>
      </c>
      <c r="I45" s="586" t="s">
        <v>1133</v>
      </c>
      <c r="J45" s="587" t="s">
        <v>1133</v>
      </c>
      <c r="K45" s="586" t="s">
        <v>1133</v>
      </c>
      <c r="L45" s="587">
        <v>15.25</v>
      </c>
      <c r="M45" s="588" t="s">
        <v>1133</v>
      </c>
      <c r="N45" s="587" t="s">
        <v>1133</v>
      </c>
      <c r="O45" s="588" t="s">
        <v>1133</v>
      </c>
      <c r="P45" s="587" t="s">
        <v>1133</v>
      </c>
      <c r="Q45" s="587" t="s">
        <v>1133</v>
      </c>
      <c r="R45" s="588" t="s">
        <v>1133</v>
      </c>
      <c r="S45" s="587" t="s">
        <v>1133</v>
      </c>
      <c r="T45" s="589" t="s">
        <v>1133</v>
      </c>
      <c r="U45" s="590" t="s">
        <v>1133</v>
      </c>
      <c r="V45" s="589" t="s">
        <v>1133</v>
      </c>
      <c r="W45" s="587">
        <v>61.67</v>
      </c>
      <c r="X45" s="588" t="s">
        <v>1133</v>
      </c>
      <c r="Y45" s="590" t="s">
        <v>1133</v>
      </c>
      <c r="Z45" s="588" t="s">
        <v>1133</v>
      </c>
      <c r="AA45" s="587" t="s">
        <v>1133</v>
      </c>
      <c r="AB45" s="589" t="s">
        <v>1133</v>
      </c>
      <c r="AC45" s="590" t="s">
        <v>1133</v>
      </c>
      <c r="AD45" s="589" t="s">
        <v>1133</v>
      </c>
      <c r="AE45" s="590" t="s">
        <v>1133</v>
      </c>
    </row>
    <row r="46" spans="1:31" ht="14" thickBot="1">
      <c r="A46" s="584">
        <v>1322</v>
      </c>
      <c r="B46" s="585" t="s">
        <v>1107</v>
      </c>
      <c r="C46" s="586">
        <v>8090.31</v>
      </c>
      <c r="D46" s="587">
        <v>2.25</v>
      </c>
      <c r="E46" s="588">
        <v>4.08</v>
      </c>
      <c r="F46" s="587">
        <v>1.25</v>
      </c>
      <c r="G46" s="588" t="s">
        <v>1133</v>
      </c>
      <c r="H46" s="587">
        <v>0.92</v>
      </c>
      <c r="I46" s="586" t="s">
        <v>1133</v>
      </c>
      <c r="J46" s="587" t="s">
        <v>1133</v>
      </c>
      <c r="K46" s="586" t="s">
        <v>1133</v>
      </c>
      <c r="L46" s="587">
        <v>0.25</v>
      </c>
      <c r="M46" s="588">
        <v>0.08</v>
      </c>
      <c r="N46" s="587">
        <v>0.67</v>
      </c>
      <c r="O46" s="588" t="s">
        <v>1133</v>
      </c>
      <c r="P46" s="587">
        <v>0.25</v>
      </c>
      <c r="Q46" s="587" t="s">
        <v>1133</v>
      </c>
      <c r="R46" s="588" t="s">
        <v>1133</v>
      </c>
      <c r="S46" s="587" t="s">
        <v>1133</v>
      </c>
      <c r="T46" s="589" t="s">
        <v>1133</v>
      </c>
      <c r="U46" s="590">
        <v>0.08</v>
      </c>
      <c r="V46" s="589">
        <v>0.17</v>
      </c>
      <c r="W46" s="587">
        <v>8080</v>
      </c>
      <c r="X46" s="588">
        <v>0.08</v>
      </c>
      <c r="Y46" s="590" t="s">
        <v>1133</v>
      </c>
      <c r="Z46" s="588">
        <v>0.25</v>
      </c>
      <c r="AA46" s="587" t="s">
        <v>1133</v>
      </c>
      <c r="AB46" s="589" t="s">
        <v>1133</v>
      </c>
      <c r="AC46" s="590" t="s">
        <v>1133</v>
      </c>
      <c r="AD46" s="589" t="s">
        <v>1133</v>
      </c>
      <c r="AE46" s="590" t="s">
        <v>1133</v>
      </c>
    </row>
    <row r="47" spans="1:31" ht="14" thickBot="1">
      <c r="A47" s="584">
        <v>1328</v>
      </c>
      <c r="B47" s="585" t="s">
        <v>1108</v>
      </c>
      <c r="C47" s="586">
        <v>6454.4</v>
      </c>
      <c r="D47" s="587">
        <v>5611.07</v>
      </c>
      <c r="E47" s="588">
        <v>54.75</v>
      </c>
      <c r="F47" s="587">
        <v>15.22</v>
      </c>
      <c r="G47" s="588">
        <v>2</v>
      </c>
      <c r="H47" s="587">
        <v>17.25</v>
      </c>
      <c r="I47" s="586">
        <v>3</v>
      </c>
      <c r="J47" s="587">
        <v>13.76</v>
      </c>
      <c r="K47" s="586">
        <v>4</v>
      </c>
      <c r="L47" s="587">
        <v>20.92</v>
      </c>
      <c r="M47" s="588" t="s">
        <v>1133</v>
      </c>
      <c r="N47" s="587">
        <v>18.990000000000002</v>
      </c>
      <c r="O47" s="588">
        <v>15.02</v>
      </c>
      <c r="P47" s="587">
        <v>32.15</v>
      </c>
      <c r="Q47" s="587" t="s">
        <v>1133</v>
      </c>
      <c r="R47" s="588">
        <v>38.5</v>
      </c>
      <c r="S47" s="587">
        <v>9.59</v>
      </c>
      <c r="T47" s="589">
        <v>1</v>
      </c>
      <c r="U47" s="590">
        <v>92.83</v>
      </c>
      <c r="V47" s="589">
        <v>26.67</v>
      </c>
      <c r="W47" s="587">
        <v>89.39</v>
      </c>
      <c r="X47" s="588">
        <v>388.3</v>
      </c>
      <c r="Y47" s="590" t="s">
        <v>1133</v>
      </c>
      <c r="Z47" s="588" t="s">
        <v>1133</v>
      </c>
      <c r="AA47" s="587" t="s">
        <v>1133</v>
      </c>
      <c r="AB47" s="589" t="s">
        <v>1133</v>
      </c>
      <c r="AC47" s="590" t="s">
        <v>1133</v>
      </c>
      <c r="AD47" s="589" t="s">
        <v>1133</v>
      </c>
      <c r="AE47" s="590" t="s">
        <v>1133</v>
      </c>
    </row>
    <row r="48" spans="1:31" ht="14" thickBot="1">
      <c r="A48" s="584">
        <v>1331</v>
      </c>
      <c r="B48" s="585" t="s">
        <v>1109</v>
      </c>
      <c r="C48" s="586">
        <v>1692.66</v>
      </c>
      <c r="D48" s="587" t="s">
        <v>1133</v>
      </c>
      <c r="E48" s="588" t="s">
        <v>1133</v>
      </c>
      <c r="F48" s="587" t="s">
        <v>1133</v>
      </c>
      <c r="G48" s="588" t="s">
        <v>1133</v>
      </c>
      <c r="H48" s="587" t="s">
        <v>1133</v>
      </c>
      <c r="I48" s="586" t="s">
        <v>1133</v>
      </c>
      <c r="J48" s="587" t="s">
        <v>1133</v>
      </c>
      <c r="K48" s="586">
        <v>6.5</v>
      </c>
      <c r="L48" s="587" t="s">
        <v>1133</v>
      </c>
      <c r="M48" s="588" t="s">
        <v>1133</v>
      </c>
      <c r="N48" s="587" t="s">
        <v>1133</v>
      </c>
      <c r="O48" s="588" t="s">
        <v>1133</v>
      </c>
      <c r="P48" s="587" t="s">
        <v>1133</v>
      </c>
      <c r="Q48" s="587" t="s">
        <v>1133</v>
      </c>
      <c r="R48" s="588" t="s">
        <v>1133</v>
      </c>
      <c r="S48" s="587" t="s">
        <v>1133</v>
      </c>
      <c r="T48" s="589" t="s">
        <v>1133</v>
      </c>
      <c r="U48" s="590">
        <v>1676.08</v>
      </c>
      <c r="V48" s="589">
        <v>10.08</v>
      </c>
      <c r="W48" s="587" t="s">
        <v>1133</v>
      </c>
      <c r="X48" s="588" t="s">
        <v>1133</v>
      </c>
      <c r="Y48" s="590" t="s">
        <v>1133</v>
      </c>
      <c r="Z48" s="588" t="s">
        <v>1133</v>
      </c>
      <c r="AA48" s="587" t="s">
        <v>1133</v>
      </c>
      <c r="AB48" s="589" t="s">
        <v>1133</v>
      </c>
      <c r="AC48" s="590" t="s">
        <v>1133</v>
      </c>
      <c r="AD48" s="589" t="s">
        <v>1133</v>
      </c>
      <c r="AE48" s="590" t="s">
        <v>1133</v>
      </c>
    </row>
    <row r="49" spans="1:31" ht="14" thickBot="1">
      <c r="A49" s="584">
        <v>1362</v>
      </c>
      <c r="B49" s="585" t="s">
        <v>1110</v>
      </c>
      <c r="C49" s="586">
        <v>977.43</v>
      </c>
      <c r="D49" s="587" t="s">
        <v>1133</v>
      </c>
      <c r="E49" s="588" t="s">
        <v>1133</v>
      </c>
      <c r="F49" s="587" t="s">
        <v>1133</v>
      </c>
      <c r="G49" s="588" t="s">
        <v>1133</v>
      </c>
      <c r="H49" s="587" t="s">
        <v>1133</v>
      </c>
      <c r="I49" s="586" t="s">
        <v>1133</v>
      </c>
      <c r="J49" s="587" t="s">
        <v>1133</v>
      </c>
      <c r="K49" s="586" t="s">
        <v>1133</v>
      </c>
      <c r="L49" s="587" t="s">
        <v>1133</v>
      </c>
      <c r="M49" s="588" t="s">
        <v>1133</v>
      </c>
      <c r="N49" s="587" t="s">
        <v>1133</v>
      </c>
      <c r="O49" s="588" t="s">
        <v>1133</v>
      </c>
      <c r="P49" s="587" t="s">
        <v>1133</v>
      </c>
      <c r="Q49" s="587" t="s">
        <v>1133</v>
      </c>
      <c r="R49" s="588" t="s">
        <v>1133</v>
      </c>
      <c r="S49" s="587" t="s">
        <v>1133</v>
      </c>
      <c r="T49" s="589" t="s">
        <v>1133</v>
      </c>
      <c r="U49" s="590" t="s">
        <v>1133</v>
      </c>
      <c r="V49" s="589" t="s">
        <v>1133</v>
      </c>
      <c r="W49" s="587" t="s">
        <v>1133</v>
      </c>
      <c r="X49" s="588" t="s">
        <v>1133</v>
      </c>
      <c r="Y49" s="590" t="s">
        <v>1133</v>
      </c>
      <c r="Z49" s="588" t="s">
        <v>1133</v>
      </c>
      <c r="AA49" s="587">
        <v>977.43</v>
      </c>
      <c r="AB49" s="589" t="s">
        <v>1133</v>
      </c>
      <c r="AC49" s="590" t="s">
        <v>1133</v>
      </c>
      <c r="AD49" s="589" t="s">
        <v>1133</v>
      </c>
      <c r="AE49" s="590" t="s">
        <v>1133</v>
      </c>
    </row>
    <row r="50" spans="1:31" ht="14" thickBot="1">
      <c r="A50" s="584">
        <v>1384</v>
      </c>
      <c r="B50" s="585" t="s">
        <v>1111</v>
      </c>
      <c r="C50" s="586">
        <v>619923.82000000007</v>
      </c>
      <c r="D50" s="587">
        <v>178786.91</v>
      </c>
      <c r="E50" s="588">
        <v>32318.35</v>
      </c>
      <c r="F50" s="587">
        <v>9838.25</v>
      </c>
      <c r="G50" s="588">
        <v>472</v>
      </c>
      <c r="H50" s="587">
        <v>9993.25</v>
      </c>
      <c r="I50" s="586">
        <v>751.92</v>
      </c>
      <c r="J50" s="587">
        <v>800</v>
      </c>
      <c r="K50" s="586">
        <v>2980.67</v>
      </c>
      <c r="L50" s="587">
        <v>7984.78</v>
      </c>
      <c r="M50" s="588">
        <v>7924.49</v>
      </c>
      <c r="N50" s="587">
        <v>15117.13</v>
      </c>
      <c r="O50" s="588">
        <v>16703.330000000002</v>
      </c>
      <c r="P50" s="587">
        <v>28788.25</v>
      </c>
      <c r="Q50" s="587" t="s">
        <v>1133</v>
      </c>
      <c r="R50" s="588">
        <v>9084.67</v>
      </c>
      <c r="S50" s="587">
        <v>17285</v>
      </c>
      <c r="T50" s="589">
        <v>4830.58</v>
      </c>
      <c r="U50" s="590">
        <v>124999.65</v>
      </c>
      <c r="V50" s="589">
        <v>13379.5</v>
      </c>
      <c r="W50" s="587">
        <v>27426.83</v>
      </c>
      <c r="X50" s="588">
        <v>53729.33</v>
      </c>
      <c r="Y50" s="590">
        <v>21816.880000000001</v>
      </c>
      <c r="Z50" s="588">
        <v>12699.08</v>
      </c>
      <c r="AA50" s="587">
        <v>2487.5</v>
      </c>
      <c r="AB50" s="589">
        <v>3416.25</v>
      </c>
      <c r="AC50" s="590">
        <v>15475.15</v>
      </c>
      <c r="AD50" s="589">
        <v>698.42</v>
      </c>
      <c r="AE50" s="590">
        <v>135.83000000000001</v>
      </c>
    </row>
    <row r="51" spans="1:31" ht="14" thickBot="1">
      <c r="A51" s="584">
        <v>1386</v>
      </c>
      <c r="B51" s="585" t="s">
        <v>1112</v>
      </c>
      <c r="C51" s="586">
        <v>13795</v>
      </c>
      <c r="D51" s="587">
        <v>3709</v>
      </c>
      <c r="E51" s="588">
        <v>1887</v>
      </c>
      <c r="F51" s="587">
        <v>337</v>
      </c>
      <c r="G51" s="588">
        <v>20</v>
      </c>
      <c r="H51" s="587">
        <v>91</v>
      </c>
      <c r="I51" s="586">
        <v>23</v>
      </c>
      <c r="J51" s="587">
        <v>30</v>
      </c>
      <c r="K51" s="586">
        <v>33</v>
      </c>
      <c r="L51" s="587">
        <v>129</v>
      </c>
      <c r="M51" s="588">
        <v>381</v>
      </c>
      <c r="N51" s="587">
        <v>487</v>
      </c>
      <c r="O51" s="588">
        <v>145</v>
      </c>
      <c r="P51" s="587">
        <v>364</v>
      </c>
      <c r="Q51" s="587" t="s">
        <v>1133</v>
      </c>
      <c r="R51" s="588">
        <v>155</v>
      </c>
      <c r="S51" s="587">
        <v>41</v>
      </c>
      <c r="T51" s="589">
        <v>11</v>
      </c>
      <c r="U51" s="590">
        <v>1035</v>
      </c>
      <c r="V51" s="589">
        <v>152</v>
      </c>
      <c r="W51" s="587">
        <v>2536</v>
      </c>
      <c r="X51" s="588">
        <v>218</v>
      </c>
      <c r="Y51" s="590">
        <v>227</v>
      </c>
      <c r="Z51" s="588">
        <v>1027</v>
      </c>
      <c r="AA51" s="587">
        <v>411</v>
      </c>
      <c r="AB51" s="589">
        <v>138</v>
      </c>
      <c r="AC51" s="590">
        <v>140</v>
      </c>
      <c r="AD51" s="589">
        <v>68</v>
      </c>
      <c r="AE51" s="590" t="s">
        <v>1133</v>
      </c>
    </row>
    <row r="52" spans="1:31" ht="14" thickBot="1">
      <c r="A52" s="584">
        <v>1401</v>
      </c>
      <c r="B52" s="585" t="s">
        <v>1113</v>
      </c>
      <c r="C52" s="586">
        <v>9452.16</v>
      </c>
      <c r="D52" s="587">
        <v>1154.9000000000001</v>
      </c>
      <c r="E52" s="588">
        <v>154.82</v>
      </c>
      <c r="F52" s="587">
        <v>38.910000000000004</v>
      </c>
      <c r="G52" s="588" t="s">
        <v>1133</v>
      </c>
      <c r="H52" s="587">
        <v>41.59</v>
      </c>
      <c r="I52" s="586">
        <v>7</v>
      </c>
      <c r="J52" s="587">
        <v>7</v>
      </c>
      <c r="K52" s="586">
        <v>4</v>
      </c>
      <c r="L52" s="587">
        <v>22.08</v>
      </c>
      <c r="M52" s="588">
        <v>15.25</v>
      </c>
      <c r="N52" s="587">
        <v>30.84</v>
      </c>
      <c r="O52" s="588">
        <v>10.42</v>
      </c>
      <c r="P52" s="587">
        <v>28.5</v>
      </c>
      <c r="Q52" s="587" t="s">
        <v>1133</v>
      </c>
      <c r="R52" s="588">
        <v>18.75</v>
      </c>
      <c r="S52" s="587">
        <v>223.41</v>
      </c>
      <c r="T52" s="589">
        <v>95.08</v>
      </c>
      <c r="U52" s="590">
        <v>7112.5</v>
      </c>
      <c r="V52" s="589">
        <v>65.570000000000007</v>
      </c>
      <c r="W52" s="587">
        <v>180.07</v>
      </c>
      <c r="X52" s="588">
        <v>195.91</v>
      </c>
      <c r="Y52" s="590">
        <v>12.58</v>
      </c>
      <c r="Z52" s="588">
        <v>16.080000000000002</v>
      </c>
      <c r="AA52" s="587">
        <v>6</v>
      </c>
      <c r="AB52" s="589">
        <v>1.83</v>
      </c>
      <c r="AC52" s="590">
        <v>9</v>
      </c>
      <c r="AD52" s="589" t="s">
        <v>1133</v>
      </c>
      <c r="AE52" s="590" t="s">
        <v>1133</v>
      </c>
    </row>
    <row r="53" spans="1:31" ht="14" thickBot="1">
      <c r="A53" s="584">
        <v>1423</v>
      </c>
      <c r="B53" s="585" t="s">
        <v>1114</v>
      </c>
      <c r="C53" s="586">
        <v>3542.23</v>
      </c>
      <c r="D53" s="587">
        <v>88.83</v>
      </c>
      <c r="E53" s="588">
        <v>465.58</v>
      </c>
      <c r="F53" s="587">
        <v>34.17</v>
      </c>
      <c r="G53" s="588" t="s">
        <v>1133</v>
      </c>
      <c r="H53" s="587">
        <v>23.25</v>
      </c>
      <c r="I53" s="586" t="s">
        <v>1133</v>
      </c>
      <c r="J53" s="587" t="s">
        <v>1133</v>
      </c>
      <c r="K53" s="586" t="s">
        <v>1133</v>
      </c>
      <c r="L53" s="587">
        <v>19</v>
      </c>
      <c r="M53" s="588" t="s">
        <v>1133</v>
      </c>
      <c r="N53" s="587">
        <v>56.67</v>
      </c>
      <c r="O53" s="588">
        <v>61.42</v>
      </c>
      <c r="P53" s="587">
        <v>70.5</v>
      </c>
      <c r="Q53" s="587" t="s">
        <v>1133</v>
      </c>
      <c r="R53" s="588" t="s">
        <v>1133</v>
      </c>
      <c r="S53" s="587" t="s">
        <v>1133</v>
      </c>
      <c r="T53" s="591" t="s">
        <v>1133</v>
      </c>
      <c r="U53" s="592" t="s">
        <v>1133</v>
      </c>
      <c r="V53" s="591" t="s">
        <v>1133</v>
      </c>
      <c r="W53" s="587">
        <v>2722.84</v>
      </c>
      <c r="X53" s="588" t="s">
        <v>1133</v>
      </c>
      <c r="Y53" s="592" t="s">
        <v>1133</v>
      </c>
      <c r="Z53" s="588" t="s">
        <v>1133</v>
      </c>
      <c r="AA53" s="587" t="s">
        <v>1133</v>
      </c>
      <c r="AB53" s="591" t="s">
        <v>1133</v>
      </c>
      <c r="AC53" s="592" t="s">
        <v>1133</v>
      </c>
      <c r="AD53" s="591" t="s">
        <v>1133</v>
      </c>
      <c r="AE53" s="592" t="s">
        <v>1133</v>
      </c>
    </row>
    <row r="54" spans="1:31" ht="14" thickBot="1">
      <c r="A54" s="584">
        <v>1479</v>
      </c>
      <c r="B54" s="585" t="s">
        <v>1115</v>
      </c>
      <c r="C54" s="586">
        <v>393406.66</v>
      </c>
      <c r="D54" s="587">
        <v>75021.61</v>
      </c>
      <c r="E54" s="588">
        <v>9959.56</v>
      </c>
      <c r="F54" s="587">
        <v>1511.31</v>
      </c>
      <c r="G54" s="588">
        <v>74.5</v>
      </c>
      <c r="H54" s="587">
        <v>3023.16</v>
      </c>
      <c r="I54" s="586">
        <v>1203.83</v>
      </c>
      <c r="J54" s="587">
        <v>91.58</v>
      </c>
      <c r="K54" s="586">
        <v>118.75</v>
      </c>
      <c r="L54" s="587">
        <v>474.33</v>
      </c>
      <c r="M54" s="588">
        <v>8257.64</v>
      </c>
      <c r="N54" s="587">
        <v>14777.7</v>
      </c>
      <c r="O54" s="588">
        <v>8642.2800000000007</v>
      </c>
      <c r="P54" s="587">
        <v>1023.42</v>
      </c>
      <c r="Q54" s="587" t="s">
        <v>1133</v>
      </c>
      <c r="R54" s="588">
        <v>186.75</v>
      </c>
      <c r="S54" s="587">
        <v>99.33</v>
      </c>
      <c r="T54" s="589">
        <v>94.08</v>
      </c>
      <c r="U54" s="590">
        <v>2097.33</v>
      </c>
      <c r="V54" s="589">
        <v>3410.31</v>
      </c>
      <c r="W54" s="587">
        <v>13637.3</v>
      </c>
      <c r="X54" s="588">
        <v>3090.58</v>
      </c>
      <c r="Y54" s="590">
        <v>17593.55</v>
      </c>
      <c r="Z54" s="588">
        <v>94917.43</v>
      </c>
      <c r="AA54" s="587">
        <v>30548.48</v>
      </c>
      <c r="AB54" s="589">
        <v>10529.36</v>
      </c>
      <c r="AC54" s="590">
        <v>83978.92</v>
      </c>
      <c r="AD54" s="589">
        <v>9043.57</v>
      </c>
      <c r="AE54" s="590" t="s">
        <v>1133</v>
      </c>
    </row>
    <row r="55" spans="1:31" ht="14" thickBot="1">
      <c r="A55" s="584">
        <v>1507</v>
      </c>
      <c r="B55" s="585" t="s">
        <v>1116</v>
      </c>
      <c r="C55" s="586">
        <v>9990.2900000000009</v>
      </c>
      <c r="D55" s="587">
        <v>2.92</v>
      </c>
      <c r="E55" s="588">
        <v>17.25</v>
      </c>
      <c r="F55" s="587" t="s">
        <v>1133</v>
      </c>
      <c r="G55" s="588" t="s">
        <v>1133</v>
      </c>
      <c r="H55" s="587" t="s">
        <v>1133</v>
      </c>
      <c r="I55" s="586" t="s">
        <v>1133</v>
      </c>
      <c r="J55" s="587">
        <v>0.5</v>
      </c>
      <c r="K55" s="586" t="s">
        <v>1133</v>
      </c>
      <c r="L55" s="587" t="s">
        <v>1133</v>
      </c>
      <c r="M55" s="588">
        <v>18.080000000000002</v>
      </c>
      <c r="N55" s="587" t="s">
        <v>1133</v>
      </c>
      <c r="O55" s="588" t="s">
        <v>1133</v>
      </c>
      <c r="P55" s="587" t="s">
        <v>1133</v>
      </c>
      <c r="Q55" s="587" t="s">
        <v>1133</v>
      </c>
      <c r="R55" s="588" t="s">
        <v>1133</v>
      </c>
      <c r="S55" s="587" t="s">
        <v>1133</v>
      </c>
      <c r="T55" s="589" t="s">
        <v>1133</v>
      </c>
      <c r="U55" s="590" t="s">
        <v>1133</v>
      </c>
      <c r="V55" s="589">
        <v>1.33</v>
      </c>
      <c r="W55" s="587">
        <v>0.08</v>
      </c>
      <c r="X55" s="588">
        <v>1</v>
      </c>
      <c r="Y55" s="590">
        <v>1.83</v>
      </c>
      <c r="Z55" s="588">
        <v>62.34</v>
      </c>
      <c r="AA55" s="587">
        <v>9865.3700000000008</v>
      </c>
      <c r="AB55" s="589">
        <v>7.75</v>
      </c>
      <c r="AC55" s="590">
        <v>9.84</v>
      </c>
      <c r="AD55" s="589">
        <v>2</v>
      </c>
      <c r="AE55" s="590" t="s">
        <v>1133</v>
      </c>
    </row>
    <row r="56" spans="1:31" ht="14" thickBot="1">
      <c r="A56" s="584">
        <v>1509</v>
      </c>
      <c r="B56" s="585" t="s">
        <v>1117</v>
      </c>
      <c r="C56" s="586">
        <v>316003.52</v>
      </c>
      <c r="D56" s="587">
        <v>87363.49</v>
      </c>
      <c r="E56" s="588">
        <v>30777.11</v>
      </c>
      <c r="F56" s="587">
        <v>9777.0400000000009</v>
      </c>
      <c r="G56" s="588">
        <v>434.18</v>
      </c>
      <c r="H56" s="587">
        <v>7904.16</v>
      </c>
      <c r="I56" s="586">
        <v>918.79</v>
      </c>
      <c r="J56" s="587">
        <v>736.71</v>
      </c>
      <c r="K56" s="586">
        <v>1529.51</v>
      </c>
      <c r="L56" s="587">
        <v>7341.67</v>
      </c>
      <c r="M56" s="588">
        <v>4432.5600000000004</v>
      </c>
      <c r="N56" s="587">
        <v>11834.04</v>
      </c>
      <c r="O56" s="588">
        <v>6588.83</v>
      </c>
      <c r="P56" s="587">
        <v>15877.62</v>
      </c>
      <c r="Q56" s="587" t="s">
        <v>1133</v>
      </c>
      <c r="R56" s="588">
        <v>3178.26</v>
      </c>
      <c r="S56" s="587">
        <v>2563.04</v>
      </c>
      <c r="T56" s="589">
        <v>392.51</v>
      </c>
      <c r="U56" s="590">
        <v>12389.34</v>
      </c>
      <c r="V56" s="589">
        <v>3825.33</v>
      </c>
      <c r="W56" s="587">
        <v>29717.040000000001</v>
      </c>
      <c r="X56" s="588">
        <v>18122.57</v>
      </c>
      <c r="Y56" s="590">
        <v>13103.07</v>
      </c>
      <c r="Z56" s="588">
        <v>12873.56</v>
      </c>
      <c r="AA56" s="587">
        <v>2085.0100000000002</v>
      </c>
      <c r="AB56" s="589">
        <v>17340.560000000001</v>
      </c>
      <c r="AC56" s="590">
        <v>12653.49</v>
      </c>
      <c r="AD56" s="589">
        <v>1889.01</v>
      </c>
      <c r="AE56" s="590">
        <v>355.01</v>
      </c>
    </row>
    <row r="57" spans="1:31" ht="14" thickBot="1">
      <c r="A57" s="584">
        <v>1529</v>
      </c>
      <c r="B57" s="585" t="s">
        <v>1118</v>
      </c>
      <c r="C57" s="586">
        <v>210728.55</v>
      </c>
      <c r="D57" s="587">
        <v>31798.52</v>
      </c>
      <c r="E57" s="588">
        <v>13893.63</v>
      </c>
      <c r="F57" s="587">
        <v>3542.5</v>
      </c>
      <c r="G57" s="588">
        <v>119.91</v>
      </c>
      <c r="H57" s="587">
        <v>1401.44</v>
      </c>
      <c r="I57" s="586">
        <v>326.73</v>
      </c>
      <c r="J57" s="587">
        <v>393.69</v>
      </c>
      <c r="K57" s="586">
        <v>288.77</v>
      </c>
      <c r="L57" s="587">
        <v>1771.61</v>
      </c>
      <c r="M57" s="588">
        <v>3658.47</v>
      </c>
      <c r="N57" s="587">
        <v>11834.72</v>
      </c>
      <c r="O57" s="588">
        <v>4739.6500000000005</v>
      </c>
      <c r="P57" s="587">
        <v>7918.28</v>
      </c>
      <c r="Q57" s="587" t="s">
        <v>1133</v>
      </c>
      <c r="R57" s="588">
        <v>2389.35</v>
      </c>
      <c r="S57" s="587">
        <v>935.32</v>
      </c>
      <c r="T57" s="589">
        <v>171.73</v>
      </c>
      <c r="U57" s="590">
        <v>6492.65</v>
      </c>
      <c r="V57" s="589">
        <v>1924.62</v>
      </c>
      <c r="W57" s="587">
        <v>11189.12</v>
      </c>
      <c r="X57" s="588">
        <v>4644.3</v>
      </c>
      <c r="Y57" s="590">
        <v>21675.22</v>
      </c>
      <c r="Z57" s="588">
        <v>39208.86</v>
      </c>
      <c r="AA57" s="587">
        <v>3847.72</v>
      </c>
      <c r="AB57" s="589">
        <v>3523.27</v>
      </c>
      <c r="AC57" s="590">
        <v>32739.59</v>
      </c>
      <c r="AD57" s="589">
        <v>298.86</v>
      </c>
      <c r="AE57" s="590" t="s">
        <v>1133</v>
      </c>
    </row>
    <row r="58" spans="1:31" ht="14" thickBot="1">
      <c r="A58" s="584">
        <v>1535</v>
      </c>
      <c r="B58" s="585" t="s">
        <v>852</v>
      </c>
      <c r="C58" s="586">
        <v>282182.61</v>
      </c>
      <c r="D58" s="587">
        <v>11703</v>
      </c>
      <c r="E58" s="588">
        <v>76810.83</v>
      </c>
      <c r="F58" s="587">
        <v>303.42</v>
      </c>
      <c r="G58" s="588">
        <v>27.33</v>
      </c>
      <c r="H58" s="587">
        <v>149.33000000000001</v>
      </c>
      <c r="I58" s="586">
        <v>65.83</v>
      </c>
      <c r="J58" s="587">
        <v>726.17</v>
      </c>
      <c r="K58" s="586">
        <v>1119.58</v>
      </c>
      <c r="L58" s="587">
        <v>139.25</v>
      </c>
      <c r="M58" s="588">
        <v>32748.7</v>
      </c>
      <c r="N58" s="587">
        <v>10155.58</v>
      </c>
      <c r="O58" s="588">
        <v>249.58</v>
      </c>
      <c r="P58" s="587">
        <v>263.08</v>
      </c>
      <c r="Q58" s="587" t="s">
        <v>1133</v>
      </c>
      <c r="R58" s="588">
        <v>74.42</v>
      </c>
      <c r="S58" s="587">
        <v>2519</v>
      </c>
      <c r="T58" s="589">
        <v>515</v>
      </c>
      <c r="U58" s="590">
        <v>2186.5</v>
      </c>
      <c r="V58" s="589">
        <v>190.17</v>
      </c>
      <c r="W58" s="587">
        <v>7565.08</v>
      </c>
      <c r="X58" s="588">
        <v>460</v>
      </c>
      <c r="Y58" s="590">
        <v>3648.67</v>
      </c>
      <c r="Z58" s="588">
        <v>80248.820000000007</v>
      </c>
      <c r="AA58" s="587">
        <v>31089.33</v>
      </c>
      <c r="AB58" s="589">
        <v>13861.33</v>
      </c>
      <c r="AC58" s="590">
        <v>4986.92</v>
      </c>
      <c r="AD58" s="589">
        <v>375.67</v>
      </c>
      <c r="AE58" s="590" t="s">
        <v>1133</v>
      </c>
    </row>
    <row r="59" spans="1:31" ht="14" thickBot="1">
      <c r="A59" s="584">
        <v>1542</v>
      </c>
      <c r="B59" s="585" t="s">
        <v>1119</v>
      </c>
      <c r="C59" s="586">
        <v>623760.42000000004</v>
      </c>
      <c r="D59" s="587">
        <v>61341.17</v>
      </c>
      <c r="E59" s="588">
        <v>84833.25</v>
      </c>
      <c r="F59" s="587">
        <v>11455.75</v>
      </c>
      <c r="G59" s="588">
        <v>182.33</v>
      </c>
      <c r="H59" s="587">
        <v>2255.42</v>
      </c>
      <c r="I59" s="586">
        <v>362.5</v>
      </c>
      <c r="J59" s="587">
        <v>591.66999999999996</v>
      </c>
      <c r="K59" s="586">
        <v>239</v>
      </c>
      <c r="L59" s="587">
        <v>3123.67</v>
      </c>
      <c r="M59" s="588">
        <v>23814.92</v>
      </c>
      <c r="N59" s="587">
        <v>10326.83</v>
      </c>
      <c r="O59" s="588">
        <v>23371.5</v>
      </c>
      <c r="P59" s="587">
        <v>16163.5</v>
      </c>
      <c r="Q59" s="587" t="s">
        <v>1133</v>
      </c>
      <c r="R59" s="588">
        <v>8852.08</v>
      </c>
      <c r="S59" s="587">
        <v>240.33</v>
      </c>
      <c r="T59" s="589">
        <v>128.42000000000002</v>
      </c>
      <c r="U59" s="590">
        <v>3942.67</v>
      </c>
      <c r="V59" s="589">
        <v>3652.5</v>
      </c>
      <c r="W59" s="587">
        <v>10042.33</v>
      </c>
      <c r="X59" s="588">
        <v>5858.58</v>
      </c>
      <c r="Y59" s="590">
        <v>23337</v>
      </c>
      <c r="Z59" s="588">
        <v>164815.33000000002</v>
      </c>
      <c r="AA59" s="587">
        <v>14292.17</v>
      </c>
      <c r="AB59" s="589">
        <v>61021.42</v>
      </c>
      <c r="AC59" s="590">
        <v>71365.17</v>
      </c>
      <c r="AD59" s="589">
        <v>18150.920000000002</v>
      </c>
      <c r="AE59" s="590" t="s">
        <v>1133</v>
      </c>
    </row>
    <row r="60" spans="1:31" ht="14" thickBot="1">
      <c r="A60" s="584">
        <v>1555</v>
      </c>
      <c r="B60" s="585" t="s">
        <v>1120</v>
      </c>
      <c r="C60" s="586">
        <v>442505.5</v>
      </c>
      <c r="D60" s="587">
        <v>56129.5</v>
      </c>
      <c r="E60" s="588">
        <v>215739.33</v>
      </c>
      <c r="F60" s="587">
        <v>2533.5</v>
      </c>
      <c r="G60" s="588">
        <v>277</v>
      </c>
      <c r="H60" s="587">
        <v>1239</v>
      </c>
      <c r="I60" s="586">
        <v>1475.75</v>
      </c>
      <c r="J60" s="587">
        <v>1045.08</v>
      </c>
      <c r="K60" s="586">
        <v>188.75</v>
      </c>
      <c r="L60" s="587">
        <v>5168.67</v>
      </c>
      <c r="M60" s="588">
        <v>25417.83</v>
      </c>
      <c r="N60" s="587">
        <v>21090.92</v>
      </c>
      <c r="O60" s="588">
        <v>6923.08</v>
      </c>
      <c r="P60" s="587">
        <v>23060.92</v>
      </c>
      <c r="Q60" s="587" t="s">
        <v>1133</v>
      </c>
      <c r="R60" s="588">
        <v>4139.42</v>
      </c>
      <c r="S60" s="587">
        <v>391.17</v>
      </c>
      <c r="T60" s="589">
        <v>38</v>
      </c>
      <c r="U60" s="590">
        <v>8286.08</v>
      </c>
      <c r="V60" s="589">
        <v>342.92</v>
      </c>
      <c r="W60" s="587">
        <v>27309.5</v>
      </c>
      <c r="X60" s="588">
        <v>2952.5</v>
      </c>
      <c r="Y60" s="590">
        <v>11036.08</v>
      </c>
      <c r="Z60" s="588">
        <v>19386.920000000002</v>
      </c>
      <c r="AA60" s="587">
        <v>3830.75</v>
      </c>
      <c r="AB60" s="589">
        <v>1113</v>
      </c>
      <c r="AC60" s="590">
        <v>2780.58</v>
      </c>
      <c r="AD60" s="589">
        <v>602.08000000000004</v>
      </c>
      <c r="AE60" s="590">
        <v>7.17</v>
      </c>
    </row>
    <row r="61" spans="1:31" ht="14" thickBot="1">
      <c r="A61" s="584">
        <v>1560</v>
      </c>
      <c r="B61" s="585" t="s">
        <v>1121</v>
      </c>
      <c r="C61" s="586">
        <v>101101</v>
      </c>
      <c r="D61" s="587">
        <v>12672</v>
      </c>
      <c r="E61" s="588">
        <v>22932</v>
      </c>
      <c r="F61" s="587">
        <v>6717</v>
      </c>
      <c r="G61" s="588">
        <v>1913</v>
      </c>
      <c r="H61" s="587">
        <v>4834</v>
      </c>
      <c r="I61" s="586">
        <v>921</v>
      </c>
      <c r="J61" s="587">
        <v>1018</v>
      </c>
      <c r="K61" s="586">
        <v>734</v>
      </c>
      <c r="L61" s="587">
        <v>1210</v>
      </c>
      <c r="M61" s="588">
        <v>1205</v>
      </c>
      <c r="N61" s="587">
        <v>2768</v>
      </c>
      <c r="O61" s="588">
        <v>50</v>
      </c>
      <c r="P61" s="587">
        <v>2555</v>
      </c>
      <c r="Q61" s="587" t="s">
        <v>1133</v>
      </c>
      <c r="R61" s="588">
        <v>1203</v>
      </c>
      <c r="S61" s="587">
        <v>3047</v>
      </c>
      <c r="T61" s="589">
        <v>1393</v>
      </c>
      <c r="U61" s="590">
        <v>12887</v>
      </c>
      <c r="V61" s="589">
        <v>274</v>
      </c>
      <c r="W61" s="587">
        <v>9471</v>
      </c>
      <c r="X61" s="588">
        <v>8858</v>
      </c>
      <c r="Y61" s="590">
        <v>703</v>
      </c>
      <c r="Z61" s="588">
        <v>64</v>
      </c>
      <c r="AA61" s="587">
        <v>111</v>
      </c>
      <c r="AB61" s="589">
        <v>2390</v>
      </c>
      <c r="AC61" s="590">
        <v>95</v>
      </c>
      <c r="AD61" s="589">
        <v>1076</v>
      </c>
      <c r="AE61" s="590" t="s">
        <v>1133</v>
      </c>
    </row>
    <row r="62" spans="1:31" ht="14" thickBot="1">
      <c r="A62" s="584">
        <v>1562</v>
      </c>
      <c r="B62" s="585" t="s">
        <v>1122</v>
      </c>
      <c r="C62" s="586">
        <v>585975.32999999996</v>
      </c>
      <c r="D62" s="587">
        <v>143334.58000000002</v>
      </c>
      <c r="E62" s="588">
        <v>56422.25</v>
      </c>
      <c r="F62" s="587">
        <v>11163.42</v>
      </c>
      <c r="G62" s="588">
        <v>1412.83</v>
      </c>
      <c r="H62" s="587">
        <v>6899.67</v>
      </c>
      <c r="I62" s="586">
        <v>1667.75</v>
      </c>
      <c r="J62" s="587">
        <v>2186.83</v>
      </c>
      <c r="K62" s="586">
        <v>3784.25</v>
      </c>
      <c r="L62" s="587">
        <v>6318.83</v>
      </c>
      <c r="M62" s="588">
        <v>9341.08</v>
      </c>
      <c r="N62" s="587">
        <v>44995.83</v>
      </c>
      <c r="O62" s="588">
        <v>5855.08</v>
      </c>
      <c r="P62" s="587">
        <v>14975.83</v>
      </c>
      <c r="Q62" s="587" t="s">
        <v>1133</v>
      </c>
      <c r="R62" s="588">
        <v>3867.67</v>
      </c>
      <c r="S62" s="587">
        <v>3812.67</v>
      </c>
      <c r="T62" s="589">
        <v>1009.83</v>
      </c>
      <c r="U62" s="590">
        <v>19460.5</v>
      </c>
      <c r="V62" s="589">
        <v>9314.42</v>
      </c>
      <c r="W62" s="587">
        <v>48643.75</v>
      </c>
      <c r="X62" s="588">
        <v>15872.83</v>
      </c>
      <c r="Y62" s="590">
        <v>43691.42</v>
      </c>
      <c r="Z62" s="588">
        <v>36127.33</v>
      </c>
      <c r="AA62" s="587">
        <v>10745.83</v>
      </c>
      <c r="AB62" s="589">
        <v>3972.17</v>
      </c>
      <c r="AC62" s="590">
        <v>80252.08</v>
      </c>
      <c r="AD62" s="589">
        <v>846.5</v>
      </c>
      <c r="AE62" s="590" t="s">
        <v>1133</v>
      </c>
    </row>
    <row r="63" spans="1:31" ht="14" thickBot="1">
      <c r="A63" s="584">
        <v>1563</v>
      </c>
      <c r="B63" s="585" t="s">
        <v>1123</v>
      </c>
      <c r="C63" s="586">
        <v>34019.11</v>
      </c>
      <c r="D63" s="587">
        <v>957.6</v>
      </c>
      <c r="E63" s="588">
        <v>12143.99</v>
      </c>
      <c r="F63" s="587">
        <v>495.74</v>
      </c>
      <c r="G63" s="588">
        <v>40.17</v>
      </c>
      <c r="H63" s="587">
        <v>185.83</v>
      </c>
      <c r="I63" s="586">
        <v>62.25</v>
      </c>
      <c r="J63" s="587">
        <v>53.25</v>
      </c>
      <c r="K63" s="586">
        <v>280.58</v>
      </c>
      <c r="L63" s="587">
        <v>231.92</v>
      </c>
      <c r="M63" s="588">
        <v>798.17</v>
      </c>
      <c r="N63" s="587">
        <v>673.36</v>
      </c>
      <c r="O63" s="588">
        <v>1402.41</v>
      </c>
      <c r="P63" s="587">
        <v>2560.41</v>
      </c>
      <c r="Q63" s="587" t="s">
        <v>1133</v>
      </c>
      <c r="R63" s="588">
        <v>1052.94</v>
      </c>
      <c r="S63" s="587">
        <v>222.67</v>
      </c>
      <c r="T63" s="589">
        <v>40</v>
      </c>
      <c r="U63" s="590">
        <v>1284.67</v>
      </c>
      <c r="V63" s="589">
        <v>220.66</v>
      </c>
      <c r="W63" s="587">
        <v>620.09</v>
      </c>
      <c r="X63" s="588">
        <v>10216.07</v>
      </c>
      <c r="Y63" s="590">
        <v>54.18</v>
      </c>
      <c r="Z63" s="588">
        <v>56.93</v>
      </c>
      <c r="AA63" s="587">
        <v>306.59000000000003</v>
      </c>
      <c r="AB63" s="589">
        <v>21.67</v>
      </c>
      <c r="AC63" s="590">
        <v>17.920000000000002</v>
      </c>
      <c r="AD63" s="589">
        <v>19.09</v>
      </c>
      <c r="AE63" s="590" t="s">
        <v>1133</v>
      </c>
    </row>
    <row r="64" spans="1:31" ht="14" thickBot="1">
      <c r="A64" s="584">
        <v>1565</v>
      </c>
      <c r="B64" s="585" t="s">
        <v>1124</v>
      </c>
      <c r="C64" s="586">
        <v>185628.17</v>
      </c>
      <c r="D64" s="587">
        <v>74473.17</v>
      </c>
      <c r="E64" s="588">
        <v>15001.08</v>
      </c>
      <c r="F64" s="587">
        <v>392.58</v>
      </c>
      <c r="G64" s="588">
        <v>30.33</v>
      </c>
      <c r="H64" s="587">
        <v>295.83</v>
      </c>
      <c r="I64" s="586">
        <v>50.83</v>
      </c>
      <c r="J64" s="587">
        <v>72.08</v>
      </c>
      <c r="K64" s="586">
        <v>156.83000000000001</v>
      </c>
      <c r="L64" s="587">
        <v>214.92</v>
      </c>
      <c r="M64" s="588">
        <v>7008.33</v>
      </c>
      <c r="N64" s="587">
        <v>4513.33</v>
      </c>
      <c r="O64" s="588">
        <v>4794.42</v>
      </c>
      <c r="P64" s="587">
        <v>7976.5</v>
      </c>
      <c r="Q64" s="587" t="s">
        <v>1133</v>
      </c>
      <c r="R64" s="588">
        <v>137.58000000000001</v>
      </c>
      <c r="S64" s="587">
        <v>217.17</v>
      </c>
      <c r="T64" s="589">
        <v>96.08</v>
      </c>
      <c r="U64" s="590">
        <v>28647.42</v>
      </c>
      <c r="V64" s="589">
        <v>10391.83</v>
      </c>
      <c r="W64" s="587">
        <v>1822.67</v>
      </c>
      <c r="X64" s="588">
        <v>469.42</v>
      </c>
      <c r="Y64" s="590">
        <v>23748.67</v>
      </c>
      <c r="Z64" s="588">
        <v>743.17</v>
      </c>
      <c r="AA64" s="587">
        <v>707.17</v>
      </c>
      <c r="AB64" s="589">
        <v>2960.42</v>
      </c>
      <c r="AC64" s="590">
        <v>599.58000000000004</v>
      </c>
      <c r="AD64" s="589">
        <v>106.75</v>
      </c>
      <c r="AE64" s="590" t="s">
        <v>1133</v>
      </c>
    </row>
    <row r="65" spans="1:31" ht="14" thickBot="1">
      <c r="A65" s="584">
        <v>1566</v>
      </c>
      <c r="B65" s="585" t="s">
        <v>1125</v>
      </c>
      <c r="C65" s="586">
        <v>167493.67000000001</v>
      </c>
      <c r="D65" s="587">
        <v>10424.92</v>
      </c>
      <c r="E65" s="588">
        <v>28493.67</v>
      </c>
      <c r="F65" s="587">
        <v>27006.5</v>
      </c>
      <c r="G65" s="588">
        <v>101.42</v>
      </c>
      <c r="H65" s="587">
        <v>12148.75</v>
      </c>
      <c r="I65" s="586">
        <v>250.33</v>
      </c>
      <c r="J65" s="587">
        <v>258.58</v>
      </c>
      <c r="K65" s="586">
        <v>198.5</v>
      </c>
      <c r="L65" s="587">
        <v>7544.83</v>
      </c>
      <c r="M65" s="588">
        <v>1951.08</v>
      </c>
      <c r="N65" s="587">
        <v>754.75</v>
      </c>
      <c r="O65" s="588">
        <v>875.33</v>
      </c>
      <c r="P65" s="587">
        <v>1592.92</v>
      </c>
      <c r="Q65" s="587" t="s">
        <v>1133</v>
      </c>
      <c r="R65" s="588">
        <v>7290</v>
      </c>
      <c r="S65" s="587">
        <v>5007</v>
      </c>
      <c r="T65" s="589">
        <v>220.83</v>
      </c>
      <c r="U65" s="590">
        <v>8785.75</v>
      </c>
      <c r="V65" s="589">
        <v>2724.67</v>
      </c>
      <c r="W65" s="587">
        <v>25198.17</v>
      </c>
      <c r="X65" s="588">
        <v>2960.08</v>
      </c>
      <c r="Y65" s="590">
        <v>2597.17</v>
      </c>
      <c r="Z65" s="588">
        <v>1542.75</v>
      </c>
      <c r="AA65" s="587">
        <v>16471.170000000002</v>
      </c>
      <c r="AB65" s="589">
        <v>1288.92</v>
      </c>
      <c r="AC65" s="590">
        <v>330.08</v>
      </c>
      <c r="AD65" s="589">
        <v>1475.5</v>
      </c>
      <c r="AE65" s="590" t="s">
        <v>1133</v>
      </c>
    </row>
    <row r="66" spans="1:31" ht="14" thickBot="1">
      <c r="A66" s="584">
        <v>1568</v>
      </c>
      <c r="B66" s="585" t="s">
        <v>1126</v>
      </c>
      <c r="C66" s="586">
        <v>62454.67</v>
      </c>
      <c r="D66" s="587">
        <v>12822.25</v>
      </c>
      <c r="E66" s="588">
        <v>4688.92</v>
      </c>
      <c r="F66" s="587">
        <v>12207.92</v>
      </c>
      <c r="G66" s="588">
        <v>170.5</v>
      </c>
      <c r="H66" s="587">
        <v>1243.92</v>
      </c>
      <c r="I66" s="586">
        <v>279.25</v>
      </c>
      <c r="J66" s="587">
        <v>489.83</v>
      </c>
      <c r="K66" s="586">
        <v>518.33000000000004</v>
      </c>
      <c r="L66" s="587">
        <v>272.75</v>
      </c>
      <c r="M66" s="588">
        <v>119.92</v>
      </c>
      <c r="N66" s="587">
        <v>3641.25</v>
      </c>
      <c r="O66" s="588">
        <v>130.83000000000001</v>
      </c>
      <c r="P66" s="587">
        <v>239.67</v>
      </c>
      <c r="Q66" s="587" t="s">
        <v>1133</v>
      </c>
      <c r="R66" s="588">
        <v>194</v>
      </c>
      <c r="S66" s="587">
        <v>587.91999999999996</v>
      </c>
      <c r="T66" s="589">
        <v>119.08</v>
      </c>
      <c r="U66" s="590">
        <v>11989</v>
      </c>
      <c r="V66" s="589">
        <v>810.67</v>
      </c>
      <c r="W66" s="587">
        <v>6648</v>
      </c>
      <c r="X66" s="588">
        <v>1594.58</v>
      </c>
      <c r="Y66" s="590">
        <v>84.75</v>
      </c>
      <c r="Z66" s="588">
        <v>3378.42</v>
      </c>
      <c r="AA66" s="587">
        <v>49.25</v>
      </c>
      <c r="AB66" s="589">
        <v>44</v>
      </c>
      <c r="AC66" s="590">
        <v>110.67</v>
      </c>
      <c r="AD66" s="589">
        <v>19</v>
      </c>
      <c r="AE66" s="590" t="s">
        <v>1133</v>
      </c>
    </row>
    <row r="67" spans="1:31" ht="14" thickBot="1">
      <c r="A67" s="584">
        <v>1569</v>
      </c>
      <c r="B67" s="585" t="s">
        <v>1127</v>
      </c>
      <c r="C67" s="586">
        <v>123121.83</v>
      </c>
      <c r="D67" s="587">
        <v>8917.7000000000007</v>
      </c>
      <c r="E67" s="588">
        <v>17244.34</v>
      </c>
      <c r="F67" s="587">
        <v>2780.9</v>
      </c>
      <c r="G67" s="588">
        <v>3373.12</v>
      </c>
      <c r="H67" s="587">
        <v>758.41</v>
      </c>
      <c r="I67" s="586">
        <v>1314.97</v>
      </c>
      <c r="J67" s="587">
        <v>72.290000000000006</v>
      </c>
      <c r="K67" s="586">
        <v>4212.9800000000005</v>
      </c>
      <c r="L67" s="587">
        <v>400.87</v>
      </c>
      <c r="M67" s="588">
        <v>1397.23</v>
      </c>
      <c r="N67" s="587">
        <v>10619.85</v>
      </c>
      <c r="O67" s="588">
        <v>408.52</v>
      </c>
      <c r="P67" s="587">
        <v>879.93</v>
      </c>
      <c r="Q67" s="587" t="s">
        <v>1133</v>
      </c>
      <c r="R67" s="588">
        <v>297.82</v>
      </c>
      <c r="S67" s="587">
        <v>1695.32</v>
      </c>
      <c r="T67" s="589">
        <v>131.65</v>
      </c>
      <c r="U67" s="590">
        <v>7127.02</v>
      </c>
      <c r="V67" s="589">
        <v>8104.34</v>
      </c>
      <c r="W67" s="587">
        <v>3411.06</v>
      </c>
      <c r="X67" s="588">
        <v>2876.4</v>
      </c>
      <c r="Y67" s="590">
        <v>9438.33</v>
      </c>
      <c r="Z67" s="588">
        <v>1673.88</v>
      </c>
      <c r="AA67" s="587">
        <v>28771.02</v>
      </c>
      <c r="AB67" s="589">
        <v>870.54</v>
      </c>
      <c r="AC67" s="590">
        <v>1745.52</v>
      </c>
      <c r="AD67" s="589">
        <v>4597.84</v>
      </c>
      <c r="AE67" s="590" t="s">
        <v>1133</v>
      </c>
    </row>
    <row r="68" spans="1:31" ht="14" thickBot="1">
      <c r="A68" s="584">
        <v>1570</v>
      </c>
      <c r="B68" s="585" t="s">
        <v>1128</v>
      </c>
      <c r="C68" s="586">
        <v>10123.75</v>
      </c>
      <c r="D68" s="587">
        <v>127.58</v>
      </c>
      <c r="E68" s="588">
        <v>256.42</v>
      </c>
      <c r="F68" s="587">
        <v>16</v>
      </c>
      <c r="G68" s="588">
        <v>2</v>
      </c>
      <c r="H68" s="587">
        <v>7</v>
      </c>
      <c r="I68" s="586">
        <v>21</v>
      </c>
      <c r="J68" s="587">
        <v>19.420000000000002</v>
      </c>
      <c r="K68" s="586" t="s">
        <v>1133</v>
      </c>
      <c r="L68" s="587">
        <v>36.25</v>
      </c>
      <c r="M68" s="588">
        <v>782.92</v>
      </c>
      <c r="N68" s="587">
        <v>25.83</v>
      </c>
      <c r="O68" s="588">
        <v>6.17</v>
      </c>
      <c r="P68" s="587">
        <v>11.92</v>
      </c>
      <c r="Q68" s="587" t="s">
        <v>1133</v>
      </c>
      <c r="R68" s="588">
        <v>95.25</v>
      </c>
      <c r="S68" s="587" t="s">
        <v>1133</v>
      </c>
      <c r="T68" s="589" t="s">
        <v>1133</v>
      </c>
      <c r="U68" s="590">
        <v>9</v>
      </c>
      <c r="V68" s="589">
        <v>2</v>
      </c>
      <c r="W68" s="587">
        <v>71.75</v>
      </c>
      <c r="X68" s="588">
        <v>5.92</v>
      </c>
      <c r="Y68" s="590">
        <v>557.41999999999996</v>
      </c>
      <c r="Z68" s="588">
        <v>3569.75</v>
      </c>
      <c r="AA68" s="587">
        <v>2390.42</v>
      </c>
      <c r="AB68" s="589">
        <v>701.92</v>
      </c>
      <c r="AC68" s="590">
        <v>1073.42</v>
      </c>
      <c r="AD68" s="589">
        <v>334.42</v>
      </c>
      <c r="AE68" s="590" t="s">
        <v>1133</v>
      </c>
    </row>
    <row r="69" spans="1:31" ht="14" thickBot="1">
      <c r="A69" s="584">
        <v>1574</v>
      </c>
      <c r="B69" s="585" t="s">
        <v>1129</v>
      </c>
      <c r="C69" s="586">
        <v>2397.5</v>
      </c>
      <c r="D69" s="587">
        <v>855.83</v>
      </c>
      <c r="E69" s="588">
        <v>204.83</v>
      </c>
      <c r="F69" s="587">
        <v>1.42</v>
      </c>
      <c r="G69" s="588" t="s">
        <v>1133</v>
      </c>
      <c r="H69" s="587">
        <v>4</v>
      </c>
      <c r="I69" s="586">
        <v>0.75</v>
      </c>
      <c r="J69" s="587" t="s">
        <v>1133</v>
      </c>
      <c r="K69" s="586">
        <v>13.83</v>
      </c>
      <c r="L69" s="587">
        <v>4.92</v>
      </c>
      <c r="M69" s="588">
        <v>64.92</v>
      </c>
      <c r="N69" s="587">
        <v>13.17</v>
      </c>
      <c r="O69" s="588">
        <v>109.58</v>
      </c>
      <c r="P69" s="587">
        <v>61.42</v>
      </c>
      <c r="Q69" s="587" t="s">
        <v>1133</v>
      </c>
      <c r="R69" s="588">
        <v>16.580000000000002</v>
      </c>
      <c r="S69" s="587">
        <v>3.42</v>
      </c>
      <c r="T69" s="589" t="s">
        <v>1133</v>
      </c>
      <c r="U69" s="590">
        <v>6.58</v>
      </c>
      <c r="V69" s="589">
        <v>0.33</v>
      </c>
      <c r="W69" s="587">
        <v>15.75</v>
      </c>
      <c r="X69" s="588">
        <v>123.67</v>
      </c>
      <c r="Y69" s="590">
        <v>42.33</v>
      </c>
      <c r="Z69" s="588">
        <v>686.08</v>
      </c>
      <c r="AA69" s="587">
        <v>106</v>
      </c>
      <c r="AB69" s="589">
        <v>44.92</v>
      </c>
      <c r="AC69" s="590">
        <v>8.67</v>
      </c>
      <c r="AD69" s="589">
        <v>8.5</v>
      </c>
      <c r="AE69" s="590" t="s">
        <v>1133</v>
      </c>
    </row>
    <row r="70" spans="1:31" ht="14" thickBot="1">
      <c r="A70" s="584">
        <v>1575</v>
      </c>
      <c r="B70" s="585" t="s">
        <v>1130</v>
      </c>
      <c r="C70" s="586">
        <v>51906.5</v>
      </c>
      <c r="D70" s="587">
        <v>11794.06</v>
      </c>
      <c r="E70" s="588">
        <v>22474.68</v>
      </c>
      <c r="F70" s="587">
        <v>990.69</v>
      </c>
      <c r="G70" s="588">
        <v>27.67</v>
      </c>
      <c r="H70" s="587">
        <v>720.82</v>
      </c>
      <c r="I70" s="586">
        <v>96.54</v>
      </c>
      <c r="J70" s="587">
        <v>94.43</v>
      </c>
      <c r="K70" s="586">
        <v>376.93</v>
      </c>
      <c r="L70" s="587">
        <v>469.07</v>
      </c>
      <c r="M70" s="588">
        <v>584.13</v>
      </c>
      <c r="N70" s="587">
        <v>2679.65</v>
      </c>
      <c r="O70" s="588">
        <v>1141.76</v>
      </c>
      <c r="P70" s="587">
        <v>879.49</v>
      </c>
      <c r="Q70" s="587" t="s">
        <v>1133</v>
      </c>
      <c r="R70" s="588">
        <v>107.22</v>
      </c>
      <c r="S70" s="587">
        <v>127.17</v>
      </c>
      <c r="T70" s="589">
        <v>8.75</v>
      </c>
      <c r="U70" s="590">
        <v>943.15</v>
      </c>
      <c r="V70" s="589">
        <v>977.56</v>
      </c>
      <c r="W70" s="587">
        <v>2555.5500000000002</v>
      </c>
      <c r="X70" s="588">
        <v>163.22</v>
      </c>
      <c r="Y70" s="590">
        <v>127.2</v>
      </c>
      <c r="Z70" s="588">
        <v>3845.29</v>
      </c>
      <c r="AA70" s="587">
        <v>177.72</v>
      </c>
      <c r="AB70" s="589">
        <v>185.69</v>
      </c>
      <c r="AC70" s="590">
        <v>289.11</v>
      </c>
      <c r="AD70" s="589">
        <v>64.849999999999994</v>
      </c>
      <c r="AE70" s="590">
        <v>4.13</v>
      </c>
    </row>
    <row r="71" spans="1:31" ht="14" thickBot="1">
      <c r="A71" s="584">
        <v>1577</v>
      </c>
      <c r="B71" s="585" t="s">
        <v>1131</v>
      </c>
      <c r="C71" s="586">
        <v>29659.58</v>
      </c>
      <c r="D71" s="587">
        <v>11180.17</v>
      </c>
      <c r="E71" s="588">
        <v>3524.49</v>
      </c>
      <c r="F71" s="587">
        <v>87.9</v>
      </c>
      <c r="G71" s="588">
        <v>8</v>
      </c>
      <c r="H71" s="587">
        <v>73.77</v>
      </c>
      <c r="I71" s="586">
        <v>9.42</v>
      </c>
      <c r="J71" s="587">
        <v>10.4</v>
      </c>
      <c r="K71" s="586">
        <v>22.42</v>
      </c>
      <c r="L71" s="587">
        <v>45.56</v>
      </c>
      <c r="M71" s="588">
        <v>1006.05</v>
      </c>
      <c r="N71" s="587">
        <v>3078.22</v>
      </c>
      <c r="O71" s="588">
        <v>56.63</v>
      </c>
      <c r="P71" s="587">
        <v>1304.29</v>
      </c>
      <c r="Q71" s="587" t="s">
        <v>1133</v>
      </c>
      <c r="R71" s="588">
        <v>106.59</v>
      </c>
      <c r="S71" s="587">
        <v>18.04</v>
      </c>
      <c r="T71" s="589">
        <v>3.17</v>
      </c>
      <c r="U71" s="590">
        <v>709.7</v>
      </c>
      <c r="V71" s="589">
        <v>16.260000000000002</v>
      </c>
      <c r="W71" s="587">
        <v>2194.2400000000002</v>
      </c>
      <c r="X71" s="588">
        <v>1834.25</v>
      </c>
      <c r="Y71" s="590">
        <v>3.42</v>
      </c>
      <c r="Z71" s="588">
        <v>1989.91</v>
      </c>
      <c r="AA71" s="587">
        <v>1861.81</v>
      </c>
      <c r="AB71" s="589">
        <v>139.92000000000002</v>
      </c>
      <c r="AC71" s="590">
        <v>304.69</v>
      </c>
      <c r="AD71" s="589">
        <v>70.28</v>
      </c>
      <c r="AE71" s="590" t="s">
        <v>1133</v>
      </c>
    </row>
    <row r="72" spans="1:31" ht="14" thickBot="1">
      <c r="A72" s="584"/>
      <c r="B72" s="585"/>
      <c r="C72" s="586" t="s">
        <v>1133</v>
      </c>
      <c r="D72" s="587" t="s">
        <v>1133</v>
      </c>
      <c r="E72" s="588" t="s">
        <v>1133</v>
      </c>
      <c r="F72" s="587" t="s">
        <v>1133</v>
      </c>
      <c r="G72" s="588" t="s">
        <v>1133</v>
      </c>
      <c r="H72" s="587" t="s">
        <v>1133</v>
      </c>
      <c r="I72" s="586" t="s">
        <v>1133</v>
      </c>
      <c r="J72" s="587" t="s">
        <v>1133</v>
      </c>
      <c r="K72" s="586" t="s">
        <v>1133</v>
      </c>
      <c r="L72" s="587" t="s">
        <v>1133</v>
      </c>
      <c r="M72" s="588" t="s">
        <v>1133</v>
      </c>
      <c r="N72" s="587" t="s">
        <v>1133</v>
      </c>
      <c r="O72" s="588" t="s">
        <v>1133</v>
      </c>
      <c r="P72" s="587" t="s">
        <v>1133</v>
      </c>
      <c r="Q72" s="587" t="s">
        <v>1133</v>
      </c>
      <c r="R72" s="588" t="s">
        <v>1133</v>
      </c>
      <c r="S72" s="587" t="s">
        <v>1133</v>
      </c>
      <c r="T72" s="589" t="s">
        <v>1133</v>
      </c>
      <c r="U72" s="590" t="s">
        <v>1133</v>
      </c>
      <c r="V72" s="589" t="s">
        <v>1133</v>
      </c>
      <c r="W72" s="587" t="s">
        <v>1133</v>
      </c>
      <c r="X72" s="588" t="s">
        <v>1133</v>
      </c>
      <c r="Y72" s="590" t="s">
        <v>1133</v>
      </c>
      <c r="Z72" s="588" t="s">
        <v>1133</v>
      </c>
      <c r="AA72" s="587" t="s">
        <v>1133</v>
      </c>
      <c r="AB72" s="589" t="s">
        <v>1133</v>
      </c>
      <c r="AC72" s="590" t="s">
        <v>1133</v>
      </c>
      <c r="AD72" s="589" t="s">
        <v>1133</v>
      </c>
      <c r="AE72" s="590" t="s">
        <v>1133</v>
      </c>
    </row>
    <row r="73" spans="1:31" ht="14" thickBot="1">
      <c r="A73" s="584"/>
      <c r="B73" s="585"/>
      <c r="C73" s="586" t="s">
        <v>1133</v>
      </c>
      <c r="D73" s="587" t="s">
        <v>1133</v>
      </c>
      <c r="E73" s="588" t="s">
        <v>1133</v>
      </c>
      <c r="F73" s="587" t="s">
        <v>1133</v>
      </c>
      <c r="G73" s="588" t="s">
        <v>1133</v>
      </c>
      <c r="H73" s="587" t="s">
        <v>1133</v>
      </c>
      <c r="I73" s="586" t="s">
        <v>1133</v>
      </c>
      <c r="J73" s="587" t="s">
        <v>1133</v>
      </c>
      <c r="K73" s="586" t="s">
        <v>1133</v>
      </c>
      <c r="L73" s="587" t="s">
        <v>1133</v>
      </c>
      <c r="M73" s="588" t="s">
        <v>1133</v>
      </c>
      <c r="N73" s="587" t="s">
        <v>1133</v>
      </c>
      <c r="O73" s="588" t="s">
        <v>1133</v>
      </c>
      <c r="P73" s="587" t="s">
        <v>1133</v>
      </c>
      <c r="Q73" s="587" t="s">
        <v>1133</v>
      </c>
      <c r="R73" s="588" t="s">
        <v>1133</v>
      </c>
      <c r="S73" s="587" t="s">
        <v>1133</v>
      </c>
      <c r="T73" s="589" t="s">
        <v>1133</v>
      </c>
      <c r="U73" s="590" t="s">
        <v>1133</v>
      </c>
      <c r="V73" s="589" t="s">
        <v>1133</v>
      </c>
      <c r="W73" s="587" t="s">
        <v>1133</v>
      </c>
      <c r="X73" s="588" t="s">
        <v>1133</v>
      </c>
      <c r="Y73" s="590" t="s">
        <v>1133</v>
      </c>
      <c r="Z73" s="588" t="s">
        <v>1133</v>
      </c>
      <c r="AA73" s="587" t="s">
        <v>1133</v>
      </c>
      <c r="AB73" s="589" t="s">
        <v>1133</v>
      </c>
      <c r="AC73" s="590" t="s">
        <v>1133</v>
      </c>
      <c r="AD73" s="589" t="s">
        <v>1133</v>
      </c>
      <c r="AE73" s="590" t="s">
        <v>1133</v>
      </c>
    </row>
    <row r="74" spans="1:31" ht="14" thickBot="1">
      <c r="A74" s="584"/>
      <c r="B74" s="585"/>
      <c r="C74" s="586" t="s">
        <v>1133</v>
      </c>
      <c r="D74" s="587" t="s">
        <v>1133</v>
      </c>
      <c r="E74" s="588" t="s">
        <v>1133</v>
      </c>
      <c r="F74" s="587" t="s">
        <v>1133</v>
      </c>
      <c r="G74" s="588" t="s">
        <v>1133</v>
      </c>
      <c r="H74" s="587" t="s">
        <v>1133</v>
      </c>
      <c r="I74" s="586" t="s">
        <v>1133</v>
      </c>
      <c r="J74" s="587" t="s">
        <v>1133</v>
      </c>
      <c r="K74" s="586" t="s">
        <v>1133</v>
      </c>
      <c r="L74" s="587" t="s">
        <v>1133</v>
      </c>
      <c r="M74" s="588" t="s">
        <v>1133</v>
      </c>
      <c r="N74" s="587" t="s">
        <v>1133</v>
      </c>
      <c r="O74" s="588" t="s">
        <v>1133</v>
      </c>
      <c r="P74" s="587" t="s">
        <v>1133</v>
      </c>
      <c r="Q74" s="587" t="s">
        <v>1133</v>
      </c>
      <c r="R74" s="588" t="s">
        <v>1133</v>
      </c>
      <c r="S74" s="587" t="s">
        <v>1133</v>
      </c>
      <c r="T74" s="589" t="s">
        <v>1133</v>
      </c>
      <c r="U74" s="590" t="s">
        <v>1133</v>
      </c>
      <c r="V74" s="589" t="s">
        <v>1133</v>
      </c>
      <c r="W74" s="587" t="s">
        <v>1133</v>
      </c>
      <c r="X74" s="588" t="s">
        <v>1133</v>
      </c>
      <c r="Y74" s="590" t="s">
        <v>1133</v>
      </c>
      <c r="Z74" s="588" t="s">
        <v>1133</v>
      </c>
      <c r="AA74" s="587" t="s">
        <v>1133</v>
      </c>
      <c r="AB74" s="589" t="s">
        <v>1133</v>
      </c>
      <c r="AC74" s="590" t="s">
        <v>1133</v>
      </c>
      <c r="AD74" s="589" t="s">
        <v>1133</v>
      </c>
      <c r="AE74" s="590" t="s">
        <v>1133</v>
      </c>
    </row>
    <row r="75" spans="1:31" s="110" customFormat="1" ht="14" thickBot="1">
      <c r="A75" s="593" t="s">
        <v>1132</v>
      </c>
      <c r="B75" s="594">
        <v>63</v>
      </c>
      <c r="C75" s="595">
        <v>7862770.4600000018</v>
      </c>
      <c r="D75" s="596">
        <v>1374055.2</v>
      </c>
      <c r="E75" s="597">
        <v>981418.13</v>
      </c>
      <c r="F75" s="596">
        <v>380535.11999999988</v>
      </c>
      <c r="G75" s="597">
        <v>35563.060000000005</v>
      </c>
      <c r="H75" s="598">
        <v>147386.60999999999</v>
      </c>
      <c r="I75" s="595">
        <v>36117.769999999997</v>
      </c>
      <c r="J75" s="596">
        <v>40897.720000000016</v>
      </c>
      <c r="K75" s="595">
        <v>39196.380000000012</v>
      </c>
      <c r="L75" s="596">
        <v>113901.56</v>
      </c>
      <c r="M75" s="597">
        <v>281699.62999999989</v>
      </c>
      <c r="N75" s="596">
        <v>257900.81999999995</v>
      </c>
      <c r="O75" s="597">
        <v>179964.83</v>
      </c>
      <c r="P75" s="596">
        <v>272864.07999999984</v>
      </c>
      <c r="Q75" s="596"/>
      <c r="R75" s="597">
        <v>76611.450000000012</v>
      </c>
      <c r="S75" s="596">
        <v>53875.049999999988</v>
      </c>
      <c r="T75" s="597">
        <v>15766.09</v>
      </c>
      <c r="U75" s="596">
        <v>481691.80000000016</v>
      </c>
      <c r="V75" s="597">
        <v>197319.97000000003</v>
      </c>
      <c r="W75" s="596">
        <v>617221.05000000016</v>
      </c>
      <c r="X75" s="597">
        <v>250477.54</v>
      </c>
      <c r="Y75" s="596">
        <v>333782.27999999997</v>
      </c>
      <c r="Z75" s="597">
        <v>704993.57000000018</v>
      </c>
      <c r="AA75" s="596">
        <v>318730.81999999995</v>
      </c>
      <c r="AB75" s="597">
        <v>173220.32000000012</v>
      </c>
      <c r="AC75" s="596">
        <v>422682.23999999993</v>
      </c>
      <c r="AD75" s="597">
        <v>70867.38</v>
      </c>
      <c r="AE75" s="596">
        <v>4030.04</v>
      </c>
    </row>
    <row r="76" spans="1:31" ht="15.75" customHeight="1" thickBot="1">
      <c r="A76" s="599"/>
      <c r="C76" s="599" t="s">
        <v>720</v>
      </c>
      <c r="E76" s="600"/>
      <c r="F76" s="600"/>
      <c r="G76" s="600"/>
      <c r="H76" s="601"/>
      <c r="I76" s="600"/>
      <c r="J76" s="602"/>
      <c r="K76" s="603"/>
      <c r="L76" s="604"/>
      <c r="M76" s="604"/>
      <c r="N76" s="600"/>
      <c r="O76" s="604"/>
      <c r="P76" s="600"/>
      <c r="Q76" s="604"/>
      <c r="R76" s="599" t="s">
        <v>720</v>
      </c>
      <c r="S76" s="119"/>
      <c r="T76" s="600"/>
      <c r="U76" s="600"/>
      <c r="V76" s="600"/>
      <c r="W76" s="601"/>
      <c r="X76" s="600"/>
      <c r="Y76" s="602"/>
      <c r="Z76" s="603"/>
      <c r="AA76" s="604"/>
      <c r="AB76" s="604"/>
      <c r="AC76" s="600"/>
    </row>
    <row r="77" spans="1:31" ht="15.75" customHeight="1">
      <c r="A77" s="599"/>
      <c r="C77" s="599"/>
      <c r="E77" s="605"/>
      <c r="F77" s="605"/>
      <c r="G77" s="605"/>
      <c r="H77" s="606"/>
      <c r="I77" s="605"/>
      <c r="J77" s="607"/>
      <c r="K77" s="608"/>
      <c r="L77" s="517"/>
      <c r="M77" s="517"/>
      <c r="N77" s="605"/>
      <c r="O77" s="517"/>
      <c r="P77" s="605"/>
      <c r="Q77" s="517"/>
      <c r="R77" s="599"/>
      <c r="S77" s="119"/>
      <c r="T77" s="605"/>
      <c r="U77" s="605"/>
      <c r="V77" s="605"/>
      <c r="W77" s="606"/>
      <c r="X77" s="605"/>
      <c r="Y77" s="607"/>
      <c r="Z77" s="608"/>
      <c r="AA77" s="517"/>
      <c r="AB77" s="517"/>
      <c r="AC77" s="605"/>
    </row>
    <row r="78" spans="1:31" ht="38.5" customHeight="1">
      <c r="A78" s="609"/>
      <c r="B78" s="610"/>
      <c r="C78" s="1859" t="s">
        <v>829</v>
      </c>
      <c r="D78" s="1846"/>
      <c r="E78" s="1846"/>
      <c r="F78" s="1846"/>
      <c r="G78" s="1846"/>
      <c r="H78" s="1846"/>
      <c r="I78" s="1846"/>
      <c r="J78" s="1846"/>
      <c r="K78" s="1846"/>
      <c r="L78" s="1846"/>
      <c r="M78" s="1846"/>
      <c r="N78" s="1846"/>
      <c r="R78" s="1859" t="s">
        <v>829</v>
      </c>
      <c r="S78" s="1846"/>
      <c r="T78" s="1846"/>
      <c r="U78" s="1846"/>
      <c r="V78" s="1846"/>
      <c r="W78" s="1846"/>
      <c r="X78" s="1846"/>
      <c r="Y78" s="1846"/>
      <c r="Z78" s="1846"/>
      <c r="AA78" s="1846"/>
      <c r="AB78" s="1846"/>
      <c r="AC78" s="1846"/>
    </row>
    <row r="79" spans="1:31" ht="16.25" customHeight="1">
      <c r="A79" s="1859"/>
      <c r="B79" s="1846"/>
      <c r="C79" s="609" t="s">
        <v>830</v>
      </c>
      <c r="D79" s="610"/>
      <c r="R79" s="609" t="s">
        <v>830</v>
      </c>
      <c r="S79" s="610"/>
      <c r="W79" s="8"/>
      <c r="X79" s="8"/>
    </row>
    <row r="80" spans="1:31" ht="41.5" customHeight="1">
      <c r="A80" s="609"/>
      <c r="B80" s="610"/>
      <c r="C80" s="1862" t="s">
        <v>831</v>
      </c>
      <c r="D80" s="1863"/>
      <c r="E80" s="1863"/>
      <c r="F80" s="1863"/>
      <c r="G80" s="1863"/>
      <c r="H80" s="1863"/>
      <c r="I80" s="1863"/>
      <c r="J80" s="1863"/>
      <c r="K80" s="1863"/>
      <c r="L80" s="1863"/>
      <c r="M80" s="1863"/>
      <c r="N80" s="1863"/>
      <c r="R80" s="1859" t="s">
        <v>831</v>
      </c>
      <c r="S80" s="1846"/>
      <c r="T80" s="1846"/>
      <c r="U80" s="1846"/>
      <c r="V80" s="1846"/>
      <c r="W80" s="1846"/>
      <c r="X80" s="1846"/>
      <c r="Y80" s="1846"/>
      <c r="Z80" s="1846"/>
      <c r="AA80" s="1846"/>
      <c r="AB80" s="1846"/>
      <c r="AC80" s="1846"/>
    </row>
    <row r="81" spans="1:24">
      <c r="R81" s="119"/>
      <c r="S81" s="119"/>
      <c r="W81" s="8"/>
      <c r="X81" s="8"/>
    </row>
    <row r="82" spans="1:24">
      <c r="A82" s="609"/>
      <c r="C82" s="609" t="s">
        <v>832</v>
      </c>
      <c r="R82" s="609" t="s">
        <v>832</v>
      </c>
      <c r="S82" s="119"/>
      <c r="W82" s="8"/>
      <c r="X82" s="8"/>
    </row>
    <row r="83" spans="1:24">
      <c r="R83" s="119"/>
      <c r="S83" s="119"/>
      <c r="W83" s="8"/>
      <c r="X83" s="8"/>
    </row>
    <row r="84" spans="1:24" ht="7.5" customHeight="1">
      <c r="R84" s="119"/>
      <c r="S84" s="119"/>
      <c r="W84" s="8"/>
      <c r="X84" s="8"/>
    </row>
    <row r="85" spans="1:24" ht="18.5" customHeight="1">
      <c r="A85" s="609"/>
      <c r="B85" s="610"/>
      <c r="C85" s="609" t="s">
        <v>719</v>
      </c>
      <c r="D85" s="610"/>
      <c r="R85" s="609" t="s">
        <v>719</v>
      </c>
      <c r="S85" s="610"/>
      <c r="W85" s="8"/>
      <c r="X85" s="8"/>
    </row>
  </sheetData>
  <mergeCells count="6">
    <mergeCell ref="A2:B2"/>
    <mergeCell ref="C78:N78"/>
    <mergeCell ref="R78:AC78"/>
    <mergeCell ref="A79:B79"/>
    <mergeCell ref="C80:N80"/>
    <mergeCell ref="R80:AC80"/>
  </mergeCells>
  <pageMargins left="0.35433070866141736" right="0.27559055118110237" top="0.23622047244094491" bottom="0.23622047244094491" header="0.19685039370078741" footer="0.19685039370078741"/>
  <pageSetup paperSize="9" scale="47" fitToWidth="2" pageOrder="overThenDown" orientation="landscape"/>
  <headerFooter alignWithMargins="0">
    <oddFooter>&amp;R&amp;P/&amp;N</oddFooter>
  </headerFooter>
  <colBreaks count="1" manualBreakCount="1">
    <brk id="17" max="1048575"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0376-471F-4A43-8DC0-CA6D041F2447}">
  <sheetPr>
    <pageSetUpPr fitToPage="1"/>
  </sheetPr>
  <dimension ref="A1:B11"/>
  <sheetViews>
    <sheetView workbookViewId="0">
      <selection activeCell="B5" sqref="B5"/>
    </sheetView>
  </sheetViews>
  <sheetFormatPr baseColWidth="10" defaultColWidth="11.59765625" defaultRowHeight="13"/>
  <cols>
    <col min="1" max="1" width="5.59765625" style="774" customWidth="1"/>
    <col min="2" max="16384" width="11.59765625" style="774"/>
  </cols>
  <sheetData>
    <row r="1" spans="1:2" ht="16">
      <c r="A1" s="773" t="s">
        <v>1155</v>
      </c>
    </row>
    <row r="2" spans="1:2" ht="16">
      <c r="A2" s="775"/>
    </row>
    <row r="3" spans="1:2">
      <c r="A3" s="774">
        <v>6.01</v>
      </c>
      <c r="B3" s="776" t="s">
        <v>1156</v>
      </c>
    </row>
    <row r="4" spans="1:2">
      <c r="A4" s="774">
        <v>6.02</v>
      </c>
      <c r="B4" s="776" t="s">
        <v>1157</v>
      </c>
    </row>
    <row r="5" spans="1:2">
      <c r="A5" s="774">
        <v>6.03</v>
      </c>
      <c r="B5" s="776" t="s">
        <v>1158</v>
      </c>
    </row>
    <row r="6" spans="1:2">
      <c r="A6" s="774">
        <v>6.04</v>
      </c>
      <c r="B6" s="776" t="s">
        <v>1159</v>
      </c>
    </row>
    <row r="7" spans="1:2">
      <c r="A7" s="774">
        <v>6.05</v>
      </c>
      <c r="B7" s="776" t="s">
        <v>1160</v>
      </c>
    </row>
    <row r="8" spans="1:2">
      <c r="A8" s="774">
        <v>6.06</v>
      </c>
      <c r="B8" s="776" t="s">
        <v>1161</v>
      </c>
    </row>
    <row r="11" spans="1:2">
      <c r="A11" s="551" t="s">
        <v>719</v>
      </c>
    </row>
  </sheetData>
  <pageMargins left="0.46" right="0.35" top="0.69" bottom="0.984251969" header="0.36" footer="0.4921259845"/>
  <pageSetup paperSize="9" orientation="portrait"/>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7599-AF40-4041-9305-98AAAD59A32C}">
  <sheetPr>
    <pageSetUpPr fitToPage="1"/>
  </sheetPr>
  <dimension ref="A1:G31"/>
  <sheetViews>
    <sheetView topLeftCell="A3" zoomScaleNormal="100" workbookViewId="0">
      <selection activeCell="A21" sqref="A21:IV21"/>
    </sheetView>
  </sheetViews>
  <sheetFormatPr baseColWidth="10" defaultColWidth="11.3984375" defaultRowHeight="13"/>
  <cols>
    <col min="1" max="1" width="16.796875" style="3" customWidth="1"/>
    <col min="2" max="4" width="14.59765625" style="3" customWidth="1"/>
    <col min="5" max="5" width="15.3984375" style="3" customWidth="1"/>
    <col min="6" max="7" width="14.59765625" style="3" customWidth="1"/>
    <col min="8" max="16384" width="11.3984375" style="3"/>
  </cols>
  <sheetData>
    <row r="1" spans="1:7" s="2" customFormat="1" ht="14" customHeight="1"/>
    <row r="2" spans="1:7" s="2" customFormat="1" ht="23" customHeight="1">
      <c r="A2" s="1843" t="s">
        <v>1162</v>
      </c>
      <c r="B2" s="1847"/>
      <c r="C2" s="1847"/>
      <c r="D2" s="1847"/>
      <c r="E2" s="1847"/>
      <c r="F2" s="1847"/>
      <c r="G2" s="246"/>
    </row>
    <row r="3" spans="1:7" ht="24" customHeight="1">
      <c r="A3" s="92" t="s">
        <v>469</v>
      </c>
      <c r="B3" s="182" t="s">
        <v>218</v>
      </c>
      <c r="C3" s="183" t="s">
        <v>218</v>
      </c>
      <c r="D3" s="182" t="s">
        <v>574</v>
      </c>
      <c r="E3" s="183" t="s">
        <v>574</v>
      </c>
      <c r="F3" s="182" t="s">
        <v>1163</v>
      </c>
      <c r="G3" s="94" t="s">
        <v>1163</v>
      </c>
    </row>
    <row r="4" spans="1:7" ht="15" customHeight="1">
      <c r="A4" s="184"/>
      <c r="B4" s="185" t="s">
        <v>1045</v>
      </c>
      <c r="C4" s="186" t="s">
        <v>1164</v>
      </c>
      <c r="D4" s="185" t="s">
        <v>1045</v>
      </c>
      <c r="E4" s="186" t="s">
        <v>1164</v>
      </c>
      <c r="F4" s="185" t="s">
        <v>1165</v>
      </c>
      <c r="G4" s="95" t="s">
        <v>1166</v>
      </c>
    </row>
    <row r="5" spans="1:7" ht="15" customHeight="1">
      <c r="A5" s="184"/>
      <c r="B5" s="185"/>
      <c r="C5" s="186" t="s">
        <v>1167</v>
      </c>
      <c r="D5" s="185"/>
      <c r="E5" s="186" t="s">
        <v>1167</v>
      </c>
      <c r="F5" s="185" t="s">
        <v>1168</v>
      </c>
      <c r="G5" s="95" t="s">
        <v>1169</v>
      </c>
    </row>
    <row r="6" spans="1:7" ht="24" customHeight="1">
      <c r="A6" s="188"/>
      <c r="B6" s="189"/>
      <c r="C6" s="190" t="s">
        <v>1170</v>
      </c>
      <c r="D6" s="189"/>
      <c r="E6" s="190" t="s">
        <v>1170</v>
      </c>
      <c r="F6" s="189"/>
      <c r="G6" s="97"/>
    </row>
    <row r="7" spans="1:7" ht="1.5" customHeight="1" thickBot="1">
      <c r="A7" s="192">
        <v>1996</v>
      </c>
      <c r="B7" s="777">
        <v>834.29346030999989</v>
      </c>
      <c r="C7" s="357">
        <v>147.33000000000001</v>
      </c>
      <c r="D7" s="777">
        <v>872.50191104999999</v>
      </c>
      <c r="E7" s="357">
        <v>174.02</v>
      </c>
      <c r="F7" s="358">
        <v>1497811</v>
      </c>
      <c r="G7" s="778">
        <v>150</v>
      </c>
    </row>
    <row r="8" spans="1:7" ht="0.75" customHeight="1" thickBot="1">
      <c r="A8" s="194">
        <v>1997</v>
      </c>
      <c r="B8" s="368">
        <v>560.57016199999998</v>
      </c>
      <c r="C8" s="365">
        <v>177.97135605247547</v>
      </c>
      <c r="D8" s="368">
        <v>621.52611999999999</v>
      </c>
      <c r="E8" s="365">
        <v>219.40142149615536</v>
      </c>
      <c r="F8" s="366">
        <v>962507</v>
      </c>
      <c r="G8" s="779">
        <v>134</v>
      </c>
    </row>
    <row r="9" spans="1:7" ht="0.75" customHeight="1" thickBot="1">
      <c r="A9" s="194">
        <v>1998</v>
      </c>
      <c r="B9" s="368">
        <v>511.39633099999998</v>
      </c>
      <c r="C9" s="365">
        <v>210.006745555365</v>
      </c>
      <c r="D9" s="368">
        <v>456.36259100000001</v>
      </c>
      <c r="E9" s="365">
        <v>198.92326535477412</v>
      </c>
      <c r="F9" s="366">
        <v>822171</v>
      </c>
      <c r="G9" s="779">
        <v>115</v>
      </c>
    </row>
    <row r="10" spans="1:7" ht="20" hidden="1" customHeight="1" thickBot="1">
      <c r="A10" s="194">
        <v>1999</v>
      </c>
      <c r="B10" s="368">
        <v>464.48300699999999</v>
      </c>
      <c r="C10" s="365">
        <v>208.58087392018217</v>
      </c>
      <c r="D10" s="368">
        <v>412.14915300000001</v>
      </c>
      <c r="E10" s="365">
        <v>192.54405491703864</v>
      </c>
      <c r="F10" s="366">
        <v>727206</v>
      </c>
      <c r="G10" s="779">
        <v>109</v>
      </c>
    </row>
    <row r="11" spans="1:7" ht="20" hidden="1" customHeight="1" thickBot="1">
      <c r="A11" s="194">
        <v>2000</v>
      </c>
      <c r="B11" s="368">
        <v>439.22602000000001</v>
      </c>
      <c r="C11" s="365">
        <v>209.03</v>
      </c>
      <c r="D11" s="368">
        <v>381.63992000000002</v>
      </c>
      <c r="E11" s="365">
        <v>199.95</v>
      </c>
      <c r="F11" s="366">
        <v>639885</v>
      </c>
      <c r="G11" s="779">
        <v>102</v>
      </c>
    </row>
    <row r="12" spans="1:7" ht="20" customHeight="1" thickBot="1">
      <c r="A12" s="194">
        <v>2001</v>
      </c>
      <c r="B12" s="368">
        <v>400.71188914999999</v>
      </c>
      <c r="C12" s="365">
        <v>221.99</v>
      </c>
      <c r="D12" s="368">
        <v>351.97137099999998</v>
      </c>
      <c r="E12" s="365">
        <v>196.51</v>
      </c>
      <c r="F12" s="366">
        <v>561848</v>
      </c>
      <c r="G12" s="779">
        <v>102</v>
      </c>
    </row>
    <row r="13" spans="1:7" ht="20" customHeight="1" thickBot="1">
      <c r="A13" s="194">
        <v>2002</v>
      </c>
      <c r="B13" s="368">
        <v>371.74367599999999</v>
      </c>
      <c r="C13" s="365">
        <v>218.55</v>
      </c>
      <c r="D13" s="368">
        <v>329.14910600000002</v>
      </c>
      <c r="E13" s="365">
        <v>192.51</v>
      </c>
      <c r="F13" s="366">
        <v>495344</v>
      </c>
      <c r="G13" s="779">
        <v>93</v>
      </c>
    </row>
    <row r="14" spans="1:7" ht="20" customHeight="1" thickBot="1">
      <c r="A14" s="194">
        <v>2003</v>
      </c>
      <c r="B14" s="368">
        <v>357.14315599999998</v>
      </c>
      <c r="C14" s="365">
        <v>230.55</v>
      </c>
      <c r="D14" s="368">
        <v>309.91303299999998</v>
      </c>
      <c r="E14" s="365">
        <v>196.87</v>
      </c>
      <c r="F14" s="366">
        <v>439082</v>
      </c>
      <c r="G14" s="779">
        <v>92</v>
      </c>
    </row>
    <row r="15" spans="1:7" ht="20" customHeight="1" thickBot="1">
      <c r="A15" s="194">
        <v>2004</v>
      </c>
      <c r="B15" s="368">
        <v>356.58952599999998</v>
      </c>
      <c r="C15" s="365">
        <v>237.95</v>
      </c>
      <c r="D15" s="368">
        <v>277.93515500000001</v>
      </c>
      <c r="E15" s="365">
        <v>191.46</v>
      </c>
      <c r="F15" s="366">
        <v>384858</v>
      </c>
      <c r="G15" s="779">
        <v>93</v>
      </c>
    </row>
    <row r="16" spans="1:7" ht="20" customHeight="1" thickBot="1">
      <c r="A16" s="194">
        <v>2005</v>
      </c>
      <c r="B16" s="368">
        <v>342.30109299999998</v>
      </c>
      <c r="C16" s="365">
        <v>202.99</v>
      </c>
      <c r="D16" s="368">
        <v>251.061485</v>
      </c>
      <c r="E16" s="365">
        <v>158.24</v>
      </c>
      <c r="F16" s="366">
        <v>409989</v>
      </c>
      <c r="G16" s="779">
        <v>82</v>
      </c>
    </row>
    <row r="17" spans="1:7" ht="20" customHeight="1" thickBot="1">
      <c r="A17" s="194">
        <v>2006</v>
      </c>
      <c r="B17" s="368">
        <v>318.09682500000002</v>
      </c>
      <c r="C17" s="365">
        <v>203.43</v>
      </c>
      <c r="D17" s="368">
        <v>220.62135799999999</v>
      </c>
      <c r="E17" s="365">
        <v>148.53</v>
      </c>
      <c r="F17" s="366">
        <v>376229</v>
      </c>
      <c r="G17" s="779">
        <v>81</v>
      </c>
    </row>
    <row r="18" spans="1:7" ht="20" customHeight="1" thickBot="1">
      <c r="A18" s="194">
        <v>2007</v>
      </c>
      <c r="B18" s="368">
        <v>302.25500452</v>
      </c>
      <c r="C18" s="365">
        <v>192.28</v>
      </c>
      <c r="D18" s="368">
        <v>207.71949053</v>
      </c>
      <c r="E18" s="365">
        <v>139.46</v>
      </c>
      <c r="F18" s="366">
        <v>342046.54</v>
      </c>
      <c r="G18" s="779">
        <v>81</v>
      </c>
    </row>
    <row r="19" spans="1:7" ht="20" customHeight="1" thickBot="1">
      <c r="A19" s="194">
        <v>2008</v>
      </c>
      <c r="B19" s="368">
        <v>280.99848664999996</v>
      </c>
      <c r="C19" s="365">
        <v>185.89</v>
      </c>
      <c r="D19" s="368">
        <v>198.28856277</v>
      </c>
      <c r="E19" s="365">
        <v>126.72</v>
      </c>
      <c r="F19" s="366">
        <v>314150.3</v>
      </c>
      <c r="G19" s="779">
        <v>82</v>
      </c>
    </row>
    <row r="20" spans="1:7" ht="20" customHeight="1" thickBot="1">
      <c r="A20" s="194">
        <v>2009</v>
      </c>
      <c r="B20" s="368">
        <v>267.72326984</v>
      </c>
      <c r="C20" s="365">
        <v>176.37</v>
      </c>
      <c r="D20" s="368">
        <v>197.19709437999998</v>
      </c>
      <c r="E20" s="365">
        <v>135.19999999999999</v>
      </c>
      <c r="F20" s="366">
        <v>285966.94</v>
      </c>
      <c r="G20" s="779">
        <v>74</v>
      </c>
    </row>
    <row r="21" spans="1:7" ht="20" customHeight="1" thickBot="1">
      <c r="A21" s="194">
        <v>2010</v>
      </c>
      <c r="B21" s="368">
        <v>248.75569699000002</v>
      </c>
      <c r="C21" s="365">
        <v>187.17</v>
      </c>
      <c r="D21" s="368">
        <v>191.6446435</v>
      </c>
      <c r="E21" s="365">
        <v>146.13</v>
      </c>
      <c r="F21" s="366">
        <v>245655.8</v>
      </c>
      <c r="G21" s="779">
        <v>78</v>
      </c>
    </row>
    <row r="22" spans="1:7" ht="30" customHeight="1" thickBot="1">
      <c r="A22" s="499">
        <v>2011</v>
      </c>
      <c r="B22" s="780">
        <v>239.7804921</v>
      </c>
      <c r="C22" s="519">
        <v>188.13</v>
      </c>
      <c r="D22" s="780">
        <v>188.23914503</v>
      </c>
      <c r="E22" s="519">
        <v>127.69</v>
      </c>
      <c r="F22" s="518">
        <v>217512.65</v>
      </c>
      <c r="G22" s="781">
        <v>62</v>
      </c>
    </row>
    <row r="23" spans="1:7" ht="20" customHeight="1">
      <c r="A23" s="112" t="s">
        <v>720</v>
      </c>
      <c r="B23" s="112"/>
      <c r="C23" s="112"/>
      <c r="D23" s="112"/>
      <c r="E23" s="112"/>
      <c r="F23" s="112"/>
      <c r="G23" s="112"/>
    </row>
    <row r="24" spans="1:7" ht="13.5" customHeight="1">
      <c r="A24" s="115"/>
      <c r="B24" s="115"/>
      <c r="C24" s="115"/>
      <c r="D24" s="115"/>
      <c r="E24" s="115"/>
      <c r="F24" s="115"/>
      <c r="G24" s="115"/>
    </row>
    <row r="25" spans="1:7" ht="15.75" customHeight="1">
      <c r="A25" s="115" t="s">
        <v>1171</v>
      </c>
      <c r="B25" s="115"/>
      <c r="C25" s="115"/>
      <c r="D25" s="115"/>
      <c r="E25" s="115"/>
      <c r="F25" s="115"/>
      <c r="G25" s="115"/>
    </row>
    <row r="26" spans="1:7" ht="14.25" customHeight="1">
      <c r="A26" s="115"/>
      <c r="B26" s="115"/>
      <c r="C26" s="115"/>
      <c r="D26" s="115"/>
      <c r="E26" s="115"/>
      <c r="F26" s="115"/>
      <c r="G26" s="115"/>
    </row>
    <row r="27" spans="1:7" ht="12.75" customHeight="1">
      <c r="A27" s="115" t="s">
        <v>1172</v>
      </c>
      <c r="B27" s="115"/>
      <c r="C27" s="115"/>
      <c r="D27" s="115"/>
      <c r="E27" s="115"/>
      <c r="F27" s="115"/>
      <c r="G27" s="115"/>
    </row>
    <row r="28" spans="1:7">
      <c r="A28" s="3" t="s">
        <v>1173</v>
      </c>
    </row>
    <row r="31" spans="1:7">
      <c r="A31" s="3" t="s">
        <v>719</v>
      </c>
    </row>
  </sheetData>
  <mergeCells count="1">
    <mergeCell ref="A2:F2"/>
  </mergeCells>
  <pageMargins left="0.62" right="0.64" top="1.01" bottom="0.49" header="0.53" footer="0.4921259845"/>
  <pageSetup paperSize="9" scale="85" orientation="portrait" horizontalDpi="4294967292" verticalDpi="4294967292"/>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E2EC-0974-E24B-813E-4407D6918566}">
  <sheetPr>
    <pageSetUpPr fitToPage="1"/>
  </sheetPr>
  <dimension ref="A1:K28"/>
  <sheetViews>
    <sheetView zoomScaleNormal="100" workbookViewId="0">
      <selection activeCell="A3" sqref="A3"/>
    </sheetView>
  </sheetViews>
  <sheetFormatPr baseColWidth="10" defaultColWidth="11.3984375" defaultRowHeight="13"/>
  <cols>
    <col min="1" max="1" width="16.796875" style="3" customWidth="1"/>
    <col min="2" max="2" width="14.59765625" style="3" customWidth="1"/>
    <col min="3" max="3" width="14.59765625" style="119" customWidth="1"/>
    <col min="4" max="4" width="14.59765625" style="3" customWidth="1"/>
    <col min="5" max="5" width="14.59765625" style="119" customWidth="1"/>
    <col min="6" max="6" width="14.59765625" style="3" customWidth="1"/>
    <col min="7" max="7" width="15.3984375" style="119" customWidth="1"/>
    <col min="8" max="16384" width="11.3984375" style="3"/>
  </cols>
  <sheetData>
    <row r="1" spans="1:11" s="2" customFormat="1" ht="14" customHeight="1">
      <c r="C1" s="88"/>
      <c r="E1" s="88"/>
      <c r="G1" s="88"/>
    </row>
    <row r="2" spans="1:11" s="2" customFormat="1" ht="24.5" customHeight="1">
      <c r="A2" s="246" t="s">
        <v>1192</v>
      </c>
      <c r="C2" s="88"/>
      <c r="E2" s="88"/>
      <c r="G2" s="246"/>
    </row>
    <row r="3" spans="1:11" ht="24" customHeight="1">
      <c r="A3" s="92" t="s">
        <v>469</v>
      </c>
      <c r="B3" s="182" t="s">
        <v>1193</v>
      </c>
      <c r="C3" s="94" t="s">
        <v>279</v>
      </c>
      <c r="D3" s="182" t="s">
        <v>1194</v>
      </c>
      <c r="E3" s="94" t="s">
        <v>279</v>
      </c>
      <c r="F3" s="182" t="s">
        <v>416</v>
      </c>
      <c r="G3" s="94" t="s">
        <v>279</v>
      </c>
    </row>
    <row r="4" spans="1:11" ht="15" customHeight="1">
      <c r="A4" s="184"/>
      <c r="B4" s="185" t="s">
        <v>416</v>
      </c>
      <c r="C4" s="95" t="s">
        <v>282</v>
      </c>
      <c r="D4" s="185" t="s">
        <v>1195</v>
      </c>
      <c r="E4" s="95" t="s">
        <v>282</v>
      </c>
      <c r="F4" s="185" t="s">
        <v>1196</v>
      </c>
      <c r="G4" s="95" t="s">
        <v>282</v>
      </c>
    </row>
    <row r="5" spans="1:11" ht="15" customHeight="1">
      <c r="A5" s="184"/>
      <c r="B5" s="185" t="s">
        <v>1197</v>
      </c>
      <c r="C5" s="95" t="s">
        <v>283</v>
      </c>
      <c r="D5" s="185" t="s">
        <v>1198</v>
      </c>
      <c r="E5" s="95" t="s">
        <v>283</v>
      </c>
      <c r="F5" s="185" t="s">
        <v>896</v>
      </c>
      <c r="G5" s="95" t="s">
        <v>283</v>
      </c>
    </row>
    <row r="6" spans="1:11" ht="24" customHeight="1">
      <c r="A6" s="188"/>
      <c r="B6" s="189"/>
      <c r="C6" s="97"/>
      <c r="D6" s="189" t="s">
        <v>1199</v>
      </c>
      <c r="E6" s="97"/>
      <c r="F6" s="189"/>
      <c r="G6" s="97"/>
    </row>
    <row r="7" spans="1:11" ht="1.5" customHeight="1" thickBot="1">
      <c r="A7" s="192">
        <v>1996</v>
      </c>
      <c r="B7" s="100">
        <v>842626041.5999999</v>
      </c>
      <c r="C7" s="101">
        <v>-0.22395165786377283</v>
      </c>
      <c r="D7" s="100">
        <v>918792074.10000002</v>
      </c>
      <c r="E7" s="101">
        <v>-0.174100182026726</v>
      </c>
      <c r="F7" s="100">
        <v>-76164233.309999987</v>
      </c>
      <c r="G7" s="101">
        <v>-1.8543740517491432</v>
      </c>
      <c r="I7" s="9"/>
      <c r="J7" s="9"/>
      <c r="K7" s="9"/>
    </row>
    <row r="8" spans="1:11" ht="0.75" hidden="1" customHeight="1" thickBot="1">
      <c r="A8" s="194">
        <v>1997</v>
      </c>
      <c r="B8" s="195">
        <v>582586264.20000005</v>
      </c>
      <c r="C8" s="197">
        <v>-0.30860638594343665</v>
      </c>
      <c r="D8" s="195">
        <v>600844654.99000001</v>
      </c>
      <c r="E8" s="197">
        <v>-0.34604937076916387</v>
      </c>
      <c r="F8" s="195">
        <v>-18258290.829999998</v>
      </c>
      <c r="G8" s="197">
        <v>0.76027736331716245</v>
      </c>
    </row>
    <row r="9" spans="1:11" ht="19.5" hidden="1" customHeight="1" thickBot="1">
      <c r="A9" s="194">
        <v>1998</v>
      </c>
      <c r="B9" s="195">
        <v>506597985.24000001</v>
      </c>
      <c r="C9" s="197">
        <v>-0.13043266487641306</v>
      </c>
      <c r="D9" s="195">
        <v>466707907.44999999</v>
      </c>
      <c r="E9" s="197">
        <v>-0.22324696812395292</v>
      </c>
      <c r="F9" s="195">
        <v>39890107.789999999</v>
      </c>
      <c r="G9" s="197">
        <v>3.1847668087561076</v>
      </c>
    </row>
    <row r="10" spans="1:11" ht="0.5" customHeight="1" thickBot="1">
      <c r="A10" s="194">
        <v>1999</v>
      </c>
      <c r="B10" s="195">
        <v>464005598.98000002</v>
      </c>
      <c r="C10" s="197">
        <v>-8.4075317117224449E-2</v>
      </c>
      <c r="D10" s="195">
        <v>422158429.66000003</v>
      </c>
      <c r="E10" s="197">
        <v>-9.5454731061681661E-2</v>
      </c>
      <c r="F10" s="195">
        <v>41847169.719999999</v>
      </c>
      <c r="G10" s="197">
        <v>4.9061334712427351E-2</v>
      </c>
    </row>
    <row r="11" spans="1:11" ht="20" hidden="1" customHeight="1" thickBot="1">
      <c r="A11" s="194">
        <v>2000</v>
      </c>
      <c r="B11" s="195">
        <v>458973777.85000002</v>
      </c>
      <c r="C11" s="197">
        <v>-1.0844311234737667E-2</v>
      </c>
      <c r="D11" s="195">
        <v>416527371.23000002</v>
      </c>
      <c r="E11" s="197">
        <v>-1.3338732651945802E-2</v>
      </c>
      <c r="F11" s="195">
        <v>42446406.640000001</v>
      </c>
      <c r="G11" s="197">
        <v>1.4319652296905794E-2</v>
      </c>
    </row>
    <row r="12" spans="1:11" ht="20" customHeight="1" thickBot="1">
      <c r="A12" s="194">
        <v>2001</v>
      </c>
      <c r="B12" s="195">
        <v>405199385</v>
      </c>
      <c r="C12" s="197">
        <v>-0.11716223332387053</v>
      </c>
      <c r="D12" s="195">
        <v>389159830</v>
      </c>
      <c r="E12" s="197">
        <v>-6.5704064415224431E-2</v>
      </c>
      <c r="F12" s="195">
        <v>16039555</v>
      </c>
      <c r="G12" s="197">
        <v>-0.62212219432292559</v>
      </c>
    </row>
    <row r="13" spans="1:11" ht="20" customHeight="1" thickBot="1">
      <c r="A13" s="194">
        <v>2002</v>
      </c>
      <c r="B13" s="195">
        <v>372184863.34999996</v>
      </c>
      <c r="C13" s="197">
        <v>-8.147722546518682E-2</v>
      </c>
      <c r="D13" s="195">
        <v>361726442.44999999</v>
      </c>
      <c r="E13" s="197">
        <v>-7.0493883065988625E-2</v>
      </c>
      <c r="F13" s="195">
        <v>10458420.890000001</v>
      </c>
      <c r="G13" s="197">
        <v>-0.34796065788608221</v>
      </c>
    </row>
    <row r="14" spans="1:11" ht="20" customHeight="1" thickBot="1">
      <c r="A14" s="194">
        <v>2003</v>
      </c>
      <c r="B14" s="195">
        <v>364678826.25</v>
      </c>
      <c r="C14" s="197">
        <v>-2.016749695954545E-2</v>
      </c>
      <c r="D14" s="195">
        <v>338730046.06999999</v>
      </c>
      <c r="E14" s="197">
        <v>-6.357399869427216E-2</v>
      </c>
      <c r="F14" s="195">
        <v>25948780.16</v>
      </c>
      <c r="G14" s="197">
        <v>1.4811374903463079</v>
      </c>
    </row>
    <row r="15" spans="1:11" ht="20" customHeight="1" thickBot="1">
      <c r="A15" s="194">
        <v>2004</v>
      </c>
      <c r="B15" s="195">
        <v>363267822.86999995</v>
      </c>
      <c r="C15" s="197">
        <v>-3.8691672738706551E-3</v>
      </c>
      <c r="D15" s="195">
        <v>315178869.18000001</v>
      </c>
      <c r="E15" s="197">
        <v>-6.9527864927379501E-2</v>
      </c>
      <c r="F15" s="195">
        <v>48088953.700000003</v>
      </c>
      <c r="G15" s="197">
        <v>0.85322598609583356</v>
      </c>
    </row>
    <row r="16" spans="1:11" ht="20" customHeight="1" thickBot="1">
      <c r="A16" s="194">
        <v>2005</v>
      </c>
      <c r="B16" s="195">
        <v>347836052.75999999</v>
      </c>
      <c r="C16" s="197">
        <v>-4.2480421161668391E-2</v>
      </c>
      <c r="D16" s="195">
        <v>299546558.91000003</v>
      </c>
      <c r="E16" s="197">
        <v>-4.9598218023532259E-2</v>
      </c>
      <c r="F16" s="195">
        <v>48289493.789999999</v>
      </c>
      <c r="G16" s="197">
        <v>4.1701903362476589E-3</v>
      </c>
    </row>
    <row r="17" spans="1:7" ht="20" customHeight="1" thickBot="1">
      <c r="A17" s="194">
        <v>2006</v>
      </c>
      <c r="B17" s="195">
        <v>318876960.83999997</v>
      </c>
      <c r="C17" s="197">
        <v>-8.3255003873854427E-2</v>
      </c>
      <c r="D17" s="195">
        <v>268580125.52999997</v>
      </c>
      <c r="E17" s="197">
        <v>-0.10337769691857501</v>
      </c>
      <c r="F17" s="195">
        <v>50296835.340000004</v>
      </c>
      <c r="G17" s="197">
        <v>4.1568908523445636E-2</v>
      </c>
    </row>
    <row r="18" spans="1:7" ht="20" customHeight="1" thickBot="1">
      <c r="A18" s="194">
        <v>2007</v>
      </c>
      <c r="B18" s="195">
        <v>303789909.62</v>
      </c>
      <c r="C18" s="197">
        <v>-4.7313080193241208E-2</v>
      </c>
      <c r="D18" s="195">
        <v>263420170.53999999</v>
      </c>
      <c r="E18" s="197">
        <v>-1.9211976239186135E-2</v>
      </c>
      <c r="F18" s="195">
        <v>40369739.060000002</v>
      </c>
      <c r="G18" s="197">
        <v>-0.19737019661165822</v>
      </c>
    </row>
    <row r="19" spans="1:7" ht="20" customHeight="1" thickBot="1">
      <c r="A19" s="194">
        <v>2008</v>
      </c>
      <c r="B19" s="195">
        <v>271278805.46999997</v>
      </c>
      <c r="C19" s="197">
        <v>-0.10701838053366231</v>
      </c>
      <c r="D19" s="195">
        <v>245016339.53</v>
      </c>
      <c r="E19" s="197">
        <v>-6.9864927094508089E-2</v>
      </c>
      <c r="F19" s="195">
        <v>26262465.899999999</v>
      </c>
      <c r="G19" s="197">
        <v>-0.34945168060246568</v>
      </c>
    </row>
    <row r="20" spans="1:7" ht="20" customHeight="1" thickBot="1">
      <c r="A20" s="194">
        <v>2009</v>
      </c>
      <c r="B20" s="195">
        <v>277148196.68000001</v>
      </c>
      <c r="C20" s="197">
        <v>2.1636010966028518E-2</v>
      </c>
      <c r="D20" s="195">
        <v>250833615.63</v>
      </c>
      <c r="E20" s="197">
        <v>2.374240065441735E-2</v>
      </c>
      <c r="F20" s="195">
        <v>26314581.050000001</v>
      </c>
      <c r="G20" s="197">
        <v>1.9843966746475594E-3</v>
      </c>
    </row>
    <row r="21" spans="1:7" ht="20" customHeight="1" thickBot="1">
      <c r="A21" s="194">
        <v>2010</v>
      </c>
      <c r="B21" s="195">
        <v>251294287.29999998</v>
      </c>
      <c r="C21" s="197">
        <v>-9.3285504613444759E-2</v>
      </c>
      <c r="D21" s="195">
        <v>234293636.81</v>
      </c>
      <c r="E21" s="197">
        <v>-6.5940040685765977E-2</v>
      </c>
      <c r="F21" s="195">
        <v>17000650.449999999</v>
      </c>
      <c r="G21" s="197">
        <v>-0.35394561601808217</v>
      </c>
    </row>
    <row r="22" spans="1:7" ht="27" customHeight="1" thickBot="1">
      <c r="A22" s="499">
        <v>2011</v>
      </c>
      <c r="B22" s="108">
        <v>243823250.67999998</v>
      </c>
      <c r="C22" s="109">
        <v>-2.9730228650526103E-2</v>
      </c>
      <c r="D22" s="108">
        <v>229950931.72999999</v>
      </c>
      <c r="E22" s="109">
        <v>-1.8535309533488142E-2</v>
      </c>
      <c r="F22" s="108">
        <v>13872318.99</v>
      </c>
      <c r="G22" s="109">
        <v>-0.18401245700572588</v>
      </c>
    </row>
    <row r="23" spans="1:7" ht="20" customHeight="1">
      <c r="A23" s="112" t="s">
        <v>720</v>
      </c>
      <c r="B23" s="112"/>
      <c r="C23" s="114"/>
      <c r="D23" s="112"/>
      <c r="E23" s="114"/>
      <c r="F23" s="112"/>
      <c r="G23" s="114"/>
    </row>
    <row r="24" spans="1:7" ht="15.75" customHeight="1">
      <c r="A24" s="115"/>
      <c r="B24" s="115"/>
      <c r="C24" s="117"/>
      <c r="D24" s="115"/>
      <c r="E24" s="117"/>
      <c r="F24" s="115"/>
      <c r="G24" s="117"/>
    </row>
    <row r="25" spans="1:7" ht="15.75" customHeight="1">
      <c r="A25" s="115" t="s">
        <v>1200</v>
      </c>
      <c r="B25" s="115"/>
      <c r="C25" s="117"/>
      <c r="D25" s="115"/>
      <c r="E25" s="117"/>
      <c r="F25" s="115"/>
      <c r="G25" s="117"/>
    </row>
    <row r="28" spans="1:7">
      <c r="A28" s="3" t="s">
        <v>719</v>
      </c>
    </row>
  </sheetData>
  <pageMargins left="0.57999999999999996" right="0.65" top="0.96" bottom="0.49" header="0.49" footer="0.4921259845"/>
  <pageSetup paperSize="9" scale="84" orientation="portrait" horizontalDpi="4294967292" verticalDpi="4294967292"/>
  <headerFooter alignWithMargins="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A559-C305-B447-89E4-B6E0B02A7763}">
  <sheetPr>
    <pageSetUpPr fitToPage="1"/>
  </sheetPr>
  <dimension ref="A1:H39"/>
  <sheetViews>
    <sheetView zoomScaleNormal="100" workbookViewId="0">
      <selection activeCell="A19" sqref="A19"/>
    </sheetView>
  </sheetViews>
  <sheetFormatPr baseColWidth="10" defaultColWidth="11.3984375" defaultRowHeight="13"/>
  <cols>
    <col min="1" max="1" width="33.796875" style="3" customWidth="1"/>
    <col min="2" max="3" width="17.59765625" style="3" customWidth="1"/>
    <col min="4" max="4" width="17.59765625" style="110" customWidth="1"/>
    <col min="5" max="5" width="17.59765625" style="797" customWidth="1"/>
    <col min="6" max="6" width="11.3984375" style="3"/>
    <col min="7" max="7" width="14.59765625" style="3" hidden="1" customWidth="1"/>
    <col min="8" max="8" width="14.3984375" style="3" hidden="1" customWidth="1"/>
    <col min="9" max="16384" width="11.3984375" style="3"/>
  </cols>
  <sheetData>
    <row r="1" spans="1:8" s="2" customFormat="1" ht="14" customHeight="1">
      <c r="D1" s="17"/>
      <c r="E1" s="782"/>
    </row>
    <row r="2" spans="1:8" s="2" customFormat="1" ht="40.5" customHeight="1">
      <c r="A2" s="1843" t="s">
        <v>1174</v>
      </c>
      <c r="B2" s="1847"/>
      <c r="C2" s="1847"/>
      <c r="D2" s="1847"/>
      <c r="E2" s="246">
        <v>2011</v>
      </c>
    </row>
    <row r="3" spans="1:8" ht="24" customHeight="1">
      <c r="A3" s="92" t="s">
        <v>1175</v>
      </c>
      <c r="B3" s="182" t="s">
        <v>1176</v>
      </c>
      <c r="C3" s="183" t="s">
        <v>1177</v>
      </c>
      <c r="D3" s="466" t="s">
        <v>278</v>
      </c>
      <c r="E3" s="783" t="s">
        <v>279</v>
      </c>
    </row>
    <row r="4" spans="1:8" ht="15" customHeight="1">
      <c r="A4" s="184"/>
      <c r="B4" s="185" t="s">
        <v>1178</v>
      </c>
      <c r="C4" s="186" t="s">
        <v>1179</v>
      </c>
      <c r="D4" s="341"/>
      <c r="E4" s="784" t="s">
        <v>282</v>
      </c>
    </row>
    <row r="5" spans="1:8" ht="15" customHeight="1">
      <c r="A5" s="184"/>
      <c r="B5" s="185"/>
      <c r="C5" s="186"/>
      <c r="D5" s="341"/>
      <c r="E5" s="784" t="s">
        <v>283</v>
      </c>
    </row>
    <row r="6" spans="1:8" ht="24" customHeight="1">
      <c r="A6" s="188"/>
      <c r="B6" s="189"/>
      <c r="C6" s="190"/>
      <c r="D6" s="273"/>
      <c r="E6" s="474"/>
      <c r="G6" s="785" t="s">
        <v>1180</v>
      </c>
      <c r="H6" s="785" t="s">
        <v>1181</v>
      </c>
    </row>
    <row r="7" spans="1:8" ht="30" customHeight="1" thickBot="1">
      <c r="A7" s="786" t="s">
        <v>1182</v>
      </c>
      <c r="B7" s="100">
        <v>60</v>
      </c>
      <c r="C7" s="193">
        <v>36</v>
      </c>
      <c r="D7" s="420">
        <v>62</v>
      </c>
      <c r="E7" s="787">
        <v>-0.20512820512820512</v>
      </c>
      <c r="F7" s="8"/>
      <c r="G7" s="410">
        <v>109</v>
      </c>
      <c r="H7" s="410">
        <v>109</v>
      </c>
    </row>
    <row r="8" spans="1:8" ht="25.5" customHeight="1" thickBot="1">
      <c r="A8" s="788" t="s">
        <v>1183</v>
      </c>
      <c r="B8" s="195"/>
      <c r="C8" s="196"/>
      <c r="D8" s="413"/>
      <c r="E8" s="197">
        <v>0</v>
      </c>
      <c r="G8" s="195"/>
      <c r="H8" s="195"/>
    </row>
    <row r="9" spans="1:8" ht="20" customHeight="1" thickBot="1">
      <c r="A9" s="365" t="s">
        <v>276</v>
      </c>
      <c r="B9" s="195">
        <v>93987.03</v>
      </c>
      <c r="C9" s="196" t="s">
        <v>30</v>
      </c>
      <c r="D9" s="413" t="s">
        <v>30</v>
      </c>
      <c r="E9" s="197">
        <v>-0.11725620018207697</v>
      </c>
      <c r="G9" s="195">
        <v>747913</v>
      </c>
      <c r="H9" s="195">
        <v>541989</v>
      </c>
    </row>
    <row r="10" spans="1:8" ht="20" customHeight="1" thickBot="1">
      <c r="A10" s="365" t="s">
        <v>277</v>
      </c>
      <c r="B10" s="195">
        <v>123525.62</v>
      </c>
      <c r="C10" s="196" t="s">
        <v>30</v>
      </c>
      <c r="D10" s="413" t="s">
        <v>30</v>
      </c>
      <c r="E10" s="197">
        <v>-0.11250339747297697</v>
      </c>
      <c r="G10" s="195">
        <v>671493</v>
      </c>
      <c r="H10" s="195">
        <v>525355</v>
      </c>
    </row>
    <row r="11" spans="1:8" ht="20" customHeight="1" thickBot="1">
      <c r="A11" s="365" t="s">
        <v>278</v>
      </c>
      <c r="B11" s="195">
        <v>217512.65</v>
      </c>
      <c r="C11" s="196" t="s">
        <v>30</v>
      </c>
      <c r="D11" s="413" t="s">
        <v>30</v>
      </c>
      <c r="E11" s="197">
        <v>-0.1145633443216077</v>
      </c>
      <c r="G11" s="195">
        <v>1419406</v>
      </c>
      <c r="H11" s="195">
        <v>1067344</v>
      </c>
    </row>
    <row r="12" spans="1:8" ht="24" customHeight="1" thickBot="1">
      <c r="A12" s="788" t="s">
        <v>1184</v>
      </c>
      <c r="B12" s="195"/>
      <c r="C12" s="196"/>
      <c r="D12" s="413"/>
      <c r="E12" s="197">
        <v>0</v>
      </c>
      <c r="G12" s="195"/>
      <c r="H12" s="195"/>
    </row>
    <row r="13" spans="1:8" ht="20" customHeight="1" thickBot="1">
      <c r="A13" s="365" t="s">
        <v>276</v>
      </c>
      <c r="B13" s="195">
        <v>25972788.460000001</v>
      </c>
      <c r="C13" s="196">
        <v>144279896.09</v>
      </c>
      <c r="D13" s="413">
        <v>170252684.53999999</v>
      </c>
      <c r="E13" s="789">
        <v>-1.3478812167584342E-2</v>
      </c>
      <c r="G13" s="195">
        <v>346254879</v>
      </c>
      <c r="H13" s="195">
        <v>346254879</v>
      </c>
    </row>
    <row r="14" spans="1:8" ht="20" customHeight="1" thickBot="1">
      <c r="A14" s="365" t="s">
        <v>277</v>
      </c>
      <c r="B14" s="195">
        <v>14947113.140000001</v>
      </c>
      <c r="C14" s="196">
        <v>54580694.43</v>
      </c>
      <c r="D14" s="413">
        <v>69527807.560000002</v>
      </c>
      <c r="E14" s="789">
        <v>-8.7284347869472478E-2</v>
      </c>
      <c r="G14" s="195">
        <v>118228128</v>
      </c>
      <c r="H14" s="195">
        <v>118228128</v>
      </c>
    </row>
    <row r="15" spans="1:8" ht="20" customHeight="1" thickBot="1">
      <c r="A15" s="365" t="s">
        <v>278</v>
      </c>
      <c r="B15" s="195">
        <v>40919901.579999998</v>
      </c>
      <c r="C15" s="196">
        <v>198860590.52000001</v>
      </c>
      <c r="D15" s="413">
        <v>239780492.09999999</v>
      </c>
      <c r="E15" s="789">
        <v>-3.6080399358093172E-2</v>
      </c>
      <c r="G15" s="195">
        <v>464483007</v>
      </c>
      <c r="H15" s="195">
        <v>464483007</v>
      </c>
    </row>
    <row r="16" spans="1:8" ht="33.75" customHeight="1" thickBot="1">
      <c r="A16" s="790" t="s">
        <v>1185</v>
      </c>
      <c r="B16" s="195"/>
      <c r="C16" s="196"/>
      <c r="D16" s="413"/>
      <c r="E16" s="197"/>
      <c r="G16" s="195"/>
      <c r="H16" s="195"/>
    </row>
    <row r="17" spans="1:8" ht="20" customHeight="1" thickBot="1">
      <c r="A17" s="365" t="s">
        <v>276</v>
      </c>
      <c r="B17" s="195">
        <v>276.33999999999997</v>
      </c>
      <c r="C17" s="196" t="s">
        <v>30</v>
      </c>
      <c r="D17" s="413" t="s">
        <v>30</v>
      </c>
      <c r="E17" s="197">
        <v>2.7897634280613006E-2</v>
      </c>
      <c r="G17" s="195">
        <v>462.96</v>
      </c>
      <c r="H17" s="195">
        <v>638.86</v>
      </c>
    </row>
    <row r="18" spans="1:8" ht="20" customHeight="1" thickBot="1">
      <c r="A18" s="365" t="s">
        <v>277</v>
      </c>
      <c r="B18" s="195">
        <v>121</v>
      </c>
      <c r="C18" s="196" t="s">
        <v>30</v>
      </c>
      <c r="D18" s="413" t="s">
        <v>30</v>
      </c>
      <c r="E18" s="197">
        <v>-2.9593391611195747E-2</v>
      </c>
      <c r="G18" s="195">
        <v>176.07</v>
      </c>
      <c r="H18" s="195">
        <v>225.04</v>
      </c>
    </row>
    <row r="19" spans="1:8" ht="20" customHeight="1" thickBot="1">
      <c r="A19" s="365" t="s">
        <v>683</v>
      </c>
      <c r="B19" s="195">
        <v>188.13</v>
      </c>
      <c r="C19" s="196" t="s">
        <v>30</v>
      </c>
      <c r="D19" s="413" t="s">
        <v>30</v>
      </c>
      <c r="E19" s="197">
        <v>5.12902708767435E-3</v>
      </c>
      <c r="G19" s="195">
        <v>327.24</v>
      </c>
      <c r="H19" s="195">
        <v>435.18</v>
      </c>
    </row>
    <row r="20" spans="1:8" ht="24" customHeight="1" thickBot="1">
      <c r="A20" s="788" t="s">
        <v>1186</v>
      </c>
      <c r="B20" s="195"/>
      <c r="C20" s="196"/>
      <c r="D20" s="413"/>
      <c r="E20" s="197"/>
      <c r="G20" s="195"/>
      <c r="H20" s="195"/>
    </row>
    <row r="21" spans="1:8" ht="20" customHeight="1" thickBot="1">
      <c r="A21" s="365" t="s">
        <v>276</v>
      </c>
      <c r="B21" s="195">
        <v>17761905.98</v>
      </c>
      <c r="C21" s="196">
        <v>118409110.03</v>
      </c>
      <c r="D21" s="413">
        <v>136171016.03</v>
      </c>
      <c r="E21" s="789">
        <v>2.174218346015834E-2</v>
      </c>
      <c r="G21" s="195">
        <v>297772901</v>
      </c>
      <c r="H21" s="195">
        <v>297772901</v>
      </c>
    </row>
    <row r="22" spans="1:8" ht="20" customHeight="1" thickBot="1">
      <c r="A22" s="365" t="s">
        <v>277</v>
      </c>
      <c r="B22" s="195">
        <v>10012113.24</v>
      </c>
      <c r="C22" s="196">
        <v>42056015.780000001</v>
      </c>
      <c r="D22" s="413">
        <v>52068129</v>
      </c>
      <c r="E22" s="789">
        <v>-0.107983792939645</v>
      </c>
      <c r="G22" s="195">
        <v>114376252</v>
      </c>
      <c r="H22" s="195">
        <v>114376252</v>
      </c>
    </row>
    <row r="23" spans="1:8" ht="20" customHeight="1" thickBot="1">
      <c r="A23" s="365" t="s">
        <v>278</v>
      </c>
      <c r="B23" s="195">
        <v>27774019.23</v>
      </c>
      <c r="C23" s="196">
        <v>160465125.80000001</v>
      </c>
      <c r="D23" s="413">
        <v>188239145.03</v>
      </c>
      <c r="E23" s="789">
        <v>-1.7769859923061189E-2</v>
      </c>
      <c r="G23" s="195">
        <v>412149153</v>
      </c>
      <c r="H23" s="195">
        <v>412149153</v>
      </c>
    </row>
    <row r="24" spans="1:8" ht="24" customHeight="1" thickBot="1">
      <c r="A24" s="147" t="s">
        <v>1187</v>
      </c>
      <c r="B24" s="195">
        <v>205259.4</v>
      </c>
      <c r="C24" s="196">
        <v>4217694.6500000004</v>
      </c>
      <c r="D24" s="413">
        <v>4422954.05</v>
      </c>
      <c r="E24" s="789">
        <v>4.6485768810957485E-2</v>
      </c>
      <c r="G24" s="154">
        <v>21005933</v>
      </c>
      <c r="H24" s="154">
        <v>21005933</v>
      </c>
    </row>
    <row r="25" spans="1:8" ht="34.5" customHeight="1" thickBot="1">
      <c r="A25" s="790" t="s">
        <v>1188</v>
      </c>
      <c r="B25" s="195"/>
      <c r="C25" s="196"/>
      <c r="D25" s="413"/>
      <c r="E25" s="197">
        <v>0</v>
      </c>
      <c r="G25" s="195"/>
      <c r="H25" s="195"/>
    </row>
    <row r="26" spans="1:8" ht="20" customHeight="1" thickBot="1">
      <c r="A26" s="365" t="s">
        <v>276</v>
      </c>
      <c r="B26" s="195">
        <v>188.98</v>
      </c>
      <c r="C26" s="196" t="s">
        <v>30</v>
      </c>
      <c r="D26" s="413" t="s">
        <v>30</v>
      </c>
      <c r="E26" s="197">
        <v>-0.15065168539325846</v>
      </c>
      <c r="G26" s="195">
        <v>398.14</v>
      </c>
      <c r="H26" s="195">
        <v>549.41</v>
      </c>
    </row>
    <row r="27" spans="1:8" ht="20" customHeight="1" thickBot="1">
      <c r="A27" s="365" t="s">
        <v>277</v>
      </c>
      <c r="B27" s="195">
        <v>81.05</v>
      </c>
      <c r="C27" s="196" t="s">
        <v>30</v>
      </c>
      <c r="D27" s="413" t="s">
        <v>30</v>
      </c>
      <c r="E27" s="197">
        <v>-7.5826681870011459E-2</v>
      </c>
      <c r="G27" s="195">
        <v>170.33</v>
      </c>
      <c r="H27" s="195">
        <v>217.71</v>
      </c>
    </row>
    <row r="28" spans="1:8" ht="30" customHeight="1" thickBot="1">
      <c r="A28" s="791" t="s">
        <v>683</v>
      </c>
      <c r="B28" s="154">
        <v>127.69</v>
      </c>
      <c r="C28" s="155" t="s">
        <v>30</v>
      </c>
      <c r="D28" s="108" t="s">
        <v>30</v>
      </c>
      <c r="E28" s="792">
        <v>-0.12618900978580716</v>
      </c>
      <c r="G28" s="793">
        <v>290.37</v>
      </c>
      <c r="H28" s="793">
        <v>386.14</v>
      </c>
    </row>
    <row r="29" spans="1:8" ht="20" customHeight="1">
      <c r="A29" s="112" t="s">
        <v>720</v>
      </c>
      <c r="B29" s="112"/>
      <c r="C29" s="112"/>
      <c r="D29" s="794"/>
      <c r="E29" s="795"/>
    </row>
    <row r="30" spans="1:8" ht="14.25" customHeight="1">
      <c r="A30" s="115"/>
      <c r="B30" s="115"/>
      <c r="C30" s="115"/>
      <c r="D30" s="387"/>
      <c r="E30" s="796"/>
    </row>
    <row r="31" spans="1:8" ht="14.25" customHeight="1">
      <c r="A31" s="115" t="s">
        <v>1189</v>
      </c>
      <c r="B31" s="115"/>
      <c r="C31" s="115"/>
      <c r="D31" s="387"/>
      <c r="E31" s="796"/>
    </row>
    <row r="32" spans="1:8" ht="14.25" customHeight="1">
      <c r="A32" s="115"/>
      <c r="B32" s="115"/>
      <c r="C32" s="115"/>
      <c r="D32" s="387"/>
      <c r="E32" s="796"/>
    </row>
    <row r="33" spans="1:1">
      <c r="A33" s="115" t="s">
        <v>1153</v>
      </c>
    </row>
    <row r="34" spans="1:1">
      <c r="A34" s="3" t="s">
        <v>1154</v>
      </c>
    </row>
    <row r="35" spans="1:1">
      <c r="A35" s="3" t="s">
        <v>1190</v>
      </c>
    </row>
    <row r="36" spans="1:1">
      <c r="A36" s="3" t="s">
        <v>1191</v>
      </c>
    </row>
    <row r="39" spans="1:1">
      <c r="A39" s="3" t="s">
        <v>719</v>
      </c>
    </row>
  </sheetData>
  <mergeCells count="1">
    <mergeCell ref="A2:D2"/>
  </mergeCells>
  <pageMargins left="0.55118110236220474" right="0.55118110236220474" top="0.94488188976377963" bottom="0.47244094488188981" header="0.55118110236220474" footer="0.51181102362204722"/>
  <pageSetup paperSize="9" scale="89" orientation="portrait" horizontalDpi="1200" verticalDpi="1200"/>
  <headerFooter alignWithMargins="0"/>
  <legacy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1D9-644A-4F48-BA03-B012C63BF5CB}">
  <dimension ref="A1:E37"/>
  <sheetViews>
    <sheetView zoomScaleNormal="100" workbookViewId="0">
      <selection activeCell="D12" sqref="D12"/>
    </sheetView>
  </sheetViews>
  <sheetFormatPr baseColWidth="10" defaultColWidth="11.3984375" defaultRowHeight="13"/>
  <cols>
    <col min="1" max="1" width="8.796875" style="3" customWidth="1"/>
    <col min="2" max="2" width="48.796875" style="119" customWidth="1"/>
    <col min="3" max="3" width="16.796875" style="3" customWidth="1"/>
    <col min="4" max="4" width="16.796875" style="8" customWidth="1"/>
    <col min="5" max="5" width="16.796875" style="434" customWidth="1"/>
    <col min="6" max="16384" width="11.3984375" style="3"/>
  </cols>
  <sheetData>
    <row r="1" spans="1:5" s="2" customFormat="1" ht="14" customHeight="1">
      <c r="B1" s="88"/>
      <c r="D1" s="406"/>
      <c r="E1" s="769"/>
    </row>
    <row r="2" spans="1:5" s="2" customFormat="1" ht="25.25" customHeight="1">
      <c r="A2" s="246" t="s">
        <v>1203</v>
      </c>
      <c r="B2" s="88"/>
      <c r="D2" s="406"/>
      <c r="E2" s="246">
        <v>2011</v>
      </c>
    </row>
    <row r="3" spans="1:5" ht="39" customHeight="1">
      <c r="A3" s="419" t="s">
        <v>558</v>
      </c>
      <c r="B3" s="94"/>
      <c r="C3" s="182" t="s">
        <v>559</v>
      </c>
      <c r="D3" s="229" t="s">
        <v>560</v>
      </c>
      <c r="E3" s="407" t="s">
        <v>278</v>
      </c>
    </row>
    <row r="4" spans="1:5" ht="38" customHeight="1">
      <c r="A4" s="408"/>
      <c r="B4" s="231"/>
      <c r="C4" s="189" t="s">
        <v>561</v>
      </c>
      <c r="D4" s="191" t="s">
        <v>561</v>
      </c>
      <c r="E4" s="409" t="s">
        <v>561</v>
      </c>
    </row>
    <row r="5" spans="1:5" ht="30" customHeight="1" thickBot="1">
      <c r="A5" s="99">
        <v>60</v>
      </c>
      <c r="B5" s="99" t="s">
        <v>562</v>
      </c>
      <c r="C5" s="100">
        <v>231932598.08000001</v>
      </c>
      <c r="D5" s="193">
        <v>7847894.6600000001</v>
      </c>
      <c r="E5" s="420">
        <v>239780492.74000001</v>
      </c>
    </row>
    <row r="6" spans="1:5" ht="20" customHeight="1" thickBot="1">
      <c r="A6" s="103">
        <v>64</v>
      </c>
      <c r="B6" s="103" t="s">
        <v>563</v>
      </c>
      <c r="C6" s="195">
        <v>-1270433.48</v>
      </c>
      <c r="D6" s="196">
        <v>-39799.14</v>
      </c>
      <c r="E6" s="413">
        <v>-1310232.6200000001</v>
      </c>
    </row>
    <row r="7" spans="1:5" ht="20" customHeight="1" thickBot="1">
      <c r="A7" s="103">
        <v>65</v>
      </c>
      <c r="B7" s="103" t="s">
        <v>564</v>
      </c>
      <c r="C7" s="195">
        <v>1512882.07</v>
      </c>
      <c r="D7" s="196">
        <v>17087.57</v>
      </c>
      <c r="E7" s="413">
        <v>1529969.64</v>
      </c>
    </row>
    <row r="8" spans="1:5" ht="27" customHeight="1" thickBot="1">
      <c r="A8" s="145" t="s">
        <v>565</v>
      </c>
      <c r="B8" s="145" t="s">
        <v>1151</v>
      </c>
      <c r="C8" s="195">
        <v>232175046.69</v>
      </c>
      <c r="D8" s="196">
        <v>7825183.0800000001</v>
      </c>
      <c r="E8" s="413">
        <v>240000229.77000001</v>
      </c>
    </row>
    <row r="9" spans="1:5" ht="20" customHeight="1" thickBot="1">
      <c r="A9" s="103">
        <v>66</v>
      </c>
      <c r="B9" s="103" t="s">
        <v>567</v>
      </c>
      <c r="C9" s="195">
        <v>-1308953.93</v>
      </c>
      <c r="D9" s="196">
        <v>-51415.69</v>
      </c>
      <c r="E9" s="413">
        <v>-1360369.62</v>
      </c>
    </row>
    <row r="10" spans="1:5" ht="27" customHeight="1" thickBot="1">
      <c r="A10" s="145" t="s">
        <v>568</v>
      </c>
      <c r="B10" s="145" t="s">
        <v>569</v>
      </c>
      <c r="C10" s="195">
        <v>230866092.75999999</v>
      </c>
      <c r="D10" s="196">
        <v>7773767.3899999997</v>
      </c>
      <c r="E10" s="413">
        <v>238639860.15000001</v>
      </c>
    </row>
    <row r="11" spans="1:5" ht="20" customHeight="1" thickBot="1">
      <c r="A11" s="103">
        <v>67</v>
      </c>
      <c r="B11" s="103" t="s">
        <v>570</v>
      </c>
      <c r="C11" s="195">
        <v>143651.75</v>
      </c>
      <c r="D11" s="196">
        <v>13243</v>
      </c>
      <c r="E11" s="413">
        <v>156894.75</v>
      </c>
    </row>
    <row r="12" spans="1:5" ht="20" customHeight="1" thickBot="1">
      <c r="A12" s="103">
        <v>68</v>
      </c>
      <c r="B12" s="103" t="s">
        <v>571</v>
      </c>
      <c r="C12" s="195">
        <v>-550000</v>
      </c>
      <c r="D12" s="196">
        <v>0</v>
      </c>
      <c r="E12" s="413">
        <v>-550000</v>
      </c>
    </row>
    <row r="13" spans="1:5" ht="20" customHeight="1" thickBot="1">
      <c r="A13" s="103">
        <v>69</v>
      </c>
      <c r="B13" s="103" t="s">
        <v>572</v>
      </c>
      <c r="C13" s="195">
        <v>1383595.34</v>
      </c>
      <c r="D13" s="196">
        <v>18554.07</v>
      </c>
      <c r="E13" s="413">
        <v>1402149.41</v>
      </c>
    </row>
    <row r="14" spans="1:5" ht="27" customHeight="1" thickBot="1">
      <c r="A14" s="145">
        <v>6</v>
      </c>
      <c r="B14" s="145" t="s">
        <v>573</v>
      </c>
      <c r="C14" s="195">
        <v>231843339.81</v>
      </c>
      <c r="D14" s="196">
        <v>7805564.4500000002</v>
      </c>
      <c r="E14" s="413">
        <v>239648904.25999999</v>
      </c>
    </row>
    <row r="15" spans="1:5" ht="20" customHeight="1" thickBot="1">
      <c r="A15" s="103">
        <v>30</v>
      </c>
      <c r="B15" s="103" t="s">
        <v>574</v>
      </c>
      <c r="C15" s="195">
        <v>180182709.5</v>
      </c>
      <c r="D15" s="196">
        <v>8056436.0599999996</v>
      </c>
      <c r="E15" s="413">
        <v>188239145.56</v>
      </c>
    </row>
    <row r="16" spans="1:5" ht="20" customHeight="1" thickBot="1">
      <c r="A16" s="103">
        <v>32</v>
      </c>
      <c r="B16" s="103" t="s">
        <v>575</v>
      </c>
      <c r="C16" s="195" t="s">
        <v>721</v>
      </c>
      <c r="D16" s="196" t="s">
        <v>721</v>
      </c>
      <c r="E16" s="413" t="s">
        <v>721</v>
      </c>
    </row>
    <row r="17" spans="1:5" ht="27" customHeight="1" thickBot="1">
      <c r="A17" s="145" t="s">
        <v>576</v>
      </c>
      <c r="B17" s="145" t="s">
        <v>213</v>
      </c>
      <c r="C17" s="195">
        <v>180182709.5</v>
      </c>
      <c r="D17" s="196">
        <v>8056436.0599999996</v>
      </c>
      <c r="E17" s="413">
        <v>188239145.56</v>
      </c>
    </row>
    <row r="18" spans="1:5" ht="20" customHeight="1" thickBot="1">
      <c r="A18" s="103">
        <v>34</v>
      </c>
      <c r="B18" s="103" t="s">
        <v>577</v>
      </c>
      <c r="C18" s="195">
        <v>681530.7</v>
      </c>
      <c r="D18" s="196">
        <v>7382.51</v>
      </c>
      <c r="E18" s="413">
        <v>688913.21</v>
      </c>
    </row>
    <row r="19" spans="1:5" ht="20" customHeight="1" thickBot="1">
      <c r="A19" s="103">
        <v>35</v>
      </c>
      <c r="B19" s="103" t="s">
        <v>578</v>
      </c>
      <c r="C19" s="195">
        <v>-1904747.12</v>
      </c>
      <c r="D19" s="196">
        <v>92011.53</v>
      </c>
      <c r="E19" s="413">
        <v>-1812735.59</v>
      </c>
    </row>
    <row r="20" spans="1:5" ht="27" customHeight="1" thickBot="1">
      <c r="A20" s="145" t="s">
        <v>579</v>
      </c>
      <c r="B20" s="145" t="s">
        <v>199</v>
      </c>
      <c r="C20" s="195">
        <v>178959493.06</v>
      </c>
      <c r="D20" s="196">
        <v>8155830.0999999996</v>
      </c>
      <c r="E20" s="413">
        <v>187115323.16</v>
      </c>
    </row>
    <row r="21" spans="1:5" ht="20" customHeight="1" thickBot="1">
      <c r="A21" s="103">
        <v>36</v>
      </c>
      <c r="B21" s="103" t="s">
        <v>580</v>
      </c>
      <c r="C21" s="195">
        <v>-874313.99</v>
      </c>
      <c r="D21" s="196">
        <v>-25356.49</v>
      </c>
      <c r="E21" s="413">
        <v>-899670.48</v>
      </c>
    </row>
    <row r="22" spans="1:5" ht="20" customHeight="1" thickBot="1">
      <c r="A22" s="103">
        <v>37</v>
      </c>
      <c r="B22" s="103" t="s">
        <v>581</v>
      </c>
      <c r="C22" s="195" t="s">
        <v>721</v>
      </c>
      <c r="D22" s="196" t="s">
        <v>721</v>
      </c>
      <c r="E22" s="413" t="s">
        <v>721</v>
      </c>
    </row>
    <row r="23" spans="1:5" ht="27" customHeight="1" thickBot="1">
      <c r="A23" s="145">
        <v>3</v>
      </c>
      <c r="B23" s="145" t="s">
        <v>582</v>
      </c>
      <c r="C23" s="195">
        <v>178085179.06999999</v>
      </c>
      <c r="D23" s="196">
        <v>8130473.6100000003</v>
      </c>
      <c r="E23" s="413">
        <v>186215652.68000001</v>
      </c>
    </row>
    <row r="24" spans="1:5" ht="20" customHeight="1" thickBot="1">
      <c r="A24" s="103" t="s">
        <v>583</v>
      </c>
      <c r="B24" s="103" t="s">
        <v>584</v>
      </c>
      <c r="C24" s="195">
        <v>38499041.640000001</v>
      </c>
      <c r="D24" s="196">
        <v>1477917.94</v>
      </c>
      <c r="E24" s="413">
        <v>39976959.579999998</v>
      </c>
    </row>
    <row r="25" spans="1:5" ht="20" customHeight="1" thickBot="1">
      <c r="A25" s="103">
        <v>48</v>
      </c>
      <c r="B25" s="103" t="s">
        <v>585</v>
      </c>
      <c r="C25" s="195">
        <v>1013920.01</v>
      </c>
      <c r="D25" s="196">
        <v>53493.84</v>
      </c>
      <c r="E25" s="413">
        <v>1067413.8500000001</v>
      </c>
    </row>
    <row r="26" spans="1:5" ht="20" customHeight="1" thickBot="1">
      <c r="A26" s="103">
        <v>49</v>
      </c>
      <c r="B26" s="103" t="s">
        <v>586</v>
      </c>
      <c r="C26" s="195">
        <v>2667843.64</v>
      </c>
      <c r="D26" s="196">
        <v>23061.97</v>
      </c>
      <c r="E26" s="413">
        <v>2690905.61</v>
      </c>
    </row>
    <row r="27" spans="1:5" ht="27" customHeight="1" thickBot="1">
      <c r="A27" s="145">
        <v>4</v>
      </c>
      <c r="B27" s="145" t="s">
        <v>587</v>
      </c>
      <c r="C27" s="195">
        <v>42180805.270000003</v>
      </c>
      <c r="D27" s="196">
        <v>1554473.76</v>
      </c>
      <c r="E27" s="413">
        <v>43735279.030000001</v>
      </c>
    </row>
    <row r="28" spans="1:5" ht="27" customHeight="1" thickBot="1">
      <c r="A28" s="145" t="s">
        <v>588</v>
      </c>
      <c r="B28" s="145" t="s">
        <v>589</v>
      </c>
      <c r="C28" s="195">
        <v>220265984.36000001</v>
      </c>
      <c r="D28" s="196">
        <v>9684947.3699999992</v>
      </c>
      <c r="E28" s="413">
        <v>229950931.72999999</v>
      </c>
    </row>
    <row r="29" spans="1:5" ht="27" customHeight="1" thickBot="1">
      <c r="A29" s="145"/>
      <c r="B29" s="145" t="s">
        <v>590</v>
      </c>
      <c r="C29" s="195">
        <v>11577355.52</v>
      </c>
      <c r="D29" s="196">
        <v>-1879382.92</v>
      </c>
      <c r="E29" s="413">
        <v>9697972.5999999996</v>
      </c>
    </row>
    <row r="30" spans="1:5" ht="27" customHeight="1" thickBot="1">
      <c r="A30" s="145">
        <v>7</v>
      </c>
      <c r="B30" s="145" t="s">
        <v>591</v>
      </c>
      <c r="C30" s="195">
        <v>4102619.92</v>
      </c>
      <c r="D30" s="196">
        <v>71726.5</v>
      </c>
      <c r="E30" s="413">
        <v>4174346.42</v>
      </c>
    </row>
    <row r="31" spans="1:5" ht="34.5" customHeight="1" thickBot="1">
      <c r="A31" s="771"/>
      <c r="B31" s="771" t="s">
        <v>592</v>
      </c>
      <c r="C31" s="154">
        <v>15679975.43</v>
      </c>
      <c r="D31" s="155">
        <v>-1807656.44</v>
      </c>
      <c r="E31" s="108">
        <v>13872318.99</v>
      </c>
    </row>
    <row r="32" spans="1:5" ht="19.5" customHeight="1">
      <c r="A32" s="112" t="s">
        <v>720</v>
      </c>
      <c r="B32" s="114"/>
      <c r="C32" s="112"/>
      <c r="D32" s="432"/>
      <c r="E32" s="433"/>
    </row>
    <row r="34" spans="1:1">
      <c r="A34" s="3" t="s">
        <v>1204</v>
      </c>
    </row>
    <row r="37" spans="1:1">
      <c r="A37" s="3" t="s">
        <v>719</v>
      </c>
    </row>
  </sheetData>
  <pageMargins left="0.62" right="0.68" top="0.87" bottom="0.49" header="0.49" footer="0.4921259845"/>
  <pageSetup paperSize="9" scale="80" orientation="portrait" horizontalDpi="1200" verticalDpi="1200"/>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015B-CDC6-0747-956B-757C1BF630CB}">
  <sheetPr>
    <pageSetUpPr fitToPage="1"/>
  </sheetPr>
  <dimension ref="A1:E40"/>
  <sheetViews>
    <sheetView zoomScaleNormal="100" workbookViewId="0">
      <selection activeCell="B9" sqref="B9"/>
    </sheetView>
  </sheetViews>
  <sheetFormatPr baseColWidth="10" defaultColWidth="11.3984375" defaultRowHeight="13"/>
  <cols>
    <col min="1" max="1" width="8.796875" style="3" customWidth="1"/>
    <col min="2" max="2" width="48.796875" style="119" customWidth="1"/>
    <col min="3" max="3" width="16.796875" style="3" customWidth="1"/>
    <col min="4" max="4" width="16.796875" style="8" customWidth="1"/>
    <col min="5" max="5" width="16.796875" style="434" customWidth="1"/>
    <col min="6" max="16384" width="11.3984375" style="3"/>
  </cols>
  <sheetData>
    <row r="1" spans="1:5" s="2" customFormat="1" ht="14" customHeight="1">
      <c r="B1" s="88"/>
      <c r="D1" s="406"/>
      <c r="E1" s="769"/>
    </row>
    <row r="2" spans="1:5" s="2" customFormat="1" ht="28" customHeight="1">
      <c r="A2" s="246" t="s">
        <v>1201</v>
      </c>
      <c r="B2" s="88"/>
      <c r="D2" s="406"/>
      <c r="E2" s="246">
        <v>2011</v>
      </c>
    </row>
    <row r="3" spans="1:5" ht="39" customHeight="1">
      <c r="A3" s="419" t="s">
        <v>558</v>
      </c>
      <c r="B3" s="94"/>
      <c r="C3" s="182" t="s">
        <v>559</v>
      </c>
      <c r="D3" s="229" t="s">
        <v>560</v>
      </c>
      <c r="E3" s="407" t="s">
        <v>278</v>
      </c>
    </row>
    <row r="4" spans="1:5" ht="38" customHeight="1">
      <c r="A4" s="408"/>
      <c r="B4" s="231"/>
      <c r="C4" s="189" t="s">
        <v>561</v>
      </c>
      <c r="D4" s="191" t="s">
        <v>561</v>
      </c>
      <c r="E4" s="409" t="s">
        <v>561</v>
      </c>
    </row>
    <row r="5" spans="1:5" ht="30" customHeight="1" thickBot="1">
      <c r="A5" s="770">
        <v>60</v>
      </c>
      <c r="B5" s="770" t="s">
        <v>562</v>
      </c>
      <c r="C5" s="142">
        <v>36008380.840000004</v>
      </c>
      <c r="D5" s="141">
        <v>4911520.74</v>
      </c>
      <c r="E5" s="431">
        <v>40919901.579999998</v>
      </c>
    </row>
    <row r="6" spans="1:5" ht="20" customHeight="1" thickBot="1">
      <c r="A6" s="145">
        <v>64</v>
      </c>
      <c r="B6" s="145" t="s">
        <v>563</v>
      </c>
      <c r="C6" s="154">
        <v>25855.43</v>
      </c>
      <c r="D6" s="155">
        <v>-10755.04</v>
      </c>
      <c r="E6" s="108">
        <v>15100.39</v>
      </c>
    </row>
    <row r="7" spans="1:5" ht="20" customHeight="1" thickBot="1">
      <c r="A7" s="145">
        <v>65</v>
      </c>
      <c r="B7" s="145" t="s">
        <v>564</v>
      </c>
      <c r="C7" s="154">
        <v>189391.72</v>
      </c>
      <c r="D7" s="155">
        <v>11942.89</v>
      </c>
      <c r="E7" s="108">
        <v>201334.61</v>
      </c>
    </row>
    <row r="8" spans="1:5" ht="27" customHeight="1" thickBot="1">
      <c r="A8" s="145" t="s">
        <v>565</v>
      </c>
      <c r="B8" s="145" t="s">
        <v>1151</v>
      </c>
      <c r="C8" s="154">
        <v>36223628.009999998</v>
      </c>
      <c r="D8" s="155">
        <v>4912708.58</v>
      </c>
      <c r="E8" s="108">
        <v>41136336.590000004</v>
      </c>
    </row>
    <row r="9" spans="1:5" ht="20" customHeight="1" thickBot="1">
      <c r="A9" s="145">
        <v>66</v>
      </c>
      <c r="B9" s="145" t="s">
        <v>567</v>
      </c>
      <c r="C9" s="154">
        <v>-396196.8</v>
      </c>
      <c r="D9" s="155">
        <v>-41900.120000000003</v>
      </c>
      <c r="E9" s="108">
        <v>-438096.92</v>
      </c>
    </row>
    <row r="10" spans="1:5" ht="27" customHeight="1" thickBot="1">
      <c r="A10" s="145" t="s">
        <v>568</v>
      </c>
      <c r="B10" s="145" t="s">
        <v>569</v>
      </c>
      <c r="C10" s="154">
        <v>35827431.210000001</v>
      </c>
      <c r="D10" s="155">
        <v>4870808.46</v>
      </c>
      <c r="E10" s="108">
        <v>40698239.670000002</v>
      </c>
    </row>
    <row r="11" spans="1:5" ht="20" customHeight="1" thickBot="1">
      <c r="A11" s="145">
        <v>67</v>
      </c>
      <c r="B11" s="145" t="s">
        <v>570</v>
      </c>
      <c r="C11" s="154">
        <v>143651.75</v>
      </c>
      <c r="D11" s="155">
        <v>13243</v>
      </c>
      <c r="E11" s="108">
        <v>156894.75</v>
      </c>
    </row>
    <row r="12" spans="1:5" ht="20" customHeight="1" thickBot="1">
      <c r="A12" s="145">
        <v>68</v>
      </c>
      <c r="B12" s="145" t="s">
        <v>571</v>
      </c>
      <c r="C12" s="154">
        <v>0</v>
      </c>
      <c r="D12" s="155">
        <v>0</v>
      </c>
      <c r="E12" s="108">
        <v>0</v>
      </c>
    </row>
    <row r="13" spans="1:5" ht="20" customHeight="1" thickBot="1">
      <c r="A13" s="145">
        <v>69</v>
      </c>
      <c r="B13" s="145" t="s">
        <v>572</v>
      </c>
      <c r="C13" s="154">
        <v>187786.7</v>
      </c>
      <c r="D13" s="155">
        <v>13146.09</v>
      </c>
      <c r="E13" s="108">
        <v>200932.79</v>
      </c>
    </row>
    <row r="14" spans="1:5" ht="27" customHeight="1" thickBot="1">
      <c r="A14" s="145">
        <v>6</v>
      </c>
      <c r="B14" s="145" t="s">
        <v>573</v>
      </c>
      <c r="C14" s="154">
        <v>36158869.630000003</v>
      </c>
      <c r="D14" s="155">
        <v>4897197.55</v>
      </c>
      <c r="E14" s="108">
        <v>41056067.18</v>
      </c>
    </row>
    <row r="15" spans="1:5" ht="20" customHeight="1" thickBot="1">
      <c r="A15" s="145">
        <v>30</v>
      </c>
      <c r="B15" s="145" t="s">
        <v>574</v>
      </c>
      <c r="C15" s="154">
        <v>25053598.390000001</v>
      </c>
      <c r="D15" s="155">
        <v>2720422.39</v>
      </c>
      <c r="E15" s="108">
        <v>27774020.780000001</v>
      </c>
    </row>
    <row r="16" spans="1:5" ht="20" customHeight="1" thickBot="1">
      <c r="A16" s="145">
        <v>32</v>
      </c>
      <c r="B16" s="145" t="s">
        <v>575</v>
      </c>
      <c r="C16" s="154" t="s">
        <v>721</v>
      </c>
      <c r="D16" s="155" t="s">
        <v>721</v>
      </c>
      <c r="E16" s="108" t="s">
        <v>721</v>
      </c>
    </row>
    <row r="17" spans="1:5" ht="27" customHeight="1" thickBot="1">
      <c r="A17" s="145" t="s">
        <v>576</v>
      </c>
      <c r="B17" s="145" t="s">
        <v>213</v>
      </c>
      <c r="C17" s="154">
        <v>25053598.390000001</v>
      </c>
      <c r="D17" s="155">
        <v>2720422.39</v>
      </c>
      <c r="E17" s="108">
        <v>27774020.780000001</v>
      </c>
    </row>
    <row r="18" spans="1:5" ht="20" customHeight="1" thickBot="1">
      <c r="A18" s="145">
        <v>34</v>
      </c>
      <c r="B18" s="145" t="s">
        <v>577</v>
      </c>
      <c r="C18" s="154">
        <v>317025.09000000003</v>
      </c>
      <c r="D18" s="155">
        <v>3763.84</v>
      </c>
      <c r="E18" s="108">
        <v>320788.93</v>
      </c>
    </row>
    <row r="19" spans="1:5" ht="20" customHeight="1" thickBot="1">
      <c r="A19" s="145">
        <v>35</v>
      </c>
      <c r="B19" s="145" t="s">
        <v>578</v>
      </c>
      <c r="C19" s="154">
        <v>-734700.6</v>
      </c>
      <c r="D19" s="155">
        <v>-11391.69</v>
      </c>
      <c r="E19" s="108">
        <v>-746092.29</v>
      </c>
    </row>
    <row r="20" spans="1:5" ht="27" customHeight="1" thickBot="1">
      <c r="A20" s="145" t="s">
        <v>579</v>
      </c>
      <c r="B20" s="145" t="s">
        <v>199</v>
      </c>
      <c r="C20" s="154">
        <v>24635922.859999999</v>
      </c>
      <c r="D20" s="155">
        <v>2712794.54</v>
      </c>
      <c r="E20" s="108">
        <v>27348717.399999999</v>
      </c>
    </row>
    <row r="21" spans="1:5" ht="20" customHeight="1" thickBot="1">
      <c r="A21" s="145">
        <v>36</v>
      </c>
      <c r="B21" s="145" t="s">
        <v>580</v>
      </c>
      <c r="C21" s="154">
        <v>-342627.49</v>
      </c>
      <c r="D21" s="155">
        <v>-22451.46</v>
      </c>
      <c r="E21" s="108">
        <v>-365078.95</v>
      </c>
    </row>
    <row r="22" spans="1:5" ht="20" customHeight="1" thickBot="1">
      <c r="A22" s="145">
        <v>37</v>
      </c>
      <c r="B22" s="145" t="s">
        <v>581</v>
      </c>
      <c r="C22" s="154" t="s">
        <v>721</v>
      </c>
      <c r="D22" s="155" t="s">
        <v>721</v>
      </c>
      <c r="E22" s="108" t="s">
        <v>721</v>
      </c>
    </row>
    <row r="23" spans="1:5" ht="27" customHeight="1" thickBot="1">
      <c r="A23" s="145">
        <v>3</v>
      </c>
      <c r="B23" s="145" t="s">
        <v>582</v>
      </c>
      <c r="C23" s="154">
        <v>24293295.370000001</v>
      </c>
      <c r="D23" s="155">
        <v>2690343.08</v>
      </c>
      <c r="E23" s="108">
        <v>26983638.449999999</v>
      </c>
    </row>
    <row r="24" spans="1:5" ht="20" customHeight="1" thickBot="1">
      <c r="A24" s="103" t="s">
        <v>583</v>
      </c>
      <c r="B24" s="103" t="s">
        <v>584</v>
      </c>
      <c r="C24" s="154">
        <v>6798817.5199999996</v>
      </c>
      <c r="D24" s="155">
        <v>858352.51</v>
      </c>
      <c r="E24" s="108">
        <v>7657170.0300000003</v>
      </c>
    </row>
    <row r="25" spans="1:5" ht="20" customHeight="1" thickBot="1">
      <c r="A25" s="103">
        <v>48</v>
      </c>
      <c r="B25" s="103" t="s">
        <v>585</v>
      </c>
      <c r="C25" s="154">
        <v>172201.92</v>
      </c>
      <c r="D25" s="155">
        <v>36629.370000000003</v>
      </c>
      <c r="E25" s="108">
        <v>208831.29</v>
      </c>
    </row>
    <row r="26" spans="1:5" ht="20" customHeight="1" thickBot="1">
      <c r="A26" s="145">
        <v>49</v>
      </c>
      <c r="B26" s="145" t="s">
        <v>586</v>
      </c>
      <c r="C26" s="154">
        <v>69696.509999999995</v>
      </c>
      <c r="D26" s="155">
        <v>16289.89</v>
      </c>
      <c r="E26" s="108">
        <v>85986.4</v>
      </c>
    </row>
    <row r="27" spans="1:5" ht="27" customHeight="1" thickBot="1">
      <c r="A27" s="145">
        <v>4</v>
      </c>
      <c r="B27" s="145" t="s">
        <v>587</v>
      </c>
      <c r="C27" s="154">
        <v>7040715.9299999997</v>
      </c>
      <c r="D27" s="155">
        <v>911271.78</v>
      </c>
      <c r="E27" s="108">
        <v>7951987.71</v>
      </c>
    </row>
    <row r="28" spans="1:5" ht="27" customHeight="1" thickBot="1">
      <c r="A28" s="145" t="s">
        <v>588</v>
      </c>
      <c r="B28" s="145" t="s">
        <v>589</v>
      </c>
      <c r="C28" s="154">
        <v>31334011.32</v>
      </c>
      <c r="D28" s="155">
        <v>3601614.86</v>
      </c>
      <c r="E28" s="108">
        <v>34935626.18</v>
      </c>
    </row>
    <row r="29" spans="1:5" ht="27" customHeight="1" thickBot="1">
      <c r="A29" s="145"/>
      <c r="B29" s="145" t="s">
        <v>590</v>
      </c>
      <c r="C29" s="154">
        <v>4824858.34</v>
      </c>
      <c r="D29" s="155">
        <v>1295582.68</v>
      </c>
      <c r="E29" s="108">
        <v>6120441.0199999996</v>
      </c>
    </row>
    <row r="30" spans="1:5" ht="27" customHeight="1" thickBot="1">
      <c r="A30" s="145">
        <v>7</v>
      </c>
      <c r="B30" s="145" t="s">
        <v>591</v>
      </c>
      <c r="C30" s="154">
        <v>-108595.94</v>
      </c>
      <c r="D30" s="155">
        <v>-1425.51</v>
      </c>
      <c r="E30" s="108">
        <v>-110021.45</v>
      </c>
    </row>
    <row r="31" spans="1:5" ht="34.5" customHeight="1" thickBot="1">
      <c r="A31" s="771"/>
      <c r="B31" s="771" t="s">
        <v>592</v>
      </c>
      <c r="C31" s="154">
        <v>4716262.3899999997</v>
      </c>
      <c r="D31" s="155">
        <v>1294157.1599999999</v>
      </c>
      <c r="E31" s="108">
        <v>6010419.5499999998</v>
      </c>
    </row>
    <row r="32" spans="1:5" ht="20" customHeight="1">
      <c r="A32" s="112" t="s">
        <v>720</v>
      </c>
      <c r="B32" s="114"/>
      <c r="C32" s="112"/>
      <c r="D32" s="432"/>
      <c r="E32" s="433"/>
    </row>
    <row r="33" spans="1:5" ht="15.75" customHeight="1">
      <c r="A33" s="115"/>
      <c r="B33" s="117"/>
      <c r="C33" s="115"/>
      <c r="D33" s="529"/>
      <c r="E33" s="772"/>
    </row>
    <row r="34" spans="1:5" ht="15.75" customHeight="1">
      <c r="A34" s="3" t="s">
        <v>1202</v>
      </c>
      <c r="B34" s="117"/>
      <c r="C34" s="115"/>
      <c r="D34" s="529"/>
      <c r="E34" s="772"/>
    </row>
    <row r="35" spans="1:5" ht="13.5" customHeight="1">
      <c r="A35" s="115"/>
      <c r="B35" s="117"/>
      <c r="C35" s="115"/>
      <c r="D35" s="529"/>
      <c r="E35" s="772"/>
    </row>
    <row r="36" spans="1:5">
      <c r="A36" s="115" t="s">
        <v>1153</v>
      </c>
    </row>
    <row r="37" spans="1:5">
      <c r="A37" s="3" t="s">
        <v>1154</v>
      </c>
    </row>
    <row r="40" spans="1:5">
      <c r="A40" s="3" t="s">
        <v>719</v>
      </c>
    </row>
  </sheetData>
  <pageMargins left="0.6" right="0.6" top="0.78" bottom="0.49" header="0.49" footer="0.4921259845"/>
  <pageSetup paperSize="9" scale="83" orientation="portrait"/>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72B4-D6F5-0D41-A551-517BFF645114}">
  <sheetPr>
    <pageSetUpPr fitToPage="1"/>
  </sheetPr>
  <dimension ref="A1:E40"/>
  <sheetViews>
    <sheetView zoomScaleNormal="100" workbookViewId="0">
      <selection activeCell="B9" sqref="B9"/>
    </sheetView>
  </sheetViews>
  <sheetFormatPr baseColWidth="10" defaultColWidth="11.3984375" defaultRowHeight="13"/>
  <cols>
    <col min="1" max="1" width="8.796875" style="3" customWidth="1"/>
    <col min="2" max="2" width="50.59765625" style="119" customWidth="1"/>
    <col min="3" max="3" width="16.796875" style="3" customWidth="1"/>
    <col min="4" max="4" width="16.796875" style="8" customWidth="1"/>
    <col min="5" max="5" width="16.796875" style="434" customWidth="1"/>
    <col min="6" max="16384" width="11.3984375" style="3"/>
  </cols>
  <sheetData>
    <row r="1" spans="1:5" s="2" customFormat="1" ht="14" customHeight="1">
      <c r="B1" s="88"/>
      <c r="D1" s="406"/>
      <c r="E1" s="769"/>
    </row>
    <row r="2" spans="1:5" s="2" customFormat="1" ht="28" customHeight="1">
      <c r="A2" s="246" t="s">
        <v>1150</v>
      </c>
      <c r="B2" s="88"/>
      <c r="D2" s="406"/>
      <c r="E2" s="246">
        <v>2011</v>
      </c>
    </row>
    <row r="3" spans="1:5" ht="39" customHeight="1">
      <c r="A3" s="419" t="s">
        <v>558</v>
      </c>
      <c r="B3" s="94"/>
      <c r="C3" s="182" t="s">
        <v>559</v>
      </c>
      <c r="D3" s="229" t="s">
        <v>560</v>
      </c>
      <c r="E3" s="407" t="s">
        <v>278</v>
      </c>
    </row>
    <row r="4" spans="1:5" ht="38" customHeight="1">
      <c r="A4" s="408"/>
      <c r="B4" s="231"/>
      <c r="C4" s="189" t="s">
        <v>561</v>
      </c>
      <c r="D4" s="191" t="s">
        <v>561</v>
      </c>
      <c r="E4" s="409" t="s">
        <v>561</v>
      </c>
    </row>
    <row r="5" spans="1:5" ht="30" customHeight="1" thickBot="1">
      <c r="A5" s="770">
        <v>60</v>
      </c>
      <c r="B5" s="770" t="s">
        <v>562</v>
      </c>
      <c r="C5" s="142">
        <v>195924217.24000001</v>
      </c>
      <c r="D5" s="141">
        <v>2936373.92</v>
      </c>
      <c r="E5" s="431">
        <v>198860591.16</v>
      </c>
    </row>
    <row r="6" spans="1:5" ht="20" customHeight="1" thickBot="1">
      <c r="A6" s="145">
        <v>64</v>
      </c>
      <c r="B6" s="145" t="s">
        <v>563</v>
      </c>
      <c r="C6" s="142">
        <v>-1296288.9099999999</v>
      </c>
      <c r="D6" s="141">
        <v>-29044.1</v>
      </c>
      <c r="E6" s="431">
        <v>-1325333.01</v>
      </c>
    </row>
    <row r="7" spans="1:5" ht="20" customHeight="1" thickBot="1">
      <c r="A7" s="145">
        <v>65</v>
      </c>
      <c r="B7" s="145" t="s">
        <v>564</v>
      </c>
      <c r="C7" s="142">
        <v>1323490.3500000001</v>
      </c>
      <c r="D7" s="141">
        <v>5144.68</v>
      </c>
      <c r="E7" s="431">
        <v>1328635.03</v>
      </c>
    </row>
    <row r="8" spans="1:5" ht="27" customHeight="1" thickBot="1">
      <c r="A8" s="145" t="s">
        <v>565</v>
      </c>
      <c r="B8" s="145" t="s">
        <v>1151</v>
      </c>
      <c r="C8" s="142">
        <v>195951418.68000001</v>
      </c>
      <c r="D8" s="141">
        <v>2912474.5</v>
      </c>
      <c r="E8" s="431">
        <v>198863893.18000001</v>
      </c>
    </row>
    <row r="9" spans="1:5" ht="20" customHeight="1" thickBot="1">
      <c r="A9" s="145">
        <v>66</v>
      </c>
      <c r="B9" s="145" t="s">
        <v>567</v>
      </c>
      <c r="C9" s="142">
        <v>-912757.13</v>
      </c>
      <c r="D9" s="141">
        <v>-9515.57</v>
      </c>
      <c r="E9" s="431">
        <v>-922272.7</v>
      </c>
    </row>
    <row r="10" spans="1:5" ht="27" customHeight="1" thickBot="1">
      <c r="A10" s="145" t="s">
        <v>568</v>
      </c>
      <c r="B10" s="145" t="s">
        <v>569</v>
      </c>
      <c r="C10" s="142">
        <v>195038661.55000001</v>
      </c>
      <c r="D10" s="141">
        <v>2902958.93</v>
      </c>
      <c r="E10" s="431">
        <v>197941620.47999999</v>
      </c>
    </row>
    <row r="11" spans="1:5" ht="20" customHeight="1" thickBot="1">
      <c r="A11" s="145">
        <v>67</v>
      </c>
      <c r="B11" s="145" t="s">
        <v>570</v>
      </c>
      <c r="C11" s="142">
        <v>0</v>
      </c>
      <c r="D11" s="141">
        <v>0</v>
      </c>
      <c r="E11" s="431">
        <v>0</v>
      </c>
    </row>
    <row r="12" spans="1:5" ht="20" customHeight="1" thickBot="1">
      <c r="A12" s="145">
        <v>68</v>
      </c>
      <c r="B12" s="145" t="s">
        <v>571</v>
      </c>
      <c r="C12" s="142">
        <v>-550000</v>
      </c>
      <c r="D12" s="141">
        <v>0</v>
      </c>
      <c r="E12" s="431">
        <v>-550000</v>
      </c>
    </row>
    <row r="13" spans="1:5" ht="20" customHeight="1" thickBot="1">
      <c r="A13" s="145">
        <v>69</v>
      </c>
      <c r="B13" s="145" t="s">
        <v>572</v>
      </c>
      <c r="C13" s="142">
        <v>1195808.6399999999</v>
      </c>
      <c r="D13" s="141">
        <v>5407.98</v>
      </c>
      <c r="E13" s="431">
        <v>1201216.6200000001</v>
      </c>
    </row>
    <row r="14" spans="1:5" ht="27" customHeight="1" thickBot="1">
      <c r="A14" s="145">
        <v>6</v>
      </c>
      <c r="B14" s="145" t="s">
        <v>573</v>
      </c>
      <c r="C14" s="142">
        <v>195684470.18000001</v>
      </c>
      <c r="D14" s="141">
        <v>2908366.9</v>
      </c>
      <c r="E14" s="431">
        <v>198592837.08000001</v>
      </c>
    </row>
    <row r="15" spans="1:5" ht="20" customHeight="1" thickBot="1">
      <c r="A15" s="145">
        <v>30</v>
      </c>
      <c r="B15" s="145" t="s">
        <v>574</v>
      </c>
      <c r="C15" s="142">
        <v>155129111.11000001</v>
      </c>
      <c r="D15" s="141">
        <v>5336013.67</v>
      </c>
      <c r="E15" s="431">
        <v>160465124.78</v>
      </c>
    </row>
    <row r="16" spans="1:5" ht="20" customHeight="1" thickBot="1">
      <c r="A16" s="145">
        <v>32</v>
      </c>
      <c r="B16" s="145" t="s">
        <v>575</v>
      </c>
      <c r="C16" s="142" t="s">
        <v>721</v>
      </c>
      <c r="D16" s="141" t="s">
        <v>721</v>
      </c>
      <c r="E16" s="431" t="s">
        <v>721</v>
      </c>
    </row>
    <row r="17" spans="1:5" ht="27" customHeight="1" thickBot="1">
      <c r="A17" s="145" t="s">
        <v>576</v>
      </c>
      <c r="B17" s="145" t="s">
        <v>213</v>
      </c>
      <c r="C17" s="142">
        <v>155129111.11000001</v>
      </c>
      <c r="D17" s="141">
        <v>5336013.67</v>
      </c>
      <c r="E17" s="431">
        <v>160465124.78</v>
      </c>
    </row>
    <row r="18" spans="1:5" ht="20" customHeight="1" thickBot="1">
      <c r="A18" s="145">
        <v>34</v>
      </c>
      <c r="B18" s="145" t="s">
        <v>577</v>
      </c>
      <c r="C18" s="142">
        <v>364505.61</v>
      </c>
      <c r="D18" s="141">
        <v>3618.67</v>
      </c>
      <c r="E18" s="431">
        <v>368124.28</v>
      </c>
    </row>
    <row r="19" spans="1:5" ht="20" customHeight="1" thickBot="1">
      <c r="A19" s="145">
        <v>35</v>
      </c>
      <c r="B19" s="145" t="s">
        <v>578</v>
      </c>
      <c r="C19" s="142">
        <v>-1170046.52</v>
      </c>
      <c r="D19" s="141">
        <v>103403.22</v>
      </c>
      <c r="E19" s="431">
        <v>-1066643.3</v>
      </c>
    </row>
    <row r="20" spans="1:5" ht="27" customHeight="1" thickBot="1">
      <c r="A20" s="145" t="s">
        <v>579</v>
      </c>
      <c r="B20" s="145" t="s">
        <v>199</v>
      </c>
      <c r="C20" s="142">
        <v>154323570.19999999</v>
      </c>
      <c r="D20" s="141">
        <v>5443035.5599999996</v>
      </c>
      <c r="E20" s="431">
        <v>159766605.75999999</v>
      </c>
    </row>
    <row r="21" spans="1:5" ht="20" customHeight="1" thickBot="1">
      <c r="A21" s="145">
        <v>36</v>
      </c>
      <c r="B21" s="145" t="s">
        <v>580</v>
      </c>
      <c r="C21" s="142">
        <v>-531686.5</v>
      </c>
      <c r="D21" s="141">
        <v>-2905.03</v>
      </c>
      <c r="E21" s="431">
        <v>-534591.53</v>
      </c>
    </row>
    <row r="22" spans="1:5" ht="20" customHeight="1" thickBot="1">
      <c r="A22" s="145">
        <v>37</v>
      </c>
      <c r="B22" s="145" t="s">
        <v>581</v>
      </c>
      <c r="C22" s="142" t="s">
        <v>721</v>
      </c>
      <c r="D22" s="141" t="s">
        <v>721</v>
      </c>
      <c r="E22" s="431" t="s">
        <v>721</v>
      </c>
    </row>
    <row r="23" spans="1:5" ht="27" customHeight="1" thickBot="1">
      <c r="A23" s="145">
        <v>3</v>
      </c>
      <c r="B23" s="145" t="s">
        <v>582</v>
      </c>
      <c r="C23" s="142">
        <v>153791883.69999999</v>
      </c>
      <c r="D23" s="141">
        <v>5440130.5300000003</v>
      </c>
      <c r="E23" s="431">
        <v>159232014.22999999</v>
      </c>
    </row>
    <row r="24" spans="1:5" ht="20" customHeight="1" thickBot="1">
      <c r="A24" s="103" t="s">
        <v>583</v>
      </c>
      <c r="B24" s="103" t="s">
        <v>584</v>
      </c>
      <c r="C24" s="142">
        <v>31700224.120000001</v>
      </c>
      <c r="D24" s="141">
        <v>619565.43000000005</v>
      </c>
      <c r="E24" s="431">
        <v>32319789.550000001</v>
      </c>
    </row>
    <row r="25" spans="1:5" ht="20" customHeight="1" thickBot="1">
      <c r="A25" s="103">
        <v>48</v>
      </c>
      <c r="B25" s="103" t="s">
        <v>585</v>
      </c>
      <c r="C25" s="142">
        <v>841718.09</v>
      </c>
      <c r="D25" s="141">
        <v>16864.47</v>
      </c>
      <c r="E25" s="431">
        <v>858582.56</v>
      </c>
    </row>
    <row r="26" spans="1:5" ht="20" customHeight="1" thickBot="1">
      <c r="A26" s="145">
        <v>49</v>
      </c>
      <c r="B26" s="145" t="s">
        <v>586</v>
      </c>
      <c r="C26" s="142">
        <v>2598147.13</v>
      </c>
      <c r="D26" s="141">
        <v>6772.08</v>
      </c>
      <c r="E26" s="431">
        <v>2604919.21</v>
      </c>
    </row>
    <row r="27" spans="1:5" ht="27" customHeight="1" thickBot="1">
      <c r="A27" s="145">
        <v>4</v>
      </c>
      <c r="B27" s="145" t="s">
        <v>587</v>
      </c>
      <c r="C27" s="142">
        <v>35140089.340000004</v>
      </c>
      <c r="D27" s="141">
        <v>643201.98</v>
      </c>
      <c r="E27" s="431">
        <v>35783291.32</v>
      </c>
    </row>
    <row r="28" spans="1:5" ht="27" customHeight="1" thickBot="1">
      <c r="A28" s="145" t="s">
        <v>588</v>
      </c>
      <c r="B28" s="145" t="s">
        <v>589</v>
      </c>
      <c r="C28" s="142">
        <v>188931973.03999999</v>
      </c>
      <c r="D28" s="141">
        <v>6083332.5099999998</v>
      </c>
      <c r="E28" s="431">
        <v>195015305.55000001</v>
      </c>
    </row>
    <row r="29" spans="1:5" ht="27" customHeight="1" thickBot="1">
      <c r="A29" s="145"/>
      <c r="B29" s="145" t="s">
        <v>590</v>
      </c>
      <c r="C29" s="142">
        <v>6752497.1799999997</v>
      </c>
      <c r="D29" s="141">
        <v>-3174965.6</v>
      </c>
      <c r="E29" s="431">
        <v>3577531.58</v>
      </c>
    </row>
    <row r="30" spans="1:5" ht="27" customHeight="1" thickBot="1">
      <c r="A30" s="145">
        <v>7</v>
      </c>
      <c r="B30" s="145" t="s">
        <v>591</v>
      </c>
      <c r="C30" s="142">
        <v>4211215.8600000003</v>
      </c>
      <c r="D30" s="141">
        <v>73152.009999999995</v>
      </c>
      <c r="E30" s="431">
        <v>4284367.87</v>
      </c>
    </row>
    <row r="31" spans="1:5" ht="34.5" customHeight="1" thickBot="1">
      <c r="A31" s="771"/>
      <c r="B31" s="771" t="s">
        <v>592</v>
      </c>
      <c r="C31" s="142">
        <v>10963713.039999999</v>
      </c>
      <c r="D31" s="141">
        <v>-3101813.6</v>
      </c>
      <c r="E31" s="431">
        <v>7861899.4400000004</v>
      </c>
    </row>
    <row r="32" spans="1:5" ht="20" customHeight="1">
      <c r="A32" s="112" t="s">
        <v>720</v>
      </c>
      <c r="B32" s="114"/>
      <c r="C32" s="112"/>
      <c r="D32" s="432"/>
      <c r="E32" s="433"/>
    </row>
    <row r="33" spans="1:5" ht="14.25" customHeight="1">
      <c r="A33" s="115"/>
      <c r="B33" s="117"/>
      <c r="C33" s="115"/>
      <c r="D33" s="529"/>
      <c r="E33" s="772"/>
    </row>
    <row r="34" spans="1:5" ht="15.75" customHeight="1">
      <c r="A34" s="3" t="s">
        <v>1152</v>
      </c>
      <c r="B34" s="117"/>
      <c r="C34" s="115"/>
      <c r="D34" s="529"/>
      <c r="E34" s="772"/>
    </row>
    <row r="35" spans="1:5" ht="13.5" customHeight="1">
      <c r="A35" s="115"/>
      <c r="B35" s="117"/>
      <c r="C35" s="115"/>
      <c r="D35" s="529"/>
      <c r="E35" s="772"/>
    </row>
    <row r="36" spans="1:5">
      <c r="A36" s="115" t="s">
        <v>1153</v>
      </c>
    </row>
    <row r="37" spans="1:5">
      <c r="A37" s="3" t="s">
        <v>1154</v>
      </c>
    </row>
    <row r="40" spans="1:5">
      <c r="A40" s="3" t="s">
        <v>719</v>
      </c>
    </row>
  </sheetData>
  <pageMargins left="0.57999999999999996" right="0.65" top="0.92" bottom="0.49" header="0.49" footer="0.4921259845"/>
  <pageSetup paperSize="9" scale="83" orientation="portrait"/>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6214-1282-D840-9EDC-76C2F5BD13F0}">
  <sheetPr>
    <pageSetUpPr fitToPage="1"/>
  </sheetPr>
  <dimension ref="A1:B10"/>
  <sheetViews>
    <sheetView workbookViewId="0">
      <selection activeCell="B4" sqref="B4"/>
    </sheetView>
  </sheetViews>
  <sheetFormatPr baseColWidth="10" defaultColWidth="11.59765625" defaultRowHeight="13"/>
  <cols>
    <col min="1" max="1" width="5.59765625" style="774" customWidth="1"/>
    <col min="2" max="16384" width="11.59765625" style="774"/>
  </cols>
  <sheetData>
    <row r="1" spans="1:2" ht="16">
      <c r="A1" s="773" t="s">
        <v>1237</v>
      </c>
    </row>
    <row r="2" spans="1:2" ht="16">
      <c r="A2" s="775"/>
    </row>
    <row r="3" spans="1:2">
      <c r="A3" s="805">
        <v>7.01</v>
      </c>
      <c r="B3" s="776" t="s">
        <v>1238</v>
      </c>
    </row>
    <row r="4" spans="1:2">
      <c r="A4" s="805">
        <v>7.02</v>
      </c>
      <c r="B4" s="776" t="s">
        <v>1239</v>
      </c>
    </row>
    <row r="5" spans="1:2">
      <c r="A5" s="805">
        <v>7.03</v>
      </c>
      <c r="B5" s="776" t="s">
        <v>1240</v>
      </c>
    </row>
    <row r="6" spans="1:2">
      <c r="A6" s="805">
        <v>7.04</v>
      </c>
      <c r="B6" s="776" t="s">
        <v>1241</v>
      </c>
    </row>
    <row r="7" spans="1:2">
      <c r="A7" s="805">
        <v>7.05</v>
      </c>
      <c r="B7" s="776" t="s">
        <v>1242</v>
      </c>
    </row>
    <row r="10" spans="1:2">
      <c r="A10" s="551" t="s">
        <v>719</v>
      </c>
    </row>
  </sheetData>
  <pageMargins left="0.46" right="0.35" top="0.62" bottom="0.984251969" header="0.36" footer="0.4921259845"/>
  <pageSetup paperSize="9" orientation="portrait"/>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7D591-DDBF-D641-A93C-0CC24CA5BE30}">
  <sheetPr>
    <pageSetUpPr fitToPage="1"/>
  </sheetPr>
  <dimension ref="A1:K34"/>
  <sheetViews>
    <sheetView topLeftCell="A5" zoomScaleNormal="100" workbookViewId="0">
      <selection activeCell="A28" sqref="A28"/>
    </sheetView>
  </sheetViews>
  <sheetFormatPr baseColWidth="10" defaultColWidth="11.3984375" defaultRowHeight="13"/>
  <cols>
    <col min="1" max="1" width="16.796875" style="3" customWidth="1"/>
    <col min="2" max="2" width="16.3984375" style="3" customWidth="1"/>
    <col min="3" max="3" width="15" style="119" customWidth="1"/>
    <col min="4" max="4" width="16.19921875" style="3" customWidth="1"/>
    <col min="5" max="5" width="15" style="119" customWidth="1"/>
    <col min="6" max="6" width="15" style="3" customWidth="1"/>
    <col min="7" max="7" width="15" style="119" customWidth="1"/>
    <col min="8" max="16384" width="11.3984375" style="3"/>
  </cols>
  <sheetData>
    <row r="1" spans="1:11" s="2" customFormat="1" ht="14" customHeight="1">
      <c r="C1" s="88"/>
      <c r="E1" s="88"/>
      <c r="G1" s="88"/>
    </row>
    <row r="2" spans="1:11" s="2" customFormat="1" ht="26.5" customHeight="1">
      <c r="A2" s="181" t="s">
        <v>1228</v>
      </c>
      <c r="B2" s="90"/>
      <c r="C2" s="90"/>
      <c r="D2" s="90"/>
      <c r="E2" s="90"/>
      <c r="F2" s="90"/>
      <c r="G2" s="804"/>
    </row>
    <row r="3" spans="1:11" ht="24" customHeight="1">
      <c r="A3" s="92" t="s">
        <v>1229</v>
      </c>
      <c r="B3" s="182" t="s">
        <v>1193</v>
      </c>
      <c r="C3" s="94" t="s">
        <v>279</v>
      </c>
      <c r="D3" s="182" t="s">
        <v>1194</v>
      </c>
      <c r="E3" s="94" t="s">
        <v>279</v>
      </c>
      <c r="F3" s="182" t="s">
        <v>416</v>
      </c>
      <c r="G3" s="94" t="s">
        <v>279</v>
      </c>
    </row>
    <row r="4" spans="1:11" ht="15" customHeight="1">
      <c r="A4" s="184"/>
      <c r="B4" s="185" t="s">
        <v>416</v>
      </c>
      <c r="C4" s="95" t="s">
        <v>282</v>
      </c>
      <c r="D4" s="185" t="s">
        <v>1195</v>
      </c>
      <c r="E4" s="95" t="s">
        <v>282</v>
      </c>
      <c r="F4" s="185" t="s">
        <v>1196</v>
      </c>
      <c r="G4" s="95" t="s">
        <v>282</v>
      </c>
    </row>
    <row r="5" spans="1:11" ht="15" customHeight="1">
      <c r="A5" s="184"/>
      <c r="B5" s="185" t="s">
        <v>1197</v>
      </c>
      <c r="C5" s="95" t="s">
        <v>283</v>
      </c>
      <c r="D5" s="185" t="s">
        <v>1198</v>
      </c>
      <c r="E5" s="95" t="s">
        <v>283</v>
      </c>
      <c r="F5" s="185" t="s">
        <v>896</v>
      </c>
      <c r="G5" s="95" t="s">
        <v>283</v>
      </c>
    </row>
    <row r="6" spans="1:11" ht="24" customHeight="1">
      <c r="A6" s="188"/>
      <c r="B6" s="189"/>
      <c r="C6" s="97"/>
      <c r="D6" s="189" t="s">
        <v>1230</v>
      </c>
      <c r="E6" s="97"/>
      <c r="F6" s="189"/>
      <c r="G6" s="97"/>
    </row>
    <row r="7" spans="1:11" ht="1.5" customHeight="1" thickBot="1">
      <c r="A7" s="192">
        <v>1996</v>
      </c>
      <c r="B7" s="100">
        <v>4599022226.4899998</v>
      </c>
      <c r="C7" s="101">
        <v>4.7135061423122571E-2</v>
      </c>
      <c r="D7" s="100">
        <v>4507461189</v>
      </c>
      <c r="E7" s="101">
        <v>8.2125105302542703E-2</v>
      </c>
      <c r="F7" s="100">
        <v>91699445.469999999</v>
      </c>
      <c r="G7" s="101">
        <v>-0.59537068849307151</v>
      </c>
      <c r="I7" s="9"/>
      <c r="J7" s="9"/>
      <c r="K7" s="9"/>
    </row>
    <row r="8" spans="1:11" ht="0.75" hidden="1" customHeight="1" thickBot="1">
      <c r="A8" s="194">
        <v>1997</v>
      </c>
      <c r="B8" s="195">
        <v>4851626656</v>
      </c>
      <c r="C8" s="197">
        <v>5.4925681388321837E-2</v>
      </c>
      <c r="D8" s="195">
        <v>4710142665.8999996</v>
      </c>
      <c r="E8" s="197">
        <v>4.4965773059704457E-2</v>
      </c>
      <c r="F8" s="195">
        <v>141483990.28999999</v>
      </c>
      <c r="G8" s="197">
        <v>0.54290998778490207</v>
      </c>
    </row>
    <row r="9" spans="1:11" ht="19.5" hidden="1" customHeight="1" thickBot="1">
      <c r="A9" s="194">
        <v>1998</v>
      </c>
      <c r="B9" s="195">
        <v>4992640209.6999998</v>
      </c>
      <c r="C9" s="197">
        <v>2.9065211257673453E-2</v>
      </c>
      <c r="D9" s="195">
        <v>4882154897.6999998</v>
      </c>
      <c r="E9" s="197">
        <v>3.6519537517476157E-2</v>
      </c>
      <c r="F9" s="195">
        <v>110485312.03</v>
      </c>
      <c r="G9" s="197">
        <v>-0.2190967203883771</v>
      </c>
    </row>
    <row r="10" spans="1:11" ht="0.5" customHeight="1" thickBot="1">
      <c r="A10" s="194">
        <v>1999</v>
      </c>
      <c r="B10" s="195">
        <v>4257016347.5999999</v>
      </c>
      <c r="C10" s="197">
        <v>-0.14734165315393366</v>
      </c>
      <c r="D10" s="195">
        <v>4120691131.5999999</v>
      </c>
      <c r="E10" s="197">
        <v>-0.15596878469766051</v>
      </c>
      <c r="F10" s="195">
        <v>136325216.02000001</v>
      </c>
      <c r="G10" s="197">
        <v>0.23387637248092957</v>
      </c>
    </row>
    <row r="11" spans="1:11" ht="20" hidden="1" customHeight="1" thickBot="1">
      <c r="A11" s="194">
        <v>2000</v>
      </c>
      <c r="B11" s="195">
        <v>3297340718.6999998</v>
      </c>
      <c r="C11" s="197">
        <v>-0.22543386037054836</v>
      </c>
      <c r="D11" s="195">
        <v>3197872772.4000001</v>
      </c>
      <c r="E11" s="197">
        <v>-0.22394747136548521</v>
      </c>
      <c r="F11" s="195">
        <v>99467946.299999997</v>
      </c>
      <c r="G11" s="197">
        <v>-0.27036281911772475</v>
      </c>
    </row>
    <row r="12" spans="1:11" ht="19.5" customHeight="1" thickBot="1">
      <c r="A12" s="194">
        <v>2001</v>
      </c>
      <c r="B12" s="195">
        <v>2297775177.9000001</v>
      </c>
      <c r="C12" s="197">
        <v>-0.30314293428374783</v>
      </c>
      <c r="D12" s="195">
        <v>2245296158.4000001</v>
      </c>
      <c r="E12" s="197">
        <v>-0.29787820898362138</v>
      </c>
      <c r="F12" s="195">
        <v>52479019.649999999</v>
      </c>
      <c r="G12" s="197">
        <v>-0.4724027025578591</v>
      </c>
    </row>
    <row r="13" spans="1:11" ht="19.5" customHeight="1" thickBot="1">
      <c r="A13" s="194">
        <v>2002</v>
      </c>
      <c r="B13" s="195">
        <v>2179075331.1500001</v>
      </c>
      <c r="C13" s="197">
        <v>-5.1658599105628311E-2</v>
      </c>
      <c r="D13" s="195">
        <v>2190020061.2499995</v>
      </c>
      <c r="E13" s="197">
        <v>-2.4618621887898429E-2</v>
      </c>
      <c r="F13" s="195">
        <v>-10944730.16</v>
      </c>
      <c r="G13" s="197">
        <v>-1.2085543943654824</v>
      </c>
    </row>
    <row r="14" spans="1:11" ht="19.5" customHeight="1" thickBot="1">
      <c r="A14" s="194">
        <v>2003</v>
      </c>
      <c r="B14" s="195">
        <v>2288718484.4899998</v>
      </c>
      <c r="C14" s="197">
        <v>5.0316366659125977E-2</v>
      </c>
      <c r="D14" s="195">
        <v>2230195619.6600003</v>
      </c>
      <c r="E14" s="197">
        <v>1.8344835794366965E-2</v>
      </c>
      <c r="F14" s="195">
        <v>58522864.830000006</v>
      </c>
      <c r="G14" s="197">
        <v>6.3471272452093057</v>
      </c>
    </row>
    <row r="15" spans="1:11" ht="19.5" customHeight="1" thickBot="1">
      <c r="A15" s="194">
        <v>2004</v>
      </c>
      <c r="B15" s="195">
        <v>1913538530.5999999</v>
      </c>
      <c r="C15" s="197">
        <v>-0.16392577611990666</v>
      </c>
      <c r="D15" s="195">
        <v>1875065073.2299998</v>
      </c>
      <c r="E15" s="197">
        <v>-0.15923739751768551</v>
      </c>
      <c r="F15" s="195">
        <v>38473457.389999993</v>
      </c>
      <c r="G15" s="197">
        <v>-0.34259101119264213</v>
      </c>
    </row>
    <row r="16" spans="1:11" ht="19.5" customHeight="1" thickBot="1">
      <c r="A16" s="194">
        <v>2005</v>
      </c>
      <c r="B16" s="195">
        <v>2014328063.2799997</v>
      </c>
      <c r="C16" s="197">
        <v>5.2671807266089665E-2</v>
      </c>
      <c r="D16" s="195">
        <v>1987939073.0000002</v>
      </c>
      <c r="E16" s="197">
        <v>6.0197377350516668E-2</v>
      </c>
      <c r="F16" s="195">
        <v>26388990.279999997</v>
      </c>
      <c r="G16" s="197">
        <v>-0.31409880810818386</v>
      </c>
    </row>
    <row r="17" spans="1:7" ht="19.5" customHeight="1" thickBot="1">
      <c r="A17" s="194">
        <v>2006</v>
      </c>
      <c r="B17" s="195">
        <v>2046344832.71</v>
      </c>
      <c r="C17" s="197">
        <v>1.5894515900188644E-2</v>
      </c>
      <c r="D17" s="195">
        <v>2023719014.0099998</v>
      </c>
      <c r="E17" s="197">
        <v>1.7998509861775647E-2</v>
      </c>
      <c r="F17" s="195">
        <v>22625818.670000002</v>
      </c>
      <c r="G17" s="197">
        <v>-0.14260384994162029</v>
      </c>
    </row>
    <row r="18" spans="1:7" ht="19.5" customHeight="1" thickBot="1">
      <c r="A18" s="194">
        <v>2007</v>
      </c>
      <c r="B18" s="195">
        <v>1992425089.54</v>
      </c>
      <c r="C18" s="197">
        <v>-2.6349294756247699E-2</v>
      </c>
      <c r="D18" s="195">
        <v>1981658420.0599999</v>
      </c>
      <c r="E18" s="197">
        <v>-2.0783811220242865E-2</v>
      </c>
      <c r="F18" s="195">
        <v>10766669.48</v>
      </c>
      <c r="G18" s="197">
        <v>-0.5241423244377128</v>
      </c>
    </row>
    <row r="19" spans="1:7" ht="19.5" customHeight="1" thickBot="1">
      <c r="A19" s="194">
        <v>2008</v>
      </c>
      <c r="B19" s="195">
        <v>2066551567.6799998</v>
      </c>
      <c r="C19" s="197">
        <v>3.7204148115357105E-2</v>
      </c>
      <c r="D19" s="195">
        <v>2052929240.27</v>
      </c>
      <c r="E19" s="197">
        <v>3.596523976510646E-2</v>
      </c>
      <c r="F19" s="195">
        <v>13622327.400000002</v>
      </c>
      <c r="G19" s="197">
        <v>0.26523131645348896</v>
      </c>
    </row>
    <row r="20" spans="1:7" ht="19.5" customHeight="1" thickBot="1">
      <c r="A20" s="194">
        <v>2009</v>
      </c>
      <c r="B20" s="195">
        <v>2135418664.95</v>
      </c>
      <c r="C20" s="197">
        <v>3.332464495299936E-2</v>
      </c>
      <c r="D20" s="195">
        <v>2108516747.25</v>
      </c>
      <c r="E20" s="197">
        <v>2.7077166562589072E-2</v>
      </c>
      <c r="F20" s="195">
        <v>26901917.710000001</v>
      </c>
      <c r="G20" s="197">
        <v>0.97484004899192167</v>
      </c>
    </row>
    <row r="21" spans="1:7" ht="19.5" customHeight="1" thickBot="1">
      <c r="A21" s="194">
        <v>2010</v>
      </c>
      <c r="B21" s="195">
        <v>2230865076.8600001</v>
      </c>
      <c r="C21" s="197">
        <v>4.4696814482622749E-2</v>
      </c>
      <c r="D21" s="195">
        <v>2166575635.6500001</v>
      </c>
      <c r="E21" s="197">
        <v>2.7535417243293114E-2</v>
      </c>
      <c r="F21" s="195">
        <v>64289441.209999993</v>
      </c>
      <c r="G21" s="197">
        <v>1.3897716847933959</v>
      </c>
    </row>
    <row r="22" spans="1:7" ht="30" customHeight="1" thickBot="1">
      <c r="A22" s="499">
        <v>2011</v>
      </c>
      <c r="B22" s="108">
        <v>1845873727.6299999</v>
      </c>
      <c r="C22" s="109">
        <v>-0.1725749141996008</v>
      </c>
      <c r="D22" s="108">
        <v>1837525848.5099998</v>
      </c>
      <c r="E22" s="109">
        <v>-0.15187551347187622</v>
      </c>
      <c r="F22" s="108">
        <v>8347879.1100000013</v>
      </c>
      <c r="G22" s="109">
        <v>-0.87015163061175405</v>
      </c>
    </row>
    <row r="23" spans="1:7" ht="20" customHeight="1">
      <c r="A23" s="112" t="s">
        <v>720</v>
      </c>
      <c r="B23" s="112"/>
      <c r="C23" s="114"/>
      <c r="D23" s="112"/>
      <c r="E23" s="114"/>
      <c r="F23" s="112"/>
      <c r="G23" s="114"/>
    </row>
    <row r="24" spans="1:7" ht="9.75" customHeight="1">
      <c r="A24" s="115"/>
      <c r="B24" s="115"/>
      <c r="C24" s="117"/>
      <c r="D24" s="115"/>
      <c r="E24" s="117"/>
      <c r="F24" s="115"/>
      <c r="G24" s="117"/>
    </row>
    <row r="25" spans="1:7">
      <c r="A25" s="115" t="s">
        <v>1231</v>
      </c>
    </row>
    <row r="26" spans="1:7">
      <c r="A26" s="3" t="s">
        <v>1232</v>
      </c>
    </row>
    <row r="27" spans="1:7">
      <c r="A27" s="3" t="s">
        <v>1233</v>
      </c>
    </row>
    <row r="28" spans="1:7">
      <c r="A28" s="3" t="s">
        <v>1234</v>
      </c>
    </row>
    <row r="29" spans="1:7">
      <c r="A29" s="3" t="s">
        <v>1235</v>
      </c>
    </row>
    <row r="31" spans="1:7" ht="15.75" customHeight="1">
      <c r="A31" s="115" t="s">
        <v>1236</v>
      </c>
      <c r="B31" s="115"/>
      <c r="C31" s="117"/>
      <c r="D31" s="115"/>
      <c r="E31" s="117"/>
      <c r="F31" s="115"/>
      <c r="G31" s="117"/>
    </row>
    <row r="34" spans="1:1">
      <c r="A34" s="3" t="s">
        <v>719</v>
      </c>
    </row>
  </sheetData>
  <pageMargins left="0.55118110236220474" right="0.59055118110236227" top="0.9055118110236221" bottom="0.47244094488188981" header="0.47244094488188981" footer="0.51181102362204722"/>
  <pageSetup paperSize="9" scale="84" orientation="portrait" horizontalDpi="1200" verticalDpi="1200"/>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C34A-8D9A-A749-B143-597DC30D33BF}">
  <sheetPr>
    <pageSetUpPr fitToPage="1"/>
  </sheetPr>
  <dimension ref="A1:I23"/>
  <sheetViews>
    <sheetView zoomScaleNormal="100" workbookViewId="0">
      <selection activeCell="A11" sqref="A11"/>
    </sheetView>
  </sheetViews>
  <sheetFormatPr baseColWidth="10" defaultColWidth="11.3984375" defaultRowHeight="13"/>
  <cols>
    <col min="1" max="1" width="37" style="3" customWidth="1"/>
    <col min="2" max="2" width="15.3984375" style="3" customWidth="1"/>
    <col min="3" max="3" width="15.59765625" style="3" customWidth="1"/>
    <col min="4" max="4" width="15.3984375" style="3" customWidth="1"/>
    <col min="5" max="5" width="17.59765625" style="110" customWidth="1"/>
    <col min="6" max="6" width="15.19921875" style="3" customWidth="1"/>
    <col min="7" max="16384" width="11.3984375" style="3"/>
  </cols>
  <sheetData>
    <row r="1" spans="1:9" s="2" customFormat="1" ht="14" customHeight="1">
      <c r="E1" s="17"/>
    </row>
    <row r="2" spans="1:9" s="2" customFormat="1" ht="23.5" customHeight="1">
      <c r="A2" s="246" t="s">
        <v>1213</v>
      </c>
      <c r="E2" s="17"/>
      <c r="F2" s="246">
        <v>2011</v>
      </c>
    </row>
    <row r="3" spans="1:9" ht="24" customHeight="1">
      <c r="A3" s="419" t="s">
        <v>558</v>
      </c>
      <c r="B3" s="182" t="s">
        <v>1047</v>
      </c>
      <c r="C3" s="183" t="s">
        <v>1214</v>
      </c>
      <c r="D3" s="182" t="s">
        <v>1047</v>
      </c>
      <c r="E3" s="437" t="s">
        <v>278</v>
      </c>
      <c r="F3" s="304" t="s">
        <v>279</v>
      </c>
    </row>
    <row r="4" spans="1:9" ht="15" customHeight="1">
      <c r="A4" s="184"/>
      <c r="B4" s="185" t="s">
        <v>1215</v>
      </c>
      <c r="C4" s="186" t="s">
        <v>1178</v>
      </c>
      <c r="D4" s="185" t="s">
        <v>1215</v>
      </c>
      <c r="E4" s="342"/>
      <c r="F4" s="211" t="s">
        <v>282</v>
      </c>
    </row>
    <row r="5" spans="1:9" ht="15" customHeight="1">
      <c r="A5" s="184"/>
      <c r="B5" s="185" t="s">
        <v>1032</v>
      </c>
      <c r="C5" s="186" t="s">
        <v>1216</v>
      </c>
      <c r="D5" s="185" t="s">
        <v>702</v>
      </c>
      <c r="E5" s="342"/>
      <c r="F5" s="211" t="s">
        <v>283</v>
      </c>
    </row>
    <row r="6" spans="1:9" ht="15" customHeight="1">
      <c r="A6" s="184"/>
      <c r="B6" s="185"/>
      <c r="C6" s="186"/>
      <c r="D6" s="185" t="s">
        <v>1217</v>
      </c>
      <c r="E6" s="342"/>
      <c r="F6" s="800"/>
    </row>
    <row r="7" spans="1:9" ht="15" customHeight="1">
      <c r="A7" s="184"/>
      <c r="B7" s="185"/>
      <c r="C7" s="186"/>
      <c r="D7" s="321" t="s">
        <v>1218</v>
      </c>
      <c r="E7" s="342"/>
      <c r="F7" s="211"/>
    </row>
    <row r="8" spans="1:9" ht="24" customHeight="1">
      <c r="A8" s="188"/>
      <c r="B8" s="189"/>
      <c r="C8" s="190"/>
      <c r="D8" s="189"/>
      <c r="E8" s="272"/>
      <c r="F8" s="213"/>
    </row>
    <row r="9" spans="1:9" ht="30" customHeight="1" thickBot="1">
      <c r="A9" s="801" t="s">
        <v>1219</v>
      </c>
      <c r="B9" s="142">
        <v>1876188558.05</v>
      </c>
      <c r="C9" s="141">
        <v>117796537.75</v>
      </c>
      <c r="D9" s="142">
        <v>3492161.47</v>
      </c>
      <c r="E9" s="536">
        <v>1997477257.27</v>
      </c>
      <c r="F9" s="802">
        <v>-8.7181305025948508E-2</v>
      </c>
      <c r="G9" s="8"/>
    </row>
    <row r="10" spans="1:9" ht="20" customHeight="1" thickBot="1">
      <c r="A10" s="145" t="s">
        <v>1220</v>
      </c>
      <c r="B10" s="154">
        <v>1883131904.22</v>
      </c>
      <c r="C10" s="155">
        <v>70740050.670000002</v>
      </c>
      <c r="D10" s="154">
        <v>3491863.57</v>
      </c>
      <c r="E10" s="500">
        <v>1957363818.46</v>
      </c>
      <c r="F10" s="221">
        <v>-8.8345315810423902E-2</v>
      </c>
      <c r="H10" s="9"/>
      <c r="I10" s="9"/>
    </row>
    <row r="11" spans="1:9" ht="20" customHeight="1" thickBot="1">
      <c r="A11" s="194" t="s">
        <v>1221</v>
      </c>
      <c r="B11" s="154">
        <v>-149934326.62</v>
      </c>
      <c r="C11" s="155">
        <v>-1672581.83</v>
      </c>
      <c r="D11" s="154">
        <v>3378.81</v>
      </c>
      <c r="E11" s="500">
        <v>-151603529.64000002</v>
      </c>
      <c r="F11" s="221">
        <v>-4.5576691052546989</v>
      </c>
      <c r="H11" s="9"/>
      <c r="I11" s="9"/>
    </row>
    <row r="12" spans="1:9" ht="20" customHeight="1" thickBot="1">
      <c r="A12" s="194" t="s">
        <v>1222</v>
      </c>
      <c r="B12" s="154">
        <v>1726254231.4299998</v>
      </c>
      <c r="C12" s="155">
        <v>116123955.92</v>
      </c>
      <c r="D12" s="154">
        <v>3495540.2800000003</v>
      </c>
      <c r="E12" s="500">
        <v>1845873727.6299999</v>
      </c>
      <c r="F12" s="221">
        <v>-0.17257491419960075</v>
      </c>
      <c r="H12" s="9"/>
      <c r="I12" s="9"/>
    </row>
    <row r="13" spans="1:9" ht="20" customHeight="1" thickBot="1">
      <c r="A13" s="194" t="s">
        <v>1223</v>
      </c>
      <c r="B13" s="154">
        <v>1429683609.6800001</v>
      </c>
      <c r="C13" s="155">
        <v>108882016.7</v>
      </c>
      <c r="D13" s="154">
        <v>7226150.1100000003</v>
      </c>
      <c r="E13" s="500">
        <v>1545791776.49</v>
      </c>
      <c r="F13" s="221">
        <v>-0.1559186335045821</v>
      </c>
      <c r="H13" s="9"/>
      <c r="I13" s="9"/>
    </row>
    <row r="14" spans="1:9" ht="20" customHeight="1" thickBot="1">
      <c r="A14" s="145" t="s">
        <v>1224</v>
      </c>
      <c r="B14" s="154">
        <v>1434271321.0799999</v>
      </c>
      <c r="C14" s="155">
        <v>108882016.7</v>
      </c>
      <c r="D14" s="154">
        <v>7226150.1100000003</v>
      </c>
      <c r="E14" s="500">
        <v>1550379487.8899999</v>
      </c>
      <c r="F14" s="221">
        <v>-0.15885827892570278</v>
      </c>
      <c r="H14" s="9"/>
      <c r="I14" s="9"/>
    </row>
    <row r="15" spans="1:9" ht="20" customHeight="1" thickBot="1">
      <c r="A15" s="194" t="s">
        <v>1225</v>
      </c>
      <c r="B15" s="154">
        <v>285229342.33999997</v>
      </c>
      <c r="C15" s="155">
        <v>6090012.6500000004</v>
      </c>
      <c r="D15" s="154">
        <v>414717.03</v>
      </c>
      <c r="E15" s="500">
        <v>291734072.01999992</v>
      </c>
      <c r="F15" s="221">
        <v>-0.12978933577089785</v>
      </c>
      <c r="H15" s="9"/>
      <c r="I15" s="9"/>
    </row>
    <row r="16" spans="1:9" ht="20" customHeight="1" thickBot="1">
      <c r="A16" s="194" t="s">
        <v>1226</v>
      </c>
      <c r="B16" s="154">
        <v>1714912952.04</v>
      </c>
      <c r="C16" s="155">
        <v>114972029.34999999</v>
      </c>
      <c r="D16" s="154">
        <v>7640867.1200000001</v>
      </c>
      <c r="E16" s="500">
        <v>1837525848.5099998</v>
      </c>
      <c r="F16" s="221">
        <v>-0.15187551347187619</v>
      </c>
      <c r="H16" s="9"/>
      <c r="I16" s="9"/>
    </row>
    <row r="17" spans="1:6" ht="30" customHeight="1" thickBot="1">
      <c r="A17" s="803" t="s">
        <v>592</v>
      </c>
      <c r="B17" s="154">
        <v>11341279.4</v>
      </c>
      <c r="C17" s="155">
        <v>1151926.57</v>
      </c>
      <c r="D17" s="154">
        <v>-4145326.86</v>
      </c>
      <c r="E17" s="500">
        <v>8347879.1100000013</v>
      </c>
      <c r="F17" s="221">
        <v>-0.87015163061175405</v>
      </c>
    </row>
    <row r="18" spans="1:6" ht="20" customHeight="1">
      <c r="A18" s="112" t="s">
        <v>720</v>
      </c>
      <c r="B18" s="112"/>
      <c r="C18" s="112"/>
      <c r="D18" s="112"/>
      <c r="E18" s="794"/>
      <c r="F18" s="112"/>
    </row>
    <row r="19" spans="1:6">
      <c r="A19" s="115"/>
    </row>
    <row r="20" spans="1:6">
      <c r="A20" s="3" t="s">
        <v>1227</v>
      </c>
    </row>
    <row r="23" spans="1:6">
      <c r="A23" s="3" t="s">
        <v>719</v>
      </c>
    </row>
  </sheetData>
  <pageMargins left="0.47" right="0.47" top="0.92" bottom="0.49" header="0.49" footer="0.4921259845"/>
  <pageSetup paperSize="9" scale="81" orientation="portrait" horizontalDpi="1200" verticalDpi="12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56B7-4A89-1B4A-89E2-11017BDF4227}">
  <sheetPr>
    <pageSetUpPr fitToPage="1"/>
  </sheetPr>
  <dimension ref="A1:E43"/>
  <sheetViews>
    <sheetView topLeftCell="A21" zoomScaleNormal="100" workbookViewId="0">
      <selection activeCell="B35" sqref="B35"/>
    </sheetView>
  </sheetViews>
  <sheetFormatPr baseColWidth="10" defaultColWidth="11.3984375" defaultRowHeight="13"/>
  <cols>
    <col min="1" max="1" width="8.796875" style="3" customWidth="1"/>
    <col min="2" max="2" width="48.796875" style="119" customWidth="1"/>
    <col min="3" max="3" width="16.59765625" style="3" customWidth="1"/>
    <col min="4" max="4" width="16.59765625" style="8" customWidth="1"/>
    <col min="5" max="5" width="15.3984375" style="434" customWidth="1"/>
    <col min="6" max="16384" width="11.3984375" style="3"/>
  </cols>
  <sheetData>
    <row r="1" spans="1:5" s="2" customFormat="1" ht="14" customHeight="1">
      <c r="B1" s="88"/>
      <c r="D1" s="406"/>
      <c r="E1" s="769"/>
    </row>
    <row r="2" spans="1:5" s="2" customFormat="1" ht="25.5" customHeight="1">
      <c r="A2" s="1843" t="s">
        <v>1207</v>
      </c>
      <c r="B2" s="1847"/>
      <c r="C2" s="1847"/>
      <c r="D2" s="1847"/>
      <c r="E2" s="246">
        <v>2011</v>
      </c>
    </row>
    <row r="3" spans="1:5" ht="39" customHeight="1">
      <c r="A3" s="419" t="s">
        <v>558</v>
      </c>
      <c r="B3" s="94"/>
      <c r="C3" s="182" t="s">
        <v>559</v>
      </c>
      <c r="D3" s="229" t="s">
        <v>560</v>
      </c>
      <c r="E3" s="407" t="s">
        <v>278</v>
      </c>
    </row>
    <row r="4" spans="1:5" ht="38" customHeight="1">
      <c r="A4" s="408"/>
      <c r="B4" s="231"/>
      <c r="C4" s="189" t="s">
        <v>561</v>
      </c>
      <c r="D4" s="191" t="s">
        <v>561</v>
      </c>
      <c r="E4" s="409" t="s">
        <v>561</v>
      </c>
    </row>
    <row r="5" spans="1:5" ht="30" customHeight="1" thickBot="1">
      <c r="A5" s="99">
        <v>63</v>
      </c>
      <c r="B5" s="99" t="s">
        <v>562</v>
      </c>
      <c r="C5" s="100">
        <v>1821053308.9200001</v>
      </c>
      <c r="D5" s="193">
        <v>71360072.370000005</v>
      </c>
      <c r="E5" s="420">
        <v>1892413381.29</v>
      </c>
    </row>
    <row r="6" spans="1:5" ht="20" customHeight="1" thickBot="1">
      <c r="A6" s="103">
        <v>64</v>
      </c>
      <c r="B6" s="103" t="s">
        <v>563</v>
      </c>
      <c r="C6" s="195">
        <v>-9377838.5999999996</v>
      </c>
      <c r="D6" s="196">
        <v>-304324.07</v>
      </c>
      <c r="E6" s="413">
        <v>-9682162.6699999999</v>
      </c>
    </row>
    <row r="7" spans="1:5" ht="20" customHeight="1" thickBot="1">
      <c r="A7" s="103">
        <v>65</v>
      </c>
      <c r="B7" s="103" t="s">
        <v>564</v>
      </c>
      <c r="C7" s="195">
        <v>371062.87</v>
      </c>
      <c r="D7" s="196">
        <v>29622.73</v>
      </c>
      <c r="E7" s="413">
        <v>400685.6</v>
      </c>
    </row>
    <row r="8" spans="1:5" ht="27" customHeight="1" thickBot="1">
      <c r="A8" s="145" t="s">
        <v>565</v>
      </c>
      <c r="B8" s="145" t="s">
        <v>1151</v>
      </c>
      <c r="C8" s="195">
        <v>1812046533.1900001</v>
      </c>
      <c r="D8" s="196">
        <v>71085371.030000001</v>
      </c>
      <c r="E8" s="413">
        <v>1883131904.22</v>
      </c>
    </row>
    <row r="9" spans="1:5" ht="20" customHeight="1" thickBot="1">
      <c r="A9" s="103">
        <v>66</v>
      </c>
      <c r="B9" s="103" t="s">
        <v>567</v>
      </c>
      <c r="C9" s="195">
        <v>-9833935.2799999993</v>
      </c>
      <c r="D9" s="196">
        <v>-912158.32</v>
      </c>
      <c r="E9" s="413">
        <v>-10746093.6</v>
      </c>
    </row>
    <row r="10" spans="1:5" ht="27" customHeight="1" thickBot="1">
      <c r="A10" s="145" t="s">
        <v>568</v>
      </c>
      <c r="B10" s="145" t="s">
        <v>569</v>
      </c>
      <c r="C10" s="195">
        <v>1802212597.9100001</v>
      </c>
      <c r="D10" s="196">
        <v>70173212.709999993</v>
      </c>
      <c r="E10" s="413">
        <v>1872385810.6199999</v>
      </c>
    </row>
    <row r="11" spans="1:5" ht="20" customHeight="1" thickBot="1">
      <c r="A11" s="103">
        <v>67</v>
      </c>
      <c r="B11" s="103" t="s">
        <v>570</v>
      </c>
      <c r="C11" s="195">
        <v>0</v>
      </c>
      <c r="D11" s="196">
        <v>0</v>
      </c>
      <c r="E11" s="413">
        <v>0</v>
      </c>
    </row>
    <row r="12" spans="1:5" ht="20" customHeight="1" thickBot="1">
      <c r="A12" s="103">
        <v>68</v>
      </c>
      <c r="B12" s="103" t="s">
        <v>571</v>
      </c>
      <c r="C12" s="195">
        <v>-3121276.6</v>
      </c>
      <c r="D12" s="196">
        <v>0</v>
      </c>
      <c r="E12" s="413">
        <v>-3121276.6</v>
      </c>
    </row>
    <row r="13" spans="1:5" ht="20" customHeight="1" thickBot="1">
      <c r="A13" s="103">
        <v>69</v>
      </c>
      <c r="B13" s="103" t="s">
        <v>572</v>
      </c>
      <c r="C13" s="195">
        <v>6485162.5199999996</v>
      </c>
      <c r="D13" s="196">
        <v>438861.51</v>
      </c>
      <c r="E13" s="413">
        <v>6924024.0300000003</v>
      </c>
    </row>
    <row r="14" spans="1:5" ht="27" customHeight="1" thickBot="1">
      <c r="A14" s="145">
        <v>6</v>
      </c>
      <c r="B14" s="145" t="s">
        <v>573</v>
      </c>
      <c r="C14" s="195">
        <v>1805576483.8299999</v>
      </c>
      <c r="D14" s="196">
        <v>70612074.219999999</v>
      </c>
      <c r="E14" s="413">
        <v>1876188558.05</v>
      </c>
    </row>
    <row r="15" spans="1:5" ht="20" customHeight="1" thickBot="1">
      <c r="A15" s="103">
        <v>33</v>
      </c>
      <c r="B15" s="103" t="s">
        <v>574</v>
      </c>
      <c r="C15" s="195">
        <v>1513340538.96</v>
      </c>
      <c r="D15" s="196">
        <v>45471490.299999997</v>
      </c>
      <c r="E15" s="413">
        <v>1558812029.26</v>
      </c>
    </row>
    <row r="16" spans="1:5" ht="20" customHeight="1" thickBot="1">
      <c r="A16" s="103">
        <v>32</v>
      </c>
      <c r="B16" s="103" t="s">
        <v>575</v>
      </c>
      <c r="C16" s="195">
        <v>-36895729.859999999</v>
      </c>
      <c r="D16" s="196">
        <v>-1013460.69</v>
      </c>
      <c r="E16" s="413">
        <v>-37909190.549999997</v>
      </c>
    </row>
    <row r="17" spans="1:5" ht="27" customHeight="1" thickBot="1">
      <c r="A17" s="145" t="s">
        <v>576</v>
      </c>
      <c r="B17" s="145" t="s">
        <v>213</v>
      </c>
      <c r="C17" s="195">
        <v>1476444809.0999999</v>
      </c>
      <c r="D17" s="196">
        <v>44458029.609999999</v>
      </c>
      <c r="E17" s="413">
        <v>1520902838.71</v>
      </c>
    </row>
    <row r="18" spans="1:5" ht="20" customHeight="1" thickBot="1">
      <c r="A18" s="103">
        <v>34</v>
      </c>
      <c r="B18" s="103" t="s">
        <v>577</v>
      </c>
      <c r="C18" s="195">
        <v>18863562.829999998</v>
      </c>
      <c r="D18" s="196">
        <v>345954.59</v>
      </c>
      <c r="E18" s="413">
        <v>19209517.420000002</v>
      </c>
    </row>
    <row r="19" spans="1:5" ht="20" customHeight="1" thickBot="1">
      <c r="A19" s="103">
        <v>35</v>
      </c>
      <c r="B19" s="103" t="s">
        <v>578</v>
      </c>
      <c r="C19" s="195">
        <v>-96812870.719999999</v>
      </c>
      <c r="D19" s="196">
        <v>-9028164.3200000003</v>
      </c>
      <c r="E19" s="413">
        <v>-105841035.04000001</v>
      </c>
    </row>
    <row r="20" spans="1:5" ht="27" customHeight="1" thickBot="1">
      <c r="A20" s="145" t="s">
        <v>579</v>
      </c>
      <c r="B20" s="145" t="s">
        <v>199</v>
      </c>
      <c r="C20" s="195">
        <v>1398495501.1900001</v>
      </c>
      <c r="D20" s="196">
        <v>35775819.890000001</v>
      </c>
      <c r="E20" s="413">
        <v>1434271321.0799999</v>
      </c>
    </row>
    <row r="21" spans="1:5" ht="20" customHeight="1" thickBot="1">
      <c r="A21" s="103">
        <v>36</v>
      </c>
      <c r="B21" s="103" t="s">
        <v>580</v>
      </c>
      <c r="C21" s="195">
        <v>-4344456.5199999996</v>
      </c>
      <c r="D21" s="196">
        <v>-243254.88</v>
      </c>
      <c r="E21" s="413">
        <v>-4587711.4000000004</v>
      </c>
    </row>
    <row r="22" spans="1:5" ht="20" customHeight="1" thickBot="1">
      <c r="A22" s="103">
        <v>37</v>
      </c>
      <c r="B22" s="103" t="s">
        <v>581</v>
      </c>
      <c r="C22" s="195">
        <v>0</v>
      </c>
      <c r="D22" s="196">
        <v>0</v>
      </c>
      <c r="E22" s="413">
        <v>0</v>
      </c>
    </row>
    <row r="23" spans="1:5" ht="26.25" customHeight="1" thickBot="1">
      <c r="A23" s="145">
        <v>3</v>
      </c>
      <c r="B23" s="145" t="s">
        <v>582</v>
      </c>
      <c r="C23" s="195">
        <v>1394151044.6800001</v>
      </c>
      <c r="D23" s="196">
        <v>35532565</v>
      </c>
      <c r="E23" s="413">
        <v>1429683609.6800001</v>
      </c>
    </row>
    <row r="24" spans="1:5" ht="20" customHeight="1" thickBot="1">
      <c r="A24" s="103" t="s">
        <v>583</v>
      </c>
      <c r="B24" s="103" t="s">
        <v>584</v>
      </c>
      <c r="C24" s="195">
        <v>265380754.80000001</v>
      </c>
      <c r="D24" s="196">
        <v>12682270.800000001</v>
      </c>
      <c r="E24" s="413">
        <v>278063025.60000002</v>
      </c>
    </row>
    <row r="25" spans="1:5" ht="20" customHeight="1" thickBot="1">
      <c r="A25" s="103">
        <v>48</v>
      </c>
      <c r="B25" s="103" t="s">
        <v>585</v>
      </c>
      <c r="C25" s="195">
        <v>6196124.8700000001</v>
      </c>
      <c r="D25" s="196">
        <v>375890.4</v>
      </c>
      <c r="E25" s="413">
        <v>6572015.2699999996</v>
      </c>
    </row>
    <row r="26" spans="1:5" ht="20" customHeight="1" thickBot="1">
      <c r="A26" s="103">
        <v>49</v>
      </c>
      <c r="B26" s="103" t="s">
        <v>586</v>
      </c>
      <c r="C26" s="195">
        <v>553693.03</v>
      </c>
      <c r="D26" s="196">
        <v>40608.449999999997</v>
      </c>
      <c r="E26" s="413">
        <v>594301.48</v>
      </c>
    </row>
    <row r="27" spans="1:5" ht="27" customHeight="1" thickBot="1">
      <c r="A27" s="145">
        <v>4</v>
      </c>
      <c r="B27" s="145" t="s">
        <v>587</v>
      </c>
      <c r="C27" s="195">
        <v>272130572.69999999</v>
      </c>
      <c r="D27" s="196">
        <v>13098769.640000001</v>
      </c>
      <c r="E27" s="413">
        <v>285229342.33999997</v>
      </c>
    </row>
    <row r="28" spans="1:5" ht="27" customHeight="1" thickBot="1">
      <c r="A28" s="145" t="s">
        <v>588</v>
      </c>
      <c r="B28" s="145" t="s">
        <v>589</v>
      </c>
      <c r="C28" s="195">
        <v>1666281617.3900001</v>
      </c>
      <c r="D28" s="196">
        <v>48631334.649999999</v>
      </c>
      <c r="E28" s="413">
        <v>1714912952.04</v>
      </c>
    </row>
    <row r="29" spans="1:5" ht="27" customHeight="1" thickBot="1">
      <c r="A29" s="145"/>
      <c r="B29" s="145" t="s">
        <v>590</v>
      </c>
      <c r="C29" s="195">
        <v>139294866.44999999</v>
      </c>
      <c r="D29" s="196">
        <v>21980739.57</v>
      </c>
      <c r="E29" s="413">
        <v>161275606.02000001</v>
      </c>
    </row>
    <row r="30" spans="1:5" ht="27" customHeight="1" thickBot="1">
      <c r="A30" s="145">
        <v>7</v>
      </c>
      <c r="B30" s="145" t="s">
        <v>591</v>
      </c>
      <c r="C30" s="195">
        <v>-138388863.87</v>
      </c>
      <c r="D30" s="196">
        <v>-11545462.75</v>
      </c>
      <c r="E30" s="413">
        <v>-149934326.62</v>
      </c>
    </row>
    <row r="31" spans="1:5" ht="28.5" customHeight="1" thickBot="1">
      <c r="A31" s="422"/>
      <c r="B31" s="422" t="s">
        <v>592</v>
      </c>
      <c r="C31" s="423">
        <v>906002.58</v>
      </c>
      <c r="D31" s="424">
        <v>10435276.82</v>
      </c>
      <c r="E31" s="425">
        <v>11341279.4</v>
      </c>
    </row>
    <row r="32" spans="1:5" ht="20" customHeight="1">
      <c r="A32" s="426"/>
      <c r="B32" s="426"/>
      <c r="C32" s="427"/>
      <c r="D32" s="427"/>
      <c r="E32" s="428"/>
    </row>
    <row r="33" spans="1:5" ht="23.25" customHeight="1">
      <c r="A33" s="429" t="s">
        <v>1208</v>
      </c>
      <c r="B33" s="430"/>
      <c r="C33" s="430"/>
      <c r="D33" s="430"/>
      <c r="E33" s="430"/>
    </row>
    <row r="34" spans="1:5" ht="19.5" customHeight="1" thickBot="1">
      <c r="A34" s="222"/>
      <c r="B34" s="222" t="s">
        <v>1209</v>
      </c>
      <c r="C34" s="142" t="s">
        <v>30</v>
      </c>
      <c r="D34" s="141" t="s">
        <v>30</v>
      </c>
      <c r="E34" s="431">
        <v>609692954.75999999</v>
      </c>
    </row>
    <row r="35" spans="1:5" ht="19.5" customHeight="1" thickBot="1">
      <c r="A35" s="145"/>
      <c r="B35" s="145" t="s">
        <v>1210</v>
      </c>
      <c r="C35" s="154" t="s">
        <v>30</v>
      </c>
      <c r="D35" s="155" t="s">
        <v>30</v>
      </c>
      <c r="E35" s="108">
        <v>541661943.50999999</v>
      </c>
    </row>
    <row r="36" spans="1:5" ht="15.75" customHeight="1">
      <c r="A36" s="112" t="s">
        <v>720</v>
      </c>
      <c r="B36" s="114"/>
      <c r="C36" s="112"/>
      <c r="D36" s="432"/>
      <c r="E36" s="433"/>
    </row>
    <row r="37" spans="1:5">
      <c r="A37" s="115"/>
    </row>
    <row r="38" spans="1:5">
      <c r="A38" s="115" t="s">
        <v>1211</v>
      </c>
    </row>
    <row r="39" spans="1:5">
      <c r="A39" s="115"/>
    </row>
    <row r="40" spans="1:5">
      <c r="A40" s="3" t="s">
        <v>1212</v>
      </c>
    </row>
    <row r="43" spans="1:5">
      <c r="A43" s="3" t="s">
        <v>719</v>
      </c>
    </row>
  </sheetData>
  <mergeCells count="1">
    <mergeCell ref="A2:D2"/>
  </mergeCells>
  <pageMargins left="0.51181102362204722" right="0.47244094488188981" top="0.74" bottom="0.57999999999999996" header="0.41" footer="0.37"/>
  <pageSetup paperSize="9" scale="84" orientation="portrait" horizontalDpi="1200" verticalDpi="1200"/>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2B2D-7718-E84E-894C-FE6B21F618DC}">
  <sheetPr>
    <pageSetUpPr fitToPage="1"/>
  </sheetPr>
  <dimension ref="A1:H37"/>
  <sheetViews>
    <sheetView zoomScaleNormal="100" workbookViewId="0">
      <selection activeCell="B9" sqref="B9"/>
    </sheetView>
  </sheetViews>
  <sheetFormatPr baseColWidth="10" defaultColWidth="11.3984375" defaultRowHeight="13"/>
  <cols>
    <col min="1" max="1" width="8.796875" style="3" customWidth="1"/>
    <col min="2" max="2" width="48.796875" style="119" customWidth="1"/>
    <col min="3" max="3" width="17.3984375" style="3" customWidth="1"/>
    <col min="4" max="4" width="17.3984375" style="8" customWidth="1"/>
    <col min="5" max="5" width="17" style="434" customWidth="1"/>
    <col min="6" max="16384" width="11.3984375" style="3"/>
  </cols>
  <sheetData>
    <row r="1" spans="1:8" s="2" customFormat="1" ht="14" customHeight="1">
      <c r="B1" s="88"/>
      <c r="D1" s="406"/>
      <c r="E1" s="769"/>
    </row>
    <row r="2" spans="1:8" s="2" customFormat="1" ht="28" customHeight="1">
      <c r="A2" s="246" t="s">
        <v>1205</v>
      </c>
      <c r="B2" s="88"/>
      <c r="D2" s="406"/>
      <c r="E2" s="246">
        <v>2011</v>
      </c>
    </row>
    <row r="3" spans="1:8" ht="39" customHeight="1">
      <c r="A3" s="419" t="s">
        <v>558</v>
      </c>
      <c r="B3" s="94"/>
      <c r="C3" s="182" t="s">
        <v>559</v>
      </c>
      <c r="D3" s="229" t="s">
        <v>560</v>
      </c>
      <c r="E3" s="407" t="s">
        <v>278</v>
      </c>
      <c r="G3" s="4"/>
      <c r="H3" s="4"/>
    </row>
    <row r="4" spans="1:8" ht="38" customHeight="1">
      <c r="A4" s="408"/>
      <c r="B4" s="231"/>
      <c r="C4" s="189" t="s">
        <v>561</v>
      </c>
      <c r="D4" s="191" t="s">
        <v>561</v>
      </c>
      <c r="E4" s="409" t="s">
        <v>561</v>
      </c>
      <c r="G4" s="175"/>
      <c r="H4" s="798"/>
    </row>
    <row r="5" spans="1:8" ht="30" customHeight="1" thickBot="1">
      <c r="A5" s="99">
        <v>63</v>
      </c>
      <c r="B5" s="99" t="s">
        <v>562</v>
      </c>
      <c r="C5" s="100">
        <v>69361402.870000005</v>
      </c>
      <c r="D5" s="193">
        <v>1480253.93</v>
      </c>
      <c r="E5" s="420">
        <v>70841656.799999997</v>
      </c>
      <c r="G5" s="179"/>
      <c r="H5" s="798"/>
    </row>
    <row r="6" spans="1:8" ht="20" customHeight="1" thickBot="1">
      <c r="A6" s="103">
        <v>64</v>
      </c>
      <c r="B6" s="103" t="s">
        <v>563</v>
      </c>
      <c r="C6" s="195">
        <v>-99490.39</v>
      </c>
      <c r="D6" s="196">
        <v>-2115.7399999999998</v>
      </c>
      <c r="E6" s="413">
        <v>-101606.13</v>
      </c>
      <c r="G6" s="179"/>
      <c r="H6" s="798"/>
    </row>
    <row r="7" spans="1:8" ht="20" customHeight="1" thickBot="1">
      <c r="A7" s="103">
        <v>65</v>
      </c>
      <c r="B7" s="103" t="s">
        <v>564</v>
      </c>
      <c r="C7" s="195">
        <v>0</v>
      </c>
      <c r="D7" s="196">
        <v>0</v>
      </c>
      <c r="E7" s="413">
        <v>0</v>
      </c>
      <c r="G7" s="179"/>
      <c r="H7" s="798"/>
    </row>
    <row r="8" spans="1:8" ht="27" customHeight="1" thickBot="1">
      <c r="A8" s="145" t="s">
        <v>565</v>
      </c>
      <c r="B8" s="145" t="s">
        <v>1151</v>
      </c>
      <c r="C8" s="195">
        <v>69261912.480000004</v>
      </c>
      <c r="D8" s="196">
        <v>1478138.19</v>
      </c>
      <c r="E8" s="413">
        <v>70740050.670000002</v>
      </c>
      <c r="G8" s="179"/>
      <c r="H8" s="798"/>
    </row>
    <row r="9" spans="1:8" ht="21" customHeight="1" thickBot="1">
      <c r="A9" s="103">
        <v>66</v>
      </c>
      <c r="B9" s="103" t="s">
        <v>567</v>
      </c>
      <c r="C9" s="195">
        <v>0</v>
      </c>
      <c r="D9" s="196">
        <v>0</v>
      </c>
      <c r="E9" s="413">
        <v>0</v>
      </c>
      <c r="G9" s="179"/>
      <c r="H9" s="798"/>
    </row>
    <row r="10" spans="1:8" ht="27" customHeight="1" thickBot="1">
      <c r="A10" s="145" t="s">
        <v>568</v>
      </c>
      <c r="B10" s="145" t="s">
        <v>569</v>
      </c>
      <c r="C10" s="195">
        <v>69261912.480000004</v>
      </c>
      <c r="D10" s="196">
        <v>1478138.19</v>
      </c>
      <c r="E10" s="413">
        <v>70740050.670000002</v>
      </c>
      <c r="G10" s="179"/>
      <c r="H10" s="798"/>
    </row>
    <row r="11" spans="1:8" ht="20" customHeight="1" thickBot="1">
      <c r="A11" s="103">
        <v>67</v>
      </c>
      <c r="B11" s="103" t="s">
        <v>570</v>
      </c>
      <c r="C11" s="195">
        <v>45950424.090000004</v>
      </c>
      <c r="D11" s="196">
        <v>1100979.9099999999</v>
      </c>
      <c r="E11" s="413">
        <v>47051404</v>
      </c>
      <c r="G11" s="799"/>
      <c r="H11" s="798"/>
    </row>
    <row r="12" spans="1:8" ht="20" customHeight="1" thickBot="1">
      <c r="A12" s="103">
        <v>68</v>
      </c>
      <c r="B12" s="103" t="s">
        <v>571</v>
      </c>
      <c r="C12" s="195">
        <v>0</v>
      </c>
      <c r="D12" s="196">
        <v>0</v>
      </c>
      <c r="E12" s="413">
        <v>0</v>
      </c>
      <c r="G12" s="179"/>
      <c r="H12" s="798"/>
    </row>
    <row r="13" spans="1:8" ht="20" customHeight="1" thickBot="1">
      <c r="A13" s="103">
        <v>69</v>
      </c>
      <c r="B13" s="103" t="s">
        <v>572</v>
      </c>
      <c r="C13" s="195">
        <v>4976.8</v>
      </c>
      <c r="D13" s="196">
        <v>106.28</v>
      </c>
      <c r="E13" s="413">
        <v>5083.08</v>
      </c>
    </row>
    <row r="14" spans="1:8" ht="27" customHeight="1" thickBot="1">
      <c r="A14" s="145">
        <v>6</v>
      </c>
      <c r="B14" s="145" t="s">
        <v>573</v>
      </c>
      <c r="C14" s="195">
        <v>115217313.37</v>
      </c>
      <c r="D14" s="196">
        <v>2579224.38</v>
      </c>
      <c r="E14" s="413">
        <v>117796537.75</v>
      </c>
    </row>
    <row r="15" spans="1:8" ht="20" customHeight="1" thickBot="1">
      <c r="A15" s="103">
        <v>33</v>
      </c>
      <c r="B15" s="103" t="s">
        <v>574</v>
      </c>
      <c r="C15" s="195">
        <v>108195260.91</v>
      </c>
      <c r="D15" s="196">
        <v>2586584.14</v>
      </c>
      <c r="E15" s="413">
        <v>110781845.05</v>
      </c>
    </row>
    <row r="16" spans="1:8" ht="20" customHeight="1" thickBot="1">
      <c r="A16" s="103">
        <v>32</v>
      </c>
      <c r="B16" s="103" t="s">
        <v>575</v>
      </c>
      <c r="C16" s="195">
        <v>-7473010.54</v>
      </c>
      <c r="D16" s="196">
        <v>-104757.95</v>
      </c>
      <c r="E16" s="413">
        <v>-7577768.4900000002</v>
      </c>
    </row>
    <row r="17" spans="1:5" ht="27" customHeight="1" thickBot="1">
      <c r="A17" s="145" t="s">
        <v>576</v>
      </c>
      <c r="B17" s="145" t="s">
        <v>213</v>
      </c>
      <c r="C17" s="195">
        <v>100722250.37</v>
      </c>
      <c r="D17" s="196">
        <v>2481826.19</v>
      </c>
      <c r="E17" s="413">
        <v>103204076.56</v>
      </c>
    </row>
    <row r="18" spans="1:5" ht="20" customHeight="1" thickBot="1">
      <c r="A18" s="103">
        <v>34</v>
      </c>
      <c r="B18" s="103" t="s">
        <v>577</v>
      </c>
      <c r="C18" s="195">
        <v>1029180</v>
      </c>
      <c r="D18" s="196">
        <v>23485.39</v>
      </c>
      <c r="E18" s="413">
        <v>1052665.3899999999</v>
      </c>
    </row>
    <row r="19" spans="1:5" ht="20" customHeight="1" thickBot="1">
      <c r="A19" s="103">
        <v>35</v>
      </c>
      <c r="B19" s="103" t="s">
        <v>578</v>
      </c>
      <c r="C19" s="195">
        <v>4513435.1900000004</v>
      </c>
      <c r="D19" s="196">
        <v>111839.56</v>
      </c>
      <c r="E19" s="413">
        <v>4625274.75</v>
      </c>
    </row>
    <row r="20" spans="1:5" ht="27" customHeight="1" thickBot="1">
      <c r="A20" s="145" t="s">
        <v>579</v>
      </c>
      <c r="B20" s="145" t="s">
        <v>199</v>
      </c>
      <c r="C20" s="195">
        <v>106264865.56</v>
      </c>
      <c r="D20" s="196">
        <v>2617151.14</v>
      </c>
      <c r="E20" s="413">
        <v>108882016.7</v>
      </c>
    </row>
    <row r="21" spans="1:5" ht="20" customHeight="1" thickBot="1">
      <c r="A21" s="103">
        <v>36</v>
      </c>
      <c r="B21" s="103" t="s">
        <v>580</v>
      </c>
      <c r="C21" s="195">
        <v>0</v>
      </c>
      <c r="D21" s="196">
        <v>0</v>
      </c>
      <c r="E21" s="413">
        <v>0</v>
      </c>
    </row>
    <row r="22" spans="1:5" ht="20" customHeight="1" thickBot="1">
      <c r="A22" s="103">
        <v>37</v>
      </c>
      <c r="B22" s="103" t="s">
        <v>581</v>
      </c>
      <c r="C22" s="195">
        <v>0</v>
      </c>
      <c r="D22" s="196">
        <v>0</v>
      </c>
      <c r="E22" s="413">
        <v>0</v>
      </c>
    </row>
    <row r="23" spans="1:5" ht="27" customHeight="1" thickBot="1">
      <c r="A23" s="145">
        <v>3</v>
      </c>
      <c r="B23" s="145" t="s">
        <v>582</v>
      </c>
      <c r="C23" s="195">
        <v>106264865.56</v>
      </c>
      <c r="D23" s="196">
        <v>2617151.14</v>
      </c>
      <c r="E23" s="413">
        <v>108882016.7</v>
      </c>
    </row>
    <row r="24" spans="1:5" ht="20" customHeight="1" thickBot="1">
      <c r="A24" s="103" t="s">
        <v>583</v>
      </c>
      <c r="B24" s="103" t="s">
        <v>584</v>
      </c>
      <c r="C24" s="195">
        <v>5735896.6799999997</v>
      </c>
      <c r="D24" s="196">
        <v>122534.27</v>
      </c>
      <c r="E24" s="413">
        <v>5858430.9500000002</v>
      </c>
    </row>
    <row r="25" spans="1:5" ht="20" customHeight="1" thickBot="1">
      <c r="A25" s="103">
        <v>48</v>
      </c>
      <c r="B25" s="103" t="s">
        <v>585</v>
      </c>
      <c r="C25" s="195">
        <v>226752.21</v>
      </c>
      <c r="D25" s="196">
        <v>4828.04</v>
      </c>
      <c r="E25" s="413">
        <v>231580.25</v>
      </c>
    </row>
    <row r="26" spans="1:5" ht="20" customHeight="1" thickBot="1">
      <c r="A26" s="103">
        <v>49</v>
      </c>
      <c r="B26" s="103" t="s">
        <v>586</v>
      </c>
      <c r="C26" s="195">
        <v>1.45</v>
      </c>
      <c r="D26" s="196">
        <v>0</v>
      </c>
      <c r="E26" s="413">
        <v>1.45</v>
      </c>
    </row>
    <row r="27" spans="1:5" ht="27" customHeight="1" thickBot="1">
      <c r="A27" s="145">
        <v>4</v>
      </c>
      <c r="B27" s="145" t="s">
        <v>587</v>
      </c>
      <c r="C27" s="195">
        <v>5962650.3399999999</v>
      </c>
      <c r="D27" s="196">
        <v>127362.31</v>
      </c>
      <c r="E27" s="413">
        <v>6090012.6500000004</v>
      </c>
    </row>
    <row r="28" spans="1:5" ht="27" customHeight="1" thickBot="1">
      <c r="A28" s="145" t="s">
        <v>588</v>
      </c>
      <c r="B28" s="145" t="s">
        <v>589</v>
      </c>
      <c r="C28" s="195">
        <v>112227515.90000001</v>
      </c>
      <c r="D28" s="196">
        <v>2744513.45</v>
      </c>
      <c r="E28" s="413">
        <v>114972029.34999999</v>
      </c>
    </row>
    <row r="29" spans="1:5" ht="27" customHeight="1" thickBot="1">
      <c r="A29" s="145"/>
      <c r="B29" s="145" t="s">
        <v>590</v>
      </c>
      <c r="C29" s="195">
        <v>2989797.47</v>
      </c>
      <c r="D29" s="196">
        <v>-165289.07</v>
      </c>
      <c r="E29" s="413">
        <v>2824508.4</v>
      </c>
    </row>
    <row r="30" spans="1:5" ht="27" customHeight="1" thickBot="1">
      <c r="A30" s="145">
        <v>7</v>
      </c>
      <c r="B30" s="145" t="s">
        <v>591</v>
      </c>
      <c r="C30" s="195">
        <v>-1637742.83</v>
      </c>
      <c r="D30" s="196">
        <v>-34839</v>
      </c>
      <c r="E30" s="413">
        <v>-1672581.83</v>
      </c>
    </row>
    <row r="31" spans="1:5" ht="26.25" customHeight="1" thickBot="1">
      <c r="A31" s="771"/>
      <c r="B31" s="771" t="s">
        <v>592</v>
      </c>
      <c r="C31" s="195">
        <v>1352054.64</v>
      </c>
      <c r="D31" s="196">
        <v>-200128.07</v>
      </c>
      <c r="E31" s="413">
        <v>1151926.57</v>
      </c>
    </row>
    <row r="32" spans="1:5" ht="20.25" customHeight="1">
      <c r="A32" s="112" t="s">
        <v>720</v>
      </c>
      <c r="B32" s="114"/>
      <c r="C32" s="112"/>
      <c r="D32" s="432"/>
      <c r="E32" s="433"/>
    </row>
    <row r="34" spans="1:1">
      <c r="A34" s="3" t="s">
        <v>1206</v>
      </c>
    </row>
    <row r="37" spans="1:1">
      <c r="A37" s="3" t="s">
        <v>719</v>
      </c>
    </row>
  </sheetData>
  <pageMargins left="0.51" right="0.56000000000000005" top="0.74" bottom="0.49" header="0.44" footer="0.4921259845"/>
  <pageSetup paperSize="9" scale="85" orientation="portrait"/>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25FF-EDBA-0941-B803-A5F8AB4C333E}">
  <sheetPr>
    <pageSetUpPr fitToPage="1"/>
  </sheetPr>
  <dimension ref="A1:H39"/>
  <sheetViews>
    <sheetView zoomScaleNormal="100" workbookViewId="0">
      <selection activeCell="B9" sqref="B9"/>
    </sheetView>
  </sheetViews>
  <sheetFormatPr baseColWidth="10" defaultColWidth="11.3984375" defaultRowHeight="13"/>
  <cols>
    <col min="1" max="1" width="8.796875" style="3" customWidth="1"/>
    <col min="2" max="2" width="50.59765625" style="119" customWidth="1"/>
    <col min="3" max="3" width="16.796875" style="3" customWidth="1"/>
    <col min="4" max="4" width="16.796875" style="8" customWidth="1"/>
    <col min="5" max="5" width="16.796875" style="434" customWidth="1"/>
    <col min="6" max="16384" width="11.3984375" style="3"/>
  </cols>
  <sheetData>
    <row r="1" spans="1:8" s="2" customFormat="1" ht="27.5" customHeight="1">
      <c r="A1" s="1845" t="s">
        <v>1243</v>
      </c>
      <c r="B1" s="1846"/>
      <c r="C1" s="1846"/>
      <c r="D1" s="1846"/>
      <c r="E1" s="246">
        <v>2011</v>
      </c>
    </row>
    <row r="2" spans="1:8" s="2" customFormat="1" ht="12" customHeight="1">
      <c r="A2" s="90"/>
      <c r="B2" s="90"/>
      <c r="C2" s="90"/>
      <c r="D2" s="90"/>
      <c r="E2" s="90"/>
    </row>
    <row r="3" spans="1:8" ht="39" customHeight="1">
      <c r="A3" s="419" t="s">
        <v>558</v>
      </c>
      <c r="B3" s="94"/>
      <c r="C3" s="182" t="s">
        <v>559</v>
      </c>
      <c r="D3" s="229" t="s">
        <v>560</v>
      </c>
      <c r="E3" s="407" t="s">
        <v>278</v>
      </c>
      <c r="G3" s="4"/>
      <c r="H3" s="4"/>
    </row>
    <row r="4" spans="1:8" ht="38" customHeight="1">
      <c r="A4" s="408"/>
      <c r="B4" s="231"/>
      <c r="C4" s="189" t="s">
        <v>561</v>
      </c>
      <c r="D4" s="191" t="s">
        <v>561</v>
      </c>
      <c r="E4" s="409" t="s">
        <v>561</v>
      </c>
      <c r="G4" s="175"/>
      <c r="H4" s="798"/>
    </row>
    <row r="5" spans="1:8" ht="30" customHeight="1" thickBot="1">
      <c r="A5" s="99">
        <v>63</v>
      </c>
      <c r="B5" s="99" t="s">
        <v>562</v>
      </c>
      <c r="C5" s="100">
        <v>3361021.79</v>
      </c>
      <c r="D5" s="193">
        <v>142042.21</v>
      </c>
      <c r="E5" s="420">
        <v>3503064</v>
      </c>
      <c r="G5" s="179"/>
      <c r="H5" s="798"/>
    </row>
    <row r="6" spans="1:8" ht="20" customHeight="1" thickBot="1">
      <c r="A6" s="103">
        <v>64</v>
      </c>
      <c r="B6" s="103" t="s">
        <v>563</v>
      </c>
      <c r="C6" s="195">
        <v>-10806.95</v>
      </c>
      <c r="D6" s="196">
        <v>-393.48</v>
      </c>
      <c r="E6" s="413">
        <v>-11200.43</v>
      </c>
      <c r="G6" s="179"/>
      <c r="H6" s="798"/>
    </row>
    <row r="7" spans="1:8" ht="20" customHeight="1" thickBot="1">
      <c r="A7" s="103">
        <v>65</v>
      </c>
      <c r="B7" s="103" t="s">
        <v>564</v>
      </c>
      <c r="C7" s="195">
        <v>0</v>
      </c>
      <c r="D7" s="196">
        <v>0</v>
      </c>
      <c r="E7" s="413">
        <v>0</v>
      </c>
      <c r="G7" s="179"/>
      <c r="H7" s="798"/>
    </row>
    <row r="8" spans="1:8" ht="27" customHeight="1" thickBot="1">
      <c r="A8" s="145" t="s">
        <v>565</v>
      </c>
      <c r="B8" s="145" t="s">
        <v>1151</v>
      </c>
      <c r="C8" s="195">
        <v>3350214.84</v>
      </c>
      <c r="D8" s="196">
        <v>141648.73000000001</v>
      </c>
      <c r="E8" s="413">
        <v>3491863.57</v>
      </c>
      <c r="G8" s="179"/>
      <c r="H8" s="798"/>
    </row>
    <row r="9" spans="1:8" ht="20" customHeight="1" thickBot="1">
      <c r="A9" s="103">
        <v>66</v>
      </c>
      <c r="B9" s="103" t="s">
        <v>567</v>
      </c>
      <c r="C9" s="195">
        <v>0</v>
      </c>
      <c r="D9" s="196">
        <v>0</v>
      </c>
      <c r="E9" s="413">
        <v>0</v>
      </c>
      <c r="G9" s="179"/>
      <c r="H9" s="798"/>
    </row>
    <row r="10" spans="1:8" ht="27" customHeight="1" thickBot="1">
      <c r="A10" s="145" t="s">
        <v>568</v>
      </c>
      <c r="B10" s="145" t="s">
        <v>569</v>
      </c>
      <c r="C10" s="195">
        <v>3350214.84</v>
      </c>
      <c r="D10" s="196">
        <v>141648.73000000001</v>
      </c>
      <c r="E10" s="413">
        <v>3491863.57</v>
      </c>
      <c r="G10" s="179"/>
      <c r="H10" s="798"/>
    </row>
    <row r="11" spans="1:8" ht="21" customHeight="1" thickBot="1">
      <c r="A11" s="103">
        <v>67</v>
      </c>
      <c r="B11" s="103" t="s">
        <v>570</v>
      </c>
      <c r="C11" s="195">
        <v>0</v>
      </c>
      <c r="D11" s="196">
        <v>0</v>
      </c>
      <c r="E11" s="413">
        <v>0</v>
      </c>
      <c r="G11" s="799"/>
      <c r="H11" s="798"/>
    </row>
    <row r="12" spans="1:8" ht="21" customHeight="1" thickBot="1">
      <c r="A12" s="103">
        <v>68</v>
      </c>
      <c r="B12" s="103" t="s">
        <v>571</v>
      </c>
      <c r="C12" s="195">
        <v>0</v>
      </c>
      <c r="D12" s="196">
        <v>0</v>
      </c>
      <c r="E12" s="413">
        <v>0</v>
      </c>
      <c r="G12" s="179"/>
      <c r="H12" s="798"/>
    </row>
    <row r="13" spans="1:8" ht="21" customHeight="1" thickBot="1">
      <c r="A13" s="103">
        <v>69</v>
      </c>
      <c r="B13" s="103" t="s">
        <v>572</v>
      </c>
      <c r="C13" s="195">
        <v>285.7</v>
      </c>
      <c r="D13" s="196">
        <v>12.2</v>
      </c>
      <c r="E13" s="413">
        <v>297.89999999999998</v>
      </c>
    </row>
    <row r="14" spans="1:8" ht="27" customHeight="1" thickBot="1">
      <c r="A14" s="145">
        <v>6</v>
      </c>
      <c r="B14" s="145" t="s">
        <v>573</v>
      </c>
      <c r="C14" s="195">
        <v>3350500.54</v>
      </c>
      <c r="D14" s="196">
        <v>141660.93</v>
      </c>
      <c r="E14" s="413">
        <v>3492161.47</v>
      </c>
    </row>
    <row r="15" spans="1:8" ht="20" customHeight="1" thickBot="1">
      <c r="A15" s="103">
        <v>33</v>
      </c>
      <c r="B15" s="103" t="s">
        <v>574</v>
      </c>
      <c r="C15" s="195">
        <v>7078737.7000000002</v>
      </c>
      <c r="D15" s="196">
        <v>37382.400000000001</v>
      </c>
      <c r="E15" s="413">
        <v>7116120.0999999996</v>
      </c>
    </row>
    <row r="16" spans="1:8" ht="20" customHeight="1" thickBot="1">
      <c r="A16" s="103">
        <v>32</v>
      </c>
      <c r="B16" s="103" t="s">
        <v>575</v>
      </c>
      <c r="C16" s="195">
        <v>-68375.95</v>
      </c>
      <c r="D16" s="196">
        <v>-9.85</v>
      </c>
      <c r="E16" s="413">
        <v>-68385.8</v>
      </c>
    </row>
    <row r="17" spans="1:5" ht="27" customHeight="1" thickBot="1">
      <c r="A17" s="145" t="s">
        <v>576</v>
      </c>
      <c r="B17" s="145" t="s">
        <v>213</v>
      </c>
      <c r="C17" s="195">
        <v>7010361.75</v>
      </c>
      <c r="D17" s="196">
        <v>37372.550000000003</v>
      </c>
      <c r="E17" s="413">
        <v>7047734.2999999998</v>
      </c>
    </row>
    <row r="18" spans="1:5" ht="20" customHeight="1" thickBot="1">
      <c r="A18" s="103">
        <v>34</v>
      </c>
      <c r="B18" s="103" t="s">
        <v>577</v>
      </c>
      <c r="C18" s="195">
        <v>112305.5</v>
      </c>
      <c r="D18" s="196">
        <v>747.06</v>
      </c>
      <c r="E18" s="413">
        <v>113052.56</v>
      </c>
    </row>
    <row r="19" spans="1:5" ht="20" customHeight="1" thickBot="1">
      <c r="A19" s="103">
        <v>35</v>
      </c>
      <c r="B19" s="103" t="s">
        <v>578</v>
      </c>
      <c r="C19" s="195">
        <v>64938.02</v>
      </c>
      <c r="D19" s="196">
        <v>425.22</v>
      </c>
      <c r="E19" s="413">
        <v>65363.24</v>
      </c>
    </row>
    <row r="20" spans="1:5" ht="27" customHeight="1" thickBot="1">
      <c r="A20" s="145" t="s">
        <v>579</v>
      </c>
      <c r="B20" s="145" t="s">
        <v>199</v>
      </c>
      <c r="C20" s="195">
        <v>7187605.2800000003</v>
      </c>
      <c r="D20" s="196">
        <v>38544.83</v>
      </c>
      <c r="E20" s="413">
        <v>7226150.1100000003</v>
      </c>
    </row>
    <row r="21" spans="1:5" ht="20" customHeight="1" thickBot="1">
      <c r="A21" s="103">
        <v>36</v>
      </c>
      <c r="B21" s="103" t="s">
        <v>580</v>
      </c>
      <c r="C21" s="195">
        <v>0</v>
      </c>
      <c r="D21" s="196">
        <v>0</v>
      </c>
      <c r="E21" s="413">
        <v>0</v>
      </c>
    </row>
    <row r="22" spans="1:5" ht="20" customHeight="1" thickBot="1">
      <c r="A22" s="103">
        <v>37</v>
      </c>
      <c r="B22" s="103" t="s">
        <v>581</v>
      </c>
      <c r="C22" s="195">
        <v>0</v>
      </c>
      <c r="D22" s="196">
        <v>0</v>
      </c>
      <c r="E22" s="413">
        <v>0</v>
      </c>
    </row>
    <row r="23" spans="1:5" ht="27" customHeight="1" thickBot="1">
      <c r="A23" s="145">
        <v>3</v>
      </c>
      <c r="B23" s="145" t="s">
        <v>582</v>
      </c>
      <c r="C23" s="195">
        <v>7187605.2800000003</v>
      </c>
      <c r="D23" s="196">
        <v>38544.83</v>
      </c>
      <c r="E23" s="413">
        <v>7226150.1100000003</v>
      </c>
    </row>
    <row r="24" spans="1:5" ht="20" customHeight="1" thickBot="1">
      <c r="A24" s="103" t="s">
        <v>583</v>
      </c>
      <c r="B24" s="103" t="s">
        <v>584</v>
      </c>
      <c r="C24" s="195">
        <v>393354.87</v>
      </c>
      <c r="D24" s="196">
        <v>16518.78</v>
      </c>
      <c r="E24" s="413">
        <v>409873.65</v>
      </c>
    </row>
    <row r="25" spans="1:5" ht="20" customHeight="1" thickBot="1">
      <c r="A25" s="103">
        <v>48</v>
      </c>
      <c r="B25" s="103" t="s">
        <v>585</v>
      </c>
      <c r="C25" s="195">
        <v>4569.1899999999996</v>
      </c>
      <c r="D25" s="196">
        <v>183.64</v>
      </c>
      <c r="E25" s="413">
        <v>4752.83</v>
      </c>
    </row>
    <row r="26" spans="1:5" ht="20" customHeight="1" thickBot="1">
      <c r="A26" s="103">
        <v>49</v>
      </c>
      <c r="B26" s="103" t="s">
        <v>586</v>
      </c>
      <c r="C26" s="195">
        <v>87.7</v>
      </c>
      <c r="D26" s="196">
        <v>2.85</v>
      </c>
      <c r="E26" s="413">
        <v>90.55</v>
      </c>
    </row>
    <row r="27" spans="1:5" ht="27" customHeight="1" thickBot="1">
      <c r="A27" s="145">
        <v>4</v>
      </c>
      <c r="B27" s="145" t="s">
        <v>587</v>
      </c>
      <c r="C27" s="195">
        <v>398011.76</v>
      </c>
      <c r="D27" s="196">
        <v>16705.27</v>
      </c>
      <c r="E27" s="413">
        <v>414717.03</v>
      </c>
    </row>
    <row r="28" spans="1:5" ht="27" customHeight="1" thickBot="1">
      <c r="A28" s="145" t="s">
        <v>588</v>
      </c>
      <c r="B28" s="145" t="s">
        <v>589</v>
      </c>
      <c r="C28" s="195">
        <v>7585617.0300000003</v>
      </c>
      <c r="D28" s="196">
        <v>55250.09</v>
      </c>
      <c r="E28" s="413">
        <v>7640867.1200000001</v>
      </c>
    </row>
    <row r="29" spans="1:5" ht="27" customHeight="1" thickBot="1">
      <c r="A29" s="145"/>
      <c r="B29" s="145" t="s">
        <v>590</v>
      </c>
      <c r="C29" s="195">
        <v>-4235116.5</v>
      </c>
      <c r="D29" s="196">
        <v>86410.83</v>
      </c>
      <c r="E29" s="413">
        <v>-4148705.67</v>
      </c>
    </row>
    <row r="30" spans="1:5" ht="27" customHeight="1" thickBot="1">
      <c r="A30" s="145">
        <v>7</v>
      </c>
      <c r="B30" s="145" t="s">
        <v>591</v>
      </c>
      <c r="C30" s="195">
        <v>3268.55</v>
      </c>
      <c r="D30" s="196">
        <v>110.26</v>
      </c>
      <c r="E30" s="413">
        <v>3378.81</v>
      </c>
    </row>
    <row r="31" spans="1:5" ht="27.75" customHeight="1" thickBot="1">
      <c r="A31" s="771"/>
      <c r="B31" s="771" t="s">
        <v>592</v>
      </c>
      <c r="C31" s="195">
        <v>-4231847.95</v>
      </c>
      <c r="D31" s="196">
        <v>86521.09</v>
      </c>
      <c r="E31" s="413">
        <v>-4145326.86</v>
      </c>
    </row>
    <row r="32" spans="1:5" ht="19.5" customHeight="1">
      <c r="A32" s="112" t="s">
        <v>720</v>
      </c>
      <c r="B32" s="114"/>
      <c r="C32" s="112"/>
      <c r="D32" s="432"/>
      <c r="E32" s="433"/>
    </row>
    <row r="34" spans="1:1">
      <c r="A34" s="208" t="s">
        <v>1244</v>
      </c>
    </row>
    <row r="35" spans="1:1">
      <c r="A35" s="418"/>
    </row>
    <row r="36" spans="1:1">
      <c r="A36" s="3" t="s">
        <v>1245</v>
      </c>
    </row>
    <row r="39" spans="1:1">
      <c r="A39" s="3" t="s">
        <v>719</v>
      </c>
    </row>
  </sheetData>
  <mergeCells count="1">
    <mergeCell ref="A1:D1"/>
  </mergeCells>
  <pageMargins left="0.51181102362204722" right="0.59055118110236227" top="0.9055118110236221" bottom="0.47244094488188981" header="0.47244094488188981" footer="0.51181102362204722"/>
  <pageSetup paperSize="9" scale="83" orientation="portrait"/>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A3BD-2CC1-9342-B6E5-8FFFCE9F3B75}">
  <sheetPr>
    <pageSetUpPr fitToPage="1"/>
  </sheetPr>
  <dimension ref="A1:B17"/>
  <sheetViews>
    <sheetView workbookViewId="0">
      <selection activeCell="B4" sqref="B4:B10"/>
    </sheetView>
  </sheetViews>
  <sheetFormatPr baseColWidth="10" defaultColWidth="11.59765625" defaultRowHeight="13"/>
  <cols>
    <col min="1" max="1" width="5.59765625" style="774" customWidth="1"/>
    <col min="2" max="16384" width="11.59765625" style="774"/>
  </cols>
  <sheetData>
    <row r="1" spans="1:2" ht="16">
      <c r="A1" s="775" t="s">
        <v>1258</v>
      </c>
    </row>
    <row r="2" spans="1:2" ht="16">
      <c r="A2" s="775"/>
    </row>
    <row r="3" spans="1:2">
      <c r="A3" s="831">
        <v>8.01</v>
      </c>
      <c r="B3" s="553" t="s">
        <v>1259</v>
      </c>
    </row>
    <row r="4" spans="1:2">
      <c r="A4" s="831">
        <v>8.02</v>
      </c>
      <c r="B4" s="551" t="s">
        <v>1260</v>
      </c>
    </row>
    <row r="5" spans="1:2">
      <c r="A5" s="831">
        <v>8.0299999999999994</v>
      </c>
      <c r="B5" s="553" t="s">
        <v>1261</v>
      </c>
    </row>
    <row r="6" spans="1:2">
      <c r="A6" s="831">
        <v>8.0399999999999991</v>
      </c>
      <c r="B6" s="553" t="s">
        <v>1262</v>
      </c>
    </row>
    <row r="7" spans="1:2">
      <c r="A7" s="831">
        <v>8.0500000000000007</v>
      </c>
      <c r="B7" s="553" t="s">
        <v>1263</v>
      </c>
    </row>
    <row r="8" spans="1:2">
      <c r="A8" s="831">
        <v>8.06</v>
      </c>
      <c r="B8" s="553" t="s">
        <v>1264</v>
      </c>
    </row>
    <row r="9" spans="1:2">
      <c r="A9" s="831">
        <v>8.07</v>
      </c>
      <c r="B9" s="553" t="s">
        <v>1265</v>
      </c>
    </row>
    <row r="10" spans="1:2">
      <c r="A10" s="831">
        <v>8.08</v>
      </c>
      <c r="B10" s="553" t="s">
        <v>1266</v>
      </c>
    </row>
    <row r="11" spans="1:2">
      <c r="A11" s="831">
        <v>8.09</v>
      </c>
      <c r="B11" s="553" t="s">
        <v>1267</v>
      </c>
    </row>
    <row r="12" spans="1:2">
      <c r="A12" s="831">
        <v>8.1</v>
      </c>
      <c r="B12" s="553" t="s">
        <v>1268</v>
      </c>
    </row>
    <row r="13" spans="1:2">
      <c r="A13" s="831">
        <v>8.11</v>
      </c>
      <c r="B13" s="551" t="s">
        <v>1269</v>
      </c>
    </row>
    <row r="14" spans="1:2">
      <c r="A14" s="831">
        <v>8.1199999999999992</v>
      </c>
      <c r="B14" s="551" t="s">
        <v>1270</v>
      </c>
    </row>
    <row r="15" spans="1:2">
      <c r="B15" s="832"/>
    </row>
    <row r="17" spans="1:1">
      <c r="A17" s="833" t="s">
        <v>719</v>
      </c>
    </row>
  </sheetData>
  <pageMargins left="0.54" right="0.53" top="0.65" bottom="0.984251969" header="0.38" footer="0.4921259845"/>
  <pageSetup paperSize="9" orientation="portrait"/>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7E56-A1A9-4B4E-8BE3-8B0494F6D3CD}">
  <sheetPr>
    <pageSetUpPr fitToPage="1"/>
  </sheetPr>
  <dimension ref="A1:G33"/>
  <sheetViews>
    <sheetView topLeftCell="A9" zoomScaleNormal="100" workbookViewId="0">
      <selection activeCell="J18" sqref="J18"/>
    </sheetView>
  </sheetViews>
  <sheetFormatPr baseColWidth="10" defaultColWidth="11.3984375" defaultRowHeight="13"/>
  <cols>
    <col min="1" max="1" width="12.796875" style="3" customWidth="1"/>
    <col min="2" max="2" width="15.3984375" style="119" customWidth="1"/>
    <col min="3" max="4" width="15.3984375" style="3" customWidth="1"/>
    <col min="5" max="5" width="15.796875" style="119" customWidth="1"/>
    <col min="6" max="6" width="15.3984375" style="119" customWidth="1"/>
    <col min="7" max="7" width="15.3984375" style="3" customWidth="1"/>
    <col min="8" max="16384" width="11.3984375" style="3"/>
  </cols>
  <sheetData>
    <row r="1" spans="1:7" s="2" customFormat="1" ht="14" customHeight="1">
      <c r="B1" s="88"/>
      <c r="E1" s="88"/>
      <c r="F1" s="88"/>
    </row>
    <row r="2" spans="1:7" s="2" customFormat="1" ht="24" customHeight="1">
      <c r="A2" s="246" t="s">
        <v>1460</v>
      </c>
      <c r="B2" s="884"/>
      <c r="C2" s="246"/>
      <c r="D2" s="246"/>
      <c r="E2" s="88"/>
      <c r="F2" s="207"/>
      <c r="G2" s="207"/>
    </row>
    <row r="3" spans="1:7" ht="24" customHeight="1">
      <c r="A3" s="530"/>
      <c r="B3" s="95" t="s">
        <v>1461</v>
      </c>
      <c r="C3" s="92"/>
      <c r="D3" s="92"/>
      <c r="E3" s="304" t="s">
        <v>1462</v>
      </c>
      <c r="F3" s="304" t="s">
        <v>1463</v>
      </c>
      <c r="G3" s="304" t="s">
        <v>1464</v>
      </c>
    </row>
    <row r="4" spans="1:7" ht="20.25" customHeight="1">
      <c r="A4" s="531" t="s">
        <v>469</v>
      </c>
      <c r="B4" s="95"/>
      <c r="C4" s="95"/>
      <c r="D4" s="95"/>
      <c r="E4" s="531" t="s">
        <v>1465</v>
      </c>
      <c r="F4" s="211"/>
      <c r="G4" s="211"/>
    </row>
    <row r="5" spans="1:7" ht="20.25" customHeight="1">
      <c r="A5" s="531"/>
      <c r="B5" s="95" t="s">
        <v>1466</v>
      </c>
      <c r="C5" s="95" t="s">
        <v>1467</v>
      </c>
      <c r="D5" s="95" t="s">
        <v>1468</v>
      </c>
      <c r="E5" s="211" t="s">
        <v>1469</v>
      </c>
      <c r="F5" s="211" t="s">
        <v>1470</v>
      </c>
      <c r="G5" s="211" t="s">
        <v>1471</v>
      </c>
    </row>
    <row r="6" spans="1:7" ht="15" customHeight="1">
      <c r="A6" s="531"/>
      <c r="B6" s="95" t="s">
        <v>841</v>
      </c>
      <c r="C6" s="95"/>
      <c r="D6" s="95"/>
      <c r="E6" s="211" t="s">
        <v>1214</v>
      </c>
      <c r="F6" s="211" t="s">
        <v>1472</v>
      </c>
      <c r="G6" s="211" t="s">
        <v>1472</v>
      </c>
    </row>
    <row r="7" spans="1:7" ht="29.25" customHeight="1">
      <c r="A7" s="532"/>
      <c r="B7" s="97" t="s">
        <v>1473</v>
      </c>
      <c r="C7" s="97"/>
      <c r="D7" s="97"/>
      <c r="E7" s="213" t="s">
        <v>1178</v>
      </c>
      <c r="F7" s="213" t="s">
        <v>1178</v>
      </c>
      <c r="G7" s="213" t="s">
        <v>1178</v>
      </c>
    </row>
    <row r="8" spans="1:7" ht="21" customHeight="1" thickBot="1">
      <c r="A8" s="885">
        <v>1996</v>
      </c>
      <c r="B8" s="886">
        <v>159</v>
      </c>
      <c r="C8" s="886">
        <v>0</v>
      </c>
      <c r="D8" s="886">
        <v>25</v>
      </c>
      <c r="E8" s="887">
        <v>145</v>
      </c>
      <c r="F8" s="887">
        <v>150</v>
      </c>
      <c r="G8" s="887">
        <v>136</v>
      </c>
    </row>
    <row r="9" spans="1:7" ht="20" customHeight="1" thickBot="1">
      <c r="A9" s="282">
        <v>1997</v>
      </c>
      <c r="B9" s="888">
        <v>142</v>
      </c>
      <c r="C9" s="888">
        <v>1</v>
      </c>
      <c r="D9" s="888">
        <v>18</v>
      </c>
      <c r="E9" s="889">
        <v>129</v>
      </c>
      <c r="F9" s="889">
        <v>135</v>
      </c>
      <c r="G9" s="889">
        <v>122</v>
      </c>
    </row>
    <row r="10" spans="1:7" ht="20" customHeight="1" thickBot="1">
      <c r="A10" s="282">
        <v>1998</v>
      </c>
      <c r="B10" s="888">
        <v>127</v>
      </c>
      <c r="C10" s="888">
        <v>0</v>
      </c>
      <c r="D10" s="888">
        <v>15</v>
      </c>
      <c r="E10" s="889">
        <v>118</v>
      </c>
      <c r="F10" s="889">
        <v>115</v>
      </c>
      <c r="G10" s="889">
        <v>106</v>
      </c>
    </row>
    <row r="11" spans="1:7" ht="20.25" customHeight="1" thickBot="1">
      <c r="A11" s="282">
        <v>1999</v>
      </c>
      <c r="B11" s="888">
        <v>119</v>
      </c>
      <c r="C11" s="888">
        <v>2</v>
      </c>
      <c r="D11" s="888">
        <v>10</v>
      </c>
      <c r="E11" s="889">
        <v>109</v>
      </c>
      <c r="F11" s="889">
        <v>109</v>
      </c>
      <c r="G11" s="889">
        <v>99</v>
      </c>
    </row>
    <row r="12" spans="1:7" ht="20.25" customHeight="1" thickBot="1">
      <c r="A12" s="282">
        <v>2000</v>
      </c>
      <c r="B12" s="888">
        <v>110</v>
      </c>
      <c r="C12" s="888">
        <v>0</v>
      </c>
      <c r="D12" s="888">
        <v>9</v>
      </c>
      <c r="E12" s="889">
        <v>101</v>
      </c>
      <c r="F12" s="889">
        <v>102</v>
      </c>
      <c r="G12" s="889">
        <v>93</v>
      </c>
    </row>
    <row r="13" spans="1:7" ht="20.25" customHeight="1" thickBot="1">
      <c r="A13" s="282">
        <v>2001</v>
      </c>
      <c r="B13" s="888">
        <v>108</v>
      </c>
      <c r="C13" s="888">
        <v>0</v>
      </c>
      <c r="D13" s="888">
        <v>2</v>
      </c>
      <c r="E13" s="889">
        <v>99</v>
      </c>
      <c r="F13" s="889">
        <v>102</v>
      </c>
      <c r="G13" s="889">
        <v>92</v>
      </c>
    </row>
    <row r="14" spans="1:7" ht="20.25" customHeight="1" thickBot="1">
      <c r="A14" s="885">
        <v>2002</v>
      </c>
      <c r="B14" s="886">
        <v>101</v>
      </c>
      <c r="C14" s="886">
        <v>1</v>
      </c>
      <c r="D14" s="886">
        <v>8</v>
      </c>
      <c r="E14" s="887">
        <v>93</v>
      </c>
      <c r="F14" s="887">
        <v>93</v>
      </c>
      <c r="G14" s="887">
        <v>85</v>
      </c>
    </row>
    <row r="15" spans="1:7" ht="20.25" customHeight="1" thickBot="1">
      <c r="A15" s="885">
        <v>2003</v>
      </c>
      <c r="B15" s="886">
        <v>99</v>
      </c>
      <c r="C15" s="886">
        <v>2</v>
      </c>
      <c r="D15" s="886">
        <v>3</v>
      </c>
      <c r="E15" s="887">
        <v>93</v>
      </c>
      <c r="F15" s="887">
        <v>92</v>
      </c>
      <c r="G15" s="887">
        <v>86</v>
      </c>
    </row>
    <row r="16" spans="1:7" ht="20.25" customHeight="1" thickBot="1">
      <c r="A16" s="885">
        <v>2004</v>
      </c>
      <c r="B16" s="886">
        <v>98</v>
      </c>
      <c r="C16" s="886">
        <v>0</v>
      </c>
      <c r="D16" s="886">
        <v>2</v>
      </c>
      <c r="E16" s="887">
        <v>92</v>
      </c>
      <c r="F16" s="887">
        <v>93</v>
      </c>
      <c r="G16" s="887">
        <v>87</v>
      </c>
    </row>
    <row r="17" spans="1:7" ht="20.25" customHeight="1" thickBot="1">
      <c r="A17" s="885">
        <v>2005</v>
      </c>
      <c r="B17" s="886">
        <v>90</v>
      </c>
      <c r="C17" s="886">
        <v>2</v>
      </c>
      <c r="D17" s="886">
        <v>9</v>
      </c>
      <c r="E17" s="887">
        <v>85</v>
      </c>
      <c r="F17" s="887">
        <v>82</v>
      </c>
      <c r="G17" s="887">
        <v>76</v>
      </c>
    </row>
    <row r="18" spans="1:7" ht="20.25" customHeight="1" thickBot="1">
      <c r="A18" s="885">
        <v>2006</v>
      </c>
      <c r="B18" s="886">
        <v>92</v>
      </c>
      <c r="C18" s="886">
        <v>2</v>
      </c>
      <c r="D18" s="886">
        <v>0</v>
      </c>
      <c r="E18" s="887">
        <v>87</v>
      </c>
      <c r="F18" s="887">
        <v>82</v>
      </c>
      <c r="G18" s="887">
        <v>77</v>
      </c>
    </row>
    <row r="19" spans="1:7" ht="20.25" customHeight="1" thickBot="1">
      <c r="A19" s="885">
        <v>2007</v>
      </c>
      <c r="B19" s="886">
        <v>92</v>
      </c>
      <c r="C19" s="886">
        <v>0</v>
      </c>
      <c r="D19" s="886">
        <v>0</v>
      </c>
      <c r="E19" s="887">
        <v>87</v>
      </c>
      <c r="F19" s="887">
        <v>82</v>
      </c>
      <c r="G19" s="887">
        <v>77</v>
      </c>
    </row>
    <row r="20" spans="1:7" ht="20.25" customHeight="1" thickBot="1">
      <c r="A20" s="885">
        <v>2008</v>
      </c>
      <c r="B20" s="886">
        <v>91</v>
      </c>
      <c r="C20" s="886">
        <v>0</v>
      </c>
      <c r="D20" s="886">
        <v>1</v>
      </c>
      <c r="E20" s="887">
        <v>86</v>
      </c>
      <c r="F20" s="887">
        <v>83</v>
      </c>
      <c r="G20" s="887">
        <v>78</v>
      </c>
    </row>
    <row r="21" spans="1:7" ht="20.25" customHeight="1" thickBot="1">
      <c r="A21" s="885">
        <v>2009</v>
      </c>
      <c r="B21" s="886">
        <v>86</v>
      </c>
      <c r="C21" s="886">
        <v>2</v>
      </c>
      <c r="D21" s="886">
        <v>7</v>
      </c>
      <c r="E21" s="887">
        <v>81</v>
      </c>
      <c r="F21" s="887">
        <v>74</v>
      </c>
      <c r="G21" s="887">
        <v>69</v>
      </c>
    </row>
    <row r="22" spans="1:7" ht="20.25" customHeight="1" thickBot="1">
      <c r="A22" s="885">
        <v>2010</v>
      </c>
      <c r="B22" s="886">
        <v>86</v>
      </c>
      <c r="C22" s="886">
        <v>1</v>
      </c>
      <c r="D22" s="886">
        <v>1</v>
      </c>
      <c r="E22" s="887">
        <v>81</v>
      </c>
      <c r="F22" s="887">
        <v>78</v>
      </c>
      <c r="G22" s="887">
        <v>73</v>
      </c>
    </row>
    <row r="23" spans="1:7" ht="25.5" customHeight="1" thickBot="1">
      <c r="A23" s="535">
        <v>2011</v>
      </c>
      <c r="B23" s="890">
        <v>69</v>
      </c>
      <c r="C23" s="891">
        <v>0</v>
      </c>
      <c r="D23" s="890">
        <v>17</v>
      </c>
      <c r="E23" s="892">
        <v>63</v>
      </c>
      <c r="F23" s="892">
        <v>62</v>
      </c>
      <c r="G23" s="893">
        <v>56</v>
      </c>
    </row>
    <row r="24" spans="1:7" ht="20" customHeight="1">
      <c r="A24" s="112" t="s">
        <v>720</v>
      </c>
      <c r="B24" s="114"/>
      <c r="C24" s="112"/>
      <c r="D24" s="112"/>
      <c r="E24" s="114"/>
      <c r="F24" s="114"/>
    </row>
    <row r="25" spans="1:7" ht="12.75" customHeight="1">
      <c r="A25" s="115"/>
      <c r="B25" s="117"/>
      <c r="C25" s="115"/>
      <c r="D25" s="115"/>
      <c r="E25" s="117"/>
      <c r="F25" s="117"/>
    </row>
    <row r="26" spans="1:7" ht="12.75" customHeight="1">
      <c r="A26" s="115" t="s">
        <v>1474</v>
      </c>
      <c r="B26" s="117"/>
      <c r="C26" s="115"/>
      <c r="D26" s="115"/>
      <c r="E26" s="117"/>
      <c r="F26" s="117"/>
    </row>
    <row r="27" spans="1:7" ht="12.75" customHeight="1">
      <c r="A27" s="115" t="s">
        <v>1475</v>
      </c>
      <c r="B27" s="117"/>
      <c r="C27" s="115"/>
      <c r="D27" s="115"/>
      <c r="E27" s="117"/>
      <c r="F27" s="117"/>
    </row>
    <row r="28" spans="1:7" ht="12.75" customHeight="1">
      <c r="A28" s="115"/>
      <c r="B28" s="117"/>
      <c r="C28" s="115"/>
      <c r="D28" s="115"/>
      <c r="E28" s="117"/>
      <c r="F28" s="117"/>
    </row>
    <row r="29" spans="1:7" ht="12.75" customHeight="1">
      <c r="A29" s="115"/>
      <c r="B29" s="117"/>
      <c r="C29" s="115"/>
      <c r="D29" s="115"/>
      <c r="E29" s="117"/>
      <c r="F29" s="117"/>
    </row>
    <row r="30" spans="1:7" ht="12" customHeight="1">
      <c r="A30" s="61" t="s">
        <v>1476</v>
      </c>
    </row>
    <row r="33" spans="1:1">
      <c r="A33" s="3" t="s">
        <v>719</v>
      </c>
    </row>
  </sheetData>
  <pageMargins left="0.56000000000000005" right="0.42" top="0.76" bottom="0.49" header="0.44" footer="0.4921259845"/>
  <pageSetup paperSize="9" scale="80" orientation="portrait" horizontalDpi="1200" verticalDpi="1200"/>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47534-5311-254D-81A3-A1581ECD388E}">
  <sheetPr>
    <pageSetUpPr fitToPage="1"/>
  </sheetPr>
  <dimension ref="A1:M28"/>
  <sheetViews>
    <sheetView zoomScaleNormal="100" workbookViewId="0">
      <selection activeCell="A21" sqref="A21:IV21"/>
    </sheetView>
  </sheetViews>
  <sheetFormatPr baseColWidth="10" defaultColWidth="11.3984375" defaultRowHeight="13"/>
  <cols>
    <col min="1" max="1" width="12.796875" style="3" customWidth="1"/>
    <col min="2" max="8" width="11.796875" style="3" customWidth="1"/>
    <col min="9" max="9" width="13" style="3" customWidth="1"/>
    <col min="10" max="16384" width="11.3984375" style="3"/>
  </cols>
  <sheetData>
    <row r="1" spans="1:13" s="2" customFormat="1" ht="14" customHeight="1"/>
    <row r="2" spans="1:13" s="2" customFormat="1" ht="24" customHeight="1">
      <c r="A2" s="180" t="s">
        <v>1459</v>
      </c>
      <c r="I2" s="207"/>
    </row>
    <row r="3" spans="1:13" ht="24" customHeight="1">
      <c r="A3" s="806" t="s">
        <v>469</v>
      </c>
      <c r="B3" s="871" t="s">
        <v>1248</v>
      </c>
      <c r="C3" s="807" t="s">
        <v>1249</v>
      </c>
      <c r="D3" s="182" t="s">
        <v>1250</v>
      </c>
      <c r="E3" s="807" t="s">
        <v>1251</v>
      </c>
      <c r="F3" s="182" t="s">
        <v>1252</v>
      </c>
      <c r="G3" s="807" t="s">
        <v>1253</v>
      </c>
      <c r="H3" s="182" t="s">
        <v>278</v>
      </c>
      <c r="I3" s="872" t="s">
        <v>279</v>
      </c>
    </row>
    <row r="4" spans="1:13" ht="15" customHeight="1">
      <c r="A4" s="809"/>
      <c r="B4" s="810"/>
      <c r="C4" s="812">
        <v>10000</v>
      </c>
      <c r="D4" s="96">
        <v>50000</v>
      </c>
      <c r="E4" s="812">
        <v>100000</v>
      </c>
      <c r="F4" s="96">
        <v>500000</v>
      </c>
      <c r="G4" s="812">
        <v>500000</v>
      </c>
      <c r="H4" s="185"/>
      <c r="I4" s="873" t="s">
        <v>282</v>
      </c>
    </row>
    <row r="5" spans="1:13" ht="15" customHeight="1">
      <c r="A5" s="809"/>
      <c r="B5" s="810"/>
      <c r="C5" s="811"/>
      <c r="D5" s="185"/>
      <c r="E5" s="811"/>
      <c r="F5" s="185"/>
      <c r="G5" s="811"/>
      <c r="H5" s="185"/>
      <c r="I5" s="873" t="s">
        <v>283</v>
      </c>
    </row>
    <row r="6" spans="1:13" ht="24" customHeight="1">
      <c r="A6" s="815"/>
      <c r="B6" s="816"/>
      <c r="C6" s="817"/>
      <c r="D6" s="189"/>
      <c r="E6" s="817"/>
      <c r="F6" s="189"/>
      <c r="G6" s="817"/>
      <c r="H6" s="189"/>
      <c r="I6" s="874"/>
    </row>
    <row r="7" spans="1:13" ht="1.5" customHeight="1" thickBot="1">
      <c r="A7" s="819">
        <v>1996</v>
      </c>
      <c r="B7" s="875">
        <v>90</v>
      </c>
      <c r="C7" s="876">
        <v>14</v>
      </c>
      <c r="D7" s="100">
        <v>20</v>
      </c>
      <c r="E7" s="876">
        <v>6</v>
      </c>
      <c r="F7" s="100">
        <v>12</v>
      </c>
      <c r="G7" s="876">
        <v>3</v>
      </c>
      <c r="H7" s="100">
        <v>145</v>
      </c>
      <c r="I7" s="877">
        <v>-0.12650602409638553</v>
      </c>
    </row>
    <row r="8" spans="1:13" ht="19.5" hidden="1" customHeight="1" thickBot="1">
      <c r="A8" s="823">
        <v>1997</v>
      </c>
      <c r="B8" s="878">
        <v>76</v>
      </c>
      <c r="C8" s="879">
        <v>14</v>
      </c>
      <c r="D8" s="195">
        <v>20</v>
      </c>
      <c r="E8" s="879">
        <v>4</v>
      </c>
      <c r="F8" s="195">
        <v>11</v>
      </c>
      <c r="G8" s="879">
        <v>4</v>
      </c>
      <c r="H8" s="195">
        <v>129</v>
      </c>
      <c r="I8" s="880">
        <v>-0.1103448275862069</v>
      </c>
      <c r="K8" s="9"/>
      <c r="L8" s="9"/>
      <c r="M8" s="9"/>
    </row>
    <row r="9" spans="1:13" ht="19.5" hidden="1" customHeight="1" thickBot="1">
      <c r="A9" s="823">
        <v>1998</v>
      </c>
      <c r="B9" s="878">
        <v>64</v>
      </c>
      <c r="C9" s="879">
        <v>13</v>
      </c>
      <c r="D9" s="195">
        <v>21</v>
      </c>
      <c r="E9" s="879">
        <v>6</v>
      </c>
      <c r="F9" s="195">
        <v>10</v>
      </c>
      <c r="G9" s="879">
        <v>4</v>
      </c>
      <c r="H9" s="195">
        <v>118</v>
      </c>
      <c r="I9" s="880">
        <v>-8.5271317829457363E-2</v>
      </c>
    </row>
    <row r="10" spans="1:13" ht="20" hidden="1" customHeight="1" thickBot="1">
      <c r="A10" s="823">
        <v>1999</v>
      </c>
      <c r="B10" s="878">
        <v>56</v>
      </c>
      <c r="C10" s="879">
        <v>12</v>
      </c>
      <c r="D10" s="195">
        <v>19</v>
      </c>
      <c r="E10" s="879">
        <v>8</v>
      </c>
      <c r="F10" s="195">
        <v>10</v>
      </c>
      <c r="G10" s="879">
        <v>4</v>
      </c>
      <c r="H10" s="195">
        <v>109</v>
      </c>
      <c r="I10" s="880">
        <v>-7.6271186440677971E-2</v>
      </c>
    </row>
    <row r="11" spans="1:13" ht="20" hidden="1" customHeight="1" thickBot="1">
      <c r="A11" s="823">
        <v>2000</v>
      </c>
      <c r="B11" s="878">
        <v>48</v>
      </c>
      <c r="C11" s="879">
        <v>11</v>
      </c>
      <c r="D11" s="195">
        <v>19</v>
      </c>
      <c r="E11" s="879">
        <v>9</v>
      </c>
      <c r="F11" s="195">
        <v>10</v>
      </c>
      <c r="G11" s="879">
        <v>4</v>
      </c>
      <c r="H11" s="195">
        <v>101</v>
      </c>
      <c r="I11" s="880">
        <v>-7.3394495412844041E-2</v>
      </c>
    </row>
    <row r="12" spans="1:13" ht="20" customHeight="1" thickBot="1">
      <c r="A12" s="823">
        <v>2001</v>
      </c>
      <c r="B12" s="878">
        <v>43</v>
      </c>
      <c r="C12" s="879">
        <v>9</v>
      </c>
      <c r="D12" s="195">
        <v>23</v>
      </c>
      <c r="E12" s="879">
        <v>9</v>
      </c>
      <c r="F12" s="195">
        <v>11</v>
      </c>
      <c r="G12" s="879">
        <v>4</v>
      </c>
      <c r="H12" s="195">
        <v>99</v>
      </c>
      <c r="I12" s="880">
        <v>-1.9801980198019802E-2</v>
      </c>
    </row>
    <row r="13" spans="1:13" ht="20" customHeight="1" thickBot="1">
      <c r="A13" s="823">
        <v>2002</v>
      </c>
      <c r="B13" s="878">
        <v>33</v>
      </c>
      <c r="C13" s="879">
        <v>10</v>
      </c>
      <c r="D13" s="195">
        <v>25</v>
      </c>
      <c r="E13" s="879">
        <v>9</v>
      </c>
      <c r="F13" s="195">
        <v>13</v>
      </c>
      <c r="G13" s="879">
        <v>3</v>
      </c>
      <c r="H13" s="195">
        <v>93</v>
      </c>
      <c r="I13" s="880">
        <v>-6.0606060606060608E-2</v>
      </c>
    </row>
    <row r="14" spans="1:13" ht="20" customHeight="1" thickBot="1">
      <c r="A14" s="823">
        <v>2003</v>
      </c>
      <c r="B14" s="878">
        <v>32</v>
      </c>
      <c r="C14" s="879">
        <v>10</v>
      </c>
      <c r="D14" s="195">
        <v>26</v>
      </c>
      <c r="E14" s="879">
        <v>9</v>
      </c>
      <c r="F14" s="195">
        <v>12</v>
      </c>
      <c r="G14" s="879">
        <v>4</v>
      </c>
      <c r="H14" s="195">
        <v>93</v>
      </c>
      <c r="I14" s="880">
        <v>0</v>
      </c>
    </row>
    <row r="15" spans="1:13" ht="20" customHeight="1" thickBot="1">
      <c r="A15" s="823">
        <v>2004</v>
      </c>
      <c r="B15" s="878">
        <v>32</v>
      </c>
      <c r="C15" s="879">
        <v>11</v>
      </c>
      <c r="D15" s="195">
        <v>24</v>
      </c>
      <c r="E15" s="879">
        <v>9</v>
      </c>
      <c r="F15" s="195">
        <v>12</v>
      </c>
      <c r="G15" s="879">
        <v>4</v>
      </c>
      <c r="H15" s="195">
        <v>92</v>
      </c>
      <c r="I15" s="880">
        <v>-1.0752688172043012E-2</v>
      </c>
    </row>
    <row r="16" spans="1:13" ht="20" customHeight="1" thickBot="1">
      <c r="A16" s="823">
        <v>2005</v>
      </c>
      <c r="B16" s="878">
        <v>27</v>
      </c>
      <c r="C16" s="879">
        <v>13</v>
      </c>
      <c r="D16" s="195">
        <v>20</v>
      </c>
      <c r="E16" s="879">
        <v>8</v>
      </c>
      <c r="F16" s="195">
        <v>13</v>
      </c>
      <c r="G16" s="879">
        <v>4</v>
      </c>
      <c r="H16" s="195">
        <v>85</v>
      </c>
      <c r="I16" s="880">
        <v>-7.6086956521739135E-2</v>
      </c>
    </row>
    <row r="17" spans="1:9" ht="20" customHeight="1" thickBot="1">
      <c r="A17" s="823">
        <v>2006</v>
      </c>
      <c r="B17" s="878">
        <v>28</v>
      </c>
      <c r="C17" s="879">
        <v>14</v>
      </c>
      <c r="D17" s="195">
        <v>20</v>
      </c>
      <c r="E17" s="879">
        <v>7</v>
      </c>
      <c r="F17" s="195">
        <v>14</v>
      </c>
      <c r="G17" s="879">
        <v>4</v>
      </c>
      <c r="H17" s="195">
        <v>87</v>
      </c>
      <c r="I17" s="880">
        <v>2.3529411764705882E-2</v>
      </c>
    </row>
    <row r="18" spans="1:9" ht="20" customHeight="1" thickBot="1">
      <c r="A18" s="823">
        <v>2007</v>
      </c>
      <c r="B18" s="878">
        <v>27</v>
      </c>
      <c r="C18" s="879">
        <v>13</v>
      </c>
      <c r="D18" s="195">
        <v>21</v>
      </c>
      <c r="E18" s="879">
        <v>8</v>
      </c>
      <c r="F18" s="195">
        <v>14</v>
      </c>
      <c r="G18" s="879">
        <v>4</v>
      </c>
      <c r="H18" s="195">
        <v>87</v>
      </c>
      <c r="I18" s="880">
        <v>0</v>
      </c>
    </row>
    <row r="19" spans="1:9" ht="20" customHeight="1" thickBot="1">
      <c r="A19" s="823">
        <v>2008</v>
      </c>
      <c r="B19" s="878">
        <v>26</v>
      </c>
      <c r="C19" s="879">
        <v>13</v>
      </c>
      <c r="D19" s="195">
        <v>19</v>
      </c>
      <c r="E19" s="879">
        <v>9</v>
      </c>
      <c r="F19" s="195">
        <v>15</v>
      </c>
      <c r="G19" s="879">
        <v>4</v>
      </c>
      <c r="H19" s="195">
        <v>86</v>
      </c>
      <c r="I19" s="880">
        <v>-1.1494252873563204E-2</v>
      </c>
    </row>
    <row r="20" spans="1:9" ht="20" customHeight="1" thickBot="1">
      <c r="A20" s="823">
        <v>2009</v>
      </c>
      <c r="B20" s="878">
        <v>22</v>
      </c>
      <c r="C20" s="879">
        <v>10</v>
      </c>
      <c r="D20" s="195">
        <v>20</v>
      </c>
      <c r="E20" s="879">
        <v>8</v>
      </c>
      <c r="F20" s="195">
        <v>17</v>
      </c>
      <c r="G20" s="879">
        <v>4</v>
      </c>
      <c r="H20" s="195">
        <v>81</v>
      </c>
      <c r="I20" s="880">
        <v>-5.8139534883720922E-2</v>
      </c>
    </row>
    <row r="21" spans="1:9" ht="20" customHeight="1" thickBot="1">
      <c r="A21" s="823">
        <v>2010</v>
      </c>
      <c r="B21" s="878">
        <v>19</v>
      </c>
      <c r="C21" s="879">
        <v>10</v>
      </c>
      <c r="D21" s="195">
        <v>22</v>
      </c>
      <c r="E21" s="879">
        <v>9</v>
      </c>
      <c r="F21" s="195">
        <v>16</v>
      </c>
      <c r="G21" s="879">
        <v>5</v>
      </c>
      <c r="H21" s="195">
        <v>81</v>
      </c>
      <c r="I21" s="880">
        <v>0</v>
      </c>
    </row>
    <row r="22" spans="1:9" ht="26.25" customHeight="1" thickBot="1">
      <c r="A22" s="827">
        <v>2011</v>
      </c>
      <c r="B22" s="881">
        <v>13</v>
      </c>
      <c r="C22" s="882">
        <v>10</v>
      </c>
      <c r="D22" s="199">
        <v>14</v>
      </c>
      <c r="E22" s="882">
        <v>3</v>
      </c>
      <c r="F22" s="199">
        <v>18</v>
      </c>
      <c r="G22" s="882">
        <v>5</v>
      </c>
      <c r="H22" s="199">
        <v>63</v>
      </c>
      <c r="I22" s="883">
        <v>-0.22222222222222221</v>
      </c>
    </row>
    <row r="23" spans="1:9" ht="20" customHeight="1">
      <c r="A23" s="112" t="s">
        <v>720</v>
      </c>
      <c r="B23" s="201"/>
      <c r="C23" s="201"/>
      <c r="D23" s="201"/>
      <c r="E23" s="201"/>
      <c r="F23" s="201"/>
      <c r="G23" s="201"/>
      <c r="H23" s="201"/>
      <c r="I23" s="202"/>
    </row>
    <row r="24" spans="1:9" ht="13.5" customHeight="1">
      <c r="A24" s="115"/>
      <c r="B24" s="203"/>
      <c r="C24" s="203"/>
      <c r="D24" s="203"/>
      <c r="E24" s="203"/>
      <c r="F24" s="203"/>
      <c r="G24" s="203"/>
      <c r="H24" s="203"/>
      <c r="I24" s="204"/>
    </row>
    <row r="25" spans="1:9">
      <c r="A25" s="3" t="s">
        <v>1257</v>
      </c>
    </row>
    <row r="28" spans="1:9">
      <c r="A28" s="3" t="s">
        <v>719</v>
      </c>
    </row>
  </sheetData>
  <pageMargins left="0.53" right="0.61" top="1.03" bottom="0.49" header="0.56000000000000005" footer="0.4921259845"/>
  <pageSetup paperSize="9" scale="85" orientation="portrait" horizontalDpi="4294967292" verticalDpi="4294967292"/>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2CE5-4066-D841-A1A2-8F2C46A0A089}">
  <sheetPr>
    <pageSetUpPr fitToPage="1"/>
  </sheetPr>
  <dimension ref="A1:P33"/>
  <sheetViews>
    <sheetView topLeftCell="A6" zoomScaleNormal="100" workbookViewId="0">
      <selection activeCell="A29" sqref="A29"/>
    </sheetView>
  </sheetViews>
  <sheetFormatPr baseColWidth="10" defaultColWidth="11.3984375" defaultRowHeight="13"/>
  <cols>
    <col min="1" max="1" width="14.59765625" style="3" customWidth="1"/>
    <col min="2" max="7" width="12.796875" style="3" customWidth="1"/>
    <col min="8" max="8" width="13.3984375" style="797" customWidth="1"/>
    <col min="9" max="9" width="12.59765625" style="3" customWidth="1"/>
    <col min="10" max="10" width="2.3984375" style="3" customWidth="1"/>
    <col min="11" max="11" width="12.59765625" style="3" customWidth="1"/>
    <col min="12" max="12" width="13" style="3" customWidth="1"/>
    <col min="13" max="13" width="11.796875" style="3" customWidth="1"/>
    <col min="14" max="14" width="12.59765625" style="3" customWidth="1"/>
    <col min="15" max="16384" width="11.3984375" style="3"/>
  </cols>
  <sheetData>
    <row r="1" spans="1:14" s="2" customFormat="1" ht="14" customHeight="1">
      <c r="A1" s="121"/>
      <c r="B1" s="121"/>
      <c r="C1" s="121"/>
      <c r="D1" s="121"/>
      <c r="E1" s="121"/>
      <c r="F1" s="121"/>
      <c r="G1" s="121"/>
      <c r="H1" s="1264"/>
    </row>
    <row r="2" spans="1:14" s="2" customFormat="1" ht="22.75" customHeight="1">
      <c r="A2" s="246" t="s">
        <v>2015</v>
      </c>
      <c r="B2" s="1265"/>
      <c r="C2" s="121"/>
      <c r="D2" s="121"/>
      <c r="E2" s="121"/>
      <c r="F2" s="121"/>
      <c r="G2" s="121"/>
      <c r="H2" s="207"/>
    </row>
    <row r="3" spans="1:14" ht="27" customHeight="1">
      <c r="A3" s="1096" t="s">
        <v>2016</v>
      </c>
      <c r="B3" s="1864" t="s">
        <v>2017</v>
      </c>
      <c r="C3" s="1864"/>
      <c r="D3" s="1865" t="s">
        <v>2018</v>
      </c>
      <c r="E3" s="1866"/>
      <c r="F3" s="1864" t="s">
        <v>2019</v>
      </c>
      <c r="G3" s="1867"/>
      <c r="H3" s="1865" t="s">
        <v>2019</v>
      </c>
      <c r="I3" s="1866"/>
      <c r="K3" s="1864" t="s">
        <v>2020</v>
      </c>
      <c r="L3" s="1867"/>
      <c r="M3" s="1865" t="s">
        <v>2021</v>
      </c>
      <c r="N3" s="1866"/>
    </row>
    <row r="4" spans="1:14" ht="18" customHeight="1">
      <c r="A4" s="184"/>
      <c r="B4" s="731" t="s">
        <v>2022</v>
      </c>
      <c r="C4" s="1266" t="s">
        <v>1940</v>
      </c>
      <c r="D4" s="731" t="s">
        <v>2022</v>
      </c>
      <c r="E4" s="1266" t="s">
        <v>1940</v>
      </c>
      <c r="F4" s="731" t="s">
        <v>2022</v>
      </c>
      <c r="G4" s="1266"/>
      <c r="H4" s="731" t="s">
        <v>1940</v>
      </c>
      <c r="I4" s="1266"/>
      <c r="K4" s="731" t="s">
        <v>278</v>
      </c>
      <c r="L4" s="1266"/>
      <c r="M4" s="731" t="s">
        <v>2023</v>
      </c>
      <c r="N4" s="1266" t="s">
        <v>2023</v>
      </c>
    </row>
    <row r="5" spans="1:14" ht="15" customHeight="1">
      <c r="A5" s="184"/>
      <c r="B5" s="531"/>
      <c r="C5" s="186"/>
      <c r="D5" s="185"/>
      <c r="E5" s="186"/>
      <c r="F5" s="185"/>
      <c r="G5" s="1267" t="s">
        <v>2024</v>
      </c>
      <c r="H5" s="1268"/>
      <c r="I5" s="1267" t="s">
        <v>2024</v>
      </c>
      <c r="K5" s="731" t="s">
        <v>2025</v>
      </c>
      <c r="L5" s="1267" t="s">
        <v>2024</v>
      </c>
      <c r="M5" s="1268" t="s">
        <v>2026</v>
      </c>
      <c r="N5" s="1266" t="s">
        <v>2027</v>
      </c>
    </row>
    <row r="6" spans="1:14" ht="23.25" customHeight="1">
      <c r="A6" s="188"/>
      <c r="B6" s="532"/>
      <c r="C6" s="190"/>
      <c r="D6" s="189"/>
      <c r="E6" s="190"/>
      <c r="F6" s="189"/>
      <c r="G6" s="190"/>
      <c r="H6" s="1269"/>
      <c r="I6" s="190"/>
      <c r="K6" s="1270" t="s">
        <v>2028</v>
      </c>
      <c r="L6" s="190"/>
      <c r="M6" s="1271"/>
      <c r="N6" s="1082"/>
    </row>
    <row r="7" spans="1:14" ht="1.5" customHeight="1" thickBot="1">
      <c r="A7" s="192">
        <v>1996</v>
      </c>
      <c r="B7" s="1272">
        <v>5252</v>
      </c>
      <c r="C7" s="193">
        <v>5728</v>
      </c>
      <c r="D7" s="100">
        <v>5623</v>
      </c>
      <c r="E7" s="193">
        <v>7761</v>
      </c>
      <c r="F7" s="100">
        <v>10875</v>
      </c>
      <c r="G7" s="1273" t="s">
        <v>30</v>
      </c>
      <c r="H7" s="100">
        <v>13489</v>
      </c>
      <c r="I7" s="1273" t="s">
        <v>30</v>
      </c>
      <c r="J7" s="9"/>
      <c r="K7" s="1272" t="s">
        <v>30</v>
      </c>
      <c r="L7" s="1273" t="s">
        <v>30</v>
      </c>
      <c r="M7" s="1274" t="s">
        <v>30</v>
      </c>
      <c r="N7" s="1275" t="s">
        <v>30</v>
      </c>
    </row>
    <row r="8" spans="1:14" ht="23.25" hidden="1" customHeight="1" thickBot="1">
      <c r="A8" s="194">
        <v>1997</v>
      </c>
      <c r="B8" s="1276">
        <v>5702</v>
      </c>
      <c r="C8" s="196">
        <v>6184</v>
      </c>
      <c r="D8" s="195">
        <v>4631</v>
      </c>
      <c r="E8" s="196">
        <v>6865</v>
      </c>
      <c r="F8" s="195">
        <v>10333</v>
      </c>
      <c r="G8" s="1277" t="s">
        <v>30</v>
      </c>
      <c r="H8" s="195">
        <v>13049</v>
      </c>
      <c r="I8" s="1277" t="s">
        <v>30</v>
      </c>
      <c r="K8" s="1276" t="s">
        <v>30</v>
      </c>
      <c r="L8" s="1277" t="s">
        <v>30</v>
      </c>
      <c r="M8" s="1278" t="s">
        <v>30</v>
      </c>
      <c r="N8" s="1279" t="s">
        <v>30</v>
      </c>
    </row>
    <row r="9" spans="1:14" ht="23.25" hidden="1" customHeight="1" thickBot="1">
      <c r="A9" s="194">
        <v>1998</v>
      </c>
      <c r="B9" s="1276">
        <v>5440</v>
      </c>
      <c r="C9" s="196">
        <v>5884</v>
      </c>
      <c r="D9" s="195">
        <v>4852</v>
      </c>
      <c r="E9" s="196">
        <v>6728</v>
      </c>
      <c r="F9" s="195">
        <v>10292</v>
      </c>
      <c r="G9" s="1277" t="s">
        <v>30</v>
      </c>
      <c r="H9" s="195">
        <v>12612</v>
      </c>
      <c r="I9" s="1277" t="s">
        <v>30</v>
      </c>
      <c r="K9" s="1276" t="s">
        <v>30</v>
      </c>
      <c r="L9" s="1277" t="s">
        <v>30</v>
      </c>
      <c r="M9" s="1278" t="s">
        <v>30</v>
      </c>
      <c r="N9" s="1279" t="s">
        <v>30</v>
      </c>
    </row>
    <row r="10" spans="1:14" ht="0.5" customHeight="1" thickBot="1">
      <c r="A10" s="194">
        <v>1999</v>
      </c>
      <c r="B10" s="1276">
        <v>5286</v>
      </c>
      <c r="C10" s="196">
        <v>5825</v>
      </c>
      <c r="D10" s="195">
        <v>4444</v>
      </c>
      <c r="E10" s="196">
        <v>6096</v>
      </c>
      <c r="F10" s="195">
        <v>9729</v>
      </c>
      <c r="G10" s="1277" t="s">
        <v>30</v>
      </c>
      <c r="H10" s="195">
        <v>11920</v>
      </c>
      <c r="I10" s="1277" t="s">
        <v>30</v>
      </c>
      <c r="K10" s="1276" t="s">
        <v>30</v>
      </c>
      <c r="L10" s="1277" t="s">
        <v>30</v>
      </c>
      <c r="M10" s="1278" t="s">
        <v>30</v>
      </c>
      <c r="N10" s="1279" t="s">
        <v>30</v>
      </c>
    </row>
    <row r="11" spans="1:14" ht="20" hidden="1" customHeight="1" thickBot="1">
      <c r="A11" s="194">
        <v>2000</v>
      </c>
      <c r="B11" s="1276">
        <v>4367</v>
      </c>
      <c r="C11" s="196">
        <v>4846</v>
      </c>
      <c r="D11" s="195">
        <v>5837</v>
      </c>
      <c r="E11" s="196">
        <v>7246</v>
      </c>
      <c r="F11" s="195">
        <v>10204</v>
      </c>
      <c r="G11" s="1277" t="s">
        <v>30</v>
      </c>
      <c r="H11" s="195">
        <v>12092</v>
      </c>
      <c r="I11" s="1277" t="s">
        <v>30</v>
      </c>
      <c r="K11" s="1276" t="s">
        <v>30</v>
      </c>
      <c r="L11" s="1277" t="s">
        <v>30</v>
      </c>
      <c r="M11" s="1278" t="s">
        <v>30</v>
      </c>
      <c r="N11" s="1279" t="s">
        <v>30</v>
      </c>
    </row>
    <row r="12" spans="1:14" ht="20" customHeight="1" thickBot="1">
      <c r="A12" s="194">
        <v>2001</v>
      </c>
      <c r="B12" s="1276">
        <v>4317</v>
      </c>
      <c r="C12" s="196">
        <v>4736</v>
      </c>
      <c r="D12" s="195">
        <v>3995</v>
      </c>
      <c r="E12" s="196">
        <v>4942</v>
      </c>
      <c r="F12" s="195">
        <v>8312</v>
      </c>
      <c r="G12" s="1277" t="s">
        <v>30</v>
      </c>
      <c r="H12" s="195">
        <v>9678</v>
      </c>
      <c r="I12" s="1277" t="s">
        <v>30</v>
      </c>
      <c r="K12" s="1276" t="s">
        <v>30</v>
      </c>
      <c r="L12" s="1277" t="s">
        <v>30</v>
      </c>
      <c r="M12" s="1278" t="s">
        <v>30</v>
      </c>
      <c r="N12" s="1279" t="s">
        <v>30</v>
      </c>
    </row>
    <row r="13" spans="1:14" ht="20" customHeight="1" thickBot="1">
      <c r="A13" s="194">
        <v>2002</v>
      </c>
      <c r="B13" s="1276">
        <v>4346</v>
      </c>
      <c r="C13" s="196">
        <v>4839</v>
      </c>
      <c r="D13" s="195">
        <v>3951</v>
      </c>
      <c r="E13" s="196">
        <v>4838</v>
      </c>
      <c r="F13" s="195">
        <v>8297</v>
      </c>
      <c r="G13" s="1277" t="s">
        <v>30</v>
      </c>
      <c r="H13" s="195">
        <v>9677</v>
      </c>
      <c r="I13" s="1277" t="s">
        <v>30</v>
      </c>
      <c r="K13" s="1276" t="s">
        <v>30</v>
      </c>
      <c r="L13" s="1277" t="s">
        <v>30</v>
      </c>
      <c r="M13" s="1278" t="s">
        <v>30</v>
      </c>
      <c r="N13" s="1279" t="s">
        <v>30</v>
      </c>
    </row>
    <row r="14" spans="1:14" ht="20" customHeight="1" thickBot="1">
      <c r="A14" s="194">
        <v>2003</v>
      </c>
      <c r="B14" s="1276">
        <v>5023</v>
      </c>
      <c r="C14" s="196">
        <v>5690</v>
      </c>
      <c r="D14" s="195">
        <v>2968</v>
      </c>
      <c r="E14" s="196">
        <v>3779</v>
      </c>
      <c r="F14" s="195">
        <v>7991</v>
      </c>
      <c r="G14" s="1277" t="s">
        <v>30</v>
      </c>
      <c r="H14" s="195">
        <v>9469</v>
      </c>
      <c r="I14" s="1277" t="s">
        <v>30</v>
      </c>
      <c r="K14" s="1276" t="s">
        <v>30</v>
      </c>
      <c r="L14" s="1277" t="s">
        <v>30</v>
      </c>
      <c r="M14" s="1278" t="s">
        <v>30</v>
      </c>
      <c r="N14" s="1279" t="s">
        <v>30</v>
      </c>
    </row>
    <row r="15" spans="1:14" ht="20" customHeight="1" thickBot="1">
      <c r="A15" s="194">
        <v>2004</v>
      </c>
      <c r="B15" s="1276">
        <v>5428</v>
      </c>
      <c r="C15" s="196">
        <v>6333</v>
      </c>
      <c r="D15" s="195">
        <v>2801</v>
      </c>
      <c r="E15" s="196">
        <v>3511</v>
      </c>
      <c r="F15" s="195">
        <v>8229</v>
      </c>
      <c r="G15" s="1277" t="s">
        <v>30</v>
      </c>
      <c r="H15" s="195">
        <v>9844</v>
      </c>
      <c r="I15" s="1277" t="s">
        <v>30</v>
      </c>
      <c r="K15" s="1276" t="s">
        <v>30</v>
      </c>
      <c r="L15" s="1277" t="s">
        <v>30</v>
      </c>
      <c r="M15" s="1278" t="s">
        <v>30</v>
      </c>
      <c r="N15" s="1279" t="s">
        <v>30</v>
      </c>
    </row>
    <row r="16" spans="1:14" ht="20" customHeight="1" thickBot="1">
      <c r="A16" s="194">
        <v>2005</v>
      </c>
      <c r="B16" s="1276">
        <v>5554</v>
      </c>
      <c r="C16" s="196">
        <v>6193</v>
      </c>
      <c r="D16" s="195">
        <v>3178</v>
      </c>
      <c r="E16" s="196">
        <v>3889</v>
      </c>
      <c r="F16" s="195">
        <v>8732</v>
      </c>
      <c r="G16" s="1277" t="s">
        <v>30</v>
      </c>
      <c r="H16" s="195">
        <v>10082</v>
      </c>
      <c r="I16" s="1277" t="s">
        <v>30</v>
      </c>
      <c r="K16" s="1276" t="s">
        <v>30</v>
      </c>
      <c r="L16" s="1277" t="s">
        <v>30</v>
      </c>
      <c r="M16" s="1278" t="s">
        <v>30</v>
      </c>
      <c r="N16" s="1279" t="s">
        <v>30</v>
      </c>
    </row>
    <row r="17" spans="1:16" ht="20" customHeight="1" thickBot="1">
      <c r="A17" s="194">
        <v>2006</v>
      </c>
      <c r="B17" s="1276">
        <v>5770</v>
      </c>
      <c r="C17" s="196">
        <v>6389</v>
      </c>
      <c r="D17" s="195">
        <v>3049</v>
      </c>
      <c r="E17" s="196">
        <v>3717</v>
      </c>
      <c r="F17" s="195">
        <v>8819</v>
      </c>
      <c r="G17" s="1277" t="s">
        <v>30</v>
      </c>
      <c r="H17" s="195">
        <v>10106</v>
      </c>
      <c r="I17" s="1277" t="s">
        <v>30</v>
      </c>
      <c r="K17" s="1276" t="s">
        <v>30</v>
      </c>
      <c r="L17" s="1277" t="s">
        <v>30</v>
      </c>
      <c r="M17" s="1278" t="s">
        <v>30</v>
      </c>
      <c r="N17" s="1279" t="s">
        <v>30</v>
      </c>
    </row>
    <row r="18" spans="1:16" ht="20" customHeight="1" thickBot="1">
      <c r="A18" s="194">
        <v>2007</v>
      </c>
      <c r="B18" s="1276">
        <v>7087</v>
      </c>
      <c r="C18" s="196">
        <v>7977</v>
      </c>
      <c r="D18" s="195">
        <v>3002</v>
      </c>
      <c r="E18" s="196">
        <v>3628</v>
      </c>
      <c r="F18" s="195">
        <v>10089</v>
      </c>
      <c r="G18" s="196">
        <v>702</v>
      </c>
      <c r="H18" s="195">
        <v>11605</v>
      </c>
      <c r="I18" s="196">
        <v>689</v>
      </c>
      <c r="K18" s="313">
        <v>832.84199999999998</v>
      </c>
      <c r="L18" s="314">
        <v>99.68</v>
      </c>
      <c r="M18" s="975">
        <v>87877.15912059712</v>
      </c>
      <c r="N18" s="986">
        <v>172150.46913302015</v>
      </c>
    </row>
    <row r="19" spans="1:16" ht="20" customHeight="1" thickBot="1">
      <c r="A19" s="194">
        <v>2008</v>
      </c>
      <c r="B19" s="1276">
        <v>7011.76</v>
      </c>
      <c r="C19" s="196">
        <v>8068.23</v>
      </c>
      <c r="D19" s="195">
        <v>2796.16</v>
      </c>
      <c r="E19" s="196">
        <v>3914.2</v>
      </c>
      <c r="F19" s="195">
        <v>9807.92</v>
      </c>
      <c r="G19" s="196">
        <v>542.97</v>
      </c>
      <c r="H19" s="195">
        <v>11982.43</v>
      </c>
      <c r="I19" s="196">
        <v>630.20000000000005</v>
      </c>
      <c r="K19" s="313">
        <v>578.09929999999997</v>
      </c>
      <c r="L19" s="314">
        <v>61.971699999999998</v>
      </c>
      <c r="M19" s="975">
        <v>87494.52836879433</v>
      </c>
      <c r="N19" s="986">
        <v>150903.96050356733</v>
      </c>
    </row>
    <row r="20" spans="1:16" ht="20" customHeight="1" thickBot="1">
      <c r="A20" s="194">
        <v>2009</v>
      </c>
      <c r="B20" s="1276">
        <v>7104.1</v>
      </c>
      <c r="C20" s="196">
        <v>8234</v>
      </c>
      <c r="D20" s="195">
        <v>2676.38</v>
      </c>
      <c r="E20" s="196">
        <v>3912</v>
      </c>
      <c r="F20" s="195">
        <v>9780.48</v>
      </c>
      <c r="G20" s="196">
        <v>334.41</v>
      </c>
      <c r="H20" s="195">
        <v>12146</v>
      </c>
      <c r="I20" s="196">
        <v>436</v>
      </c>
      <c r="K20" s="313">
        <v>581.29669999999999</v>
      </c>
      <c r="L20" s="314">
        <v>35.061199999999999</v>
      </c>
      <c r="M20" s="975">
        <v>86570.241074114543</v>
      </c>
      <c r="N20" s="986">
        <v>161757.10896750502</v>
      </c>
    </row>
    <row r="21" spans="1:16" ht="20" customHeight="1" thickBot="1">
      <c r="A21" s="194">
        <v>2010</v>
      </c>
      <c r="B21" s="1276">
        <v>7281.82</v>
      </c>
      <c r="C21" s="196">
        <v>8352.0499999999993</v>
      </c>
      <c r="D21" s="195">
        <v>2803.23</v>
      </c>
      <c r="E21" s="196">
        <v>3867.44</v>
      </c>
      <c r="F21" s="195">
        <v>10085.049999999999</v>
      </c>
      <c r="G21" s="196">
        <v>317.44</v>
      </c>
      <c r="H21" s="195">
        <v>12219.49</v>
      </c>
      <c r="I21" s="196">
        <v>422.42</v>
      </c>
      <c r="K21" s="313">
        <v>621.44240000000002</v>
      </c>
      <c r="L21" s="314">
        <v>36.380200000000002</v>
      </c>
      <c r="M21" s="975">
        <v>84055.261236585749</v>
      </c>
      <c r="N21" s="986">
        <v>196328.26290875449</v>
      </c>
    </row>
    <row r="22" spans="1:16" ht="24" customHeight="1" thickBot="1">
      <c r="A22" s="107">
        <v>2011</v>
      </c>
      <c r="B22" s="1280">
        <v>7477.74</v>
      </c>
      <c r="C22" s="200">
        <v>8573</v>
      </c>
      <c r="D22" s="199">
        <v>2847</v>
      </c>
      <c r="E22" s="200">
        <v>3954</v>
      </c>
      <c r="F22" s="199">
        <v>10324.74</v>
      </c>
      <c r="G22" s="200">
        <v>317.14999999999998</v>
      </c>
      <c r="H22" s="199">
        <v>12527</v>
      </c>
      <c r="I22" s="225">
        <v>426</v>
      </c>
      <c r="K22" s="328">
        <v>654.30050000000006</v>
      </c>
      <c r="L22" s="860">
        <v>44.025700000000001</v>
      </c>
      <c r="M22" s="1281">
        <v>85727.155125020334</v>
      </c>
      <c r="N22" s="1282">
        <v>197461.39267886861</v>
      </c>
      <c r="P22" s="12" t="s">
        <v>2029</v>
      </c>
    </row>
    <row r="23" spans="1:16" ht="20.25" customHeight="1">
      <c r="A23" s="112" t="s">
        <v>720</v>
      </c>
      <c r="B23" s="296"/>
      <c r="C23" s="296"/>
      <c r="D23" s="296"/>
      <c r="E23" s="296"/>
      <c r="F23" s="296"/>
      <c r="G23" s="296"/>
      <c r="H23" s="1283"/>
    </row>
    <row r="24" spans="1:16" ht="14.25" customHeight="1">
      <c r="A24" s="172"/>
      <c r="B24" s="172"/>
      <c r="C24" s="172"/>
      <c r="D24" s="172"/>
      <c r="E24" s="172"/>
      <c r="F24" s="172"/>
      <c r="G24" s="172"/>
      <c r="H24" s="1284"/>
    </row>
    <row r="25" spans="1:16">
      <c r="A25" s="3" t="s">
        <v>2030</v>
      </c>
    </row>
    <row r="26" spans="1:16">
      <c r="A26" s="3" t="s">
        <v>2031</v>
      </c>
    </row>
    <row r="27" spans="1:16">
      <c r="A27" s="3" t="s">
        <v>2032</v>
      </c>
    </row>
    <row r="28" spans="1:16">
      <c r="A28" s="4" t="s">
        <v>2033</v>
      </c>
    </row>
    <row r="30" spans="1:16">
      <c r="A30" s="3" t="s">
        <v>2034</v>
      </c>
    </row>
    <row r="33" spans="1:1">
      <c r="A33" s="3" t="s">
        <v>719</v>
      </c>
    </row>
  </sheetData>
  <mergeCells count="6">
    <mergeCell ref="B3:C3"/>
    <mergeCell ref="D3:E3"/>
    <mergeCell ref="F3:G3"/>
    <mergeCell ref="H3:I3"/>
    <mergeCell ref="K3:L3"/>
    <mergeCell ref="M3:N3"/>
  </mergeCells>
  <pageMargins left="0.49" right="0.54" top="0.72" bottom="0.49" header="0.56000000000000005" footer="0.4921259845"/>
  <pageSetup paperSize="9" scale="80" orientation="landscape" horizontalDpi="4294967292" verticalDpi="4294967292"/>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FC73-7E2C-BC4B-AFA5-1BF779701D64}">
  <sheetPr>
    <pageSetUpPr fitToPage="1"/>
  </sheetPr>
  <dimension ref="A1:K33"/>
  <sheetViews>
    <sheetView zoomScaleNormal="100" workbookViewId="0">
      <selection activeCell="A3" sqref="A3"/>
    </sheetView>
  </sheetViews>
  <sheetFormatPr baseColWidth="10" defaultColWidth="11.3984375" defaultRowHeight="13"/>
  <cols>
    <col min="1" max="1" width="15.59765625" style="3" customWidth="1"/>
    <col min="2" max="2" width="15.3984375" style="3" customWidth="1"/>
    <col min="3" max="3" width="15.3984375" style="797" customWidth="1"/>
    <col min="4" max="4" width="15.3984375" style="3" customWidth="1"/>
    <col min="5" max="5" width="15.3984375" style="797" customWidth="1"/>
    <col min="6" max="6" width="15.3984375" style="3" customWidth="1"/>
    <col min="7" max="7" width="15.3984375" style="797" customWidth="1"/>
    <col min="8" max="8" width="6.59765625" style="3" customWidth="1"/>
    <col min="9" max="16384" width="11.3984375" style="3"/>
  </cols>
  <sheetData>
    <row r="1" spans="1:11" s="2" customFormat="1" ht="14" customHeight="1">
      <c r="C1" s="782"/>
      <c r="E1" s="782"/>
      <c r="G1" s="782"/>
    </row>
    <row r="2" spans="1:11" s="2" customFormat="1" ht="24" customHeight="1">
      <c r="A2" s="246" t="s">
        <v>1453</v>
      </c>
      <c r="C2" s="782"/>
      <c r="E2" s="782"/>
      <c r="G2" s="207"/>
    </row>
    <row r="3" spans="1:11" ht="24" customHeight="1">
      <c r="A3" s="92" t="s">
        <v>1379</v>
      </c>
      <c r="B3" s="182" t="s">
        <v>1193</v>
      </c>
      <c r="C3" s="783" t="s">
        <v>279</v>
      </c>
      <c r="D3" s="182" t="s">
        <v>1194</v>
      </c>
      <c r="E3" s="783" t="s">
        <v>279</v>
      </c>
      <c r="F3" s="182" t="s">
        <v>416</v>
      </c>
      <c r="G3" s="783" t="s">
        <v>279</v>
      </c>
    </row>
    <row r="4" spans="1:11" ht="15" customHeight="1">
      <c r="A4" s="184"/>
      <c r="B4" s="185" t="s">
        <v>416</v>
      </c>
      <c r="C4" s="784" t="s">
        <v>282</v>
      </c>
      <c r="D4" s="185" t="s">
        <v>1195</v>
      </c>
      <c r="E4" s="784" t="s">
        <v>282</v>
      </c>
      <c r="F4" s="185" t="s">
        <v>1196</v>
      </c>
      <c r="G4" s="784" t="s">
        <v>282</v>
      </c>
    </row>
    <row r="5" spans="1:11" ht="15" customHeight="1">
      <c r="A5" s="184"/>
      <c r="B5" s="185" t="s">
        <v>1197</v>
      </c>
      <c r="C5" s="784" t="s">
        <v>283</v>
      </c>
      <c r="D5" s="185" t="s">
        <v>1198</v>
      </c>
      <c r="E5" s="784" t="s">
        <v>283</v>
      </c>
      <c r="F5" s="185" t="s">
        <v>1454</v>
      </c>
      <c r="G5" s="784" t="s">
        <v>283</v>
      </c>
    </row>
    <row r="6" spans="1:11" ht="24" customHeight="1">
      <c r="A6" s="188"/>
      <c r="B6" s="189"/>
      <c r="C6" s="474"/>
      <c r="D6" s="189" t="s">
        <v>1230</v>
      </c>
      <c r="E6" s="474"/>
      <c r="F6" s="189"/>
      <c r="G6" s="474"/>
    </row>
    <row r="7" spans="1:11" ht="2.25" customHeight="1" thickBot="1">
      <c r="A7" s="192">
        <v>1996</v>
      </c>
      <c r="B7" s="100">
        <v>16879.057940520001</v>
      </c>
      <c r="C7" s="101">
        <v>3.1990175768496547E-2</v>
      </c>
      <c r="D7" s="100">
        <v>17192.470827740002</v>
      </c>
      <c r="E7" s="101">
        <v>6.792517720196245E-2</v>
      </c>
      <c r="F7" s="100">
        <v>-313.41288724000009</v>
      </c>
      <c r="G7" s="101">
        <v>-2.2198566405891191</v>
      </c>
      <c r="I7" s="9"/>
      <c r="J7" s="9"/>
      <c r="K7" s="9"/>
    </row>
    <row r="8" spans="1:11" ht="0.75" hidden="1" customHeight="1" thickBot="1">
      <c r="A8" s="194">
        <v>1997</v>
      </c>
      <c r="B8" s="195">
        <v>17865.03228775</v>
      </c>
      <c r="C8" s="197">
        <v>5.8414062603758345E-2</v>
      </c>
      <c r="D8" s="195">
        <v>17672.056997619999</v>
      </c>
      <c r="E8" s="197">
        <v>2.7895127738485698E-2</v>
      </c>
      <c r="F8" s="195">
        <v>192.97529009999997</v>
      </c>
      <c r="G8" s="197">
        <v>1.6157222563481464</v>
      </c>
    </row>
    <row r="9" spans="1:11" ht="0.75" hidden="1" customHeight="1" thickBot="1">
      <c r="A9" s="194">
        <v>1998</v>
      </c>
      <c r="B9" s="195">
        <v>18556.3398476</v>
      </c>
      <c r="C9" s="197">
        <v>3.8696127088671844E-2</v>
      </c>
      <c r="D9" s="195">
        <v>18402.610160249998</v>
      </c>
      <c r="E9" s="197">
        <v>4.1339452601832818E-2</v>
      </c>
      <c r="F9" s="195">
        <v>153.72876116999998</v>
      </c>
      <c r="G9" s="197">
        <v>-0.20337592916514025</v>
      </c>
    </row>
    <row r="10" spans="1:11" ht="19.25" hidden="1" customHeight="1" thickBot="1">
      <c r="A10" s="194">
        <v>1999</v>
      </c>
      <c r="B10" s="195">
        <v>18130.009685380002</v>
      </c>
      <c r="C10" s="197">
        <v>-2.2974905920099209E-2</v>
      </c>
      <c r="D10" s="195">
        <v>18002.60641059</v>
      </c>
      <c r="E10" s="197">
        <v>-2.1736250791423828E-2</v>
      </c>
      <c r="F10" s="195">
        <v>127.40327493000001</v>
      </c>
      <c r="G10" s="197">
        <v>-0.17124633048260957</v>
      </c>
    </row>
    <row r="11" spans="1:11" ht="19.25" hidden="1" customHeight="1" thickBot="1">
      <c r="A11" s="194">
        <v>2000</v>
      </c>
      <c r="B11" s="313">
        <v>17664.531028940004</v>
      </c>
      <c r="C11" s="197">
        <v>-2.5674484708927636E-2</v>
      </c>
      <c r="D11" s="313">
        <v>17831.851511680001</v>
      </c>
      <c r="E11" s="197">
        <v>-9.4850098377728953E-3</v>
      </c>
      <c r="F11" s="313">
        <v>-167.29975024999999</v>
      </c>
      <c r="G11" s="197">
        <v>-2.3131510971120686</v>
      </c>
    </row>
    <row r="12" spans="1:11" ht="19.5" customHeight="1" thickBot="1">
      <c r="A12" s="194">
        <v>2001</v>
      </c>
      <c r="B12" s="313">
        <v>16854.501682999999</v>
      </c>
      <c r="C12" s="197">
        <v>-4.5856261035910006E-2</v>
      </c>
      <c r="D12" s="313">
        <v>17581.378779999999</v>
      </c>
      <c r="E12" s="197">
        <v>-1.4046367059300624E-2</v>
      </c>
      <c r="F12" s="313">
        <v>-724.67685832999996</v>
      </c>
      <c r="G12" s="197">
        <v>-3.3316075322712564</v>
      </c>
    </row>
    <row r="13" spans="1:11" ht="19.5" customHeight="1" thickBot="1">
      <c r="A13" s="194">
        <v>2002</v>
      </c>
      <c r="B13" s="313">
        <v>17923.033692000001</v>
      </c>
      <c r="C13" s="197">
        <v>6.3397425156613174E-2</v>
      </c>
      <c r="D13" s="313">
        <v>18156.411305000001</v>
      </c>
      <c r="E13" s="197">
        <v>3.2706907245189543E-2</v>
      </c>
      <c r="F13" s="313">
        <v>-233.37761233999998</v>
      </c>
      <c r="G13" s="197">
        <v>0.67795630610060742</v>
      </c>
    </row>
    <row r="14" spans="1:11" ht="19.5" customHeight="1" thickBot="1">
      <c r="A14" s="194">
        <v>2003</v>
      </c>
      <c r="B14" s="313">
        <v>19735.068495</v>
      </c>
      <c r="C14" s="197">
        <v>0.10110089810347267</v>
      </c>
      <c r="D14" s="313">
        <v>19234.994873</v>
      </c>
      <c r="E14" s="197">
        <v>5.9405107643875299E-2</v>
      </c>
      <c r="F14" s="313">
        <v>500.07362212000004</v>
      </c>
      <c r="G14" s="197">
        <v>3.1427660395782078</v>
      </c>
    </row>
    <row r="15" spans="1:11" ht="19.5" customHeight="1" thickBot="1">
      <c r="A15" s="194">
        <v>2004</v>
      </c>
      <c r="B15" s="313">
        <v>20469.211171999999</v>
      </c>
      <c r="C15" s="197">
        <v>3.7199905193437743E-2</v>
      </c>
      <c r="D15" s="313">
        <v>19860.79033</v>
      </c>
      <c r="E15" s="197">
        <v>3.2534214910471482E-2</v>
      </c>
      <c r="F15" s="313">
        <v>608.42084196000008</v>
      </c>
      <c r="G15" s="197">
        <v>0.21666253736934862</v>
      </c>
    </row>
    <row r="16" spans="1:11" ht="19.5" customHeight="1" thickBot="1">
      <c r="A16" s="194">
        <v>2005</v>
      </c>
      <c r="B16" s="313">
        <v>21134.645651759998</v>
      </c>
      <c r="C16" s="197">
        <v>3.2509043664088688E-2</v>
      </c>
      <c r="D16" s="313">
        <v>20885.686091</v>
      </c>
      <c r="E16" s="197">
        <v>5.1603976678203045E-2</v>
      </c>
      <c r="F16" s="313">
        <v>248.95956138999998</v>
      </c>
      <c r="G16" s="197">
        <v>-0.59081026779426549</v>
      </c>
    </row>
    <row r="17" spans="1:9" ht="19.5" customHeight="1" thickBot="1">
      <c r="A17" s="194">
        <v>2006</v>
      </c>
      <c r="B17" s="313">
        <v>21891.095507740003</v>
      </c>
      <c r="C17" s="197">
        <v>3.5791934648168988E-2</v>
      </c>
      <c r="D17" s="313">
        <v>21334.273675</v>
      </c>
      <c r="E17" s="197">
        <v>2.147823069088961E-2</v>
      </c>
      <c r="F17" s="313">
        <v>556.82183227999997</v>
      </c>
      <c r="G17" s="197">
        <v>1.2365954903323748</v>
      </c>
    </row>
    <row r="18" spans="1:9" ht="19.5" customHeight="1" thickBot="1">
      <c r="A18" s="194">
        <v>2007</v>
      </c>
      <c r="B18" s="313">
        <v>22327.610027520001</v>
      </c>
      <c r="C18" s="197">
        <v>1.9940277526342198E-2</v>
      </c>
      <c r="D18" s="313">
        <v>22091.411327379999</v>
      </c>
      <c r="E18" s="197">
        <v>3.5489263141272653E-2</v>
      </c>
      <c r="F18" s="313">
        <v>236.19870014000003</v>
      </c>
      <c r="G18" s="197">
        <v>-0.57580919704091882</v>
      </c>
    </row>
    <row r="19" spans="1:9" ht="19.5" customHeight="1" thickBot="1">
      <c r="A19" s="194">
        <v>2008</v>
      </c>
      <c r="B19" s="313">
        <v>22243.624231310001</v>
      </c>
      <c r="C19" s="197">
        <v>-3.761521994807393E-3</v>
      </c>
      <c r="D19" s="313">
        <v>22986.427970659999</v>
      </c>
      <c r="E19" s="197">
        <v>4.0514235601177617E-2</v>
      </c>
      <c r="F19" s="313">
        <v>-742.80373934999989</v>
      </c>
      <c r="G19" s="197">
        <v>-4.1448256866347029</v>
      </c>
    </row>
    <row r="20" spans="1:9" ht="19.5" customHeight="1" thickBot="1">
      <c r="A20" s="194">
        <v>2009</v>
      </c>
      <c r="B20" s="313">
        <v>23404.08514187</v>
      </c>
      <c r="C20" s="197">
        <v>5.217049607080404E-2</v>
      </c>
      <c r="D20" s="313">
        <v>23827.526591220001</v>
      </c>
      <c r="E20" s="197">
        <v>3.6591097217609558E-2</v>
      </c>
      <c r="F20" s="313">
        <v>-423.44144935000003</v>
      </c>
      <c r="G20" s="197">
        <v>0.42994168322235699</v>
      </c>
    </row>
    <row r="21" spans="1:9" ht="19.5" customHeight="1" thickBot="1">
      <c r="A21" s="194">
        <v>2010</v>
      </c>
      <c r="B21" s="313">
        <v>25088.370668240004</v>
      </c>
      <c r="C21" s="197">
        <v>7.1965450311783918E-2</v>
      </c>
      <c r="D21" s="313">
        <v>24788.780569209994</v>
      </c>
      <c r="E21" s="197">
        <v>4.0342163686607702E-2</v>
      </c>
      <c r="F21" s="313">
        <v>299.59009902999998</v>
      </c>
      <c r="G21" s="197">
        <v>1.707512454177273</v>
      </c>
    </row>
    <row r="22" spans="1:9" s="382" customFormat="1" ht="26.25" customHeight="1" thickBot="1">
      <c r="A22" s="499">
        <v>2011</v>
      </c>
      <c r="B22" s="858">
        <v>25928.84879041</v>
      </c>
      <c r="C22" s="109">
        <v>3.3500705696842159E-2</v>
      </c>
      <c r="D22" s="858">
        <v>25308.609307279999</v>
      </c>
      <c r="E22" s="109">
        <v>2.0970323111241695E-2</v>
      </c>
      <c r="F22" s="858">
        <v>620.23948312999994</v>
      </c>
      <c r="G22" s="109">
        <v>1.0702936617003862</v>
      </c>
      <c r="I22" s="870"/>
    </row>
    <row r="23" spans="1:9" ht="20" customHeight="1">
      <c r="A23" s="112" t="s">
        <v>720</v>
      </c>
      <c r="B23" s="112"/>
      <c r="C23" s="795"/>
      <c r="D23" s="112"/>
      <c r="E23" s="795"/>
      <c r="F23" s="112"/>
      <c r="G23" s="795"/>
    </row>
    <row r="24" spans="1:9" ht="13.5" customHeight="1">
      <c r="A24" s="115"/>
      <c r="B24" s="115"/>
      <c r="C24" s="796"/>
      <c r="D24" s="115"/>
      <c r="E24" s="796"/>
      <c r="F24" s="115"/>
      <c r="G24" s="796"/>
    </row>
    <row r="25" spans="1:9">
      <c r="A25" s="115" t="s">
        <v>1455</v>
      </c>
    </row>
    <row r="26" spans="1:9">
      <c r="A26" s="3" t="s">
        <v>1234</v>
      </c>
    </row>
    <row r="27" spans="1:9">
      <c r="A27" s="3" t="s">
        <v>1456</v>
      </c>
    </row>
    <row r="28" spans="1:9">
      <c r="A28" s="3" t="s">
        <v>1457</v>
      </c>
    </row>
    <row r="30" spans="1:9">
      <c r="A30" s="3" t="s">
        <v>1458</v>
      </c>
    </row>
    <row r="33" spans="1:1">
      <c r="A33" s="3" t="s">
        <v>719</v>
      </c>
    </row>
  </sheetData>
  <pageMargins left="0.55000000000000004" right="0.28999999999999998" top="1.1000000000000001" bottom="0.49" header="0.59" footer="0.4921259845"/>
  <pageSetup paperSize="9" scale="83" orientation="portrait" horizontalDpi="4294967292" verticalDpi="4294967292"/>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5287-50B0-E641-B0DD-67B8DD9DCF10}">
  <sheetPr>
    <pageSetUpPr fitToPage="1"/>
  </sheetPr>
  <dimension ref="A1:D48"/>
  <sheetViews>
    <sheetView zoomScaleNormal="100" workbookViewId="0">
      <selection activeCell="B14" sqref="B14"/>
    </sheetView>
  </sheetViews>
  <sheetFormatPr baseColWidth="10" defaultColWidth="11.3984375" defaultRowHeight="13"/>
  <cols>
    <col min="1" max="1" width="10.59765625" style="3" customWidth="1"/>
    <col min="2" max="2" width="60.3984375" style="119" customWidth="1"/>
    <col min="3" max="3" width="18.3984375" style="8" customWidth="1"/>
    <col min="4" max="4" width="17" style="797" customWidth="1"/>
    <col min="5" max="16384" width="11.3984375" style="3"/>
  </cols>
  <sheetData>
    <row r="1" spans="1:4" s="2" customFormat="1" ht="14" customHeight="1">
      <c r="B1" s="88"/>
      <c r="C1" s="406"/>
      <c r="D1" s="782"/>
    </row>
    <row r="2" spans="1:4" s="2" customFormat="1" ht="28" customHeight="1">
      <c r="A2" s="246" t="s">
        <v>1422</v>
      </c>
      <c r="B2" s="88"/>
      <c r="C2" s="406"/>
      <c r="D2" s="207">
        <v>2011</v>
      </c>
    </row>
    <row r="3" spans="1:4" ht="39" customHeight="1">
      <c r="A3" s="419" t="s">
        <v>558</v>
      </c>
      <c r="B3" s="94"/>
      <c r="C3" s="93" t="s">
        <v>1272</v>
      </c>
      <c r="D3" s="783" t="s">
        <v>1289</v>
      </c>
    </row>
    <row r="4" spans="1:4" ht="38" customHeight="1">
      <c r="A4" s="408"/>
      <c r="B4" s="231"/>
      <c r="C4" s="98" t="s">
        <v>561</v>
      </c>
      <c r="D4" s="474" t="s">
        <v>617</v>
      </c>
    </row>
    <row r="5" spans="1:4" ht="30" customHeight="1" thickBot="1">
      <c r="A5" s="99">
        <v>60</v>
      </c>
      <c r="B5" s="99" t="s">
        <v>88</v>
      </c>
      <c r="C5" s="100">
        <v>239780492.74000001</v>
      </c>
      <c r="D5" s="101">
        <v>9.2476335790382183E-3</v>
      </c>
    </row>
    <row r="6" spans="1:4" ht="16" customHeight="1" thickBot="1">
      <c r="A6" s="103">
        <v>600</v>
      </c>
      <c r="B6" s="103" t="s">
        <v>1423</v>
      </c>
      <c r="C6" s="195">
        <v>253446507.24000001</v>
      </c>
      <c r="D6" s="197">
        <v>9.7746918611264881E-3</v>
      </c>
    </row>
    <row r="7" spans="1:4" ht="16" customHeight="1" thickBot="1">
      <c r="A7" s="103">
        <v>601</v>
      </c>
      <c r="B7" s="103" t="s">
        <v>1424</v>
      </c>
      <c r="C7" s="195">
        <v>-13666014.5</v>
      </c>
      <c r="D7" s="197">
        <v>-5.2705828208826958E-4</v>
      </c>
    </row>
    <row r="8" spans="1:4" ht="19.5" customHeight="1" thickBot="1">
      <c r="A8" s="103">
        <v>61</v>
      </c>
      <c r="B8" s="103" t="s">
        <v>1395</v>
      </c>
      <c r="C8" s="195">
        <v>23779546587.450001</v>
      </c>
      <c r="D8" s="197">
        <v>0.91710768880124993</v>
      </c>
    </row>
    <row r="9" spans="1:4" ht="18" customHeight="1" thickBot="1">
      <c r="A9" s="103">
        <v>63</v>
      </c>
      <c r="B9" s="103" t="s">
        <v>1397</v>
      </c>
      <c r="C9" s="195">
        <v>1966758102.0899999</v>
      </c>
      <c r="D9" s="197">
        <v>7.5852118155643758E-2</v>
      </c>
    </row>
    <row r="10" spans="1:4" ht="21.75" customHeight="1" thickBot="1">
      <c r="A10" s="145" t="s">
        <v>1425</v>
      </c>
      <c r="B10" s="145" t="s">
        <v>218</v>
      </c>
      <c r="C10" s="195">
        <v>25986085182.279999</v>
      </c>
      <c r="D10" s="197">
        <v>1.0022074405359318</v>
      </c>
    </row>
    <row r="11" spans="1:4" ht="16" customHeight="1" thickBot="1">
      <c r="A11" s="103">
        <v>64</v>
      </c>
      <c r="B11" s="103" t="s">
        <v>1426</v>
      </c>
      <c r="C11" s="195">
        <v>-134989155.72</v>
      </c>
      <c r="D11" s="197">
        <v>-5.2061376427142755E-3</v>
      </c>
    </row>
    <row r="12" spans="1:4" ht="16" customHeight="1" thickBot="1">
      <c r="A12" s="103">
        <v>65</v>
      </c>
      <c r="B12" s="103" t="s">
        <v>1427</v>
      </c>
      <c r="C12" s="195">
        <v>7469801.8600000003</v>
      </c>
      <c r="D12" s="197">
        <v>2.8808845006503985E-4</v>
      </c>
    </row>
    <row r="13" spans="1:4" ht="21.75" customHeight="1" thickBot="1">
      <c r="A13" s="145" t="s">
        <v>1428</v>
      </c>
      <c r="B13" s="145" t="s">
        <v>1151</v>
      </c>
      <c r="C13" s="195">
        <v>25858565828.419998</v>
      </c>
      <c r="D13" s="197">
        <v>0.99728939134328265</v>
      </c>
    </row>
    <row r="14" spans="1:4" ht="16" customHeight="1" thickBot="1">
      <c r="A14" s="103">
        <v>66</v>
      </c>
      <c r="B14" s="103" t="s">
        <v>1429</v>
      </c>
      <c r="C14" s="195">
        <v>-20420218.510000002</v>
      </c>
      <c r="D14" s="197">
        <v>-7.8754821222732372E-4</v>
      </c>
    </row>
    <row r="15" spans="1:4" ht="21.75" customHeight="1" thickBot="1">
      <c r="A15" s="145" t="s">
        <v>1430</v>
      </c>
      <c r="B15" s="145" t="s">
        <v>569</v>
      </c>
      <c r="C15" s="195">
        <v>25838145609.91</v>
      </c>
      <c r="D15" s="197">
        <v>0.99650184313105539</v>
      </c>
    </row>
    <row r="16" spans="1:4" ht="16" customHeight="1" thickBot="1">
      <c r="A16" s="103">
        <v>67</v>
      </c>
      <c r="B16" s="103" t="s">
        <v>1431</v>
      </c>
      <c r="C16" s="195">
        <v>2146293073.4200001</v>
      </c>
      <c r="D16" s="197">
        <v>8.2776257857380242E-2</v>
      </c>
    </row>
    <row r="17" spans="1:4" ht="16" customHeight="1" thickBot="1">
      <c r="A17" s="103">
        <v>670</v>
      </c>
      <c r="B17" s="103" t="s">
        <v>1432</v>
      </c>
      <c r="C17" s="195">
        <v>2109628633.1300001</v>
      </c>
      <c r="D17" s="197">
        <v>8.136221743520923E-2</v>
      </c>
    </row>
    <row r="18" spans="1:4" ht="16" customHeight="1" thickBot="1">
      <c r="A18" s="103">
        <v>672</v>
      </c>
      <c r="B18" s="103" t="s">
        <v>1433</v>
      </c>
      <c r="C18" s="195">
        <v>37161641.759999998</v>
      </c>
      <c r="D18" s="197">
        <v>1.4332160313166135E-3</v>
      </c>
    </row>
    <row r="19" spans="1:4" ht="16" customHeight="1" thickBot="1">
      <c r="A19" s="103">
        <v>673</v>
      </c>
      <c r="B19" s="103" t="s">
        <v>1434</v>
      </c>
      <c r="C19" s="195">
        <v>-404795.82</v>
      </c>
      <c r="D19" s="197">
        <v>-1.5611792998296057E-5</v>
      </c>
    </row>
    <row r="20" spans="1:4" ht="16" customHeight="1" thickBot="1">
      <c r="A20" s="103">
        <v>675</v>
      </c>
      <c r="B20" s="103" t="s">
        <v>1435</v>
      </c>
      <c r="C20" s="195">
        <v>-92405.65</v>
      </c>
      <c r="D20" s="197">
        <v>-3.5638161472937043E-6</v>
      </c>
    </row>
    <row r="21" spans="1:4" ht="16" customHeight="1" thickBot="1">
      <c r="A21" s="103">
        <v>68</v>
      </c>
      <c r="B21" s="103" t="s">
        <v>1436</v>
      </c>
      <c r="C21" s="195">
        <v>-2109754575.5699999</v>
      </c>
      <c r="D21" s="197">
        <v>-8.1367074667438005E-2</v>
      </c>
    </row>
    <row r="22" spans="1:4" ht="21.75" customHeight="1" thickBot="1">
      <c r="A22" s="145" t="s">
        <v>1437</v>
      </c>
      <c r="B22" s="145" t="s">
        <v>1438</v>
      </c>
      <c r="C22" s="195">
        <v>36538497.850000001</v>
      </c>
      <c r="D22" s="197">
        <v>1.4091831899422419E-3</v>
      </c>
    </row>
    <row r="23" spans="1:4" ht="16" customHeight="1" thickBot="1">
      <c r="A23" s="103">
        <v>69</v>
      </c>
      <c r="B23" s="103" t="s">
        <v>572</v>
      </c>
      <c r="C23" s="195">
        <v>84533695.099999994</v>
      </c>
      <c r="D23" s="197">
        <v>3.260217828539518E-3</v>
      </c>
    </row>
    <row r="24" spans="1:4" ht="21.75" customHeight="1" thickBot="1">
      <c r="A24" s="145">
        <v>6</v>
      </c>
      <c r="B24" s="145" t="s">
        <v>573</v>
      </c>
      <c r="C24" s="195">
        <v>25959217802.860001</v>
      </c>
      <c r="D24" s="197">
        <v>1.0011712441495371</v>
      </c>
    </row>
    <row r="25" spans="1:4" ht="16" customHeight="1" thickBot="1">
      <c r="A25" s="103">
        <v>70</v>
      </c>
      <c r="B25" s="103" t="s">
        <v>1439</v>
      </c>
      <c r="C25" s="195">
        <v>38526521</v>
      </c>
      <c r="D25" s="197">
        <v>1.485855438913638E-3</v>
      </c>
    </row>
    <row r="26" spans="1:4" ht="16" customHeight="1" thickBot="1">
      <c r="A26" s="103">
        <v>701</v>
      </c>
      <c r="B26" s="103" t="s">
        <v>1440</v>
      </c>
      <c r="C26" s="195">
        <v>38526521</v>
      </c>
      <c r="D26" s="197">
        <v>1.485855438913638E-3</v>
      </c>
    </row>
    <row r="27" spans="1:4" ht="16" customHeight="1" thickBot="1">
      <c r="A27" s="103">
        <v>72</v>
      </c>
      <c r="B27" s="103" t="s">
        <v>1441</v>
      </c>
      <c r="C27" s="195">
        <v>-65468145.349999964</v>
      </c>
      <c r="D27" s="197">
        <v>-2.5249152355045512E-3</v>
      </c>
    </row>
    <row r="28" spans="1:4" ht="16" customHeight="1" thickBot="1">
      <c r="A28" s="103">
        <v>720</v>
      </c>
      <c r="B28" s="103" t="s">
        <v>1442</v>
      </c>
      <c r="C28" s="195">
        <v>498181424.36000001</v>
      </c>
      <c r="D28" s="197">
        <v>1.9213403124332173E-2</v>
      </c>
    </row>
    <row r="29" spans="1:4" ht="16" customHeight="1" thickBot="1">
      <c r="A29" s="103">
        <v>721</v>
      </c>
      <c r="B29" s="103" t="s">
        <v>1443</v>
      </c>
      <c r="C29" s="195">
        <v>-312694380.19</v>
      </c>
      <c r="D29" s="197">
        <v>-1.2059709349905755E-2</v>
      </c>
    </row>
    <row r="30" spans="1:4" ht="16" customHeight="1" thickBot="1">
      <c r="A30" s="103">
        <v>722</v>
      </c>
      <c r="B30" s="103" t="s">
        <v>1444</v>
      </c>
      <c r="C30" s="195">
        <v>-101911122.14</v>
      </c>
      <c r="D30" s="197">
        <v>-3.9304144570310685E-3</v>
      </c>
    </row>
    <row r="31" spans="1:4" ht="16" customHeight="1" thickBot="1">
      <c r="A31" s="103">
        <v>723</v>
      </c>
      <c r="B31" s="103" t="s">
        <v>1445</v>
      </c>
      <c r="C31" s="195">
        <v>885727.04</v>
      </c>
      <c r="D31" s="197">
        <v>3.4159906101484672E-5</v>
      </c>
    </row>
    <row r="32" spans="1:4" ht="16" customHeight="1" thickBot="1">
      <c r="A32" s="103">
        <v>724</v>
      </c>
      <c r="B32" s="103" t="s">
        <v>1446</v>
      </c>
      <c r="C32" s="195">
        <v>-149929794.41999999</v>
      </c>
      <c r="D32" s="197">
        <v>-5.7823544590013872E-3</v>
      </c>
    </row>
    <row r="33" spans="1:4" ht="16" customHeight="1" thickBot="1">
      <c r="A33" s="103">
        <v>76</v>
      </c>
      <c r="B33" s="103" t="s">
        <v>1447</v>
      </c>
      <c r="C33" s="195">
        <v>-3427388.1</v>
      </c>
      <c r="D33" s="197">
        <v>-1.3218435294619206E-4</v>
      </c>
    </row>
    <row r="34" spans="1:4" ht="21.75" customHeight="1" thickBot="1">
      <c r="A34" s="145">
        <v>7</v>
      </c>
      <c r="B34" s="145" t="s">
        <v>1448</v>
      </c>
      <c r="C34" s="195">
        <v>-30369012.449999999</v>
      </c>
      <c r="D34" s="197">
        <v>-1.1712441495371068E-3</v>
      </c>
    </row>
    <row r="35" spans="1:4" s="110" customFormat="1" ht="21.75" customHeight="1" thickBot="1">
      <c r="A35" s="158" t="s">
        <v>1449</v>
      </c>
      <c r="B35" s="158" t="s">
        <v>1450</v>
      </c>
      <c r="C35" s="413">
        <v>25928848790.41</v>
      </c>
      <c r="D35" s="789">
        <v>1</v>
      </c>
    </row>
    <row r="36" spans="1:4" ht="21.75" customHeight="1" thickBot="1">
      <c r="A36" s="145" t="s">
        <v>1413</v>
      </c>
      <c r="B36" s="145" t="s">
        <v>1451</v>
      </c>
      <c r="C36" s="195">
        <v>27292235.379999999</v>
      </c>
      <c r="D36" s="197" t="s">
        <v>1415</v>
      </c>
    </row>
    <row r="37" spans="1:4" s="382" customFormat="1" ht="35.25" customHeight="1" thickBot="1">
      <c r="A37" s="771"/>
      <c r="B37" s="771" t="s">
        <v>1416</v>
      </c>
      <c r="C37" s="154">
        <v>25956141025.790001</v>
      </c>
      <c r="D37" s="792" t="s">
        <v>1415</v>
      </c>
    </row>
    <row r="38" spans="1:4" ht="20" customHeight="1">
      <c r="A38" s="112" t="s">
        <v>720</v>
      </c>
      <c r="B38" s="114"/>
      <c r="C38" s="432"/>
      <c r="D38" s="795"/>
    </row>
    <row r="39" spans="1:4" ht="11.25" customHeight="1">
      <c r="A39" s="115"/>
      <c r="B39" s="117"/>
      <c r="C39" s="529"/>
      <c r="D39" s="796"/>
    </row>
    <row r="40" spans="1:4" ht="11.25" customHeight="1">
      <c r="A40" s="115" t="s">
        <v>1417</v>
      </c>
      <c r="B40" s="117"/>
      <c r="C40" s="529"/>
      <c r="D40" s="796"/>
    </row>
    <row r="41" spans="1:4" ht="11.25" customHeight="1">
      <c r="A41" s="115" t="s">
        <v>1418</v>
      </c>
      <c r="B41" s="117"/>
      <c r="C41" s="529"/>
      <c r="D41" s="796"/>
    </row>
    <row r="42" spans="1:4">
      <c r="A42" s="115" t="s">
        <v>1419</v>
      </c>
    </row>
    <row r="43" spans="1:4">
      <c r="A43" s="3" t="s">
        <v>1420</v>
      </c>
    </row>
    <row r="45" spans="1:4">
      <c r="A45" s="3" t="s">
        <v>1452</v>
      </c>
    </row>
    <row r="48" spans="1:4">
      <c r="A48" s="173" t="s">
        <v>719</v>
      </c>
    </row>
  </sheetData>
  <pageMargins left="0.69" right="0.71" top="0.85" bottom="0.49" header="0.44" footer="0.4921259845"/>
  <pageSetup paperSize="9" scale="83" orientation="portrait" horizontalDpi="1200" verticalDpi="1200"/>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FECE-0AC4-FA40-835E-36AE5F28008B}">
  <sheetPr>
    <pageSetUpPr fitToPage="1"/>
  </sheetPr>
  <dimension ref="A1:D41"/>
  <sheetViews>
    <sheetView topLeftCell="A2" zoomScaleNormal="100" workbookViewId="0">
      <selection activeCell="G12" sqref="G12"/>
    </sheetView>
  </sheetViews>
  <sheetFormatPr baseColWidth="10" defaultColWidth="11.3984375" defaultRowHeight="13"/>
  <cols>
    <col min="1" max="1" width="10.59765625" style="3" customWidth="1"/>
    <col min="2" max="2" width="60.59765625" style="119" customWidth="1"/>
    <col min="3" max="3" width="17" style="8" customWidth="1"/>
    <col min="4" max="4" width="17" style="869" customWidth="1"/>
    <col min="5" max="16384" width="11.3984375" style="3"/>
  </cols>
  <sheetData>
    <row r="1" spans="1:4" s="2" customFormat="1" ht="14" customHeight="1">
      <c r="B1" s="88"/>
      <c r="C1" s="406"/>
      <c r="D1" s="861"/>
    </row>
    <row r="2" spans="1:4" s="2" customFormat="1" ht="28" customHeight="1">
      <c r="A2" s="246" t="s">
        <v>1394</v>
      </c>
      <c r="B2" s="88"/>
      <c r="C2" s="406"/>
      <c r="D2" s="207">
        <v>2011</v>
      </c>
    </row>
    <row r="3" spans="1:4" ht="39" customHeight="1">
      <c r="A3" s="419" t="s">
        <v>558</v>
      </c>
      <c r="B3" s="94"/>
      <c r="C3" s="93" t="s">
        <v>1272</v>
      </c>
      <c r="D3" s="862" t="s">
        <v>1289</v>
      </c>
    </row>
    <row r="4" spans="1:4" ht="38" customHeight="1">
      <c r="A4" s="408"/>
      <c r="B4" s="231"/>
      <c r="C4" s="98" t="s">
        <v>561</v>
      </c>
      <c r="D4" s="522" t="s">
        <v>617</v>
      </c>
    </row>
    <row r="5" spans="1:4" ht="30" customHeight="1" thickBot="1">
      <c r="A5" s="99">
        <v>30</v>
      </c>
      <c r="B5" s="99" t="s">
        <v>88</v>
      </c>
      <c r="C5" s="100">
        <v>188239145.56999999</v>
      </c>
      <c r="D5" s="101">
        <v>7.4377514498931074E-3</v>
      </c>
    </row>
    <row r="6" spans="1:4" ht="16" customHeight="1" thickBot="1">
      <c r="A6" s="103">
        <v>31</v>
      </c>
      <c r="B6" s="103" t="s">
        <v>1395</v>
      </c>
      <c r="C6" s="100">
        <v>25024482918.889999</v>
      </c>
      <c r="D6" s="101">
        <v>0.98877352821167175</v>
      </c>
    </row>
    <row r="7" spans="1:4" ht="16" customHeight="1" thickBot="1">
      <c r="A7" s="103">
        <v>32</v>
      </c>
      <c r="B7" s="103" t="s">
        <v>1396</v>
      </c>
      <c r="C7" s="100">
        <v>-3625941467.3099999</v>
      </c>
      <c r="D7" s="101">
        <v>-0.14326909168679614</v>
      </c>
    </row>
    <row r="8" spans="1:4" ht="18.75" customHeight="1" thickBot="1">
      <c r="A8" s="103">
        <v>33</v>
      </c>
      <c r="B8" s="103" t="s">
        <v>1397</v>
      </c>
      <c r="C8" s="100">
        <v>1676709994.4100001</v>
      </c>
      <c r="D8" s="101">
        <v>6.6250577977340533E-2</v>
      </c>
    </row>
    <row r="9" spans="1:4" ht="21.75" customHeight="1" thickBot="1">
      <c r="A9" s="145" t="s">
        <v>1398</v>
      </c>
      <c r="B9" s="145" t="s">
        <v>213</v>
      </c>
      <c r="C9" s="100">
        <v>23263490591.560001</v>
      </c>
      <c r="D9" s="101">
        <v>0.91919276595210941</v>
      </c>
    </row>
    <row r="10" spans="1:4" ht="16" customHeight="1" thickBot="1">
      <c r="A10" s="103">
        <v>34</v>
      </c>
      <c r="B10" s="103" t="s">
        <v>577</v>
      </c>
      <c r="C10" s="100">
        <v>96962494.939999998</v>
      </c>
      <c r="D10" s="101">
        <v>3.8312059648456789E-3</v>
      </c>
    </row>
    <row r="11" spans="1:4" ht="39" customHeight="1" thickBot="1">
      <c r="A11" s="863">
        <v>35</v>
      </c>
      <c r="B11" s="863" t="s">
        <v>1399</v>
      </c>
      <c r="C11" s="142">
        <v>313396340.16000003</v>
      </c>
      <c r="D11" s="864">
        <v>1.2382993326695823E-2</v>
      </c>
    </row>
    <row r="12" spans="1:4" ht="21.75" customHeight="1" thickBot="1">
      <c r="A12" s="145" t="s">
        <v>1400</v>
      </c>
      <c r="B12" s="145" t="s">
        <v>199</v>
      </c>
      <c r="C12" s="100">
        <v>23673849426.66</v>
      </c>
      <c r="D12" s="101">
        <v>0.93540696524365086</v>
      </c>
    </row>
    <row r="13" spans="1:4" ht="16" customHeight="1" thickBot="1">
      <c r="A13" s="103">
        <v>36</v>
      </c>
      <c r="B13" s="103" t="s">
        <v>1401</v>
      </c>
      <c r="C13" s="100">
        <v>-11658215.93</v>
      </c>
      <c r="D13" s="101">
        <v>-4.6064229719040801E-4</v>
      </c>
    </row>
    <row r="14" spans="1:4" ht="16" customHeight="1" thickBot="1">
      <c r="A14" s="145">
        <v>37</v>
      </c>
      <c r="B14" s="145" t="s">
        <v>581</v>
      </c>
      <c r="C14" s="100">
        <v>29937158.420000002</v>
      </c>
      <c r="D14" s="101">
        <v>1.1828843717378262E-3</v>
      </c>
    </row>
    <row r="15" spans="1:4" ht="21.75" customHeight="1" thickBot="1">
      <c r="A15" s="145">
        <v>3</v>
      </c>
      <c r="B15" s="145" t="s">
        <v>582</v>
      </c>
      <c r="C15" s="100">
        <v>23692128369.150002</v>
      </c>
      <c r="D15" s="101">
        <v>0.93612920731819826</v>
      </c>
    </row>
    <row r="16" spans="1:4" ht="16" customHeight="1" thickBot="1">
      <c r="A16" s="103">
        <v>400</v>
      </c>
      <c r="B16" s="103" t="s">
        <v>1402</v>
      </c>
      <c r="C16" s="100">
        <v>1292624743.8699999</v>
      </c>
      <c r="D16" s="101">
        <v>5.1074507025487867E-2</v>
      </c>
    </row>
    <row r="17" spans="1:4" ht="16" customHeight="1" thickBot="1">
      <c r="A17" s="103">
        <v>410</v>
      </c>
      <c r="B17" s="103" t="s">
        <v>1403</v>
      </c>
      <c r="C17" s="100">
        <v>115809949.77</v>
      </c>
      <c r="D17" s="101">
        <v>4.5759112388955867E-3</v>
      </c>
    </row>
    <row r="18" spans="1:4" ht="16" customHeight="1" thickBot="1">
      <c r="A18" s="103">
        <v>420</v>
      </c>
      <c r="B18" s="103" t="s">
        <v>1404</v>
      </c>
      <c r="C18" s="100">
        <v>181841117.63</v>
      </c>
      <c r="D18" s="101">
        <v>7.1849509952209645E-3</v>
      </c>
    </row>
    <row r="19" spans="1:4" ht="16" customHeight="1" thickBot="1">
      <c r="A19" s="103">
        <v>430</v>
      </c>
      <c r="B19" s="103" t="s">
        <v>1405</v>
      </c>
      <c r="C19" s="100">
        <v>38538089.590000004</v>
      </c>
      <c r="D19" s="101">
        <v>1.522726481020613E-3</v>
      </c>
    </row>
    <row r="20" spans="1:4" ht="16" customHeight="1" thickBot="1">
      <c r="A20" s="145">
        <v>450</v>
      </c>
      <c r="B20" s="145" t="s">
        <v>1406</v>
      </c>
      <c r="C20" s="100">
        <v>76812077.269999996</v>
      </c>
      <c r="D20" s="101">
        <v>3.0350177023715434E-3</v>
      </c>
    </row>
    <row r="21" spans="1:4" ht="16" customHeight="1" thickBot="1">
      <c r="A21" s="103">
        <v>453</v>
      </c>
      <c r="B21" s="103" t="s">
        <v>1407</v>
      </c>
      <c r="C21" s="100">
        <v>46872597.579999998</v>
      </c>
      <c r="D21" s="101">
        <v>1.8520416120421574E-3</v>
      </c>
    </row>
    <row r="22" spans="1:4" ht="16" customHeight="1" thickBot="1">
      <c r="A22" s="145">
        <v>460</v>
      </c>
      <c r="B22" s="145" t="s">
        <v>1408</v>
      </c>
      <c r="C22" s="100">
        <v>427772961.77999997</v>
      </c>
      <c r="D22" s="101">
        <v>1.6902270550952458E-2</v>
      </c>
    </row>
    <row r="23" spans="1:4" ht="16" customHeight="1" thickBot="1">
      <c r="A23" s="103">
        <v>470</v>
      </c>
      <c r="B23" s="103" t="s">
        <v>1409</v>
      </c>
      <c r="C23" s="100">
        <v>-680528538.09000003</v>
      </c>
      <c r="D23" s="101">
        <v>-2.688921109127267E-2</v>
      </c>
    </row>
    <row r="24" spans="1:4" ht="21.75" customHeight="1" thickBot="1">
      <c r="A24" s="145" t="s">
        <v>1410</v>
      </c>
      <c r="B24" s="145" t="s">
        <v>1411</v>
      </c>
      <c r="C24" s="100">
        <v>1499742999.4100001</v>
      </c>
      <c r="D24" s="101">
        <v>5.925821451511365E-2</v>
      </c>
    </row>
    <row r="25" spans="1:4" ht="16" customHeight="1" thickBot="1">
      <c r="A25" s="103">
        <v>48</v>
      </c>
      <c r="B25" s="103" t="s">
        <v>585</v>
      </c>
      <c r="C25" s="100">
        <v>97767567.459999993</v>
      </c>
      <c r="D25" s="101">
        <v>3.8630161884034156E-3</v>
      </c>
    </row>
    <row r="26" spans="1:4" ht="16" customHeight="1" thickBot="1">
      <c r="A26" s="103">
        <v>49</v>
      </c>
      <c r="B26" s="103" t="s">
        <v>586</v>
      </c>
      <c r="C26" s="100">
        <v>18970371.260000002</v>
      </c>
      <c r="D26" s="101">
        <v>7.4956197828472508E-4</v>
      </c>
    </row>
    <row r="27" spans="1:4" ht="21.75" customHeight="1" thickBot="1">
      <c r="A27" s="145">
        <v>4</v>
      </c>
      <c r="B27" s="145" t="s">
        <v>587</v>
      </c>
      <c r="C27" s="100">
        <v>1616480938.1300001</v>
      </c>
      <c r="D27" s="101">
        <v>6.3870792681801791E-2</v>
      </c>
    </row>
    <row r="28" spans="1:4" s="110" customFormat="1" ht="21.75" customHeight="1" thickBot="1">
      <c r="A28" s="158" t="s">
        <v>1412</v>
      </c>
      <c r="B28" s="158" t="s">
        <v>589</v>
      </c>
      <c r="C28" s="420">
        <v>25308609307.279999</v>
      </c>
      <c r="D28" s="787">
        <v>1</v>
      </c>
    </row>
    <row r="29" spans="1:4" ht="21.75" customHeight="1" thickBot="1">
      <c r="A29" s="145" t="s">
        <v>1413</v>
      </c>
      <c r="B29" s="145" t="s">
        <v>1414</v>
      </c>
      <c r="C29" s="142">
        <v>647531718.50999999</v>
      </c>
      <c r="D29" s="865" t="s">
        <v>1415</v>
      </c>
    </row>
    <row r="30" spans="1:4" ht="35.25" customHeight="1" thickBot="1">
      <c r="A30" s="771"/>
      <c r="B30" s="771" t="s">
        <v>1416</v>
      </c>
      <c r="C30" s="142">
        <v>25956141025.790001</v>
      </c>
      <c r="D30" s="866" t="s">
        <v>1415</v>
      </c>
    </row>
    <row r="31" spans="1:4" ht="20" customHeight="1">
      <c r="A31" s="112" t="s">
        <v>720</v>
      </c>
      <c r="B31" s="114"/>
      <c r="C31" s="432"/>
      <c r="D31" s="867"/>
    </row>
    <row r="32" spans="1:4" ht="15.75" customHeight="1">
      <c r="A32" s="115"/>
      <c r="B32" s="117"/>
      <c r="C32" s="529"/>
      <c r="D32" s="868"/>
    </row>
    <row r="33" spans="1:4" ht="15.75" customHeight="1">
      <c r="A33" s="115" t="s">
        <v>1417</v>
      </c>
      <c r="B33" s="117"/>
      <c r="C33" s="529"/>
      <c r="D33" s="868"/>
    </row>
    <row r="34" spans="1:4" ht="15.75" customHeight="1">
      <c r="A34" s="115" t="s">
        <v>1418</v>
      </c>
      <c r="B34" s="117"/>
      <c r="C34" s="529"/>
      <c r="D34" s="868"/>
    </row>
    <row r="35" spans="1:4">
      <c r="A35" s="115" t="s">
        <v>1419</v>
      </c>
    </row>
    <row r="36" spans="1:4">
      <c r="A36" s="3" t="s">
        <v>1420</v>
      </c>
    </row>
    <row r="38" spans="1:4">
      <c r="A38" s="3" t="s">
        <v>1421</v>
      </c>
    </row>
    <row r="41" spans="1:4">
      <c r="A41" s="173" t="s">
        <v>719</v>
      </c>
    </row>
  </sheetData>
  <pageMargins left="0.65" right="0.74" top="0.83" bottom="0.49" header="0.53" footer="0.4921259845"/>
  <pageSetup paperSize="9" scale="84" orientation="portrait" horizontalDpi="1200" verticalDpi="12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3B00-7D8D-E949-A86C-9CE4EC2923D3}">
  <dimension ref="A1:K32"/>
  <sheetViews>
    <sheetView zoomScaleNormal="100" workbookViewId="0">
      <selection activeCell="A26" sqref="A26"/>
    </sheetView>
  </sheetViews>
  <sheetFormatPr baseColWidth="10" defaultColWidth="11.3984375" defaultRowHeight="13"/>
  <cols>
    <col min="1" max="1" width="13.796875" style="3" customWidth="1"/>
    <col min="2" max="6" width="15" style="3" customWidth="1"/>
    <col min="7" max="7" width="15" style="797" customWidth="1"/>
    <col min="8" max="16384" width="11.3984375" style="3"/>
  </cols>
  <sheetData>
    <row r="1" spans="1:11" s="2" customFormat="1" ht="14" customHeight="1">
      <c r="G1" s="782"/>
    </row>
    <row r="2" spans="1:11" s="2" customFormat="1" ht="24.5" customHeight="1">
      <c r="A2" s="246" t="s">
        <v>1378</v>
      </c>
      <c r="G2" s="207"/>
    </row>
    <row r="3" spans="1:11" ht="24" customHeight="1">
      <c r="A3" s="92" t="s">
        <v>1379</v>
      </c>
      <c r="B3" s="182" t="s">
        <v>1380</v>
      </c>
      <c r="C3" s="183"/>
      <c r="D3" s="182" t="s">
        <v>1381</v>
      </c>
      <c r="E3" s="183"/>
      <c r="F3" s="182" t="s">
        <v>1382</v>
      </c>
      <c r="G3" s="783" t="s">
        <v>279</v>
      </c>
    </row>
    <row r="4" spans="1:11" ht="15" customHeight="1">
      <c r="A4" s="184"/>
      <c r="B4" s="185" t="s">
        <v>1383</v>
      </c>
      <c r="C4" s="186" t="s">
        <v>1384</v>
      </c>
      <c r="D4" s="185" t="s">
        <v>1385</v>
      </c>
      <c r="E4" s="186" t="s">
        <v>1386</v>
      </c>
      <c r="F4" s="185" t="s">
        <v>1387</v>
      </c>
      <c r="G4" s="784" t="s">
        <v>282</v>
      </c>
    </row>
    <row r="5" spans="1:11" ht="15" customHeight="1">
      <c r="A5" s="184"/>
      <c r="B5" s="185" t="s">
        <v>1388</v>
      </c>
      <c r="C5" s="186" t="s">
        <v>1388</v>
      </c>
      <c r="D5" s="185" t="s">
        <v>1389</v>
      </c>
      <c r="E5" s="186" t="s">
        <v>898</v>
      </c>
      <c r="F5" s="185"/>
      <c r="G5" s="784" t="s">
        <v>283</v>
      </c>
    </row>
    <row r="6" spans="1:11" ht="24" customHeight="1">
      <c r="A6" s="188"/>
      <c r="B6" s="189"/>
      <c r="C6" s="190"/>
      <c r="D6" s="189"/>
      <c r="E6" s="190"/>
      <c r="F6" s="189"/>
      <c r="G6" s="474"/>
    </row>
    <row r="7" spans="1:11" ht="1.25" customHeight="1" thickBot="1">
      <c r="A7" s="192">
        <v>1996</v>
      </c>
      <c r="B7" s="311">
        <v>4170.9064983500002</v>
      </c>
      <c r="C7" s="312">
        <v>8662.5285187900008</v>
      </c>
      <c r="D7" s="311">
        <v>8044.1419523000004</v>
      </c>
      <c r="E7" s="312">
        <v>4789.2930648399997</v>
      </c>
      <c r="F7" s="311">
        <v>12833.435017170003</v>
      </c>
      <c r="G7" s="101">
        <v>-6.5875098254165963E-3</v>
      </c>
      <c r="I7" s="9"/>
      <c r="J7" s="9"/>
      <c r="K7" s="9"/>
    </row>
    <row r="8" spans="1:11" ht="19.5" hidden="1" customHeight="1" thickBot="1">
      <c r="A8" s="194">
        <v>1997</v>
      </c>
      <c r="B8" s="313">
        <v>4394.7098477299996</v>
      </c>
      <c r="C8" s="314">
        <v>9362.3509974099998</v>
      </c>
      <c r="D8" s="313">
        <v>9077.9116548700003</v>
      </c>
      <c r="E8" s="314">
        <v>4679.1491902700009</v>
      </c>
      <c r="F8" s="313">
        <v>13757.060845139998</v>
      </c>
      <c r="G8" s="197">
        <v>7.1970273487516487E-2</v>
      </c>
    </row>
    <row r="9" spans="1:11" ht="0.75" hidden="1" customHeight="1" thickBot="1">
      <c r="A9" s="194">
        <v>1998</v>
      </c>
      <c r="B9" s="313">
        <v>4492.0042062100001</v>
      </c>
      <c r="C9" s="314">
        <v>10278.585833719999</v>
      </c>
      <c r="D9" s="313">
        <v>9968.5479871799998</v>
      </c>
      <c r="E9" s="314">
        <v>4802.0420530199999</v>
      </c>
      <c r="F9" s="313">
        <v>14770.59003996</v>
      </c>
      <c r="G9" s="197">
        <v>7.3673381707696217E-2</v>
      </c>
    </row>
    <row r="10" spans="1:11" ht="20" hidden="1" customHeight="1" thickBot="1">
      <c r="A10" s="194">
        <v>1999</v>
      </c>
      <c r="B10" s="313">
        <v>4039.0720529599998</v>
      </c>
      <c r="C10" s="314">
        <v>10698.624229800002</v>
      </c>
      <c r="D10" s="313">
        <v>9829.3330688500009</v>
      </c>
      <c r="E10" s="314">
        <v>4908.3632139400006</v>
      </c>
      <c r="F10" s="313">
        <v>14737.696282749999</v>
      </c>
      <c r="G10" s="197">
        <v>-2.2269765203022374E-3</v>
      </c>
    </row>
    <row r="11" spans="1:11" ht="20" hidden="1" customHeight="1" thickBot="1">
      <c r="A11" s="194">
        <v>2000</v>
      </c>
      <c r="B11" s="313">
        <v>4332.0125006399994</v>
      </c>
      <c r="C11" s="314">
        <v>10499.430512299999</v>
      </c>
      <c r="D11" s="313">
        <v>10459.0563088</v>
      </c>
      <c r="E11" s="314">
        <v>4372.38670413</v>
      </c>
      <c r="F11" s="313">
        <v>14831.443012869999</v>
      </c>
      <c r="G11" s="197">
        <v>6.361016560622712E-3</v>
      </c>
    </row>
    <row r="12" spans="1:11" ht="20" customHeight="1" thickBot="1">
      <c r="A12" s="194">
        <v>2001</v>
      </c>
      <c r="B12" s="313">
        <v>4480.2212955000005</v>
      </c>
      <c r="C12" s="314">
        <v>9101.4192862999989</v>
      </c>
      <c r="D12" s="313">
        <v>10583.525388</v>
      </c>
      <c r="E12" s="314">
        <v>2998.1151934999998</v>
      </c>
      <c r="F12" s="313">
        <v>13581.640582</v>
      </c>
      <c r="G12" s="197">
        <v>-8.4267082426536799E-2</v>
      </c>
    </row>
    <row r="13" spans="1:11" ht="20" customHeight="1" thickBot="1">
      <c r="A13" s="194">
        <v>2002</v>
      </c>
      <c r="B13" s="313">
        <v>5055.0187533999997</v>
      </c>
      <c r="C13" s="314">
        <v>8256.3197148999989</v>
      </c>
      <c r="D13" s="313">
        <v>10485.582893000001</v>
      </c>
      <c r="E13" s="314">
        <v>2730.3161460000001</v>
      </c>
      <c r="F13" s="313">
        <v>13311.318467999999</v>
      </c>
      <c r="G13" s="197">
        <v>-1.9903494895768592E-2</v>
      </c>
    </row>
    <row r="14" spans="1:11" ht="20" customHeight="1" thickBot="1">
      <c r="A14" s="194">
        <v>2003</v>
      </c>
      <c r="B14" s="313">
        <v>6067.1959962000001</v>
      </c>
      <c r="C14" s="314">
        <v>8398.4942018000002</v>
      </c>
      <c r="D14" s="313">
        <v>11252.005746999999</v>
      </c>
      <c r="E14" s="314">
        <v>3213.6844504999999</v>
      </c>
      <c r="F14" s="313">
        <v>14465.690198</v>
      </c>
      <c r="G14" s="197">
        <v>8.6721066194537677E-2</v>
      </c>
    </row>
    <row r="15" spans="1:11" ht="20" customHeight="1" thickBot="1">
      <c r="A15" s="194">
        <v>2004</v>
      </c>
      <c r="B15" s="313">
        <v>6542.9172908</v>
      </c>
      <c r="C15" s="314">
        <v>8401.4767168999988</v>
      </c>
      <c r="D15" s="313">
        <v>11192.037166</v>
      </c>
      <c r="E15" s="314">
        <v>3752.3568421999998</v>
      </c>
      <c r="F15" s="313">
        <v>14944.394007999999</v>
      </c>
      <c r="G15" s="197">
        <v>3.3092358777750075E-2</v>
      </c>
    </row>
    <row r="16" spans="1:11" ht="20" customHeight="1" thickBot="1">
      <c r="A16" s="194">
        <v>2005</v>
      </c>
      <c r="B16" s="313">
        <v>6906.5407365000001</v>
      </c>
      <c r="C16" s="314">
        <v>9245.4417635000009</v>
      </c>
      <c r="D16" s="313">
        <v>12133.7989425</v>
      </c>
      <c r="E16" s="314">
        <v>4018.1835572</v>
      </c>
      <c r="F16" s="313">
        <v>16151.982499600001</v>
      </c>
      <c r="G16" s="197">
        <v>8.0805450589268357E-2</v>
      </c>
    </row>
    <row r="17" spans="1:7" ht="20" customHeight="1" thickBot="1">
      <c r="A17" s="194">
        <v>2006</v>
      </c>
      <c r="B17" s="313">
        <v>7617.7471638000006</v>
      </c>
      <c r="C17" s="314">
        <v>10441.159153100001</v>
      </c>
      <c r="D17" s="313">
        <v>13475.7956639</v>
      </c>
      <c r="E17" s="314">
        <v>4583.1106529999997</v>
      </c>
      <c r="F17" s="313">
        <v>18058.9063169</v>
      </c>
      <c r="G17" s="197">
        <v>0.11806128550146866</v>
      </c>
    </row>
    <row r="18" spans="1:7" ht="20" customHeight="1" thickBot="1">
      <c r="A18" s="194">
        <v>2007</v>
      </c>
      <c r="B18" s="313">
        <v>7365.8641676499992</v>
      </c>
      <c r="C18" s="314">
        <v>11399.08539328</v>
      </c>
      <c r="D18" s="313">
        <v>13954.63675686</v>
      </c>
      <c r="E18" s="314">
        <v>4810.3128043300003</v>
      </c>
      <c r="F18" s="313">
        <v>18764.949561189998</v>
      </c>
      <c r="G18" s="197">
        <v>3.9096677943849967E-2</v>
      </c>
    </row>
    <row r="19" spans="1:7" ht="20" customHeight="1" thickBot="1">
      <c r="A19" s="194">
        <v>2008</v>
      </c>
      <c r="B19" s="313">
        <v>7264.3011704499995</v>
      </c>
      <c r="C19" s="314">
        <v>10486.349606420001</v>
      </c>
      <c r="D19" s="313">
        <v>13652.812469889999</v>
      </c>
      <c r="E19" s="314">
        <v>4097.8383069800002</v>
      </c>
      <c r="F19" s="313">
        <v>17750.650776869999</v>
      </c>
      <c r="G19" s="197">
        <v>-5.4052838299005646E-2</v>
      </c>
    </row>
    <row r="20" spans="1:7" ht="20" customHeight="1" thickBot="1">
      <c r="A20" s="194">
        <v>2009</v>
      </c>
      <c r="B20" s="313">
        <v>6894.4859353700003</v>
      </c>
      <c r="C20" s="314">
        <v>10208.640743260001</v>
      </c>
      <c r="D20" s="313">
        <v>13357.56575199</v>
      </c>
      <c r="E20" s="314">
        <v>3745.5609266199999</v>
      </c>
      <c r="F20" s="313">
        <v>17103.126678610002</v>
      </c>
      <c r="G20" s="197">
        <v>-3.6478893444501392E-2</v>
      </c>
    </row>
    <row r="21" spans="1:7" ht="20" customHeight="1" thickBot="1">
      <c r="A21" s="194">
        <v>2010</v>
      </c>
      <c r="B21" s="313">
        <v>8001.951770560001</v>
      </c>
      <c r="C21" s="314">
        <v>10157.524135550002</v>
      </c>
      <c r="D21" s="313">
        <v>14095.938375880005</v>
      </c>
      <c r="E21" s="314">
        <v>4063.5375305399994</v>
      </c>
      <c r="F21" s="313">
        <v>18159.475906430001</v>
      </c>
      <c r="G21" s="197">
        <v>6.1763515389330559E-2</v>
      </c>
    </row>
    <row r="22" spans="1:7" s="382" customFormat="1" ht="27.75" customHeight="1" thickBot="1">
      <c r="A22" s="499">
        <v>2011</v>
      </c>
      <c r="B22" s="858">
        <v>8288.6884721999995</v>
      </c>
      <c r="C22" s="859">
        <v>10229.26596449</v>
      </c>
      <c r="D22" s="858">
        <v>14059.089480889999</v>
      </c>
      <c r="E22" s="859">
        <v>4458.8649558100005</v>
      </c>
      <c r="F22" s="858">
        <v>18517.954436700002</v>
      </c>
      <c r="G22" s="109">
        <v>1.974057688212616E-2</v>
      </c>
    </row>
    <row r="23" spans="1:7" ht="20" customHeight="1">
      <c r="A23" s="112" t="s">
        <v>720</v>
      </c>
      <c r="B23" s="112"/>
      <c r="C23" s="112"/>
      <c r="D23" s="112"/>
      <c r="E23" s="112"/>
      <c r="F23" s="112"/>
      <c r="G23" s="795"/>
    </row>
    <row r="24" spans="1:7" ht="10.5" customHeight="1">
      <c r="A24" s="115"/>
      <c r="B24" s="115"/>
      <c r="C24" s="115"/>
      <c r="D24" s="115"/>
      <c r="E24" s="115"/>
      <c r="F24" s="115"/>
      <c r="G24" s="796"/>
    </row>
    <row r="25" spans="1:7">
      <c r="A25" s="115" t="s">
        <v>1390</v>
      </c>
    </row>
    <row r="26" spans="1:7">
      <c r="A26" s="3" t="s">
        <v>1391</v>
      </c>
    </row>
    <row r="27" spans="1:7">
      <c r="A27" s="3" t="s">
        <v>1392</v>
      </c>
    </row>
    <row r="29" spans="1:7">
      <c r="A29" s="3" t="s">
        <v>1393</v>
      </c>
    </row>
    <row r="32" spans="1:7">
      <c r="A32" s="3" t="s">
        <v>719</v>
      </c>
    </row>
  </sheetData>
  <pageMargins left="0.65" right="0.61" top="0.99" bottom="0.49" header="0.56000000000000005" footer="0.4921259845"/>
  <pageSetup paperSize="9" scale="80" orientation="portrait" horizontalDpi="4294967292" verticalDpi="4294967292"/>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003A-1CA2-B643-9351-54FBFC61F05F}">
  <sheetPr>
    <pageSetUpPr fitToPage="1"/>
  </sheetPr>
  <dimension ref="A1:I30"/>
  <sheetViews>
    <sheetView zoomScaleNormal="100" workbookViewId="0">
      <selection activeCell="A21" sqref="A21:IV21"/>
    </sheetView>
  </sheetViews>
  <sheetFormatPr baseColWidth="10" defaultColWidth="11.3984375" defaultRowHeight="13"/>
  <cols>
    <col min="1" max="1" width="14.19921875" style="3" customWidth="1"/>
    <col min="2" max="2" width="14" style="3" customWidth="1"/>
    <col min="3" max="5" width="14" style="797" customWidth="1"/>
    <col min="6" max="8" width="14" style="3" customWidth="1"/>
    <col min="9" max="16384" width="11.3984375" style="3"/>
  </cols>
  <sheetData>
    <row r="1" spans="1:9" s="2" customFormat="1" ht="14" customHeight="1">
      <c r="C1" s="782"/>
      <c r="D1" s="782"/>
      <c r="E1" s="782"/>
    </row>
    <row r="2" spans="1:9" s="2" customFormat="1" ht="26" customHeight="1">
      <c r="A2" s="1843" t="s">
        <v>1369</v>
      </c>
      <c r="B2" s="1847"/>
      <c r="C2" s="1847"/>
      <c r="D2" s="1847"/>
      <c r="E2" s="1847"/>
      <c r="F2" s="1847"/>
      <c r="G2" s="1847"/>
      <c r="H2" s="207"/>
    </row>
    <row r="3" spans="1:9" ht="24" customHeight="1">
      <c r="A3" s="92" t="s">
        <v>398</v>
      </c>
      <c r="B3" s="182" t="s">
        <v>1336</v>
      </c>
      <c r="C3" s="783" t="s">
        <v>279</v>
      </c>
      <c r="D3" s="210" t="s">
        <v>1370</v>
      </c>
      <c r="E3" s="783" t="s">
        <v>1371</v>
      </c>
      <c r="F3" s="304" t="s">
        <v>279</v>
      </c>
      <c r="G3" s="783" t="s">
        <v>1372</v>
      </c>
      <c r="H3" s="304" t="s">
        <v>279</v>
      </c>
    </row>
    <row r="4" spans="1:9" ht="15" customHeight="1">
      <c r="A4" s="184"/>
      <c r="B4" s="185" t="s">
        <v>1045</v>
      </c>
      <c r="C4" s="784" t="s">
        <v>282</v>
      </c>
      <c r="D4" s="212" t="s">
        <v>1373</v>
      </c>
      <c r="E4" s="784" t="s">
        <v>1374</v>
      </c>
      <c r="F4" s="211" t="s">
        <v>282</v>
      </c>
      <c r="G4" s="784" t="s">
        <v>1375</v>
      </c>
      <c r="H4" s="211" t="s">
        <v>282</v>
      </c>
    </row>
    <row r="5" spans="1:9" ht="15" customHeight="1">
      <c r="A5" s="184"/>
      <c r="B5" s="185"/>
      <c r="C5" s="784" t="s">
        <v>283</v>
      </c>
      <c r="D5" s="212"/>
      <c r="E5" s="95" t="s">
        <v>1045</v>
      </c>
      <c r="F5" s="212" t="s">
        <v>283</v>
      </c>
      <c r="G5" s="95" t="s">
        <v>1045</v>
      </c>
      <c r="H5" s="212" t="s">
        <v>283</v>
      </c>
    </row>
    <row r="6" spans="1:9" ht="24" customHeight="1">
      <c r="A6" s="188"/>
      <c r="B6" s="189"/>
      <c r="C6" s="474"/>
      <c r="D6" s="214"/>
      <c r="E6" s="474"/>
      <c r="F6" s="213"/>
      <c r="G6" s="474"/>
      <c r="H6" s="214"/>
    </row>
    <row r="7" spans="1:9" ht="1.5" customHeight="1" thickBot="1">
      <c r="A7" s="192">
        <v>1996</v>
      </c>
      <c r="B7" s="311">
        <v>4007.8366596000001</v>
      </c>
      <c r="C7" s="101">
        <v>-1.767505493939879E-2</v>
      </c>
      <c r="D7" s="523">
        <v>0.24196501185861982</v>
      </c>
      <c r="E7" s="312">
        <v>7634.4120938999995</v>
      </c>
      <c r="F7" s="523" t="s">
        <v>30</v>
      </c>
      <c r="G7" s="312">
        <v>878.70776672</v>
      </c>
      <c r="H7" s="523" t="s">
        <v>30</v>
      </c>
      <c r="I7" s="9"/>
    </row>
    <row r="8" spans="1:9" ht="0.75" hidden="1" customHeight="1" thickBot="1">
      <c r="A8" s="194">
        <v>1997</v>
      </c>
      <c r="B8" s="313">
        <v>4017.3956079</v>
      </c>
      <c r="C8" s="197">
        <v>2.385064340659509E-3</v>
      </c>
      <c r="D8" s="220">
        <v>0.22399999999999998</v>
      </c>
      <c r="E8" s="314">
        <v>8314.1764980999997</v>
      </c>
      <c r="F8" s="220">
        <v>8.9039522079655792E-2</v>
      </c>
      <c r="G8" s="314">
        <v>892.88593902000002</v>
      </c>
      <c r="H8" s="220">
        <v>1.6135253194499075E-2</v>
      </c>
    </row>
    <row r="9" spans="1:9" ht="19.5" hidden="1" customHeight="1" thickBot="1">
      <c r="A9" s="194">
        <v>1998</v>
      </c>
      <c r="B9" s="313">
        <v>4117.6667946999996</v>
      </c>
      <c r="C9" s="197">
        <v>2.4959251362455213E-2</v>
      </c>
      <c r="D9" s="220">
        <v>0.22</v>
      </c>
      <c r="E9" s="314">
        <v>9206.9689780000008</v>
      </c>
      <c r="F9" s="220">
        <v>0.1073819493853693</v>
      </c>
      <c r="G9" s="314">
        <v>910.20990798000003</v>
      </c>
      <c r="H9" s="220">
        <v>1.9402219480591416E-2</v>
      </c>
    </row>
    <row r="10" spans="1:9" ht="20" hidden="1" customHeight="1" thickBot="1">
      <c r="A10" s="194">
        <v>1999</v>
      </c>
      <c r="B10" s="313">
        <v>4531.0035571000008</v>
      </c>
      <c r="C10" s="197">
        <v>0.10038130402683909</v>
      </c>
      <c r="D10" s="220">
        <v>0.248</v>
      </c>
      <c r="E10" s="314">
        <v>9587.3624237999993</v>
      </c>
      <c r="F10" s="220">
        <v>4.1315817041302827E-2</v>
      </c>
      <c r="G10" s="314">
        <v>929.94977453999991</v>
      </c>
      <c r="H10" s="220">
        <v>2.168715851908054E-2</v>
      </c>
    </row>
    <row r="11" spans="1:9" ht="0.5" customHeight="1" thickBot="1">
      <c r="A11" s="194">
        <v>2000</v>
      </c>
      <c r="B11" s="313">
        <v>4046.3173426999997</v>
      </c>
      <c r="C11" s="197">
        <v>-0.10697105139997221</v>
      </c>
      <c r="D11" s="220">
        <v>0.22899999999999998</v>
      </c>
      <c r="E11" s="314">
        <v>9383.0818280000003</v>
      </c>
      <c r="F11" s="220">
        <v>-2.1307277932133384E-2</v>
      </c>
      <c r="G11" s="314">
        <v>935.15434852999999</v>
      </c>
      <c r="H11" s="220">
        <v>5.5966183685292048E-3</v>
      </c>
    </row>
    <row r="12" spans="1:9" ht="20" customHeight="1" thickBot="1">
      <c r="A12" s="194">
        <v>2001</v>
      </c>
      <c r="B12" s="313">
        <v>2721.4537870999998</v>
      </c>
      <c r="C12" s="197">
        <v>-0.32742453035479269</v>
      </c>
      <c r="D12" s="220">
        <v>0.16266572127677031</v>
      </c>
      <c r="E12" s="314">
        <v>7961.4574869999997</v>
      </c>
      <c r="F12" s="220">
        <v>-0.15150931933234768</v>
      </c>
      <c r="G12" s="314">
        <v>954.93160932000001</v>
      </c>
      <c r="H12" s="220">
        <v>2.1148659385574753E-2</v>
      </c>
    </row>
    <row r="13" spans="1:9" ht="20" customHeight="1" thickBot="1">
      <c r="A13" s="194">
        <v>2002</v>
      </c>
      <c r="B13" s="313">
        <v>2517.2839804</v>
      </c>
      <c r="C13" s="197">
        <v>-7.5022330957000949E-2</v>
      </c>
      <c r="D13" s="220">
        <v>0.13972376589664312</v>
      </c>
      <c r="E13" s="314">
        <v>7106.5237452000001</v>
      </c>
      <c r="F13" s="220">
        <v>-0.10738407423464769</v>
      </c>
      <c r="G13" s="314">
        <v>984.65094364999993</v>
      </c>
      <c r="H13" s="220">
        <v>3.1121950556399325E-2</v>
      </c>
    </row>
    <row r="14" spans="1:9" ht="20" customHeight="1" thickBot="1">
      <c r="A14" s="194">
        <v>2003</v>
      </c>
      <c r="B14" s="313">
        <v>3007.4782717600006</v>
      </c>
      <c r="C14" s="197">
        <v>0.19473142290529655</v>
      </c>
      <c r="D14" s="220">
        <v>0.15444074863234167</v>
      </c>
      <c r="E14" s="314">
        <v>7378.0453514999999</v>
      </c>
      <c r="F14" s="220">
        <v>3.820737339875846E-2</v>
      </c>
      <c r="G14" s="314">
        <v>885.89521162999995</v>
      </c>
      <c r="H14" s="220">
        <v>-0.1002951682084644</v>
      </c>
    </row>
    <row r="15" spans="1:9" ht="20" customHeight="1" thickBot="1">
      <c r="A15" s="194">
        <v>2004</v>
      </c>
      <c r="B15" s="313">
        <v>3581.7878758600004</v>
      </c>
      <c r="C15" s="197">
        <v>0.19096051648742551</v>
      </c>
      <c r="D15" s="220">
        <v>0.17609858201884715</v>
      </c>
      <c r="E15" s="314">
        <v>7386.4198756999995</v>
      </c>
      <c r="F15" s="220">
        <v>1.1350600058723792E-3</v>
      </c>
      <c r="G15" s="314">
        <v>876.33966492999991</v>
      </c>
      <c r="H15" s="220">
        <v>-1.0786317133849699E-2</v>
      </c>
    </row>
    <row r="16" spans="1:9" ht="20" customHeight="1" thickBot="1">
      <c r="A16" s="194">
        <v>2005</v>
      </c>
      <c r="B16" s="313">
        <v>3869.5470762</v>
      </c>
      <c r="C16" s="197">
        <v>8.0339542796321384E-2</v>
      </c>
      <c r="D16" s="220">
        <v>0.18526823405593668</v>
      </c>
      <c r="E16" s="314">
        <v>8227.3219200000003</v>
      </c>
      <c r="F16" s="220">
        <v>0.11384433303966635</v>
      </c>
      <c r="G16" s="314">
        <v>864.96945500000004</v>
      </c>
      <c r="H16" s="220">
        <v>-1.2974660836455598E-2</v>
      </c>
    </row>
    <row r="17" spans="1:8" ht="20" customHeight="1" thickBot="1">
      <c r="A17" s="194">
        <v>2006</v>
      </c>
      <c r="B17" s="313">
        <v>4510.5379199999998</v>
      </c>
      <c r="C17" s="197">
        <v>0.16565009578058176</v>
      </c>
      <c r="D17" s="220">
        <v>0.20772626624087148</v>
      </c>
      <c r="E17" s="314">
        <v>9466.6831490000004</v>
      </c>
      <c r="F17" s="220">
        <v>0.15063969066133254</v>
      </c>
      <c r="G17" s="314">
        <v>858.28986799999996</v>
      </c>
      <c r="H17" s="220">
        <v>-7.7223385882453366E-3</v>
      </c>
    </row>
    <row r="18" spans="1:8" ht="20" customHeight="1" thickBot="1">
      <c r="A18" s="194">
        <v>2007</v>
      </c>
      <c r="B18" s="313">
        <v>4787.9201766100005</v>
      </c>
      <c r="C18" s="197">
        <v>6.1496491445082624E-2</v>
      </c>
      <c r="D18" s="220">
        <v>0.21638748853648229</v>
      </c>
      <c r="E18" s="314">
        <v>10372.83324</v>
      </c>
      <c r="F18" s="220">
        <v>9.5719913378078836E-2</v>
      </c>
      <c r="G18" s="314">
        <v>895.33742199999995</v>
      </c>
      <c r="H18" s="220">
        <v>4.3164384645864251E-2</v>
      </c>
    </row>
    <row r="19" spans="1:8" ht="20" customHeight="1" thickBot="1">
      <c r="A19" s="194">
        <v>2008</v>
      </c>
      <c r="B19" s="313">
        <v>4080.91032378</v>
      </c>
      <c r="C19" s="197">
        <v>-0.1476653383412474</v>
      </c>
      <c r="D19" s="220">
        <v>0.18391331751178366</v>
      </c>
      <c r="E19" s="314">
        <v>9350.3630895499991</v>
      </c>
      <c r="F19" s="220">
        <v>-9.8571925990974529E-2</v>
      </c>
      <c r="G19" s="314">
        <v>999.65196694000008</v>
      </c>
      <c r="H19" s="220">
        <v>0.11650863951043489</v>
      </c>
    </row>
    <row r="20" spans="1:8" ht="20" customHeight="1" thickBot="1">
      <c r="A20" s="194">
        <v>2009</v>
      </c>
      <c r="B20" s="313">
        <v>3730.97067328</v>
      </c>
      <c r="C20" s="197">
        <v>-8.5750389676748306E-2</v>
      </c>
      <c r="D20" s="220">
        <v>0.16506146744457434</v>
      </c>
      <c r="E20" s="314">
        <v>9018.8227868199992</v>
      </c>
      <c r="F20" s="220">
        <v>-3.5457478982878321E-2</v>
      </c>
      <c r="G20" s="314">
        <v>1016.50244943</v>
      </c>
      <c r="H20" s="220">
        <v>1.6856349056742603E-2</v>
      </c>
    </row>
    <row r="21" spans="1:8" ht="20" customHeight="1" thickBot="1">
      <c r="A21" s="194">
        <v>2010</v>
      </c>
      <c r="B21" s="313">
        <v>4055.8357633599976</v>
      </c>
      <c r="C21" s="197">
        <v>8.7072539166972218E-2</v>
      </c>
      <c r="D21" s="220">
        <v>0.16490555759813022</v>
      </c>
      <c r="E21" s="314">
        <v>9041.5524071900018</v>
      </c>
      <c r="F21" s="220">
        <v>2.5202424869927853E-3</v>
      </c>
      <c r="G21" s="314">
        <v>966.36126515000001</v>
      </c>
      <c r="H21" s="220">
        <v>-4.932716523026226E-2</v>
      </c>
    </row>
    <row r="22" spans="1:8" s="382" customFormat="1" ht="28.5" customHeight="1" thickBot="1">
      <c r="A22" s="499">
        <v>2011</v>
      </c>
      <c r="B22" s="858">
        <v>4451.2256192599998</v>
      </c>
      <c r="C22" s="109">
        <v>9.7486653545469926E-2</v>
      </c>
      <c r="D22" s="526">
        <v>0.17129265866854412</v>
      </c>
      <c r="E22" s="859">
        <v>9122.3261908099994</v>
      </c>
      <c r="F22" s="226">
        <v>8.9336189165662994E-3</v>
      </c>
      <c r="G22" s="860">
        <v>973.59030969000003</v>
      </c>
      <c r="H22" s="226">
        <v>7.4806853303230891E-3</v>
      </c>
    </row>
    <row r="23" spans="1:8" ht="20" customHeight="1">
      <c r="A23" s="112" t="s">
        <v>720</v>
      </c>
      <c r="B23" s="112"/>
      <c r="C23" s="795"/>
      <c r="D23" s="795"/>
      <c r="E23" s="795"/>
    </row>
    <row r="24" spans="1:8" ht="11.25" customHeight="1">
      <c r="A24" s="115"/>
      <c r="B24" s="115"/>
      <c r="C24" s="796"/>
      <c r="D24" s="796"/>
      <c r="E24" s="796"/>
    </row>
    <row r="25" spans="1:8">
      <c r="A25" s="3" t="s">
        <v>1376</v>
      </c>
    </row>
    <row r="27" spans="1:8">
      <c r="A27" s="3" t="s">
        <v>1377</v>
      </c>
    </row>
    <row r="30" spans="1:8">
      <c r="A30" s="3" t="s">
        <v>719</v>
      </c>
    </row>
  </sheetData>
  <mergeCells count="1">
    <mergeCell ref="A2:G2"/>
  </mergeCells>
  <pageMargins left="0.69" right="0.56000000000000005" top="1.08" bottom="0.49" header="0.53" footer="0.4921259845"/>
  <pageSetup paperSize="9" scale="80" orientation="portrait" horizontalDpi="4294967292" verticalDpi="4294967292"/>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09A58-5265-744E-86F6-0DBF4A94F1A9}">
  <sheetPr>
    <pageSetUpPr fitToPage="1"/>
  </sheetPr>
  <dimension ref="A1:D33"/>
  <sheetViews>
    <sheetView zoomScaleNormal="100" workbookViewId="0">
      <selection activeCell="D4" sqref="D4"/>
    </sheetView>
  </sheetViews>
  <sheetFormatPr baseColWidth="10" defaultColWidth="11.3984375" defaultRowHeight="13"/>
  <cols>
    <col min="1" max="1" width="10.59765625" style="3" customWidth="1"/>
    <col min="2" max="2" width="60.59765625" style="119" customWidth="1"/>
    <col min="3" max="3" width="17" style="8" customWidth="1"/>
    <col min="4" max="4" width="17" style="797" customWidth="1"/>
    <col min="5" max="16384" width="11.3984375" style="3"/>
  </cols>
  <sheetData>
    <row r="1" spans="1:4" s="2" customFormat="1" ht="14" customHeight="1">
      <c r="B1" s="88"/>
      <c r="C1" s="406"/>
      <c r="D1" s="782"/>
    </row>
    <row r="2" spans="1:4" s="2" customFormat="1" ht="26" customHeight="1">
      <c r="A2" s="246" t="s">
        <v>1346</v>
      </c>
      <c r="B2" s="88"/>
      <c r="C2" s="406"/>
      <c r="D2" s="207">
        <v>2011</v>
      </c>
    </row>
    <row r="3" spans="1:4" ht="39" customHeight="1">
      <c r="A3" s="419" t="s">
        <v>558</v>
      </c>
      <c r="B3" s="94"/>
      <c r="C3" s="93" t="s">
        <v>1272</v>
      </c>
      <c r="D3" s="783" t="s">
        <v>1289</v>
      </c>
    </row>
    <row r="4" spans="1:4" ht="38" customHeight="1">
      <c r="A4" s="408"/>
      <c r="B4" s="231"/>
      <c r="C4" s="98" t="s">
        <v>561</v>
      </c>
      <c r="D4" s="474" t="s">
        <v>617</v>
      </c>
    </row>
    <row r="5" spans="1:4" ht="30" customHeight="1" thickBot="1">
      <c r="A5" s="99"/>
      <c r="B5" s="854" t="s">
        <v>1347</v>
      </c>
      <c r="C5" s="420">
        <v>8288688472.1999998</v>
      </c>
      <c r="D5" s="101">
        <v>0.44760281166787264</v>
      </c>
    </row>
    <row r="6" spans="1:4" ht="21.75" customHeight="1" thickBot="1">
      <c r="A6" s="103">
        <v>10</v>
      </c>
      <c r="B6" s="103" t="s">
        <v>1348</v>
      </c>
      <c r="C6" s="100">
        <v>3297904098.3400002</v>
      </c>
      <c r="D6" s="197">
        <v>0.1780922460747498</v>
      </c>
    </row>
    <row r="7" spans="1:4" ht="21.75" customHeight="1" thickBot="1">
      <c r="A7" s="103">
        <v>11</v>
      </c>
      <c r="B7" s="103" t="s">
        <v>1349</v>
      </c>
      <c r="C7" s="100">
        <v>3331133231.8899999</v>
      </c>
      <c r="D7" s="197">
        <v>0.17988667394547414</v>
      </c>
    </row>
    <row r="8" spans="1:4" ht="18.75" customHeight="1" thickBot="1">
      <c r="A8" s="103"/>
      <c r="B8" s="852" t="s">
        <v>1350</v>
      </c>
      <c r="C8" s="236">
        <v>3603847209.9699998</v>
      </c>
      <c r="D8" s="197">
        <v>0.19461367735248469</v>
      </c>
    </row>
    <row r="9" spans="1:4" ht="18.75" customHeight="1" thickBot="1">
      <c r="A9" s="103"/>
      <c r="B9" s="852" t="s">
        <v>1351</v>
      </c>
      <c r="C9" s="236">
        <v>-272713978.07999998</v>
      </c>
      <c r="D9" s="197">
        <v>-1.4727003407010563E-2</v>
      </c>
    </row>
    <row r="10" spans="1:4" ht="21.75" customHeight="1" thickBot="1">
      <c r="A10" s="103">
        <v>12</v>
      </c>
      <c r="B10" s="103" t="s">
        <v>1352</v>
      </c>
      <c r="C10" s="100">
        <v>724260659.88999999</v>
      </c>
      <c r="D10" s="197">
        <v>3.9111266979629654E-2</v>
      </c>
    </row>
    <row r="11" spans="1:4" ht="18.75" customHeight="1" thickBot="1">
      <c r="A11" s="103"/>
      <c r="B11" s="852" t="s">
        <v>1353</v>
      </c>
      <c r="C11" s="236">
        <v>738307253.23000002</v>
      </c>
      <c r="D11" s="197">
        <v>3.9869806125409669E-2</v>
      </c>
    </row>
    <row r="12" spans="1:4" ht="18.75" customHeight="1" thickBot="1">
      <c r="A12" s="103"/>
      <c r="B12" s="852" t="s">
        <v>1354</v>
      </c>
      <c r="C12" s="236">
        <v>-14046593.34</v>
      </c>
      <c r="D12" s="197">
        <v>-7.5853914578001124E-4</v>
      </c>
    </row>
    <row r="13" spans="1:4" ht="24" customHeight="1" thickBot="1">
      <c r="A13" s="103">
        <v>13</v>
      </c>
      <c r="B13" s="103" t="s">
        <v>1355</v>
      </c>
      <c r="C13" s="100">
        <v>41757300.68</v>
      </c>
      <c r="D13" s="197">
        <v>2.2549629238349032E-3</v>
      </c>
    </row>
    <row r="14" spans="1:4" ht="28.5" customHeight="1" thickBot="1">
      <c r="A14" s="103">
        <v>14</v>
      </c>
      <c r="B14" s="839" t="s">
        <v>1356</v>
      </c>
      <c r="C14" s="100">
        <v>398751656.77999997</v>
      </c>
      <c r="D14" s="197">
        <v>2.1533245377791038E-2</v>
      </c>
    </row>
    <row r="15" spans="1:4" ht="30.75" customHeight="1" thickBot="1">
      <c r="A15" s="103">
        <v>15</v>
      </c>
      <c r="B15" s="839" t="s">
        <v>1357</v>
      </c>
      <c r="C15" s="100">
        <v>29997554.879999999</v>
      </c>
      <c r="D15" s="197">
        <v>1.6199173068794919E-3</v>
      </c>
    </row>
    <row r="16" spans="1:4" ht="21.75" customHeight="1" thickBot="1">
      <c r="A16" s="103">
        <v>16</v>
      </c>
      <c r="B16" s="103" t="s">
        <v>1358</v>
      </c>
      <c r="C16" s="100">
        <v>464883969.74000001</v>
      </c>
      <c r="D16" s="197">
        <v>2.5104499059513612E-2</v>
      </c>
    </row>
    <row r="17" spans="1:4" ht="30" customHeight="1" thickBot="1">
      <c r="A17" s="103"/>
      <c r="B17" s="847" t="s">
        <v>1359</v>
      </c>
      <c r="C17" s="420">
        <v>10229265964.49</v>
      </c>
      <c r="D17" s="197">
        <v>0.55239718833212748</v>
      </c>
    </row>
    <row r="18" spans="1:4" ht="21.75" customHeight="1" thickBot="1">
      <c r="A18" s="103">
        <v>17</v>
      </c>
      <c r="B18" s="103" t="s">
        <v>1360</v>
      </c>
      <c r="C18" s="100">
        <v>9122326190.8400002</v>
      </c>
      <c r="D18" s="197">
        <v>0.49262061973571714</v>
      </c>
    </row>
    <row r="19" spans="1:4" ht="18.75" customHeight="1" thickBot="1">
      <c r="A19" s="103"/>
      <c r="B19" s="852" t="s">
        <v>1361</v>
      </c>
      <c r="C19" s="236">
        <v>9555284668.3299999</v>
      </c>
      <c r="D19" s="197">
        <v>0.51600108969908254</v>
      </c>
    </row>
    <row r="20" spans="1:4" ht="18.75" customHeight="1" thickBot="1">
      <c r="A20" s="145"/>
      <c r="B20" s="857" t="s">
        <v>1362</v>
      </c>
      <c r="C20" s="236">
        <v>-432958477.49000001</v>
      </c>
      <c r="D20" s="197">
        <v>-2.3380469963365423E-2</v>
      </c>
    </row>
    <row r="21" spans="1:4" ht="21.75" customHeight="1" thickBot="1">
      <c r="A21" s="103">
        <v>18</v>
      </c>
      <c r="B21" s="103" t="s">
        <v>1300</v>
      </c>
      <c r="C21" s="100">
        <v>973590309.75</v>
      </c>
      <c r="D21" s="197">
        <v>5.2575478197581356E-2</v>
      </c>
    </row>
    <row r="22" spans="1:4" ht="18.75" customHeight="1" thickBot="1">
      <c r="A22" s="145"/>
      <c r="B22" s="857" t="s">
        <v>1363</v>
      </c>
      <c r="C22" s="236">
        <v>1379609701.1800001</v>
      </c>
      <c r="D22" s="197">
        <v>7.4501193201261542E-2</v>
      </c>
    </row>
    <row r="23" spans="1:4" ht="18.75" customHeight="1" thickBot="1">
      <c r="A23" s="103"/>
      <c r="B23" s="852" t="s">
        <v>1364</v>
      </c>
      <c r="C23" s="236">
        <v>-406019391.43000001</v>
      </c>
      <c r="D23" s="197">
        <v>-2.1925715003680186E-2</v>
      </c>
    </row>
    <row r="24" spans="1:4" ht="21.75" customHeight="1" thickBot="1">
      <c r="A24" s="103">
        <v>19</v>
      </c>
      <c r="B24" s="103" t="s">
        <v>1365</v>
      </c>
      <c r="C24" s="100">
        <v>133349463.90000001</v>
      </c>
      <c r="D24" s="197">
        <v>7.2010903988289337E-3</v>
      </c>
    </row>
    <row r="25" spans="1:4" ht="18.75" customHeight="1" thickBot="1">
      <c r="A25" s="103"/>
      <c r="B25" s="852" t="s">
        <v>1366</v>
      </c>
      <c r="C25" s="236">
        <v>992252840.37</v>
      </c>
      <c r="D25" s="197">
        <v>5.3583285549295298E-2</v>
      </c>
    </row>
    <row r="26" spans="1:4" ht="18.75" customHeight="1" thickBot="1">
      <c r="A26" s="103"/>
      <c r="B26" s="852" t="s">
        <v>1362</v>
      </c>
      <c r="C26" s="236">
        <v>-858903376.47000003</v>
      </c>
      <c r="D26" s="197">
        <v>-4.638219515046637E-2</v>
      </c>
    </row>
    <row r="27" spans="1:4" s="482" customFormat="1" ht="36" customHeight="1" thickBot="1">
      <c r="A27" s="107">
        <v>1</v>
      </c>
      <c r="B27" s="107" t="s">
        <v>1367</v>
      </c>
      <c r="C27" s="431">
        <v>18517954436.689999</v>
      </c>
      <c r="D27" s="109">
        <v>1</v>
      </c>
    </row>
    <row r="28" spans="1:4" ht="18.75" customHeight="1">
      <c r="A28" s="112" t="s">
        <v>720</v>
      </c>
      <c r="B28" s="114"/>
      <c r="C28" s="432"/>
      <c r="D28" s="795"/>
    </row>
    <row r="30" spans="1:4">
      <c r="A30" s="3" t="s">
        <v>1368</v>
      </c>
    </row>
    <row r="33" spans="1:1">
      <c r="A33" s="173" t="s">
        <v>719</v>
      </c>
    </row>
  </sheetData>
  <pageMargins left="0.78740157480314965" right="0.78740157480314965" top="0.87" bottom="0.49" header="0.47" footer="0.4921259845"/>
  <pageSetup paperSize="9" scale="82" orientation="portrait" horizontalDpi="1200" verticalDpi="1200"/>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94E-274F-8642-8BF9-2A55B56D18C1}">
  <sheetPr>
    <pageSetUpPr fitToPage="1"/>
  </sheetPr>
  <dimension ref="A1:D44"/>
  <sheetViews>
    <sheetView topLeftCell="A7" zoomScaleNormal="100" workbookViewId="0">
      <selection activeCell="B33" sqref="B33"/>
    </sheetView>
  </sheetViews>
  <sheetFormatPr baseColWidth="10" defaultColWidth="11.3984375" defaultRowHeight="13"/>
  <cols>
    <col min="1" max="1" width="10.59765625" style="3" customWidth="1"/>
    <col min="2" max="2" width="63" style="119" customWidth="1"/>
    <col min="3" max="3" width="17.3984375" style="118" customWidth="1"/>
    <col min="4" max="4" width="16.796875" style="797" customWidth="1"/>
    <col min="5" max="16384" width="11.3984375" style="3"/>
  </cols>
  <sheetData>
    <row r="1" spans="1:4" s="2" customFormat="1" ht="14" customHeight="1">
      <c r="B1" s="88"/>
      <c r="C1" s="89"/>
      <c r="D1" s="782"/>
    </row>
    <row r="2" spans="1:4" s="2" customFormat="1" ht="28" customHeight="1">
      <c r="A2" s="246" t="s">
        <v>1310</v>
      </c>
      <c r="B2" s="88"/>
      <c r="C2" s="89"/>
      <c r="D2" s="207">
        <v>2011</v>
      </c>
    </row>
    <row r="3" spans="1:4" ht="39" customHeight="1">
      <c r="A3" s="419" t="s">
        <v>558</v>
      </c>
      <c r="B3" s="94"/>
      <c r="C3" s="93" t="s">
        <v>1272</v>
      </c>
      <c r="D3" s="783" t="s">
        <v>1289</v>
      </c>
    </row>
    <row r="4" spans="1:4" ht="38" customHeight="1">
      <c r="A4" s="408"/>
      <c r="B4" s="231"/>
      <c r="C4" s="98" t="s">
        <v>561</v>
      </c>
      <c r="D4" s="474" t="s">
        <v>617</v>
      </c>
    </row>
    <row r="5" spans="1:4" ht="30" customHeight="1" thickBot="1">
      <c r="A5" s="99"/>
      <c r="B5" s="854" t="s">
        <v>1311</v>
      </c>
      <c r="C5" s="420">
        <v>14059089480.889999</v>
      </c>
      <c r="D5" s="101">
        <v>0.75921395794272217</v>
      </c>
    </row>
    <row r="6" spans="1:4" ht="21.75" customHeight="1" thickBot="1">
      <c r="A6" s="103">
        <v>20</v>
      </c>
      <c r="B6" s="103" t="s">
        <v>1312</v>
      </c>
      <c r="C6" s="100">
        <v>494839767.60000002</v>
      </c>
      <c r="D6" s="101">
        <v>2.6722161418612018E-2</v>
      </c>
    </row>
    <row r="7" spans="1:4" ht="21.75" customHeight="1" thickBot="1">
      <c r="A7" s="103">
        <v>21</v>
      </c>
      <c r="B7" s="103" t="s">
        <v>1313</v>
      </c>
      <c r="C7" s="100">
        <v>3945999996.8099999</v>
      </c>
      <c r="D7" s="101">
        <v>0.21309049065319974</v>
      </c>
    </row>
    <row r="8" spans="1:4" ht="31.5" customHeight="1" thickBot="1">
      <c r="A8" s="103">
        <v>215</v>
      </c>
      <c r="B8" s="839" t="s">
        <v>1314</v>
      </c>
      <c r="C8" s="100">
        <v>-2358401.96</v>
      </c>
      <c r="D8" s="101">
        <v>-1.2735758520530629E-4</v>
      </c>
    </row>
    <row r="9" spans="1:4" ht="21.75" customHeight="1" thickBot="1">
      <c r="A9" s="103">
        <v>22</v>
      </c>
      <c r="B9" s="103" t="s">
        <v>1315</v>
      </c>
      <c r="C9" s="100">
        <v>755006072.41999996</v>
      </c>
      <c r="D9" s="101">
        <v>4.0771569829747681E-2</v>
      </c>
    </row>
    <row r="10" spans="1:4" ht="21.75" customHeight="1" thickBot="1">
      <c r="A10" s="103">
        <v>23</v>
      </c>
      <c r="B10" s="103" t="s">
        <v>1316</v>
      </c>
      <c r="C10" s="100">
        <v>11072811.640000001</v>
      </c>
      <c r="D10" s="101">
        <v>5.9795004236835327E-4</v>
      </c>
    </row>
    <row r="11" spans="1:4" ht="21.75" customHeight="1" thickBot="1">
      <c r="A11" s="103">
        <v>24</v>
      </c>
      <c r="B11" s="103" t="s">
        <v>1317</v>
      </c>
      <c r="C11" s="100">
        <v>102489028.55</v>
      </c>
      <c r="D11" s="101">
        <v>5.5345761272033939E-3</v>
      </c>
    </row>
    <row r="12" spans="1:4" ht="21.75" customHeight="1" thickBot="1">
      <c r="A12" s="103">
        <v>25</v>
      </c>
      <c r="B12" s="103" t="s">
        <v>1318</v>
      </c>
      <c r="C12" s="100">
        <v>28969345.739999998</v>
      </c>
      <c r="D12" s="101">
        <v>1.5643923220043569E-3</v>
      </c>
    </row>
    <row r="13" spans="1:4" ht="21.75" customHeight="1" thickBot="1">
      <c r="A13" s="103">
        <v>26</v>
      </c>
      <c r="B13" s="103" t="s">
        <v>1319</v>
      </c>
      <c r="C13" s="100">
        <v>564233093.96000004</v>
      </c>
      <c r="D13" s="101">
        <v>3.0469515188014978E-2</v>
      </c>
    </row>
    <row r="14" spans="1:4" s="845" customFormat="1" ht="47.25" customHeight="1" thickBot="1">
      <c r="A14" s="839">
        <v>27</v>
      </c>
      <c r="B14" s="839" t="s">
        <v>1320</v>
      </c>
      <c r="C14" s="100">
        <v>8158837766.1300001</v>
      </c>
      <c r="D14" s="101">
        <v>0.44059065994677699</v>
      </c>
    </row>
    <row r="15" spans="1:4" s="845" customFormat="1" ht="21" customHeight="1" thickBot="1">
      <c r="A15" s="855">
        <v>270</v>
      </c>
      <c r="B15" s="856" t="s">
        <v>1321</v>
      </c>
      <c r="C15" s="100">
        <v>5648636726.9300003</v>
      </c>
      <c r="D15" s="101">
        <v>0.30503567476843935</v>
      </c>
    </row>
    <row r="16" spans="1:4" ht="18.75" customHeight="1" thickBot="1">
      <c r="A16" s="851">
        <v>270.10000000000002</v>
      </c>
      <c r="B16" s="852" t="s">
        <v>1322</v>
      </c>
      <c r="C16" s="100">
        <v>559168568.82000005</v>
      </c>
      <c r="D16" s="101">
        <v>3.0196022499753322E-2</v>
      </c>
    </row>
    <row r="17" spans="1:4" ht="31.5" customHeight="1" thickBot="1">
      <c r="A17" s="851">
        <v>270.2</v>
      </c>
      <c r="B17" s="856" t="s">
        <v>1323</v>
      </c>
      <c r="C17" s="100">
        <v>86100024.769999996</v>
      </c>
      <c r="D17" s="101">
        <v>4.64954296460314E-3</v>
      </c>
    </row>
    <row r="18" spans="1:4" ht="30.75" customHeight="1" thickBot="1">
      <c r="A18" s="851">
        <v>270.3</v>
      </c>
      <c r="B18" s="856" t="s">
        <v>1324</v>
      </c>
      <c r="C18" s="100">
        <v>4215079.58</v>
      </c>
      <c r="D18" s="101">
        <v>2.2762123075788007E-4</v>
      </c>
    </row>
    <row r="19" spans="1:4" ht="18.75" customHeight="1" thickBot="1">
      <c r="A19" s="851">
        <v>271</v>
      </c>
      <c r="B19" s="852" t="s">
        <v>1325</v>
      </c>
      <c r="C19" s="100">
        <v>97134463.299999997</v>
      </c>
      <c r="D19" s="101">
        <v>5.2454207959110781E-3</v>
      </c>
    </row>
    <row r="20" spans="1:4" ht="18.75" customHeight="1" thickBot="1">
      <c r="A20" s="851">
        <v>272</v>
      </c>
      <c r="B20" s="852" t="s">
        <v>1326</v>
      </c>
      <c r="C20" s="100">
        <v>4104470</v>
      </c>
      <c r="D20" s="101">
        <v>2.2164813149477857E-4</v>
      </c>
    </row>
    <row r="21" spans="1:4" ht="18.75" customHeight="1" thickBot="1">
      <c r="A21" s="851">
        <v>273</v>
      </c>
      <c r="B21" s="852" t="s">
        <v>1327</v>
      </c>
      <c r="C21" s="100">
        <v>1168833218.04</v>
      </c>
      <c r="D21" s="101">
        <v>6.3118916402749956E-2</v>
      </c>
    </row>
    <row r="22" spans="1:4" ht="18.75" customHeight="1" thickBot="1">
      <c r="A22" s="851">
        <v>273.10000000000002</v>
      </c>
      <c r="B22" s="852" t="s">
        <v>1328</v>
      </c>
      <c r="C22" s="100">
        <v>298993320.07999998</v>
      </c>
      <c r="D22" s="101">
        <v>1.6146131102225684E-2</v>
      </c>
    </row>
    <row r="23" spans="1:4" ht="18.75" customHeight="1" thickBot="1">
      <c r="A23" s="851">
        <v>274</v>
      </c>
      <c r="B23" s="852" t="s">
        <v>1329</v>
      </c>
      <c r="C23" s="100">
        <v>289625418.23000002</v>
      </c>
      <c r="D23" s="101">
        <v>1.5640248992945079E-2</v>
      </c>
    </row>
    <row r="24" spans="1:4" ht="18.75" customHeight="1" thickBot="1">
      <c r="A24" s="851">
        <v>279</v>
      </c>
      <c r="B24" s="852" t="s">
        <v>1330</v>
      </c>
      <c r="C24" s="100">
        <v>2026476.38</v>
      </c>
      <c r="D24" s="101">
        <v>1.0943305789670843E-4</v>
      </c>
    </row>
    <row r="25" spans="1:4" ht="21.75" customHeight="1" thickBot="1">
      <c r="A25" s="103"/>
      <c r="B25" s="852" t="s">
        <v>1331</v>
      </c>
      <c r="C25" s="100">
        <v>4458864955.8100004</v>
      </c>
      <c r="D25" s="101">
        <v>0.2407860420572778</v>
      </c>
    </row>
    <row r="26" spans="1:4" ht="21.75" customHeight="1" thickBot="1">
      <c r="A26" s="103">
        <v>28</v>
      </c>
      <c r="B26" s="847" t="s">
        <v>1332</v>
      </c>
      <c r="C26" s="100">
        <v>7639336.54</v>
      </c>
      <c r="D26" s="101">
        <v>4.1253673920159893E-4</v>
      </c>
    </row>
    <row r="27" spans="1:4" ht="18.75" customHeight="1" thickBot="1">
      <c r="A27" s="851">
        <v>280</v>
      </c>
      <c r="B27" s="852" t="s">
        <v>1333</v>
      </c>
      <c r="C27" s="100">
        <v>6839336.54</v>
      </c>
      <c r="D27" s="101">
        <v>3.6933542327144891E-4</v>
      </c>
    </row>
    <row r="28" spans="1:4" ht="18.75" customHeight="1" thickBot="1">
      <c r="A28" s="851">
        <v>281</v>
      </c>
      <c r="B28" s="852" t="s">
        <v>1334</v>
      </c>
      <c r="C28" s="100">
        <v>800000</v>
      </c>
      <c r="D28" s="101">
        <v>4.3201315930150024E-5</v>
      </c>
    </row>
    <row r="29" spans="1:4" ht="18.75" customHeight="1" thickBot="1">
      <c r="A29" s="851">
        <v>282</v>
      </c>
      <c r="B29" s="852" t="s">
        <v>1335</v>
      </c>
      <c r="C29" s="100">
        <v>0</v>
      </c>
      <c r="D29" s="101">
        <v>0</v>
      </c>
    </row>
    <row r="30" spans="1:4" ht="21.75" customHeight="1" thickBot="1">
      <c r="A30" s="103">
        <v>29</v>
      </c>
      <c r="B30" s="847" t="s">
        <v>1336</v>
      </c>
      <c r="C30" s="100">
        <v>4451225619.2700005</v>
      </c>
      <c r="D30" s="101">
        <v>0.24037350531807619</v>
      </c>
    </row>
    <row r="31" spans="1:4" ht="30" customHeight="1" thickBot="1">
      <c r="A31" s="851">
        <v>290</v>
      </c>
      <c r="B31" s="856" t="s">
        <v>1337</v>
      </c>
      <c r="C31" s="100">
        <v>3618724854.52</v>
      </c>
      <c r="D31" s="101">
        <v>0.19541709463050586</v>
      </c>
    </row>
    <row r="32" spans="1:4" ht="30.75" customHeight="1" thickBot="1">
      <c r="A32" s="851">
        <v>290.5</v>
      </c>
      <c r="B32" s="856" t="s">
        <v>1338</v>
      </c>
      <c r="C32" s="100">
        <v>25609066.079999998</v>
      </c>
      <c r="D32" s="101">
        <v>1.3829316929977107E-3</v>
      </c>
    </row>
    <row r="33" spans="1:4" ht="18.75" customHeight="1" thickBot="1">
      <c r="A33" s="851">
        <v>290.89999999999998</v>
      </c>
      <c r="B33" s="852" t="s">
        <v>1339</v>
      </c>
      <c r="C33" s="100">
        <v>91983844.140000001</v>
      </c>
      <c r="D33" s="101">
        <v>4.9672788889522732E-3</v>
      </c>
    </row>
    <row r="34" spans="1:4" ht="18.75" customHeight="1" thickBot="1">
      <c r="A34" s="851">
        <v>291</v>
      </c>
      <c r="B34" s="852" t="s">
        <v>1340</v>
      </c>
      <c r="C34" s="100">
        <v>520975036.11000001</v>
      </c>
      <c r="D34" s="101">
        <v>2.8133508908386784E-2</v>
      </c>
    </row>
    <row r="35" spans="1:4" ht="18.75" customHeight="1" thickBot="1">
      <c r="A35" s="851">
        <v>292</v>
      </c>
      <c r="B35" s="852" t="s">
        <v>1341</v>
      </c>
      <c r="C35" s="100">
        <v>-43241465.490000002</v>
      </c>
      <c r="D35" s="101">
        <v>-2.3351102648952117E-3</v>
      </c>
    </row>
    <row r="36" spans="1:4" ht="18.75" customHeight="1" thickBot="1">
      <c r="A36" s="851">
        <v>293</v>
      </c>
      <c r="B36" s="852" t="s">
        <v>1342</v>
      </c>
      <c r="C36" s="100">
        <v>237174283.90000001</v>
      </c>
      <c r="D36" s="101">
        <v>1.2807801461588742E-2</v>
      </c>
    </row>
    <row r="37" spans="1:4" ht="18.75" customHeight="1" thickBot="1">
      <c r="A37" s="851">
        <v>299</v>
      </c>
      <c r="B37" s="852" t="s">
        <v>1343</v>
      </c>
      <c r="C37" s="100">
        <v>0</v>
      </c>
      <c r="D37" s="101">
        <v>0</v>
      </c>
    </row>
    <row r="38" spans="1:4" s="482" customFormat="1" ht="35.25" customHeight="1" thickBot="1">
      <c r="A38" s="107">
        <v>2</v>
      </c>
      <c r="B38" s="107" t="s">
        <v>1344</v>
      </c>
      <c r="C38" s="431">
        <v>18517954436.700001</v>
      </c>
      <c r="D38" s="245">
        <v>1</v>
      </c>
    </row>
    <row r="39" spans="1:4" ht="19.5" customHeight="1">
      <c r="A39" s="112" t="s">
        <v>720</v>
      </c>
      <c r="B39" s="114"/>
      <c r="C39" s="113"/>
      <c r="D39" s="795"/>
    </row>
    <row r="41" spans="1:4">
      <c r="A41" s="3" t="s">
        <v>1345</v>
      </c>
    </row>
    <row r="44" spans="1:4">
      <c r="A44" s="173" t="s">
        <v>719</v>
      </c>
    </row>
  </sheetData>
  <pageMargins left="0.62" right="0.53" top="0.71" bottom="0.49" header="0.47" footer="0.4921259845"/>
  <pageSetup paperSize="9" scale="80" orientation="portrait" horizontalDpi="1200" verticalDpi="1200"/>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8D2C-6AB3-A444-BAED-78F6929FD025}">
  <sheetPr>
    <pageSetUpPr fitToPage="1"/>
  </sheetPr>
  <dimension ref="A1:D31"/>
  <sheetViews>
    <sheetView zoomScaleNormal="100" workbookViewId="0">
      <selection activeCell="A4" sqref="A4"/>
    </sheetView>
  </sheetViews>
  <sheetFormatPr baseColWidth="10" defaultColWidth="11.3984375" defaultRowHeight="13"/>
  <cols>
    <col min="1" max="1" width="10.59765625" style="3" customWidth="1"/>
    <col min="2" max="2" width="60.59765625" style="119" customWidth="1"/>
    <col min="3" max="3" width="17.3984375" style="8" customWidth="1"/>
    <col min="4" max="4" width="16.796875" style="797" customWidth="1"/>
    <col min="5" max="16384" width="11.3984375" style="3"/>
  </cols>
  <sheetData>
    <row r="1" spans="1:4" s="2" customFormat="1" ht="14" customHeight="1">
      <c r="B1" s="88"/>
      <c r="C1" s="406"/>
      <c r="D1" s="782"/>
    </row>
    <row r="2" spans="1:4" s="2" customFormat="1" ht="28" customHeight="1">
      <c r="A2" s="246" t="s">
        <v>1288</v>
      </c>
      <c r="B2" s="88"/>
      <c r="C2" s="406"/>
      <c r="D2" s="207">
        <v>2011</v>
      </c>
    </row>
    <row r="3" spans="1:4" ht="39" customHeight="1">
      <c r="A3" s="419" t="s">
        <v>558</v>
      </c>
      <c r="B3" s="94"/>
      <c r="C3" s="93" t="s">
        <v>1272</v>
      </c>
      <c r="D3" s="783" t="s">
        <v>1289</v>
      </c>
    </row>
    <row r="4" spans="1:4" ht="38" customHeight="1">
      <c r="A4" s="408"/>
      <c r="B4" s="231"/>
      <c r="C4" s="98" t="s">
        <v>561</v>
      </c>
      <c r="D4" s="474" t="s">
        <v>617</v>
      </c>
    </row>
    <row r="5" spans="1:4" ht="39" customHeight="1" thickBot="1">
      <c r="A5" s="835">
        <v>17</v>
      </c>
      <c r="B5" s="850" t="s">
        <v>1290</v>
      </c>
      <c r="C5" s="836"/>
      <c r="D5" s="837"/>
    </row>
    <row r="6" spans="1:4" ht="21.75" customHeight="1" thickBot="1">
      <c r="A6" s="851">
        <v>170</v>
      </c>
      <c r="B6" s="852" t="s">
        <v>1291</v>
      </c>
      <c r="C6" s="195"/>
      <c r="D6" s="278"/>
    </row>
    <row r="7" spans="1:4" ht="33.75" customHeight="1" thickBot="1">
      <c r="A7" s="838"/>
      <c r="B7" s="839" t="s">
        <v>1292</v>
      </c>
      <c r="C7" s="195">
        <v>1401127039.6400001</v>
      </c>
      <c r="D7" s="278">
        <v>0.13878155980891971</v>
      </c>
    </row>
    <row r="8" spans="1:4" ht="18" customHeight="1" thickBot="1">
      <c r="A8" s="838"/>
      <c r="B8" s="839" t="s">
        <v>1293</v>
      </c>
      <c r="C8" s="195">
        <v>7329089864.7700005</v>
      </c>
      <c r="D8" s="278">
        <v>0.72594596680816714</v>
      </c>
    </row>
    <row r="9" spans="1:4" ht="19.5" customHeight="1" thickBot="1">
      <c r="A9" s="838"/>
      <c r="B9" s="839" t="s">
        <v>1294</v>
      </c>
      <c r="C9" s="195">
        <v>564853859.73000002</v>
      </c>
      <c r="D9" s="278">
        <v>5.5948745188416096E-2</v>
      </c>
    </row>
    <row r="10" spans="1:4" ht="31.25" customHeight="1" thickBot="1">
      <c r="A10" s="838"/>
      <c r="B10" s="839" t="s">
        <v>1295</v>
      </c>
      <c r="C10" s="195">
        <v>0</v>
      </c>
      <c r="D10" s="278">
        <v>0</v>
      </c>
    </row>
    <row r="11" spans="1:4" ht="33.5" customHeight="1" thickBot="1">
      <c r="A11" s="838"/>
      <c r="B11" s="839" t="s">
        <v>1296</v>
      </c>
      <c r="C11" s="195">
        <v>12393840</v>
      </c>
      <c r="D11" s="278">
        <v>1.2276092021349617E-3</v>
      </c>
    </row>
    <row r="12" spans="1:4" ht="21.75" customHeight="1" thickBot="1">
      <c r="A12" s="838"/>
      <c r="B12" s="103" t="s">
        <v>1297</v>
      </c>
      <c r="C12" s="195">
        <v>247820064.16</v>
      </c>
      <c r="D12" s="278">
        <v>2.454656436072215E-2</v>
      </c>
    </row>
    <row r="13" spans="1:4" ht="21.75" customHeight="1" thickBot="1">
      <c r="A13" s="843">
        <v>170</v>
      </c>
      <c r="B13" s="839" t="s">
        <v>278</v>
      </c>
      <c r="C13" s="853">
        <v>9555284668.2999992</v>
      </c>
      <c r="D13" s="278">
        <v>0.94645044536835998</v>
      </c>
    </row>
    <row r="14" spans="1:4" s="845" customFormat="1" ht="23.25" customHeight="1" thickBot="1">
      <c r="A14" s="838">
        <v>179</v>
      </c>
      <c r="B14" s="103" t="s">
        <v>1298</v>
      </c>
      <c r="C14" s="195">
        <v>-432958477.49000001</v>
      </c>
      <c r="D14" s="278">
        <v>-4.2884514493415009E-2</v>
      </c>
    </row>
    <row r="15" spans="1:4" s="845" customFormat="1" ht="27.75" customHeight="1" thickBot="1">
      <c r="A15" s="847">
        <v>17</v>
      </c>
      <c r="B15" s="847" t="s">
        <v>1299</v>
      </c>
      <c r="C15" s="413">
        <v>9122326190.8099995</v>
      </c>
      <c r="D15" s="837">
        <v>0.90356593087494497</v>
      </c>
    </row>
    <row r="16" spans="1:4" ht="24.75" customHeight="1" thickBot="1">
      <c r="A16" s="104">
        <v>18</v>
      </c>
      <c r="B16" s="844" t="s">
        <v>1300</v>
      </c>
      <c r="C16" s="195"/>
      <c r="D16" s="278"/>
    </row>
    <row r="17" spans="1:4" ht="16.5" customHeight="1" thickBot="1">
      <c r="A17" s="838">
        <v>180</v>
      </c>
      <c r="B17" s="839" t="s">
        <v>1301</v>
      </c>
      <c r="C17" s="195">
        <v>67767890.620000005</v>
      </c>
      <c r="D17" s="278">
        <v>6.7124060125342564E-3</v>
      </c>
    </row>
    <row r="18" spans="1:4" ht="22.5" customHeight="1" thickBot="1">
      <c r="A18" s="838"/>
      <c r="B18" s="839" t="s">
        <v>1302</v>
      </c>
      <c r="C18" s="195">
        <v>499127585.49000001</v>
      </c>
      <c r="D18" s="278">
        <v>4.9438561171269664E-2</v>
      </c>
    </row>
    <row r="19" spans="1:4" ht="18.75" customHeight="1" thickBot="1">
      <c r="A19" s="838"/>
      <c r="B19" s="103" t="s">
        <v>1303</v>
      </c>
      <c r="C19" s="195">
        <v>812714225.00999999</v>
      </c>
      <c r="D19" s="278">
        <v>8.0499301372961074E-2</v>
      </c>
    </row>
    <row r="20" spans="1:4" ht="18.75" customHeight="1" thickBot="1">
      <c r="A20" s="838">
        <v>180</v>
      </c>
      <c r="B20" s="103" t="s">
        <v>278</v>
      </c>
      <c r="C20" s="195">
        <v>1379609701.1199999</v>
      </c>
      <c r="D20" s="278">
        <v>0.13665026855676499</v>
      </c>
    </row>
    <row r="21" spans="1:4" ht="21" customHeight="1" thickBot="1">
      <c r="A21" s="838">
        <v>189</v>
      </c>
      <c r="B21" s="103" t="s">
        <v>1304</v>
      </c>
      <c r="C21" s="195">
        <v>-406019391.43000001</v>
      </c>
      <c r="D21" s="278">
        <v>-4.021619943171003E-2</v>
      </c>
    </row>
    <row r="22" spans="1:4" ht="30.75" customHeight="1" thickBot="1">
      <c r="A22" s="847">
        <v>18</v>
      </c>
      <c r="B22" s="847" t="s">
        <v>1305</v>
      </c>
      <c r="C22" s="413">
        <v>973590309.69000006</v>
      </c>
      <c r="D22" s="837">
        <v>9.6434069125054964E-2</v>
      </c>
    </row>
    <row r="23" spans="1:4" ht="39" customHeight="1" thickBot="1">
      <c r="A23" s="158" t="s">
        <v>1306</v>
      </c>
      <c r="B23" s="848" t="s">
        <v>1307</v>
      </c>
      <c r="C23" s="108">
        <v>10095916500.5</v>
      </c>
      <c r="D23" s="849">
        <v>1</v>
      </c>
    </row>
    <row r="24" spans="1:4" ht="19.5" customHeight="1">
      <c r="A24" s="112" t="s">
        <v>720</v>
      </c>
      <c r="B24" s="114"/>
      <c r="C24" s="432"/>
      <c r="D24" s="795"/>
    </row>
    <row r="25" spans="1:4" ht="14.25" customHeight="1">
      <c r="A25" s="115"/>
      <c r="B25" s="117"/>
      <c r="C25" s="529"/>
      <c r="D25" s="796"/>
    </row>
    <row r="26" spans="1:4" ht="14.25" customHeight="1">
      <c r="A26" s="115" t="s">
        <v>1308</v>
      </c>
      <c r="B26" s="117"/>
      <c r="C26" s="529"/>
      <c r="D26" s="796"/>
    </row>
    <row r="28" spans="1:4">
      <c r="A28" s="3" t="s">
        <v>1309</v>
      </c>
    </row>
    <row r="31" spans="1:4">
      <c r="A31" s="173" t="s">
        <v>719</v>
      </c>
    </row>
  </sheetData>
  <pageMargins left="0.78740157480314965" right="0.83" top="0.92" bottom="0.49" header="0.53" footer="0.4921259845"/>
  <pageSetup paperSize="9" scale="81" orientation="portrait" horizontalDpi="1200" verticalDpi="1200"/>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21FB-46E7-894B-A6D9-563C67E00523}">
  <sheetPr>
    <pageSetUpPr fitToPage="1"/>
  </sheetPr>
  <dimension ref="A1:D27"/>
  <sheetViews>
    <sheetView topLeftCell="A8" zoomScaleNormal="100" workbookViewId="0">
      <selection activeCell="B16" sqref="B16"/>
    </sheetView>
  </sheetViews>
  <sheetFormatPr baseColWidth="10" defaultColWidth="11.3984375" defaultRowHeight="13"/>
  <cols>
    <col min="1" max="1" width="10.59765625" style="3" customWidth="1"/>
    <col min="2" max="2" width="60.59765625" style="119" customWidth="1"/>
    <col min="3" max="3" width="18.59765625" style="8" customWidth="1"/>
    <col min="4" max="4" width="18.3984375" style="797" customWidth="1"/>
    <col min="5" max="16384" width="11.3984375" style="3"/>
  </cols>
  <sheetData>
    <row r="1" spans="1:4" s="2" customFormat="1" ht="14" customHeight="1">
      <c r="B1" s="88"/>
      <c r="C1" s="406"/>
      <c r="D1" s="782"/>
    </row>
    <row r="2" spans="1:4" s="2" customFormat="1" ht="26" customHeight="1">
      <c r="A2" s="246" t="s">
        <v>1271</v>
      </c>
      <c r="B2" s="88"/>
      <c r="C2" s="406"/>
      <c r="D2" s="207">
        <v>2011</v>
      </c>
    </row>
    <row r="3" spans="1:4" ht="27.75" customHeight="1">
      <c r="A3" s="92"/>
      <c r="B3" s="94"/>
      <c r="C3" s="834" t="s">
        <v>1272</v>
      </c>
      <c r="D3" s="783" t="s">
        <v>1272</v>
      </c>
    </row>
    <row r="4" spans="1:4" ht="27.75" customHeight="1">
      <c r="A4" s="408"/>
      <c r="B4" s="231"/>
      <c r="C4" s="521" t="s">
        <v>561</v>
      </c>
      <c r="D4" s="474" t="s">
        <v>561</v>
      </c>
    </row>
    <row r="5" spans="1:4" ht="33" customHeight="1" thickBot="1">
      <c r="A5" s="835"/>
      <c r="B5" s="835" t="s">
        <v>1273</v>
      </c>
      <c r="C5" s="836"/>
      <c r="D5" s="837"/>
    </row>
    <row r="6" spans="1:4" ht="21.75" customHeight="1" thickBot="1">
      <c r="A6" s="838">
        <v>800</v>
      </c>
      <c r="B6" s="103" t="s">
        <v>1274</v>
      </c>
      <c r="C6" s="195" t="s">
        <v>30</v>
      </c>
      <c r="D6" s="411">
        <v>647531718.50999999</v>
      </c>
    </row>
    <row r="7" spans="1:4" ht="23.25" customHeight="1" thickBot="1">
      <c r="A7" s="838">
        <v>800</v>
      </c>
      <c r="B7" s="839" t="s">
        <v>1275</v>
      </c>
      <c r="C7" s="195">
        <v>27292235.379999999</v>
      </c>
      <c r="D7" s="411" t="s">
        <v>30</v>
      </c>
    </row>
    <row r="8" spans="1:4" ht="46.5" customHeight="1" thickBot="1">
      <c r="A8" s="838"/>
      <c r="B8" s="103"/>
      <c r="C8" s="840" t="s">
        <v>1276</v>
      </c>
      <c r="D8" s="841" t="s">
        <v>1277</v>
      </c>
    </row>
    <row r="9" spans="1:4" ht="26.25" customHeight="1" thickBot="1">
      <c r="A9" s="838"/>
      <c r="B9" s="104" t="s">
        <v>1278</v>
      </c>
      <c r="C9" s="195"/>
      <c r="D9" s="842"/>
    </row>
    <row r="10" spans="1:4" ht="21.75" customHeight="1" thickBot="1">
      <c r="A10" s="838">
        <v>280</v>
      </c>
      <c r="B10" s="839" t="s">
        <v>1279</v>
      </c>
      <c r="C10" s="195">
        <v>7000</v>
      </c>
      <c r="D10" s="411">
        <v>10857</v>
      </c>
    </row>
    <row r="11" spans="1:4" ht="24" customHeight="1" thickBot="1">
      <c r="A11" s="838">
        <v>281</v>
      </c>
      <c r="B11" s="839" t="s">
        <v>1280</v>
      </c>
      <c r="C11" s="195">
        <v>0</v>
      </c>
      <c r="D11" s="411">
        <v>0</v>
      </c>
    </row>
    <row r="12" spans="1:4" ht="21.75" customHeight="1" thickBot="1">
      <c r="A12" s="838">
        <v>282</v>
      </c>
      <c r="B12" s="103" t="s">
        <v>1281</v>
      </c>
      <c r="C12" s="195">
        <v>0</v>
      </c>
      <c r="D12" s="411">
        <v>0</v>
      </c>
    </row>
    <row r="13" spans="1:4" ht="28.5" customHeight="1" thickBot="1">
      <c r="A13" s="843"/>
      <c r="B13" s="844" t="s">
        <v>1282</v>
      </c>
      <c r="C13" s="195"/>
      <c r="D13" s="411"/>
    </row>
    <row r="14" spans="1:4" s="845" customFormat="1" ht="24.75" customHeight="1" thickBot="1">
      <c r="A14" s="838">
        <v>290</v>
      </c>
      <c r="B14" s="839" t="s">
        <v>1283</v>
      </c>
      <c r="C14" s="195">
        <v>613229920.77999997</v>
      </c>
      <c r="D14" s="411">
        <v>25481588.170000002</v>
      </c>
    </row>
    <row r="15" spans="1:4" s="845" customFormat="1" ht="30.75" customHeight="1" thickBot="1">
      <c r="A15" s="838">
        <v>290.5</v>
      </c>
      <c r="B15" s="839" t="s">
        <v>1477</v>
      </c>
      <c r="C15" s="195">
        <v>19023266.43</v>
      </c>
      <c r="D15" s="411">
        <v>4689708.21</v>
      </c>
    </row>
    <row r="16" spans="1:4" ht="25.5" customHeight="1" thickBot="1">
      <c r="A16" s="838">
        <v>291</v>
      </c>
      <c r="B16" s="839" t="s">
        <v>1284</v>
      </c>
      <c r="C16" s="195">
        <v>23834487.260000002</v>
      </c>
      <c r="D16" s="411">
        <v>9981073.2799999993</v>
      </c>
    </row>
    <row r="17" spans="1:4" ht="24" customHeight="1" thickBot="1">
      <c r="A17" s="838">
        <v>292</v>
      </c>
      <c r="B17" s="839" t="s">
        <v>1285</v>
      </c>
      <c r="C17" s="195">
        <v>3324116.63</v>
      </c>
      <c r="D17" s="411">
        <v>7366610.4699999997</v>
      </c>
    </row>
    <row r="18" spans="1:4" ht="22.5" customHeight="1" thickBot="1">
      <c r="A18" s="838">
        <v>293</v>
      </c>
      <c r="B18" s="839" t="s">
        <v>1286</v>
      </c>
      <c r="C18" s="195">
        <v>12302229.08</v>
      </c>
      <c r="D18" s="411">
        <v>3951699.96</v>
      </c>
    </row>
    <row r="19" spans="1:4" ht="13.5" customHeight="1" thickBot="1">
      <c r="A19" s="838"/>
      <c r="B19" s="103"/>
      <c r="C19" s="195"/>
      <c r="D19" s="411"/>
    </row>
    <row r="20" spans="1:4" s="110" customFormat="1" ht="33" customHeight="1" thickBot="1">
      <c r="A20" s="846"/>
      <c r="B20" s="847" t="s">
        <v>391</v>
      </c>
      <c r="C20" s="413">
        <v>699013255.55999994</v>
      </c>
      <c r="D20" s="441">
        <v>699013255.60000002</v>
      </c>
    </row>
    <row r="21" spans="1:4" ht="2.25" customHeight="1" thickBot="1">
      <c r="A21" s="158"/>
      <c r="B21" s="848"/>
      <c r="C21" s="108"/>
      <c r="D21" s="849"/>
    </row>
    <row r="22" spans="1:4" ht="19.5" customHeight="1">
      <c r="A22" s="112" t="s">
        <v>720</v>
      </c>
      <c r="B22" s="114"/>
      <c r="C22" s="432"/>
      <c r="D22" s="795"/>
    </row>
    <row r="23" spans="1:4" ht="14.25" customHeight="1">
      <c r="A23" s="115"/>
      <c r="B23" s="117"/>
      <c r="C23" s="529"/>
      <c r="D23" s="796"/>
    </row>
    <row r="24" spans="1:4">
      <c r="A24" s="3" t="s">
        <v>1287</v>
      </c>
    </row>
    <row r="27" spans="1:4">
      <c r="A27" s="173" t="s">
        <v>719</v>
      </c>
    </row>
  </sheetData>
  <pageMargins left="0.78740157480314965" right="0.78740157480314965" top="1.05" bottom="0.49" header="0.56000000000000005" footer="0.4921259845"/>
  <pageSetup paperSize="9" scale="80" orientation="portrait" horizontalDpi="1200" verticalDpi="1200"/>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4D7C-A473-4649-A86D-9EB641D09316}">
  <sheetPr>
    <pageSetUpPr fitToPage="1"/>
  </sheetPr>
  <dimension ref="A1:J21"/>
  <sheetViews>
    <sheetView workbookViewId="0">
      <selection activeCell="I30" sqref="I30"/>
    </sheetView>
  </sheetViews>
  <sheetFormatPr baseColWidth="10" defaultColWidth="11.59765625" defaultRowHeight="13"/>
  <cols>
    <col min="1" max="1" width="5.59765625" style="1420" customWidth="1"/>
    <col min="2" max="8" width="11.59765625" style="1420"/>
    <col min="9" max="9" width="8.3984375" style="1420" customWidth="1"/>
    <col min="10" max="10" width="7.59765625" style="1420" customWidth="1"/>
    <col min="11" max="16384" width="11.59765625" style="1420"/>
  </cols>
  <sheetData>
    <row r="1" spans="1:10" ht="16">
      <c r="A1" s="1419" t="s">
        <v>2178</v>
      </c>
    </row>
    <row r="2" spans="1:10" ht="16">
      <c r="A2" s="1421"/>
    </row>
    <row r="3" spans="1:10">
      <c r="A3" s="1422">
        <v>9.01</v>
      </c>
      <c r="B3" s="1423" t="s">
        <v>2179</v>
      </c>
      <c r="J3" s="1424" t="s">
        <v>2180</v>
      </c>
    </row>
    <row r="4" spans="1:10">
      <c r="A4" s="1422">
        <v>9.02</v>
      </c>
      <c r="B4" s="1423" t="s">
        <v>2181</v>
      </c>
      <c r="J4" s="1424" t="s">
        <v>2182</v>
      </c>
    </row>
    <row r="5" spans="1:10">
      <c r="A5" s="1422">
        <v>9.0299999999999994</v>
      </c>
      <c r="B5" s="1423" t="s">
        <v>2183</v>
      </c>
      <c r="J5" s="1424" t="s">
        <v>2184</v>
      </c>
    </row>
    <row r="6" spans="1:10">
      <c r="A6" s="1422">
        <v>9.0399999999999991</v>
      </c>
      <c r="B6" s="1423" t="s">
        <v>2185</v>
      </c>
      <c r="J6" s="1424" t="s">
        <v>2186</v>
      </c>
    </row>
    <row r="7" spans="1:10">
      <c r="A7" s="1422">
        <v>9.0500000000000007</v>
      </c>
      <c r="B7" s="1423" t="s">
        <v>2187</v>
      </c>
      <c r="J7" s="1424" t="s">
        <v>2188</v>
      </c>
    </row>
    <row r="8" spans="1:10">
      <c r="A8" s="1422">
        <v>9.06</v>
      </c>
      <c r="B8" s="1423" t="s">
        <v>2189</v>
      </c>
      <c r="J8" s="1424" t="s">
        <v>2190</v>
      </c>
    </row>
    <row r="9" spans="1:10">
      <c r="A9" s="1422">
        <v>9.07</v>
      </c>
      <c r="B9" s="1425" t="s">
        <v>2191</v>
      </c>
      <c r="J9" s="1424" t="s">
        <v>2192</v>
      </c>
    </row>
    <row r="10" spans="1:10">
      <c r="A10" s="1422">
        <v>9.08</v>
      </c>
      <c r="B10" s="1425" t="s">
        <v>2193</v>
      </c>
      <c r="J10" s="1424" t="s">
        <v>2194</v>
      </c>
    </row>
    <row r="11" spans="1:10">
      <c r="A11" s="1422">
        <v>9.09</v>
      </c>
      <c r="B11" s="1425" t="s">
        <v>2195</v>
      </c>
      <c r="J11" s="1424" t="s">
        <v>2196</v>
      </c>
    </row>
    <row r="12" spans="1:10">
      <c r="A12" s="1422">
        <v>9.1</v>
      </c>
      <c r="B12" s="1423" t="s">
        <v>2197</v>
      </c>
      <c r="J12" s="1424" t="s">
        <v>2198</v>
      </c>
    </row>
    <row r="13" spans="1:10">
      <c r="A13" s="1422">
        <v>9.11</v>
      </c>
      <c r="B13" s="1423" t="s">
        <v>2199</v>
      </c>
      <c r="J13" s="1424" t="s">
        <v>2200</v>
      </c>
    </row>
    <row r="14" spans="1:10">
      <c r="A14" s="1422">
        <v>9.1199999999999992</v>
      </c>
      <c r="B14" s="1423" t="s">
        <v>2201</v>
      </c>
      <c r="J14" s="1424" t="s">
        <v>2202</v>
      </c>
    </row>
    <row r="15" spans="1:10">
      <c r="A15" s="1422">
        <v>9.1300000000000008</v>
      </c>
      <c r="B15" s="1423" t="s">
        <v>2203</v>
      </c>
      <c r="J15" s="1424" t="s">
        <v>2204</v>
      </c>
    </row>
    <row r="16" spans="1:10">
      <c r="A16" s="1422">
        <v>9.14</v>
      </c>
      <c r="B16" s="1423" t="s">
        <v>2205</v>
      </c>
      <c r="J16" s="1424" t="s">
        <v>2206</v>
      </c>
    </row>
    <row r="17" spans="1:10">
      <c r="A17" s="1422">
        <v>9.15</v>
      </c>
      <c r="B17" s="1426" t="s">
        <v>2207</v>
      </c>
      <c r="J17" s="1424" t="s">
        <v>1487</v>
      </c>
    </row>
    <row r="20" spans="1:10">
      <c r="A20" s="1427" t="s">
        <v>719</v>
      </c>
    </row>
    <row r="21" spans="1:10">
      <c r="B21" s="1423"/>
    </row>
  </sheetData>
  <pageMargins left="0.46" right="0.3" top="0.78" bottom="0.984251969" header="0.34" footer="0.4921259845"/>
  <pageSetup paperSize="9" scale="85" orientation="portrait"/>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7F67-C06F-0B46-AC82-59ED4E9ED0E4}">
  <sheetPr>
    <pageSetUpPr fitToPage="1"/>
  </sheetPr>
  <dimension ref="A1:K54"/>
  <sheetViews>
    <sheetView topLeftCell="A26" zoomScaleNormal="100" workbookViewId="0">
      <selection activeCell="A48" sqref="A48"/>
    </sheetView>
  </sheetViews>
  <sheetFormatPr baseColWidth="10" defaultColWidth="11.3984375" defaultRowHeight="13"/>
  <cols>
    <col min="1" max="1" width="15.796875" style="3" customWidth="1"/>
    <col min="2" max="2" width="12.796875" style="396" customWidth="1"/>
    <col min="3" max="3" width="11" style="396" customWidth="1"/>
    <col min="4" max="4" width="10.59765625" style="396" customWidth="1"/>
    <col min="5" max="6" width="11" style="396" customWidth="1"/>
    <col min="7" max="7" width="11.59765625" style="396" customWidth="1"/>
    <col min="8" max="8" width="11" style="396" customWidth="1"/>
    <col min="9" max="9" width="11.59765625" style="119" customWidth="1"/>
    <col min="10" max="10" width="9.59765625" style="396" customWidth="1"/>
    <col min="11" max="11" width="11" style="396" customWidth="1"/>
    <col min="12" max="13" width="4.59765625" style="3" customWidth="1"/>
    <col min="14" max="16384" width="11.3984375" style="3"/>
  </cols>
  <sheetData>
    <row r="1" spans="1:11" s="2" customFormat="1" ht="14" customHeight="1">
      <c r="A1" s="121"/>
      <c r="B1" s="1286"/>
      <c r="C1" s="1286"/>
      <c r="D1" s="1286"/>
      <c r="E1" s="1286"/>
      <c r="F1" s="1286"/>
      <c r="G1" s="1286"/>
      <c r="H1" s="1286"/>
      <c r="I1" s="1401"/>
      <c r="J1" s="1286"/>
      <c r="K1" s="1286"/>
    </row>
    <row r="2" spans="1:11" s="2" customFormat="1" ht="27" customHeight="1">
      <c r="A2" s="122" t="s">
        <v>2150</v>
      </c>
      <c r="B2" s="1286"/>
      <c r="C2" s="1286"/>
      <c r="D2" s="1286"/>
      <c r="E2" s="1286"/>
      <c r="F2" s="1286"/>
      <c r="G2" s="1286"/>
      <c r="H2" s="1286"/>
      <c r="I2" s="207">
        <v>2011</v>
      </c>
      <c r="J2" s="1286"/>
    </row>
    <row r="3" spans="1:11" ht="27" customHeight="1">
      <c r="A3" s="1096" t="s">
        <v>191</v>
      </c>
      <c r="B3" s="1066" t="s">
        <v>1842</v>
      </c>
      <c r="C3" s="1392" t="s">
        <v>2151</v>
      </c>
      <c r="D3" s="1066" t="s">
        <v>2151</v>
      </c>
      <c r="E3" s="1392" t="s">
        <v>278</v>
      </c>
      <c r="F3" s="1066" t="s">
        <v>2133</v>
      </c>
      <c r="G3" s="1392" t="s">
        <v>1986</v>
      </c>
      <c r="H3" s="1402" t="s">
        <v>2152</v>
      </c>
      <c r="I3" s="1392" t="s">
        <v>2135</v>
      </c>
      <c r="J3" s="3"/>
      <c r="K3" s="3"/>
    </row>
    <row r="4" spans="1:11" ht="21.75" customHeight="1">
      <c r="A4" s="184"/>
      <c r="B4" s="1067" t="s">
        <v>2136</v>
      </c>
      <c r="C4" s="1296" t="s">
        <v>2153</v>
      </c>
      <c r="D4" s="1067" t="s">
        <v>2154</v>
      </c>
      <c r="E4" s="1296" t="s">
        <v>2155</v>
      </c>
      <c r="F4" s="1067" t="s">
        <v>2156</v>
      </c>
      <c r="G4" s="1296" t="s">
        <v>2139</v>
      </c>
      <c r="H4" s="1403" t="s">
        <v>2157</v>
      </c>
      <c r="I4" s="1296" t="s">
        <v>2140</v>
      </c>
      <c r="J4" s="3"/>
      <c r="K4" s="3"/>
    </row>
    <row r="5" spans="1:11" ht="20.25" customHeight="1">
      <c r="A5" s="184"/>
      <c r="B5" s="1067" t="s">
        <v>2141</v>
      </c>
      <c r="C5" s="1296" t="s">
        <v>2158</v>
      </c>
      <c r="D5" s="1067" t="s">
        <v>2159</v>
      </c>
      <c r="E5" s="1296" t="s">
        <v>2160</v>
      </c>
      <c r="F5" s="1067"/>
      <c r="G5" s="1296" t="s">
        <v>2161</v>
      </c>
      <c r="H5" s="1403" t="s">
        <v>2162</v>
      </c>
      <c r="I5" s="1296" t="s">
        <v>2163</v>
      </c>
      <c r="J5" s="3"/>
      <c r="K5" s="3"/>
    </row>
    <row r="6" spans="1:11" ht="19.5" customHeight="1">
      <c r="A6" s="184"/>
      <c r="B6" s="1067" t="s">
        <v>2144</v>
      </c>
      <c r="C6" s="1296" t="s">
        <v>2164</v>
      </c>
      <c r="D6" s="1067" t="s">
        <v>2165</v>
      </c>
      <c r="E6" s="1296" t="s">
        <v>2166</v>
      </c>
      <c r="F6" s="1067"/>
      <c r="G6" s="1296"/>
      <c r="H6" s="1403"/>
      <c r="I6" s="1296"/>
      <c r="J6" s="3"/>
      <c r="K6" s="3"/>
    </row>
    <row r="7" spans="1:11" ht="14.25" customHeight="1">
      <c r="A7" s="184"/>
      <c r="B7" s="321"/>
      <c r="C7" s="919"/>
      <c r="D7" s="321"/>
      <c r="E7" s="919"/>
      <c r="F7" s="321"/>
      <c r="G7" s="919"/>
      <c r="H7" s="321"/>
      <c r="I7" s="919"/>
      <c r="J7" s="3"/>
      <c r="K7" s="3"/>
    </row>
    <row r="8" spans="1:11" ht="30" customHeight="1" thickBot="1">
      <c r="A8" s="1300" t="s">
        <v>362</v>
      </c>
      <c r="B8" s="410">
        <v>1382732</v>
      </c>
      <c r="C8" s="411">
        <v>1288</v>
      </c>
      <c r="D8" s="410">
        <v>2069</v>
      </c>
      <c r="E8" s="411">
        <v>3357</v>
      </c>
      <c r="F8" s="1404">
        <v>2.4278023507085975</v>
      </c>
      <c r="G8" s="229">
        <v>226</v>
      </c>
      <c r="H8" s="1405">
        <v>2</v>
      </c>
      <c r="I8" s="1406">
        <v>1.6344454312187755</v>
      </c>
      <c r="J8" s="3"/>
      <c r="K8" s="3"/>
    </row>
    <row r="9" spans="1:11" ht="18" customHeight="1" thickBot="1">
      <c r="A9" s="324" t="s">
        <v>363</v>
      </c>
      <c r="B9" s="195">
        <v>982424</v>
      </c>
      <c r="C9" s="196">
        <v>918</v>
      </c>
      <c r="D9" s="195">
        <v>1137</v>
      </c>
      <c r="E9" s="196">
        <v>2055</v>
      </c>
      <c r="F9" s="1407">
        <v>2.0917648591646785</v>
      </c>
      <c r="G9" s="1408">
        <v>172</v>
      </c>
      <c r="H9" s="1409">
        <v>2</v>
      </c>
      <c r="I9" s="1410">
        <v>1.7507715609553511</v>
      </c>
      <c r="J9" s="3"/>
      <c r="K9" s="3"/>
    </row>
    <row r="10" spans="1:11" ht="18" customHeight="1" thickBot="1">
      <c r="A10" s="324" t="s">
        <v>364</v>
      </c>
      <c r="B10" s="195">
        <v>379788</v>
      </c>
      <c r="C10" s="196">
        <v>282</v>
      </c>
      <c r="D10" s="195">
        <v>291</v>
      </c>
      <c r="E10" s="196">
        <v>573</v>
      </c>
      <c r="F10" s="1407">
        <v>1.5087364529684983</v>
      </c>
      <c r="G10" s="1408">
        <v>34</v>
      </c>
      <c r="H10" s="1409">
        <v>1</v>
      </c>
      <c r="I10" s="1410">
        <v>0.89523628971952773</v>
      </c>
      <c r="J10" s="3"/>
      <c r="K10" s="3"/>
    </row>
    <row r="11" spans="1:11" ht="18" customHeight="1" thickBot="1">
      <c r="A11" s="324" t="s">
        <v>365</v>
      </c>
      <c r="B11" s="195">
        <v>35402</v>
      </c>
      <c r="C11" s="196">
        <v>23</v>
      </c>
      <c r="D11" s="195">
        <v>11</v>
      </c>
      <c r="E11" s="196">
        <v>34</v>
      </c>
      <c r="F11" s="1407">
        <v>0.96039771764307102</v>
      </c>
      <c r="G11" s="1408">
        <v>3</v>
      </c>
      <c r="H11" s="1409">
        <v>1</v>
      </c>
      <c r="I11" s="1410">
        <v>0.84740975086153314</v>
      </c>
      <c r="J11" s="3"/>
      <c r="K11" s="3"/>
    </row>
    <row r="12" spans="1:11" ht="18" customHeight="1" thickBot="1">
      <c r="A12" s="324" t="s">
        <v>366</v>
      </c>
      <c r="B12" s="195">
        <v>147317</v>
      </c>
      <c r="C12" s="196">
        <v>107</v>
      </c>
      <c r="D12" s="195">
        <v>86</v>
      </c>
      <c r="E12" s="196">
        <v>193</v>
      </c>
      <c r="F12" s="1407">
        <v>1.3100999884602591</v>
      </c>
      <c r="G12" s="1408">
        <v>12</v>
      </c>
      <c r="H12" s="1409">
        <v>1</v>
      </c>
      <c r="I12" s="1410">
        <v>0.81456994101156011</v>
      </c>
      <c r="J12" s="3"/>
      <c r="K12" s="3"/>
    </row>
    <row r="13" spans="1:11" ht="18" customHeight="1" thickBot="1">
      <c r="A13" s="324" t="s">
        <v>367</v>
      </c>
      <c r="B13" s="195">
        <v>35735</v>
      </c>
      <c r="C13" s="196">
        <v>28</v>
      </c>
      <c r="D13" s="195">
        <v>13</v>
      </c>
      <c r="E13" s="196">
        <v>41</v>
      </c>
      <c r="F13" s="1407">
        <v>1.1473345459633413</v>
      </c>
      <c r="G13" s="1408">
        <v>3</v>
      </c>
      <c r="H13" s="1409">
        <v>1</v>
      </c>
      <c r="I13" s="1410">
        <v>0.83951308241220091</v>
      </c>
      <c r="J13" s="3"/>
      <c r="K13" s="3"/>
    </row>
    <row r="14" spans="1:11" ht="18" customHeight="1" thickBot="1">
      <c r="A14" s="324" t="s">
        <v>368</v>
      </c>
      <c r="B14" s="195">
        <v>41167.5</v>
      </c>
      <c r="C14" s="196">
        <v>24</v>
      </c>
      <c r="D14" s="195">
        <v>24</v>
      </c>
      <c r="E14" s="196">
        <v>48</v>
      </c>
      <c r="F14" s="1407">
        <v>1.1659683002368373</v>
      </c>
      <c r="G14" s="1408">
        <v>3</v>
      </c>
      <c r="H14" s="1409">
        <v>1</v>
      </c>
      <c r="I14" s="1410">
        <v>0.72873018764802322</v>
      </c>
      <c r="J14" s="3"/>
      <c r="K14" s="3"/>
    </row>
    <row r="15" spans="1:11" ht="18" customHeight="1" thickBot="1">
      <c r="A15" s="324" t="s">
        <v>369</v>
      </c>
      <c r="B15" s="195">
        <v>38912.5</v>
      </c>
      <c r="C15" s="196">
        <v>32</v>
      </c>
      <c r="D15" s="195">
        <v>25</v>
      </c>
      <c r="E15" s="196">
        <v>57</v>
      </c>
      <c r="F15" s="1407">
        <v>1.4648249277224541</v>
      </c>
      <c r="G15" s="1408">
        <v>2</v>
      </c>
      <c r="H15" s="1409">
        <v>1</v>
      </c>
      <c r="I15" s="1410">
        <v>0.51397365884998392</v>
      </c>
      <c r="J15" s="3"/>
      <c r="K15" s="3"/>
    </row>
    <row r="16" spans="1:11" ht="18" customHeight="1" thickBot="1">
      <c r="A16" s="324" t="s">
        <v>370</v>
      </c>
      <c r="B16" s="195">
        <v>114104.5</v>
      </c>
      <c r="C16" s="196">
        <v>97</v>
      </c>
      <c r="D16" s="195">
        <v>130</v>
      </c>
      <c r="E16" s="196">
        <v>227</v>
      </c>
      <c r="F16" s="1407">
        <v>1.9894044494301277</v>
      </c>
      <c r="G16" s="1408">
        <v>13</v>
      </c>
      <c r="H16" s="1409">
        <v>1</v>
      </c>
      <c r="I16" s="1410">
        <v>1.1393065128895004</v>
      </c>
      <c r="J16" s="3"/>
      <c r="K16" s="3"/>
    </row>
    <row r="17" spans="1:11" ht="18" customHeight="1" thickBot="1">
      <c r="A17" s="324" t="s">
        <v>371</v>
      </c>
      <c r="B17" s="195">
        <v>281580.5</v>
      </c>
      <c r="C17" s="196">
        <v>164</v>
      </c>
      <c r="D17" s="195">
        <v>217</v>
      </c>
      <c r="E17" s="196">
        <v>381</v>
      </c>
      <c r="F17" s="1407">
        <v>1.3530766512595866</v>
      </c>
      <c r="G17" s="1408">
        <v>70</v>
      </c>
      <c r="H17" s="1409">
        <v>2</v>
      </c>
      <c r="I17" s="1410">
        <v>2.4859676007393978</v>
      </c>
      <c r="J17" s="3"/>
      <c r="K17" s="3"/>
    </row>
    <row r="18" spans="1:11" ht="18" customHeight="1" thickBot="1">
      <c r="A18" s="324" t="s">
        <v>372</v>
      </c>
      <c r="B18" s="195">
        <v>256137</v>
      </c>
      <c r="C18" s="196">
        <v>218</v>
      </c>
      <c r="D18" s="195">
        <v>192</v>
      </c>
      <c r="E18" s="196">
        <v>410</v>
      </c>
      <c r="F18" s="1407">
        <v>1.6007058722480547</v>
      </c>
      <c r="G18" s="1408">
        <v>28</v>
      </c>
      <c r="H18" s="1409">
        <v>1</v>
      </c>
      <c r="I18" s="1410">
        <v>1.0931649859255008</v>
      </c>
      <c r="J18" s="3"/>
      <c r="K18" s="3"/>
    </row>
    <row r="19" spans="1:11" ht="18" customHeight="1" thickBot="1">
      <c r="A19" s="324" t="s">
        <v>373</v>
      </c>
      <c r="B19" s="195">
        <v>185602.5</v>
      </c>
      <c r="C19" s="196">
        <v>243</v>
      </c>
      <c r="D19" s="195">
        <v>506</v>
      </c>
      <c r="E19" s="196">
        <v>749</v>
      </c>
      <c r="F19" s="1407">
        <v>4.0355059872577144</v>
      </c>
      <c r="G19" s="1408">
        <v>75</v>
      </c>
      <c r="H19" s="1409">
        <v>3</v>
      </c>
      <c r="I19" s="1410">
        <v>4.0408938457186734</v>
      </c>
      <c r="J19" s="3"/>
      <c r="K19" s="3"/>
    </row>
    <row r="20" spans="1:11" ht="18" customHeight="1" thickBot="1">
      <c r="A20" s="324" t="s">
        <v>374</v>
      </c>
      <c r="B20" s="195">
        <v>274882</v>
      </c>
      <c r="C20" s="196">
        <v>246</v>
      </c>
      <c r="D20" s="195">
        <v>352</v>
      </c>
      <c r="E20" s="196">
        <v>598</v>
      </c>
      <c r="F20" s="1407">
        <v>2.1754789327784283</v>
      </c>
      <c r="G20" s="1408">
        <v>43</v>
      </c>
      <c r="H20" s="1409">
        <v>1</v>
      </c>
      <c r="I20" s="1410">
        <v>1.5643075938038866</v>
      </c>
      <c r="J20" s="3"/>
      <c r="K20" s="3"/>
    </row>
    <row r="21" spans="1:11" ht="18" customHeight="1" thickBot="1">
      <c r="A21" s="324" t="s">
        <v>375</v>
      </c>
      <c r="B21" s="195">
        <v>76747.5</v>
      </c>
      <c r="C21" s="196">
        <v>73</v>
      </c>
      <c r="D21" s="195">
        <v>77</v>
      </c>
      <c r="E21" s="196">
        <v>150</v>
      </c>
      <c r="F21" s="1407">
        <v>1.954461057363432</v>
      </c>
      <c r="G21" s="1408">
        <v>13</v>
      </c>
      <c r="H21" s="1409">
        <v>2</v>
      </c>
      <c r="I21" s="1410">
        <v>1.6938662497149746</v>
      </c>
      <c r="J21" s="3"/>
      <c r="K21" s="3"/>
    </row>
    <row r="22" spans="1:11" ht="18" customHeight="1" thickBot="1">
      <c r="A22" s="324" t="s">
        <v>376</v>
      </c>
      <c r="B22" s="195">
        <v>53165</v>
      </c>
      <c r="C22" s="196">
        <v>45</v>
      </c>
      <c r="D22" s="195">
        <v>38</v>
      </c>
      <c r="E22" s="196">
        <v>83</v>
      </c>
      <c r="F22" s="1407">
        <v>1.5611774663782563</v>
      </c>
      <c r="G22" s="1408">
        <v>6</v>
      </c>
      <c r="H22" s="1409">
        <v>1</v>
      </c>
      <c r="I22" s="1410">
        <v>1.1285620238878962</v>
      </c>
      <c r="J22" s="3"/>
      <c r="K22" s="3"/>
    </row>
    <row r="23" spans="1:11" ht="18" customHeight="1" thickBot="1">
      <c r="A23" s="324" t="s">
        <v>377</v>
      </c>
      <c r="B23" s="195">
        <v>15715.5</v>
      </c>
      <c r="C23" s="196">
        <v>12</v>
      </c>
      <c r="D23" s="195">
        <v>4</v>
      </c>
      <c r="E23" s="196">
        <v>16</v>
      </c>
      <c r="F23" s="1407">
        <v>1.0181031465750372</v>
      </c>
      <c r="G23" s="1408">
        <v>1</v>
      </c>
      <c r="H23" s="1409">
        <v>1</v>
      </c>
      <c r="I23" s="1410">
        <v>0.63631446660939828</v>
      </c>
      <c r="J23" s="3"/>
      <c r="K23" s="3"/>
    </row>
    <row r="24" spans="1:11" ht="18" customHeight="1" thickBot="1">
      <c r="A24" s="324" t="s">
        <v>378</v>
      </c>
      <c r="B24" s="195">
        <v>481031.5</v>
      </c>
      <c r="C24" s="196">
        <v>384</v>
      </c>
      <c r="D24" s="195">
        <v>431</v>
      </c>
      <c r="E24" s="196">
        <v>815</v>
      </c>
      <c r="F24" s="1407">
        <v>1.694275738699025</v>
      </c>
      <c r="G24" s="1408">
        <v>51</v>
      </c>
      <c r="H24" s="1409">
        <v>1</v>
      </c>
      <c r="I24" s="1410">
        <v>1.0602216278975494</v>
      </c>
      <c r="J24" s="3"/>
      <c r="K24" s="3"/>
    </row>
    <row r="25" spans="1:11" ht="18" customHeight="1" thickBot="1">
      <c r="A25" s="324" t="s">
        <v>379</v>
      </c>
      <c r="B25" s="195">
        <v>193004.5</v>
      </c>
      <c r="C25" s="196">
        <v>195</v>
      </c>
      <c r="D25" s="195">
        <v>134</v>
      </c>
      <c r="E25" s="196">
        <v>329</v>
      </c>
      <c r="F25" s="1407">
        <v>1.7046234673284821</v>
      </c>
      <c r="G25" s="1408">
        <v>43</v>
      </c>
      <c r="H25" s="1409">
        <v>2</v>
      </c>
      <c r="I25" s="1410">
        <v>2.2279273281192924</v>
      </c>
      <c r="J25" s="3"/>
      <c r="K25" s="3"/>
    </row>
    <row r="26" spans="1:11" ht="18" customHeight="1" thickBot="1">
      <c r="A26" s="324" t="s">
        <v>380</v>
      </c>
      <c r="B26" s="195">
        <v>614882</v>
      </c>
      <c r="C26" s="196">
        <v>405</v>
      </c>
      <c r="D26" s="195">
        <v>553</v>
      </c>
      <c r="E26" s="196">
        <v>958</v>
      </c>
      <c r="F26" s="1407">
        <v>1.5580225148890356</v>
      </c>
      <c r="G26" s="1408">
        <v>115</v>
      </c>
      <c r="H26" s="1409">
        <v>2</v>
      </c>
      <c r="I26" s="1410">
        <v>1.8702775491882997</v>
      </c>
      <c r="J26" s="3"/>
      <c r="K26" s="3"/>
    </row>
    <row r="27" spans="1:11" ht="18" customHeight="1" thickBot="1">
      <c r="A27" s="324" t="s">
        <v>381</v>
      </c>
      <c r="B27" s="195">
        <v>250208.5</v>
      </c>
      <c r="C27" s="196">
        <v>184</v>
      </c>
      <c r="D27" s="195">
        <v>173</v>
      </c>
      <c r="E27" s="196">
        <v>357</v>
      </c>
      <c r="F27" s="1407">
        <v>1.4268100404262845</v>
      </c>
      <c r="G27" s="1408">
        <v>25</v>
      </c>
      <c r="H27" s="1409">
        <v>1</v>
      </c>
      <c r="I27" s="1410">
        <v>0.99916669497638966</v>
      </c>
      <c r="J27" s="3"/>
      <c r="K27" s="3"/>
    </row>
    <row r="28" spans="1:11" ht="18" customHeight="1" thickBot="1">
      <c r="A28" s="324" t="s">
        <v>382</v>
      </c>
      <c r="B28" s="195">
        <v>335348</v>
      </c>
      <c r="C28" s="196">
        <v>288</v>
      </c>
      <c r="D28" s="195">
        <v>367</v>
      </c>
      <c r="E28" s="196">
        <v>655</v>
      </c>
      <c r="F28" s="1407">
        <v>1.9531948900843301</v>
      </c>
      <c r="G28" s="1408">
        <v>192</v>
      </c>
      <c r="H28" s="1409">
        <v>3</v>
      </c>
      <c r="I28" s="1410">
        <v>5.7253957083387998</v>
      </c>
      <c r="J28" s="3"/>
      <c r="K28" s="3"/>
    </row>
    <row r="29" spans="1:11" ht="18" customHeight="1" thickBot="1">
      <c r="A29" s="324" t="s">
        <v>383</v>
      </c>
      <c r="B29" s="195">
        <v>719612.5</v>
      </c>
      <c r="C29" s="196">
        <v>615</v>
      </c>
      <c r="D29" s="195">
        <v>1076</v>
      </c>
      <c r="E29" s="196">
        <v>1691</v>
      </c>
      <c r="F29" s="1407">
        <v>2.3498758012124581</v>
      </c>
      <c r="G29" s="1408">
        <v>247</v>
      </c>
      <c r="H29" s="1409">
        <v>3</v>
      </c>
      <c r="I29" s="1410">
        <v>3.4324028557035904</v>
      </c>
      <c r="J29" s="3"/>
      <c r="K29" s="3"/>
    </row>
    <row r="30" spans="1:11" ht="18" customHeight="1" thickBot="1">
      <c r="A30" s="324" t="s">
        <v>384</v>
      </c>
      <c r="B30" s="195">
        <v>314853</v>
      </c>
      <c r="C30" s="196">
        <v>229</v>
      </c>
      <c r="D30" s="195">
        <v>237</v>
      </c>
      <c r="E30" s="196">
        <v>466</v>
      </c>
      <c r="F30" s="1407">
        <v>1.4800557720587069</v>
      </c>
      <c r="G30" s="1408">
        <v>116</v>
      </c>
      <c r="H30" s="1409">
        <v>2</v>
      </c>
      <c r="I30" s="1410">
        <v>3.6842590034079397</v>
      </c>
      <c r="J30" s="3"/>
      <c r="K30" s="3"/>
    </row>
    <row r="31" spans="1:11" ht="18" customHeight="1" thickBot="1">
      <c r="A31" s="324" t="s">
        <v>385</v>
      </c>
      <c r="B31" s="195">
        <v>172634</v>
      </c>
      <c r="C31" s="196">
        <v>156</v>
      </c>
      <c r="D31" s="195">
        <v>179</v>
      </c>
      <c r="E31" s="196">
        <v>335</v>
      </c>
      <c r="F31" s="1407">
        <v>1.9405215658560886</v>
      </c>
      <c r="G31" s="1408">
        <v>57</v>
      </c>
      <c r="H31" s="1409">
        <v>3</v>
      </c>
      <c r="I31" s="1410">
        <v>3.301782962799912</v>
      </c>
      <c r="J31" s="3"/>
      <c r="K31" s="3"/>
    </row>
    <row r="32" spans="1:11" ht="18" customHeight="1" thickBot="1">
      <c r="A32" s="324" t="s">
        <v>386</v>
      </c>
      <c r="B32" s="195">
        <v>459124.5</v>
      </c>
      <c r="C32" s="196">
        <v>502</v>
      </c>
      <c r="D32" s="195">
        <v>1049</v>
      </c>
      <c r="E32" s="196">
        <v>1551</v>
      </c>
      <c r="F32" s="1407">
        <v>3.3781686666688446</v>
      </c>
      <c r="G32" s="1408">
        <v>173</v>
      </c>
      <c r="H32" s="1409">
        <v>3</v>
      </c>
      <c r="I32" s="1410">
        <v>3.7680411304559005</v>
      </c>
      <c r="J32" s="3"/>
      <c r="K32" s="3"/>
    </row>
    <row r="33" spans="1:11" ht="18" customHeight="1" thickBot="1">
      <c r="A33" s="324" t="s">
        <v>387</v>
      </c>
      <c r="B33" s="195">
        <v>70287</v>
      </c>
      <c r="C33" s="196">
        <v>52</v>
      </c>
      <c r="D33" s="195">
        <v>51</v>
      </c>
      <c r="E33" s="196">
        <v>103</v>
      </c>
      <c r="F33" s="1407">
        <v>1.4654203480017642</v>
      </c>
      <c r="G33" s="1408">
        <v>20</v>
      </c>
      <c r="H33" s="1409">
        <v>2</v>
      </c>
      <c r="I33" s="1410">
        <v>2.8454764038869205</v>
      </c>
      <c r="J33" s="3"/>
      <c r="K33" s="3"/>
    </row>
    <row r="34" spans="1:11" ht="30" customHeight="1" thickBot="1">
      <c r="A34" s="326" t="s">
        <v>444</v>
      </c>
      <c r="B34" s="199">
        <v>7912398</v>
      </c>
      <c r="C34" s="200">
        <v>6810</v>
      </c>
      <c r="D34" s="199">
        <v>9422</v>
      </c>
      <c r="E34" s="200">
        <v>16232</v>
      </c>
      <c r="F34" s="1411">
        <v>2.0514640441494474</v>
      </c>
      <c r="G34" s="1412">
        <v>1743</v>
      </c>
      <c r="H34" s="1413" t="s">
        <v>30</v>
      </c>
      <c r="I34" s="1414">
        <v>2.2028719991082348</v>
      </c>
      <c r="J34" s="115"/>
      <c r="K34" s="115"/>
    </row>
    <row r="35" spans="1:11" ht="17.5" customHeight="1">
      <c r="A35" s="1287" t="s">
        <v>2399</v>
      </c>
      <c r="B35" s="1288"/>
      <c r="C35" s="1288"/>
      <c r="D35" s="1288"/>
      <c r="E35" s="1288"/>
      <c r="F35" s="1288"/>
      <c r="G35" s="1288"/>
      <c r="H35" s="1288"/>
      <c r="I35" s="1415"/>
      <c r="J35" s="1152"/>
      <c r="K35" s="1152"/>
    </row>
    <row r="36" spans="1:11" ht="13.75" customHeight="1">
      <c r="A36" s="1289"/>
      <c r="B36" s="1152"/>
      <c r="C36" s="1152"/>
      <c r="D36" s="1152"/>
      <c r="E36" s="1152"/>
      <c r="F36" s="1152"/>
      <c r="G36" s="1152"/>
      <c r="H36" s="1152"/>
      <c r="I36" s="1416"/>
      <c r="J36" s="1152"/>
      <c r="K36" s="1152"/>
    </row>
    <row r="37" spans="1:11" ht="12" customHeight="1">
      <c r="A37" s="115" t="s">
        <v>2167</v>
      </c>
      <c r="B37" s="1152"/>
      <c r="C37" s="1152"/>
      <c r="D37" s="1152"/>
      <c r="E37" s="1152"/>
      <c r="F37" s="1152"/>
      <c r="G37" s="1152"/>
      <c r="H37" s="1152"/>
      <c r="I37" s="1416"/>
      <c r="J37" s="1152"/>
      <c r="K37" s="1152"/>
    </row>
    <row r="38" spans="1:11" ht="12" customHeight="1">
      <c r="A38" s="115" t="s">
        <v>2168</v>
      </c>
      <c r="B38" s="1152"/>
      <c r="C38" s="1152"/>
      <c r="D38" s="1152"/>
      <c r="E38" s="1152"/>
      <c r="F38" s="1152"/>
      <c r="G38" s="1152"/>
      <c r="H38" s="1152"/>
      <c r="I38" s="1416"/>
      <c r="J38" s="1152"/>
      <c r="K38" s="1152"/>
    </row>
    <row r="39" spans="1:11" ht="13.75" customHeight="1">
      <c r="A39" s="1289" t="s">
        <v>2169</v>
      </c>
      <c r="B39" s="1152"/>
      <c r="C39" s="1152"/>
      <c r="D39" s="1152"/>
      <c r="E39" s="1152"/>
      <c r="F39" s="1152"/>
      <c r="G39" s="1152"/>
      <c r="H39" s="1152"/>
      <c r="I39" s="1416"/>
      <c r="J39" s="1152"/>
      <c r="K39" s="1152"/>
    </row>
    <row r="40" spans="1:11" ht="12" customHeight="1">
      <c r="A40" s="1289" t="s">
        <v>2170</v>
      </c>
      <c r="B40" s="1152"/>
      <c r="C40" s="1152"/>
      <c r="D40" s="1152"/>
      <c r="E40" s="1152"/>
      <c r="F40" s="1152"/>
      <c r="G40" s="1152"/>
      <c r="H40" s="1152"/>
      <c r="I40" s="1416"/>
      <c r="J40" s="1152"/>
      <c r="K40" s="1152"/>
    </row>
    <row r="41" spans="1:11" ht="12" customHeight="1">
      <c r="A41" s="1289" t="s">
        <v>2171</v>
      </c>
      <c r="B41" s="1152"/>
      <c r="C41" s="1152"/>
      <c r="D41" s="1152"/>
      <c r="E41" s="1152"/>
      <c r="F41" s="1152"/>
      <c r="G41" s="1152"/>
      <c r="H41" s="1152"/>
      <c r="I41" s="1416"/>
      <c r="J41" s="1152"/>
      <c r="K41" s="1152"/>
    </row>
    <row r="42" spans="1:11" ht="13.75" customHeight="1">
      <c r="A42" s="1289" t="s">
        <v>2172</v>
      </c>
      <c r="B42" s="1152"/>
      <c r="C42" s="1152"/>
      <c r="D42" s="1152"/>
      <c r="E42" s="1152"/>
      <c r="F42" s="1152"/>
      <c r="G42" s="1152"/>
      <c r="H42" s="1152"/>
      <c r="I42" s="1416"/>
      <c r="J42" s="1152"/>
      <c r="K42" s="1152"/>
    </row>
    <row r="43" spans="1:11" ht="13.25" customHeight="1">
      <c r="A43" s="1289" t="s">
        <v>2146</v>
      </c>
      <c r="B43" s="1152"/>
      <c r="C43" s="1152"/>
      <c r="D43" s="1152"/>
      <c r="E43" s="1152"/>
      <c r="F43" s="1152"/>
      <c r="G43" s="1152"/>
      <c r="H43" s="1152"/>
      <c r="I43" s="1416"/>
      <c r="J43" s="1152"/>
      <c r="K43" s="1152"/>
    </row>
    <row r="44" spans="1:11" ht="12.5" customHeight="1">
      <c r="A44" s="1289" t="s">
        <v>2173</v>
      </c>
      <c r="B44" s="1152"/>
      <c r="C44" s="1152"/>
      <c r="D44" s="1152"/>
      <c r="E44" s="1152"/>
      <c r="F44" s="1152"/>
      <c r="G44" s="1152"/>
      <c r="H44" s="1152"/>
      <c r="I44" s="1416"/>
      <c r="J44" s="1152"/>
      <c r="K44" s="1152"/>
    </row>
    <row r="45" spans="1:11" ht="12" customHeight="1">
      <c r="A45" s="1289" t="s">
        <v>2174</v>
      </c>
      <c r="B45" s="1152"/>
      <c r="C45" s="1152"/>
      <c r="D45" s="1152"/>
      <c r="E45" s="1152"/>
      <c r="F45" s="1152"/>
      <c r="G45" s="1152"/>
      <c r="H45" s="1152"/>
      <c r="I45" s="1416"/>
      <c r="J45" s="1152"/>
      <c r="K45" s="1152"/>
    </row>
    <row r="46" spans="1:11" ht="13.75" customHeight="1">
      <c r="A46" s="1289" t="s">
        <v>2175</v>
      </c>
      <c r="B46" s="1152"/>
      <c r="C46" s="1152"/>
      <c r="D46" s="1152"/>
      <c r="E46" s="1152"/>
      <c r="F46" s="1152"/>
      <c r="G46" s="1152"/>
      <c r="H46" s="1152"/>
      <c r="I46" s="1416"/>
      <c r="J46" s="1152"/>
      <c r="K46" s="1152"/>
    </row>
    <row r="47" spans="1:11" ht="13.75" customHeight="1">
      <c r="A47" s="1289" t="s">
        <v>2176</v>
      </c>
      <c r="B47" s="1152"/>
      <c r="C47" s="1152"/>
      <c r="D47" s="1152"/>
      <c r="E47" s="1152"/>
      <c r="F47" s="1152"/>
      <c r="G47" s="1152"/>
      <c r="H47" s="1152"/>
      <c r="I47" s="1416"/>
      <c r="J47" s="1152"/>
      <c r="K47" s="1152"/>
    </row>
    <row r="48" spans="1:11" ht="12" customHeight="1">
      <c r="A48" s="1346" t="s">
        <v>2177</v>
      </c>
      <c r="B48" s="1152"/>
      <c r="C48" s="1152"/>
      <c r="D48" s="1152"/>
      <c r="E48" s="1152"/>
      <c r="F48" s="1152"/>
      <c r="G48" s="1152"/>
      <c r="H48" s="1152"/>
      <c r="I48" s="1416"/>
      <c r="J48" s="1152"/>
      <c r="K48" s="1152"/>
    </row>
    <row r="49" spans="1:11" ht="12" customHeight="1">
      <c r="A49" s="1289"/>
      <c r="B49" s="1152"/>
      <c r="C49" s="1152"/>
      <c r="D49" s="1152"/>
      <c r="E49" s="1152"/>
      <c r="F49" s="1152"/>
      <c r="G49" s="1152"/>
      <c r="H49" s="1152"/>
      <c r="I49" s="1416"/>
      <c r="J49" s="1152"/>
      <c r="K49" s="1152"/>
    </row>
    <row r="50" spans="1:11" ht="12" customHeight="1">
      <c r="A50" s="1289"/>
      <c r="B50" s="1152"/>
      <c r="C50" s="1152"/>
      <c r="D50" s="1152"/>
      <c r="E50" s="1152"/>
      <c r="F50" s="1152"/>
      <c r="G50" s="1152"/>
      <c r="H50" s="1152"/>
      <c r="I50" s="1416"/>
      <c r="J50" s="1152"/>
      <c r="K50" s="1152"/>
    </row>
    <row r="51" spans="1:11" ht="12" customHeight="1">
      <c r="A51" s="1289" t="s">
        <v>719</v>
      </c>
      <c r="B51" s="1152"/>
      <c r="C51" s="1152"/>
      <c r="D51" s="1152"/>
      <c r="E51" s="1152"/>
      <c r="F51" s="1152"/>
      <c r="G51" s="1152"/>
      <c r="H51" s="1152"/>
      <c r="I51" s="1416"/>
      <c r="J51" s="1152"/>
      <c r="K51" s="1152"/>
    </row>
    <row r="52" spans="1:11" ht="12" customHeight="1">
      <c r="A52" s="1289"/>
      <c r="B52" s="1152"/>
      <c r="C52" s="1152"/>
      <c r="D52" s="1152"/>
      <c r="E52" s="1152"/>
      <c r="F52" s="1152"/>
      <c r="G52" s="1152"/>
      <c r="H52" s="1152"/>
      <c r="I52" s="1416"/>
      <c r="J52" s="1152"/>
      <c r="K52" s="1152"/>
    </row>
    <row r="53" spans="1:11" ht="12" customHeight="1">
      <c r="A53" s="1346"/>
      <c r="B53" s="1302"/>
      <c r="C53" s="1302"/>
      <c r="D53" s="1302"/>
      <c r="E53" s="1302"/>
      <c r="F53" s="1302"/>
      <c r="G53" s="1302"/>
      <c r="H53" s="1302"/>
      <c r="I53" s="1417"/>
      <c r="J53" s="1302"/>
      <c r="K53" s="1302"/>
    </row>
    <row r="54" spans="1:11">
      <c r="A54" s="173"/>
      <c r="B54" s="1418"/>
      <c r="C54" s="1418"/>
      <c r="D54" s="1418"/>
      <c r="E54" s="1418"/>
      <c r="F54" s="1418"/>
      <c r="G54" s="1418"/>
      <c r="H54" s="1418"/>
      <c r="I54" s="808"/>
      <c r="J54" s="1418"/>
      <c r="K54" s="1418"/>
    </row>
  </sheetData>
  <pageMargins left="0.43307086614173229" right="0.43307086614173229" top="0.74803149606299213" bottom="0.47244094488188981" header="0.47244094488188981" footer="0.51181102362204722"/>
  <pageSetup paperSize="9" scale="82" orientation="portrait" horizontalDpi="1200" verticalDpi="1200"/>
  <headerFooter alignWithMargins="0"/>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6CE-89C8-AC49-B9D8-D08E6D75DA73}">
  <sheetPr>
    <pageSetUpPr fitToPage="1"/>
  </sheetPr>
  <dimension ref="A1:N43"/>
  <sheetViews>
    <sheetView zoomScaleNormal="100" workbookViewId="0">
      <selection activeCell="C22" sqref="C22"/>
    </sheetView>
  </sheetViews>
  <sheetFormatPr baseColWidth="10" defaultColWidth="11.3984375" defaultRowHeight="13"/>
  <cols>
    <col min="1" max="1" width="12.59765625" style="3" customWidth="1"/>
    <col min="2" max="2" width="13.796875" style="396" customWidth="1"/>
    <col min="3" max="3" width="14.19921875" style="396" customWidth="1"/>
    <col min="4" max="5" width="11.59765625" style="396" customWidth="1"/>
    <col min="6" max="6" width="14" style="396" customWidth="1"/>
    <col min="7" max="8" width="11.59765625" style="396" customWidth="1"/>
    <col min="9" max="9" width="14.3984375" style="396" customWidth="1"/>
    <col min="10" max="10" width="7.19921875" style="3" customWidth="1"/>
    <col min="11" max="16384" width="11.3984375" style="3"/>
  </cols>
  <sheetData>
    <row r="1" spans="1:9" s="2" customFormat="1" ht="14" customHeight="1">
      <c r="A1" s="121"/>
      <c r="B1" s="1286"/>
      <c r="C1" s="1286"/>
      <c r="D1" s="1286"/>
      <c r="E1" s="1286"/>
      <c r="F1" s="1286"/>
      <c r="G1" s="1286"/>
      <c r="H1" s="1286"/>
      <c r="I1" s="1286"/>
    </row>
    <row r="2" spans="1:9" s="2" customFormat="1" ht="25.75" customHeight="1">
      <c r="A2" s="1848" t="s">
        <v>2132</v>
      </c>
      <c r="B2" s="1847"/>
      <c r="C2" s="1847"/>
      <c r="D2" s="1847"/>
      <c r="E2" s="1847"/>
      <c r="F2" s="1847"/>
      <c r="G2" s="1847"/>
      <c r="H2" s="1847"/>
      <c r="I2" s="1847"/>
    </row>
    <row r="3" spans="1:9" ht="27" customHeight="1">
      <c r="A3" s="92" t="s">
        <v>469</v>
      </c>
      <c r="B3" s="182" t="s">
        <v>1842</v>
      </c>
      <c r="C3" s="94" t="s">
        <v>279</v>
      </c>
      <c r="D3" s="182" t="s">
        <v>1986</v>
      </c>
      <c r="E3" s="1392" t="s">
        <v>2133</v>
      </c>
      <c r="F3" s="304" t="s">
        <v>2134</v>
      </c>
      <c r="G3" s="183" t="s">
        <v>1986</v>
      </c>
      <c r="H3" s="182" t="s">
        <v>2135</v>
      </c>
      <c r="I3" s="94" t="s">
        <v>2134</v>
      </c>
    </row>
    <row r="4" spans="1:9" ht="17.25" customHeight="1">
      <c r="A4" s="184"/>
      <c r="B4" s="321" t="s">
        <v>2136</v>
      </c>
      <c r="C4" s="1117" t="s">
        <v>282</v>
      </c>
      <c r="D4" s="185" t="s">
        <v>2137</v>
      </c>
      <c r="E4" s="1393" t="s">
        <v>2138</v>
      </c>
      <c r="F4" s="211" t="s">
        <v>282</v>
      </c>
      <c r="G4" s="186" t="s">
        <v>2139</v>
      </c>
      <c r="H4" s="185" t="s">
        <v>2140</v>
      </c>
      <c r="I4" s="95" t="s">
        <v>282</v>
      </c>
    </row>
    <row r="5" spans="1:9" ht="18.75" customHeight="1">
      <c r="A5" s="184"/>
      <c r="B5" s="321" t="s">
        <v>2141</v>
      </c>
      <c r="C5" s="1117" t="s">
        <v>283</v>
      </c>
      <c r="D5" s="321"/>
      <c r="E5" s="919"/>
      <c r="F5" s="1132" t="s">
        <v>283</v>
      </c>
      <c r="G5" s="186" t="s">
        <v>2142</v>
      </c>
      <c r="H5" s="321" t="s">
        <v>2143</v>
      </c>
      <c r="I5" s="95" t="s">
        <v>283</v>
      </c>
    </row>
    <row r="6" spans="1:9" ht="21" customHeight="1">
      <c r="A6" s="408"/>
      <c r="B6" s="189" t="s">
        <v>2144</v>
      </c>
      <c r="C6" s="97"/>
      <c r="D6" s="189"/>
      <c r="E6" s="190"/>
      <c r="F6" s="213"/>
      <c r="G6" s="190"/>
      <c r="H6" s="189"/>
      <c r="I6" s="97"/>
    </row>
    <row r="7" spans="1:9" ht="1.5" customHeight="1" thickBot="1">
      <c r="A7" s="322">
        <v>1996</v>
      </c>
      <c r="B7" s="100">
        <v>7105446</v>
      </c>
      <c r="C7" s="101">
        <v>3.459706242723432E-3</v>
      </c>
      <c r="D7" s="100">
        <v>12711</v>
      </c>
      <c r="E7" s="1394">
        <v>1.7889095209505499</v>
      </c>
      <c r="F7" s="523">
        <v>2.7595951533686547E-2</v>
      </c>
      <c r="G7" s="193">
        <v>1649</v>
      </c>
      <c r="H7" s="1395">
        <v>2.3207550940503947</v>
      </c>
      <c r="I7" s="101">
        <v>1.4104900491136441E-3</v>
      </c>
    </row>
    <row r="8" spans="1:9" ht="0.75" customHeight="1" thickBot="1">
      <c r="A8" s="324">
        <v>1997</v>
      </c>
      <c r="B8" s="195">
        <v>7113565</v>
      </c>
      <c r="C8" s="197">
        <v>1.142644670017899E-3</v>
      </c>
      <c r="D8" s="195">
        <v>13038</v>
      </c>
      <c r="E8" s="1219">
        <v>1.8328362782936545</v>
      </c>
      <c r="F8" s="220">
        <v>2.4555046987375651E-2</v>
      </c>
      <c r="G8" s="196">
        <v>1651</v>
      </c>
      <c r="H8" s="1396">
        <v>2.3209178520193463</v>
      </c>
      <c r="I8" s="197">
        <v>7.0131471161527514E-5</v>
      </c>
    </row>
    <row r="9" spans="1:9" ht="18" hidden="1" customHeight="1" thickBot="1">
      <c r="A9" s="324">
        <v>1998</v>
      </c>
      <c r="B9" s="195">
        <v>7131888</v>
      </c>
      <c r="C9" s="197">
        <v>2.5757830286220764E-3</v>
      </c>
      <c r="D9" s="195">
        <v>13357</v>
      </c>
      <c r="E9" s="1219">
        <v>1.8728561076674226</v>
      </c>
      <c r="F9" s="220">
        <v>2.1834917743458249E-2</v>
      </c>
      <c r="G9" s="196">
        <v>1653</v>
      </c>
      <c r="H9" s="1396">
        <v>2.3177593366581193</v>
      </c>
      <c r="I9" s="197">
        <v>-1.3608906314710456E-3</v>
      </c>
    </row>
    <row r="10" spans="1:9" ht="18" hidden="1" customHeight="1" thickBot="1">
      <c r="A10" s="324">
        <v>1999</v>
      </c>
      <c r="B10" s="195">
        <v>7166738</v>
      </c>
      <c r="C10" s="197">
        <v>4.8865041066264644E-3</v>
      </c>
      <c r="D10" s="195">
        <v>13622</v>
      </c>
      <c r="E10" s="1219">
        <v>1.9007252671996662</v>
      </c>
      <c r="F10" s="220">
        <v>1.4880566327625466E-2</v>
      </c>
      <c r="G10" s="196">
        <v>1654</v>
      </c>
      <c r="H10" s="1396">
        <v>2.3078840052475758</v>
      </c>
      <c r="I10" s="197">
        <v>-4.260723386743992E-3</v>
      </c>
    </row>
    <row r="11" spans="1:9" ht="18" hidden="1" customHeight="1" thickBot="1">
      <c r="A11" s="324">
        <v>2000</v>
      </c>
      <c r="B11" s="195">
        <v>7209042</v>
      </c>
      <c r="C11" s="197">
        <v>5.9028249672305588E-3</v>
      </c>
      <c r="D11" s="195">
        <v>13935</v>
      </c>
      <c r="E11" s="1219">
        <v>1.9329891544535323</v>
      </c>
      <c r="F11" s="220">
        <v>1.6974513787255674E-2</v>
      </c>
      <c r="G11" s="196">
        <v>1664</v>
      </c>
      <c r="H11" s="1396">
        <v>2.3082123810625603</v>
      </c>
      <c r="I11" s="197">
        <v>1.4228436708174641E-4</v>
      </c>
    </row>
    <row r="12" spans="1:9" ht="18" customHeight="1" thickBot="1">
      <c r="A12" s="324">
        <v>2001</v>
      </c>
      <c r="B12" s="195">
        <v>7260339</v>
      </c>
      <c r="C12" s="197">
        <v>7.1156472663080617E-3</v>
      </c>
      <c r="D12" s="195">
        <v>14178</v>
      </c>
      <c r="E12" s="1219">
        <v>1.952801377456342</v>
      </c>
      <c r="F12" s="220">
        <v>1.0249526210306614E-2</v>
      </c>
      <c r="G12" s="196">
        <v>1653</v>
      </c>
      <c r="H12" s="1396">
        <v>2.2767531929294211</v>
      </c>
      <c r="I12" s="197">
        <v>-1.362924330154458E-2</v>
      </c>
    </row>
    <row r="13" spans="1:9" ht="18" customHeight="1" thickBot="1">
      <c r="A13" s="324">
        <v>2002</v>
      </c>
      <c r="B13" s="195">
        <v>7347770</v>
      </c>
      <c r="C13" s="197">
        <v>1.2042275160980775E-2</v>
      </c>
      <c r="D13" s="195">
        <v>14408</v>
      </c>
      <c r="E13" s="1219">
        <v>1.9608670385708864</v>
      </c>
      <c r="F13" s="220">
        <v>4.1303028601149538E-3</v>
      </c>
      <c r="G13" s="196">
        <v>1648</v>
      </c>
      <c r="H13" s="1396">
        <v>2.2428573567218355</v>
      </c>
      <c r="I13" s="197">
        <v>-1.4887795617395394E-2</v>
      </c>
    </row>
    <row r="14" spans="1:9" ht="18" customHeight="1" thickBot="1">
      <c r="A14" s="324">
        <v>2003</v>
      </c>
      <c r="B14" s="195">
        <v>7405051</v>
      </c>
      <c r="C14" s="197">
        <v>7.7956985588824908E-3</v>
      </c>
      <c r="D14" s="195">
        <v>14879</v>
      </c>
      <c r="E14" s="1219">
        <v>2.0093041898023394</v>
      </c>
      <c r="F14" s="220">
        <v>2.4701904962793897E-2</v>
      </c>
      <c r="G14" s="196">
        <v>1653</v>
      </c>
      <c r="H14" s="1396">
        <v>2.2322601154266191</v>
      </c>
      <c r="I14" s="197">
        <v>-4.7248842033830174E-3</v>
      </c>
    </row>
    <row r="15" spans="1:9" ht="18" customHeight="1" thickBot="1">
      <c r="A15" s="324">
        <v>2004</v>
      </c>
      <c r="B15" s="195">
        <v>7454112</v>
      </c>
      <c r="C15" s="197">
        <v>6.6253426208678374E-3</v>
      </c>
      <c r="D15" s="195">
        <v>15199</v>
      </c>
      <c r="E15" s="1219">
        <v>2.03900880480465</v>
      </c>
      <c r="F15" s="220">
        <v>1.4783533102189272E-2</v>
      </c>
      <c r="G15" s="196">
        <v>1656</v>
      </c>
      <c r="H15" s="1396">
        <v>2.2215925921155999</v>
      </c>
      <c r="I15" s="197">
        <v>-4.7787994048267279E-3</v>
      </c>
    </row>
    <row r="16" spans="1:9" ht="18" customHeight="1" thickBot="1">
      <c r="A16" s="324">
        <v>2005</v>
      </c>
      <c r="B16" s="195">
        <v>7501255</v>
      </c>
      <c r="C16" s="197">
        <v>6.3244287180015402E-3</v>
      </c>
      <c r="D16" s="195">
        <v>15313</v>
      </c>
      <c r="E16" s="1219">
        <v>2.0413917404487649</v>
      </c>
      <c r="F16" s="220">
        <v>1.1686735429978778E-3</v>
      </c>
      <c r="G16" s="196">
        <v>1672</v>
      </c>
      <c r="H16" s="1396">
        <v>2.2289603539674361</v>
      </c>
      <c r="I16" s="197">
        <v>3.3164324899102038E-3</v>
      </c>
    </row>
    <row r="17" spans="1:14" ht="18" customHeight="1" thickBot="1">
      <c r="A17" s="324">
        <v>2006</v>
      </c>
      <c r="B17" s="195">
        <v>7557609</v>
      </c>
      <c r="C17" s="197">
        <v>7.5126095566675488E-3</v>
      </c>
      <c r="D17" s="195">
        <v>15532</v>
      </c>
      <c r="E17" s="1219">
        <v>2.0551473356189769</v>
      </c>
      <c r="F17" s="220">
        <v>6.7383417389490496E-3</v>
      </c>
      <c r="G17" s="196">
        <v>1692</v>
      </c>
      <c r="H17" s="1396">
        <v>2.2388033040608479</v>
      </c>
      <c r="I17" s="197">
        <v>4.415937715487761E-3</v>
      </c>
    </row>
    <row r="18" spans="1:14" ht="18" customHeight="1" thickBot="1">
      <c r="A18" s="324">
        <v>2007</v>
      </c>
      <c r="B18" s="195">
        <v>7618599</v>
      </c>
      <c r="C18" s="197">
        <v>8.0700126190704768E-3</v>
      </c>
      <c r="D18" s="195">
        <v>15588</v>
      </c>
      <c r="E18" s="1219">
        <v>2.0460454737150493</v>
      </c>
      <c r="F18" s="220">
        <v>-4.4288123513958055E-3</v>
      </c>
      <c r="G18" s="196">
        <v>1700</v>
      </c>
      <c r="H18" s="1396">
        <v>2.2313813865252654</v>
      </c>
      <c r="I18" s="197">
        <v>-3.3151271137219496E-3</v>
      </c>
    </row>
    <row r="19" spans="1:14" ht="18" customHeight="1" thickBot="1">
      <c r="A19" s="324">
        <v>2008</v>
      </c>
      <c r="B19" s="195">
        <v>7711056</v>
      </c>
      <c r="C19" s="197">
        <v>1.2135695814939229E-2</v>
      </c>
      <c r="D19" s="195">
        <v>15090</v>
      </c>
      <c r="E19" s="1219">
        <v>1.9569304126438714</v>
      </c>
      <c r="F19" s="220">
        <v>-4.3554780290083084E-2</v>
      </c>
      <c r="G19" s="196">
        <v>1721</v>
      </c>
      <c r="H19" s="1396">
        <v>2.2318603314513603</v>
      </c>
      <c r="I19" s="197">
        <v>2.1464054911768393E-4</v>
      </c>
    </row>
    <row r="20" spans="1:14" ht="18" customHeight="1" thickBot="1">
      <c r="A20" s="324">
        <v>2009</v>
      </c>
      <c r="B20" s="195">
        <v>7801278</v>
      </c>
      <c r="C20" s="197">
        <v>1.1700342988042012E-2</v>
      </c>
      <c r="D20" s="195">
        <v>15912</v>
      </c>
      <c r="E20" s="1219">
        <v>2.0396658086021291</v>
      </c>
      <c r="F20" s="220">
        <v>4.2278149199224568E-2</v>
      </c>
      <c r="G20" s="196">
        <v>1731</v>
      </c>
      <c r="H20" s="1396">
        <v>2.2188672163714713</v>
      </c>
      <c r="I20" s="197">
        <v>-5.821652411125422E-3</v>
      </c>
    </row>
    <row r="21" spans="1:14" ht="18" customHeight="1" thickBot="1">
      <c r="A21" s="324">
        <v>2010</v>
      </c>
      <c r="B21" s="195">
        <v>7877571</v>
      </c>
      <c r="C21" s="197">
        <v>9.7795515042535808E-3</v>
      </c>
      <c r="D21" s="195">
        <v>16087</v>
      </c>
      <c r="E21" s="1219">
        <v>2.0421269449681887</v>
      </c>
      <c r="F21" s="220">
        <v>1.2066370655821057E-3</v>
      </c>
      <c r="G21" s="196">
        <v>1733</v>
      </c>
      <c r="H21" s="1396">
        <v>2.1999167002112707</v>
      </c>
      <c r="I21" s="197">
        <v>-8.5406265054429609E-3</v>
      </c>
    </row>
    <row r="22" spans="1:14" ht="25.75" customHeight="1" thickBot="1">
      <c r="A22" s="326">
        <v>2011</v>
      </c>
      <c r="B22" s="199">
        <v>7912398</v>
      </c>
      <c r="C22" s="965">
        <v>4.4210328285203548E-3</v>
      </c>
      <c r="D22" s="199">
        <v>16232</v>
      </c>
      <c r="E22" s="1397">
        <v>2.0514640441494474</v>
      </c>
      <c r="F22" s="1398">
        <v>4.5722422909435512E-3</v>
      </c>
      <c r="G22" s="200">
        <v>1743</v>
      </c>
      <c r="H22" s="1399">
        <v>2.2028719991082348</v>
      </c>
      <c r="I22" s="965">
        <v>1.3433685451273991E-3</v>
      </c>
    </row>
    <row r="23" spans="1:14" ht="20" customHeight="1">
      <c r="A23" s="1287" t="s">
        <v>2399</v>
      </c>
      <c r="B23" s="1288"/>
      <c r="C23" s="1288"/>
      <c r="D23" s="1288"/>
      <c r="E23" s="1288"/>
      <c r="F23" s="1288"/>
      <c r="G23" s="1288"/>
      <c r="H23" s="1288"/>
      <c r="I23" s="1288"/>
    </row>
    <row r="24" spans="1:14" ht="17.25" customHeight="1">
      <c r="A24" s="1289"/>
      <c r="B24" s="1152"/>
      <c r="C24" s="1152"/>
      <c r="D24" s="1152"/>
      <c r="E24" s="1152"/>
      <c r="F24" s="1152"/>
      <c r="G24" s="1152"/>
      <c r="H24" s="1152"/>
      <c r="I24" s="1152"/>
    </row>
    <row r="25" spans="1:14" ht="12" customHeight="1">
      <c r="A25" s="1289" t="s">
        <v>2145</v>
      </c>
      <c r="B25" s="1152"/>
      <c r="C25" s="1152"/>
      <c r="D25" s="1152"/>
      <c r="E25" s="1152"/>
      <c r="F25" s="1152"/>
      <c r="G25" s="1152"/>
      <c r="H25" s="1152"/>
      <c r="I25" s="1152"/>
    </row>
    <row r="26" spans="1:14" ht="13.75" customHeight="1">
      <c r="A26" s="1289" t="s">
        <v>2146</v>
      </c>
      <c r="B26" s="1152"/>
      <c r="C26" s="1152"/>
      <c r="D26" s="1152"/>
      <c r="E26" s="1152"/>
      <c r="F26" s="1152"/>
      <c r="G26" s="1152"/>
      <c r="H26" s="1152"/>
      <c r="I26" s="1152"/>
    </row>
    <row r="27" spans="1:14" ht="14.5" customHeight="1">
      <c r="A27" s="61" t="s">
        <v>2147</v>
      </c>
      <c r="B27" s="1152"/>
      <c r="C27" s="1152"/>
      <c r="D27" s="1152"/>
      <c r="E27" s="1152"/>
      <c r="F27" s="1152"/>
      <c r="G27" s="1152"/>
      <c r="H27" s="1152"/>
      <c r="I27" s="1152"/>
    </row>
    <row r="28" spans="1:14" ht="12.5" customHeight="1">
      <c r="A28" s="61" t="s">
        <v>2148</v>
      </c>
      <c r="B28" s="1152"/>
      <c r="C28" s="1152"/>
      <c r="D28" s="1152"/>
      <c r="E28" s="1152"/>
      <c r="F28" s="1152"/>
      <c r="G28" s="1152"/>
      <c r="H28" s="1152"/>
      <c r="I28" s="1152"/>
    </row>
    <row r="29" spans="1:14" ht="13.25" customHeight="1">
      <c r="A29" s="61" t="s">
        <v>2149</v>
      </c>
      <c r="B29" s="1152"/>
      <c r="C29" s="1152"/>
      <c r="D29" s="1152"/>
      <c r="E29" s="1152"/>
      <c r="F29" s="1152"/>
      <c r="G29" s="1152"/>
      <c r="H29" s="1152"/>
      <c r="I29" s="1152"/>
    </row>
    <row r="30" spans="1:14" ht="15" customHeight="1">
      <c r="A30" s="120"/>
      <c r="B30" s="1290"/>
      <c r="C30" s="1290"/>
      <c r="D30" s="1290"/>
      <c r="E30" s="1290"/>
      <c r="F30" s="1290"/>
      <c r="G30" s="1290"/>
      <c r="H30" s="1290"/>
      <c r="I30" s="1290"/>
    </row>
    <row r="31" spans="1:14" ht="15" customHeight="1">
      <c r="A31" s="4"/>
      <c r="B31" s="1348"/>
      <c r="C31" s="1348"/>
      <c r="D31" s="1348"/>
      <c r="E31" s="1348"/>
      <c r="F31" s="1348"/>
      <c r="G31" s="1348"/>
      <c r="H31" s="1348"/>
      <c r="I31" s="1348"/>
      <c r="J31" s="4"/>
      <c r="K31" s="4"/>
      <c r="L31" s="4"/>
      <c r="M31" s="4"/>
      <c r="N31" s="4"/>
    </row>
    <row r="32" spans="1:14" ht="15" customHeight="1">
      <c r="A32" s="4" t="s">
        <v>719</v>
      </c>
      <c r="B32" s="1348"/>
      <c r="C32" s="1348"/>
      <c r="D32" s="1348"/>
      <c r="E32" s="1348"/>
      <c r="F32" s="1348"/>
      <c r="G32" s="1348"/>
      <c r="H32" s="1348"/>
      <c r="I32" s="1348"/>
      <c r="J32" s="4"/>
      <c r="K32" s="4"/>
      <c r="L32" s="1400"/>
      <c r="M32" s="4"/>
      <c r="N32" s="4"/>
    </row>
    <row r="33" spans="1:14" ht="31" customHeight="1">
      <c r="A33" s="4"/>
      <c r="B33" s="1348"/>
      <c r="C33" s="1348"/>
      <c r="D33" s="1348"/>
      <c r="E33" s="1348"/>
      <c r="F33" s="1348"/>
      <c r="G33" s="1348"/>
      <c r="H33" s="1348"/>
      <c r="I33" s="1348"/>
      <c r="J33" s="4"/>
      <c r="K33" s="4"/>
      <c r="L33" s="4"/>
      <c r="M33" s="4"/>
      <c r="N33" s="4"/>
    </row>
    <row r="34" spans="1:14" ht="31" customHeight="1">
      <c r="A34" s="4"/>
      <c r="B34" s="1348"/>
      <c r="C34" s="1348"/>
      <c r="D34" s="1348"/>
      <c r="E34" s="1348"/>
      <c r="F34" s="1348"/>
      <c r="G34" s="1348"/>
      <c r="H34" s="1348"/>
      <c r="I34" s="1348"/>
      <c r="J34" s="4"/>
      <c r="K34" s="4"/>
      <c r="L34" s="4"/>
      <c r="M34" s="4"/>
      <c r="N34" s="4"/>
    </row>
    <row r="35" spans="1:14" ht="31" customHeight="1">
      <c r="A35" s="4"/>
      <c r="B35" s="1348"/>
      <c r="C35" s="1348"/>
      <c r="D35" s="1348"/>
      <c r="E35" s="1348"/>
      <c r="F35" s="1348"/>
      <c r="G35" s="1348"/>
      <c r="H35" s="1348"/>
      <c r="I35" s="1348"/>
      <c r="J35" s="4"/>
      <c r="K35" s="4"/>
      <c r="L35" s="4"/>
      <c r="M35" s="4"/>
      <c r="N35" s="4"/>
    </row>
    <row r="36" spans="1:14" ht="31" customHeight="1">
      <c r="A36" s="4"/>
      <c r="B36" s="1348"/>
      <c r="C36" s="1348"/>
      <c r="D36" s="1348"/>
      <c r="E36" s="1348"/>
      <c r="F36" s="1348"/>
      <c r="G36" s="1348"/>
      <c r="H36" s="1348"/>
      <c r="I36" s="1348"/>
      <c r="J36" s="4"/>
      <c r="K36" s="4"/>
      <c r="L36" s="4"/>
      <c r="M36" s="4"/>
      <c r="N36" s="4"/>
    </row>
    <row r="37" spans="1:14" ht="31" customHeight="1">
      <c r="A37" s="4"/>
      <c r="B37" s="1348"/>
      <c r="C37" s="1348"/>
      <c r="D37" s="1348"/>
      <c r="E37" s="1348"/>
      <c r="F37" s="1348"/>
      <c r="G37" s="1348"/>
      <c r="H37" s="1348"/>
      <c r="I37" s="1348"/>
      <c r="J37" s="4"/>
      <c r="K37" s="4"/>
      <c r="L37" s="4"/>
      <c r="M37" s="4"/>
      <c r="N37" s="4"/>
    </row>
    <row r="38" spans="1:14" ht="18" customHeight="1">
      <c r="A38" s="4"/>
      <c r="B38" s="1348"/>
      <c r="C38" s="1348"/>
      <c r="D38" s="1348"/>
      <c r="E38" s="1348"/>
      <c r="F38" s="1348"/>
      <c r="G38" s="1348"/>
      <c r="H38" s="1348"/>
      <c r="I38" s="1348"/>
      <c r="J38" s="4"/>
      <c r="K38" s="4"/>
      <c r="L38" s="4"/>
      <c r="M38" s="4"/>
      <c r="N38" s="4"/>
    </row>
    <row r="39" spans="1:14">
      <c r="A39" s="4"/>
      <c r="B39" s="1348"/>
      <c r="C39" s="1348"/>
      <c r="D39" s="1348"/>
      <c r="E39" s="1348"/>
      <c r="F39" s="1348"/>
      <c r="G39" s="1348"/>
      <c r="H39" s="1348"/>
      <c r="I39" s="1348"/>
      <c r="J39" s="4"/>
      <c r="K39" s="4"/>
      <c r="L39" s="4"/>
      <c r="M39" s="4"/>
      <c r="N39" s="4"/>
    </row>
    <row r="40" spans="1:14">
      <c r="A40" s="4"/>
      <c r="B40" s="1348"/>
      <c r="C40" s="1348"/>
      <c r="D40" s="1348"/>
      <c r="E40" s="1348"/>
      <c r="F40" s="1348"/>
      <c r="G40" s="1348"/>
      <c r="H40" s="1348"/>
      <c r="I40" s="1348"/>
      <c r="J40" s="4"/>
      <c r="K40" s="4"/>
      <c r="L40" s="4"/>
      <c r="M40" s="4"/>
      <c r="N40" s="4"/>
    </row>
    <row r="41" spans="1:14">
      <c r="A41" s="4"/>
      <c r="B41" s="1348"/>
      <c r="C41" s="1348"/>
      <c r="D41" s="1348"/>
      <c r="E41" s="1348"/>
      <c r="F41" s="1348"/>
      <c r="G41" s="1348"/>
      <c r="H41" s="1348"/>
      <c r="I41" s="1348"/>
      <c r="J41" s="4"/>
      <c r="K41" s="4"/>
      <c r="L41" s="4"/>
      <c r="M41" s="4"/>
      <c r="N41" s="4"/>
    </row>
    <row r="42" spans="1:14">
      <c r="A42" s="4"/>
      <c r="B42" s="1348"/>
      <c r="C42" s="1348"/>
      <c r="D42" s="1348"/>
      <c r="E42" s="1348"/>
      <c r="F42" s="1348"/>
      <c r="G42" s="1348"/>
      <c r="H42" s="1348"/>
      <c r="I42" s="1348"/>
      <c r="J42" s="4"/>
      <c r="K42" s="4"/>
      <c r="L42" s="4"/>
      <c r="M42" s="4"/>
      <c r="N42" s="4"/>
    </row>
    <row r="43" spans="1:14">
      <c r="A43" s="4"/>
      <c r="B43" s="1348"/>
      <c r="C43" s="1348"/>
      <c r="D43" s="1348"/>
      <c r="E43" s="1348"/>
      <c r="F43" s="1348"/>
      <c r="G43" s="1348"/>
      <c r="H43" s="1348"/>
      <c r="I43" s="1348"/>
      <c r="J43" s="4"/>
      <c r="K43" s="4"/>
      <c r="L43" s="4"/>
      <c r="M43" s="4"/>
      <c r="N43" s="4"/>
    </row>
  </sheetData>
  <mergeCells count="1">
    <mergeCell ref="A2:I2"/>
  </mergeCells>
  <pageMargins left="0.55118110236220474" right="0.59055118110236227" top="0.87" bottom="0.47244094488188981" header="0.55118110236220474" footer="0.51181102362204722"/>
  <pageSetup paperSize="9" scale="78" orientation="portrait" horizontalDpi="4294967292" verticalDpi="4294967292"/>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2A52-DFF9-184A-86C9-7F4181BB3EC2}">
  <sheetPr>
    <pageSetUpPr fitToPage="1"/>
  </sheetPr>
  <dimension ref="A1:L47"/>
  <sheetViews>
    <sheetView topLeftCell="A20" zoomScaleNormal="100" workbookViewId="0">
      <selection activeCell="C23" sqref="C23:I23"/>
    </sheetView>
  </sheetViews>
  <sheetFormatPr baseColWidth="10" defaultColWidth="11.3984375" defaultRowHeight="13"/>
  <cols>
    <col min="1" max="1" width="17.59765625" style="3" customWidth="1"/>
    <col min="2" max="7" width="18.3984375" style="396" customWidth="1"/>
    <col min="8" max="9" width="18.3984375" style="3" customWidth="1"/>
    <col min="10" max="10" width="18.3984375" customWidth="1"/>
    <col min="11" max="12" width="11.796875" style="3" customWidth="1"/>
    <col min="13" max="13" width="11.3984375" style="3"/>
    <col min="14" max="14" width="8.3984375" style="3" customWidth="1"/>
    <col min="15" max="16384" width="11.3984375" style="3"/>
  </cols>
  <sheetData>
    <row r="1" spans="1:12" s="2" customFormat="1" ht="15.75" customHeight="1">
      <c r="A1" s="121"/>
      <c r="B1" s="1286"/>
      <c r="C1" s="1286"/>
      <c r="D1" s="1286"/>
      <c r="E1" s="1286"/>
      <c r="F1" s="1286"/>
      <c r="G1" s="1286"/>
      <c r="H1" s="121"/>
      <c r="J1"/>
      <c r="K1"/>
    </row>
    <row r="2" spans="1:12" s="2" customFormat="1" ht="29.25" customHeight="1">
      <c r="A2" s="1291" t="s">
        <v>2108</v>
      </c>
      <c r="B2" s="1360"/>
      <c r="C2" s="1360"/>
      <c r="D2" s="1360"/>
      <c r="E2" s="1360"/>
      <c r="F2" s="1360"/>
      <c r="G2" s="1360"/>
      <c r="H2" s="1360"/>
      <c r="I2" s="1360"/>
      <c r="J2" s="1360"/>
      <c r="K2" s="1361"/>
      <c r="L2" s="126"/>
    </row>
    <row r="3" spans="1:12" ht="24.75" customHeight="1">
      <c r="A3" s="92" t="s">
        <v>469</v>
      </c>
      <c r="B3" s="1066" t="s">
        <v>1050</v>
      </c>
      <c r="C3" s="1362" t="s">
        <v>2109</v>
      </c>
      <c r="D3" s="1363"/>
      <c r="E3" s="1364"/>
      <c r="F3" s="1364"/>
      <c r="G3" s="1365" t="s">
        <v>2110</v>
      </c>
      <c r="H3" s="1366"/>
      <c r="I3" s="1367"/>
      <c r="J3" s="1367"/>
      <c r="K3" s="115"/>
      <c r="L3" s="115"/>
    </row>
    <row r="4" spans="1:12" ht="20.25" customHeight="1">
      <c r="A4" s="184"/>
      <c r="B4" s="1067" t="s">
        <v>1062</v>
      </c>
      <c r="C4" s="1368"/>
      <c r="D4" s="321"/>
      <c r="E4" s="186"/>
      <c r="F4" s="185"/>
      <c r="G4" s="1368"/>
      <c r="H4" s="321"/>
      <c r="I4" s="186"/>
      <c r="J4" s="185"/>
    </row>
    <row r="5" spans="1:12" s="382" customFormat="1" ht="15" customHeight="1">
      <c r="A5" s="771"/>
      <c r="B5" s="1067" t="s">
        <v>2111</v>
      </c>
      <c r="C5" s="1369" t="s">
        <v>650</v>
      </c>
      <c r="D5" s="185" t="s">
        <v>650</v>
      </c>
      <c r="E5" s="186" t="s">
        <v>650</v>
      </c>
      <c r="F5" s="1067" t="s">
        <v>2112</v>
      </c>
      <c r="G5" s="1369" t="s">
        <v>650</v>
      </c>
      <c r="H5" s="185" t="s">
        <v>650</v>
      </c>
      <c r="I5" s="186" t="s">
        <v>650</v>
      </c>
      <c r="J5" s="1067" t="s">
        <v>2112</v>
      </c>
    </row>
    <row r="6" spans="1:12" s="382" customFormat="1" ht="18" customHeight="1">
      <c r="A6" s="771"/>
      <c r="B6" s="1067" t="s">
        <v>2113</v>
      </c>
      <c r="C6" s="1369" t="s">
        <v>2069</v>
      </c>
      <c r="D6" s="321" t="s">
        <v>2070</v>
      </c>
      <c r="E6" s="186" t="s">
        <v>2071</v>
      </c>
      <c r="F6" s="1067" t="s">
        <v>2114</v>
      </c>
      <c r="G6" s="1369" t="s">
        <v>2069</v>
      </c>
      <c r="H6" s="321" t="s">
        <v>2070</v>
      </c>
      <c r="I6" s="186" t="s">
        <v>2071</v>
      </c>
      <c r="J6" s="1067" t="s">
        <v>2114</v>
      </c>
    </row>
    <row r="7" spans="1:12" s="382" customFormat="1" ht="18" customHeight="1">
      <c r="A7" s="771"/>
      <c r="B7" s="1370"/>
      <c r="C7" s="1369" t="s">
        <v>2115</v>
      </c>
      <c r="D7" s="1371"/>
      <c r="E7" s="1372"/>
      <c r="F7" s="1067"/>
      <c r="G7" s="1369" t="s">
        <v>2115</v>
      </c>
      <c r="H7" s="1371"/>
      <c r="I7" s="1372"/>
      <c r="J7" s="1295"/>
    </row>
    <row r="8" spans="1:12" s="382" customFormat="1" ht="23.25" customHeight="1">
      <c r="A8" s="771"/>
      <c r="B8" s="1067"/>
      <c r="C8" s="1373"/>
      <c r="D8" s="1067"/>
      <c r="E8" s="1296"/>
      <c r="F8" s="1067"/>
      <c r="G8" s="1369"/>
      <c r="H8" s="1067"/>
      <c r="I8" s="1296"/>
      <c r="J8" s="1067"/>
    </row>
    <row r="9" spans="1:12" ht="1.25" customHeight="1" thickBot="1">
      <c r="A9" s="1374">
        <v>1996</v>
      </c>
      <c r="B9" s="1375">
        <v>7194754</v>
      </c>
      <c r="C9" s="1376" t="s">
        <v>30</v>
      </c>
      <c r="D9" s="1377">
        <v>0.18782351696805755</v>
      </c>
      <c r="E9" s="1378">
        <v>0.10061414191506757</v>
      </c>
      <c r="F9" s="1377" t="s">
        <v>30</v>
      </c>
      <c r="G9" s="1376" t="s">
        <v>30</v>
      </c>
      <c r="H9" s="1377" t="s">
        <v>30</v>
      </c>
      <c r="I9" s="1378" t="s">
        <v>30</v>
      </c>
      <c r="J9" s="1377" t="s">
        <v>30</v>
      </c>
    </row>
    <row r="10" spans="1:12" ht="22.5" hidden="1" customHeight="1" thickBot="1">
      <c r="A10" s="1374">
        <v>1997</v>
      </c>
      <c r="B10" s="1375">
        <v>7214805</v>
      </c>
      <c r="C10" s="1376" t="s">
        <v>30</v>
      </c>
      <c r="D10" s="1377">
        <v>0.17122098241047401</v>
      </c>
      <c r="E10" s="1378">
        <v>8.6709897218289339E-2</v>
      </c>
      <c r="F10" s="1377" t="s">
        <v>30</v>
      </c>
      <c r="G10" s="1376" t="s">
        <v>30</v>
      </c>
      <c r="H10" s="1377" t="s">
        <v>30</v>
      </c>
      <c r="I10" s="1378" t="s">
        <v>30</v>
      </c>
      <c r="J10" s="1377" t="s">
        <v>30</v>
      </c>
    </row>
    <row r="11" spans="1:12" ht="0.75" hidden="1" customHeight="1" thickBot="1">
      <c r="A11" s="1374">
        <v>1998</v>
      </c>
      <c r="B11" s="1375">
        <v>7248603</v>
      </c>
      <c r="C11" s="1376" t="s">
        <v>30</v>
      </c>
      <c r="D11" s="1377">
        <v>0.16889778623549945</v>
      </c>
      <c r="E11" s="1378">
        <v>8.0429428953413512E-2</v>
      </c>
      <c r="F11" s="1377" t="s">
        <v>30</v>
      </c>
      <c r="G11" s="1376" t="s">
        <v>30</v>
      </c>
      <c r="H11" s="1377" t="s">
        <v>30</v>
      </c>
      <c r="I11" s="1378" t="s">
        <v>30</v>
      </c>
      <c r="J11" s="1377" t="s">
        <v>30</v>
      </c>
    </row>
    <row r="12" spans="1:12" ht="0.5" hidden="1" customHeight="1" thickBot="1">
      <c r="A12" s="324">
        <v>1999</v>
      </c>
      <c r="B12" s="1375">
        <v>7266534</v>
      </c>
      <c r="C12" s="1376" t="s">
        <v>30</v>
      </c>
      <c r="D12" s="1377">
        <v>0.15472314586293823</v>
      </c>
      <c r="E12" s="1378">
        <v>7.4331173569132131E-2</v>
      </c>
      <c r="F12" s="1377" t="s">
        <v>30</v>
      </c>
      <c r="G12" s="1376" t="s">
        <v>30</v>
      </c>
      <c r="H12" s="1377" t="s">
        <v>30</v>
      </c>
      <c r="I12" s="1378" t="s">
        <v>30</v>
      </c>
      <c r="J12" s="1377" t="s">
        <v>30</v>
      </c>
    </row>
    <row r="13" spans="1:12" ht="22.25" hidden="1" customHeight="1" thickBot="1">
      <c r="A13" s="324">
        <v>2000</v>
      </c>
      <c r="B13" s="1375">
        <v>7268111</v>
      </c>
      <c r="C13" s="1376" t="s">
        <v>30</v>
      </c>
      <c r="D13" s="1377">
        <v>0.12321647261578696</v>
      </c>
      <c r="E13" s="1378">
        <v>6.2163057223534421E-2</v>
      </c>
      <c r="F13" s="1377" t="s">
        <v>30</v>
      </c>
      <c r="G13" s="1376" t="s">
        <v>30</v>
      </c>
      <c r="H13" s="1377" t="s">
        <v>30</v>
      </c>
      <c r="I13" s="1378" t="s">
        <v>30</v>
      </c>
      <c r="J13" s="1377" t="s">
        <v>30</v>
      </c>
    </row>
    <row r="14" spans="1:12" ht="22.5" customHeight="1" thickBot="1">
      <c r="A14" s="324">
        <v>2001</v>
      </c>
      <c r="B14" s="1375">
        <v>7321287</v>
      </c>
      <c r="C14" s="1376" t="s">
        <v>30</v>
      </c>
      <c r="D14" s="1377">
        <v>0.11914653803354519</v>
      </c>
      <c r="E14" s="1378">
        <v>6.1670168100226096E-2</v>
      </c>
      <c r="F14" s="1377" t="s">
        <v>30</v>
      </c>
      <c r="G14" s="1376" t="s">
        <v>30</v>
      </c>
      <c r="H14" s="1377" t="s">
        <v>30</v>
      </c>
      <c r="I14" s="1378" t="s">
        <v>30</v>
      </c>
      <c r="J14" s="1377" t="s">
        <v>30</v>
      </c>
    </row>
    <row r="15" spans="1:12" ht="22.5" customHeight="1" thickBot="1">
      <c r="A15" s="324">
        <v>2002</v>
      </c>
      <c r="B15" s="1375">
        <v>7359365</v>
      </c>
      <c r="C15" s="1376">
        <v>0.41612068432534599</v>
      </c>
      <c r="D15" s="1377">
        <v>0.10741619691372829</v>
      </c>
      <c r="E15" s="1378">
        <v>5.1274804279988831E-2</v>
      </c>
      <c r="F15" s="1377" t="s">
        <v>30</v>
      </c>
      <c r="G15" s="1376" t="s">
        <v>30</v>
      </c>
      <c r="H15" s="1377" t="s">
        <v>30</v>
      </c>
      <c r="I15" s="1378" t="s">
        <v>30</v>
      </c>
      <c r="J15" s="1377" t="s">
        <v>30</v>
      </c>
    </row>
    <row r="16" spans="1:12" ht="22.5" customHeight="1" thickBot="1">
      <c r="A16" s="324">
        <v>2003</v>
      </c>
      <c r="B16" s="1375">
        <v>7393188</v>
      </c>
      <c r="C16" s="1376">
        <v>0.40096288637594502</v>
      </c>
      <c r="D16" s="1377">
        <v>0.10284683684494429</v>
      </c>
      <c r="E16" s="1378">
        <v>4.5843416940026416E-2</v>
      </c>
      <c r="F16" s="1377" t="s">
        <v>30</v>
      </c>
      <c r="G16" s="1376" t="s">
        <v>30</v>
      </c>
      <c r="H16" s="1377" t="s">
        <v>30</v>
      </c>
      <c r="I16" s="1378" t="s">
        <v>30</v>
      </c>
      <c r="J16" s="1377" t="s">
        <v>30</v>
      </c>
    </row>
    <row r="17" spans="1:11" ht="22.5" customHeight="1" thickBot="1">
      <c r="A17" s="324">
        <v>2004</v>
      </c>
      <c r="B17" s="1375">
        <v>7419974</v>
      </c>
      <c r="C17" s="1376">
        <v>0.41515172425132485</v>
      </c>
      <c r="D17" s="1377">
        <v>8.8858128074303225E-2</v>
      </c>
      <c r="E17" s="1378">
        <v>3.8901214478649117E-2</v>
      </c>
      <c r="F17" s="1377" t="s">
        <v>30</v>
      </c>
      <c r="G17" s="1376" t="s">
        <v>30</v>
      </c>
      <c r="H17" s="1377" t="s">
        <v>30</v>
      </c>
      <c r="I17" s="1378" t="s">
        <v>30</v>
      </c>
      <c r="J17" s="1377" t="s">
        <v>30</v>
      </c>
    </row>
    <row r="18" spans="1:11" ht="22.5" customHeight="1" thickBot="1">
      <c r="A18" s="324">
        <v>2005</v>
      </c>
      <c r="B18" s="1375">
        <v>7458475</v>
      </c>
      <c r="C18" s="1376">
        <v>0.40559658643355379</v>
      </c>
      <c r="D18" s="1377">
        <v>8.7504349079402965E-2</v>
      </c>
      <c r="E18" s="1378">
        <v>3.6415889307130481E-2</v>
      </c>
      <c r="F18" s="1377" t="s">
        <v>30</v>
      </c>
      <c r="G18" s="1376" t="s">
        <v>30</v>
      </c>
      <c r="H18" s="1377" t="s">
        <v>30</v>
      </c>
      <c r="I18" s="1378" t="s">
        <v>30</v>
      </c>
      <c r="J18" s="1377" t="s">
        <v>30</v>
      </c>
    </row>
    <row r="19" spans="1:11" ht="22.5" customHeight="1" thickBot="1">
      <c r="A19" s="324">
        <v>2006</v>
      </c>
      <c r="B19" s="1375">
        <v>7507545</v>
      </c>
      <c r="C19" s="1376">
        <v>0.35229745542650759</v>
      </c>
      <c r="D19" s="1377">
        <v>8.0637811694768399E-2</v>
      </c>
      <c r="E19" s="1378">
        <v>3.4424568883702995E-2</v>
      </c>
      <c r="F19" s="1377">
        <v>1.1072461104129246E-2</v>
      </c>
      <c r="G19" s="1376">
        <v>2.8267829230460822E-2</v>
      </c>
      <c r="H19" s="1377">
        <v>7.3543348724516471E-3</v>
      </c>
      <c r="I19" s="1378">
        <v>3.3165302372479954E-3</v>
      </c>
      <c r="J19" s="1377">
        <v>8.6433048353356525E-4</v>
      </c>
    </row>
    <row r="20" spans="1:11" ht="22.5" customHeight="1" thickBot="1">
      <c r="A20" s="324">
        <v>2007</v>
      </c>
      <c r="B20" s="1375">
        <v>7577132</v>
      </c>
      <c r="C20" s="1376">
        <v>0.34950084015957489</v>
      </c>
      <c r="D20" s="1377">
        <v>7.9577602713005402E-2</v>
      </c>
      <c r="E20" s="1378">
        <v>3.4038868532315393E-2</v>
      </c>
      <c r="F20" s="1377">
        <v>2.0345824779085281E-2</v>
      </c>
      <c r="G20" s="1376">
        <v>3.0507453215807775E-2</v>
      </c>
      <c r="H20" s="1377">
        <v>7.6386421669834975E-3</v>
      </c>
      <c r="I20" s="1378">
        <v>4.5006474745325807E-3</v>
      </c>
      <c r="J20" s="1377">
        <v>4.7718582703851539E-3</v>
      </c>
    </row>
    <row r="21" spans="1:11" ht="22.5" customHeight="1" thickBot="1">
      <c r="A21" s="324">
        <v>2008</v>
      </c>
      <c r="B21" s="1375">
        <v>7669611</v>
      </c>
      <c r="C21" s="1376">
        <v>0.32124333294087537</v>
      </c>
      <c r="D21" s="1377">
        <v>7.2603422781155391E-2</v>
      </c>
      <c r="E21" s="1378">
        <v>3.1619807054099613E-2</v>
      </c>
      <c r="F21" s="1377">
        <v>1.5602015538988875E-2</v>
      </c>
      <c r="G21" s="1376">
        <v>3.4330945858922962E-2</v>
      </c>
      <c r="H21" s="1377">
        <v>7.8339044835520344E-3</v>
      </c>
      <c r="I21" s="1378">
        <v>4.7705157406288268E-3</v>
      </c>
      <c r="J21" s="1377">
        <v>5.1662333330856026E-3</v>
      </c>
    </row>
    <row r="22" spans="1:11" ht="22.5" customHeight="1" thickBot="1">
      <c r="A22" s="324">
        <v>2009</v>
      </c>
      <c r="B22" s="1375">
        <v>7748921.9299999997</v>
      </c>
      <c r="C22" s="1379">
        <v>0.31741512202846522</v>
      </c>
      <c r="D22" s="1380">
        <v>7.1110407999684155E-2</v>
      </c>
      <c r="E22" s="1381">
        <v>3.0618710853368994E-2</v>
      </c>
      <c r="F22" s="1380">
        <v>2.0811540167368806E-2</v>
      </c>
      <c r="G22" s="1379">
        <v>4.2848928276658996E-2</v>
      </c>
      <c r="H22" s="1380">
        <v>9.3020681652421812E-3</v>
      </c>
      <c r="I22" s="1381">
        <v>5.3513250455473364E-3</v>
      </c>
      <c r="J22" s="1377">
        <v>6.1051073203934065E-3</v>
      </c>
    </row>
    <row r="23" spans="1:11" ht="22.5" customHeight="1" thickBot="1">
      <c r="A23" s="324">
        <v>2010</v>
      </c>
      <c r="B23" s="1375">
        <v>7822633</v>
      </c>
      <c r="C23" s="1382">
        <v>0.31214197444773389</v>
      </c>
      <c r="D23" s="1383">
        <v>6.8765860548487948E-2</v>
      </c>
      <c r="E23" s="1384">
        <v>2.9352490395497272E-2</v>
      </c>
      <c r="F23" s="1383">
        <v>2.729913061241656E-2</v>
      </c>
      <c r="G23" s="1382">
        <v>4.9063747462011829E-2</v>
      </c>
      <c r="H23" s="1383">
        <v>1.1165858094071395E-2</v>
      </c>
      <c r="I23" s="1384">
        <v>5.153749383359797E-3</v>
      </c>
      <c r="J23" s="1377">
        <v>9.7869093436954019E-3</v>
      </c>
    </row>
    <row r="24" spans="1:11" s="482" customFormat="1" ht="29.25" customHeight="1" thickBot="1">
      <c r="A24" s="326">
        <v>2011</v>
      </c>
      <c r="B24" s="224">
        <v>7907019.0999999996</v>
      </c>
      <c r="C24" s="1385">
        <v>0.29312185802105878</v>
      </c>
      <c r="D24" s="1386">
        <v>6.5631617103340506E-2</v>
      </c>
      <c r="E24" s="1387">
        <v>2.7667165999384017E-2</v>
      </c>
      <c r="F24" s="1386">
        <v>3.3288772503407761E-2</v>
      </c>
      <c r="G24" s="1385">
        <v>5.8352776712022873E-2</v>
      </c>
      <c r="H24" s="1386">
        <v>1.7299736888203548E-2</v>
      </c>
      <c r="I24" s="1388">
        <v>8.6689521212867712E-3</v>
      </c>
      <c r="J24" s="292">
        <v>1.1379309808420723E-2</v>
      </c>
      <c r="K24" s="1389"/>
    </row>
    <row r="25" spans="1:11" ht="20" customHeight="1">
      <c r="A25" s="1287" t="s">
        <v>720</v>
      </c>
      <c r="B25" s="1288"/>
      <c r="C25" s="1288"/>
      <c r="D25" s="1288"/>
      <c r="E25" s="1288"/>
      <c r="F25" s="1288"/>
      <c r="G25" s="1288"/>
      <c r="H25" s="1288"/>
      <c r="J25" s="329"/>
    </row>
    <row r="26" spans="1:11" ht="13.5" customHeight="1">
      <c r="A26" s="1346"/>
      <c r="B26" s="1302"/>
      <c r="C26" s="1302"/>
      <c r="D26" s="1302"/>
      <c r="E26" s="1302"/>
      <c r="F26" s="1302"/>
      <c r="G26" s="1302"/>
      <c r="H26" s="1302"/>
    </row>
    <row r="27" spans="1:11" ht="12.75" customHeight="1">
      <c r="A27" s="1346" t="s">
        <v>2116</v>
      </c>
      <c r="B27" s="1302"/>
      <c r="C27" s="1302"/>
      <c r="D27" s="1302"/>
      <c r="E27" s="1302"/>
      <c r="F27" s="1302"/>
      <c r="G27" s="1302"/>
      <c r="H27" s="1302"/>
    </row>
    <row r="28" spans="1:11" ht="12.75" customHeight="1">
      <c r="A28" s="1346" t="s">
        <v>2117</v>
      </c>
      <c r="B28" s="1302"/>
      <c r="C28" s="1302"/>
      <c r="D28" s="1302"/>
      <c r="E28" s="1302"/>
      <c r="F28" s="1302"/>
      <c r="G28" s="1302"/>
      <c r="H28" s="1302"/>
    </row>
    <row r="29" spans="1:11" ht="12.75" customHeight="1">
      <c r="A29" s="1346" t="s">
        <v>2118</v>
      </c>
      <c r="B29" s="1302"/>
      <c r="C29" s="1302"/>
      <c r="D29" s="1302"/>
      <c r="E29" s="1302"/>
      <c r="F29" s="1302"/>
      <c r="G29" s="1302"/>
      <c r="H29" s="1302"/>
    </row>
    <row r="30" spans="1:11" ht="12.75" customHeight="1">
      <c r="A30" s="1390" t="s">
        <v>2119</v>
      </c>
      <c r="B30" s="1302"/>
      <c r="C30" s="1302"/>
      <c r="D30" s="1302"/>
      <c r="E30" s="1302"/>
      <c r="F30" s="1302"/>
      <c r="G30" s="1302"/>
      <c r="H30" s="1302"/>
    </row>
    <row r="31" spans="1:11" ht="12.75" customHeight="1">
      <c r="A31" s="3" t="s">
        <v>2120</v>
      </c>
      <c r="B31" s="1302"/>
      <c r="C31" s="1302"/>
      <c r="D31" s="1302"/>
      <c r="E31" s="1302"/>
      <c r="F31" s="1302"/>
      <c r="G31" s="1302"/>
      <c r="H31" s="1302"/>
    </row>
    <row r="32" spans="1:11" ht="13.5" customHeight="1">
      <c r="A32" s="1289" t="s">
        <v>2121</v>
      </c>
      <c r="B32" s="1302"/>
      <c r="C32" s="1302"/>
      <c r="D32" s="1302"/>
      <c r="E32" s="1302"/>
      <c r="F32" s="1302"/>
      <c r="G32" s="1302"/>
      <c r="H32" s="1302"/>
    </row>
    <row r="33" spans="1:8" ht="13.5" customHeight="1">
      <c r="A33" s="3" t="s">
        <v>2122</v>
      </c>
      <c r="B33" s="1302"/>
      <c r="C33" s="1302"/>
      <c r="D33" s="1302"/>
      <c r="E33" s="1302"/>
      <c r="F33" s="1302"/>
      <c r="G33" s="1302"/>
      <c r="H33" s="1302"/>
    </row>
    <row r="34" spans="1:8" ht="13.5" customHeight="1">
      <c r="A34" s="1346" t="s">
        <v>2123</v>
      </c>
      <c r="B34" s="1302"/>
      <c r="C34" s="1302"/>
      <c r="D34" s="1302"/>
      <c r="E34" s="1302"/>
      <c r="F34" s="1302"/>
      <c r="G34" s="1302"/>
      <c r="H34" s="1302"/>
    </row>
    <row r="35" spans="1:8" ht="13.5" customHeight="1">
      <c r="A35" s="1289" t="s">
        <v>2124</v>
      </c>
      <c r="B35" s="1302"/>
      <c r="C35" s="1302"/>
      <c r="D35" s="1302"/>
      <c r="E35" s="1302"/>
      <c r="F35" s="1302"/>
      <c r="G35" s="1302"/>
      <c r="H35" s="1302"/>
    </row>
    <row r="36" spans="1:8" ht="13.5" customHeight="1">
      <c r="A36" s="4" t="s">
        <v>2125</v>
      </c>
      <c r="B36" s="1302"/>
      <c r="C36" s="1302"/>
      <c r="D36" s="1302"/>
      <c r="E36" s="1302"/>
      <c r="F36" s="1302"/>
      <c r="G36" s="1302"/>
      <c r="H36" s="1302"/>
    </row>
    <row r="37" spans="1:8" ht="13.5" customHeight="1">
      <c r="A37" s="4" t="s">
        <v>2126</v>
      </c>
      <c r="B37" s="1302"/>
      <c r="C37" s="1302"/>
      <c r="D37" s="1302"/>
      <c r="E37" s="1302"/>
      <c r="F37" s="1302"/>
      <c r="G37" s="1302"/>
      <c r="H37" s="1302"/>
    </row>
    <row r="38" spans="1:8" ht="13.5" customHeight="1">
      <c r="A38" s="1391" t="s">
        <v>2127</v>
      </c>
      <c r="B38" s="1302"/>
      <c r="C38" s="1302"/>
      <c r="D38" s="1302"/>
      <c r="E38" s="1302"/>
      <c r="F38" s="1302"/>
      <c r="G38" s="1302"/>
      <c r="H38" s="1302"/>
    </row>
    <row r="39" spans="1:8" ht="13.5" customHeight="1">
      <c r="A39" s="707" t="s">
        <v>2128</v>
      </c>
      <c r="B39" s="1302"/>
      <c r="C39" s="1302"/>
      <c r="D39" s="1302"/>
      <c r="E39" s="1302"/>
      <c r="F39" s="1302"/>
      <c r="G39" s="1302"/>
      <c r="H39" s="1302"/>
    </row>
    <row r="40" spans="1:8" ht="13.5" customHeight="1">
      <c r="A40" s="1391" t="s">
        <v>2129</v>
      </c>
      <c r="B40" s="1302"/>
      <c r="C40" s="1302"/>
      <c r="D40" s="1302"/>
      <c r="E40" s="1302"/>
      <c r="F40" s="1302"/>
      <c r="G40" s="1302"/>
      <c r="H40" s="1302"/>
    </row>
    <row r="41" spans="1:8" ht="13.5" customHeight="1">
      <c r="A41" s="1391" t="s">
        <v>2130</v>
      </c>
      <c r="B41" s="1302"/>
      <c r="C41" s="1302"/>
      <c r="D41" s="1302"/>
      <c r="E41" s="1302"/>
      <c r="F41" s="1302"/>
      <c r="G41" s="1302"/>
      <c r="H41" s="1302"/>
    </row>
    <row r="42" spans="1:8" ht="13.5" customHeight="1">
      <c r="A42" s="1391" t="s">
        <v>2131</v>
      </c>
      <c r="B42" s="1302"/>
      <c r="C42" s="1302"/>
      <c r="D42" s="1302"/>
      <c r="E42" s="1302"/>
      <c r="F42" s="1302"/>
      <c r="G42" s="1302"/>
      <c r="H42" s="1302"/>
    </row>
    <row r="43" spans="1:8" ht="12.75" customHeight="1">
      <c r="B43" s="1302"/>
      <c r="C43" s="1302"/>
      <c r="D43" s="1302"/>
      <c r="E43" s="1302"/>
      <c r="F43" s="1302"/>
      <c r="G43" s="1302"/>
      <c r="H43" s="4"/>
    </row>
    <row r="44" spans="1:8" ht="15" customHeight="1">
      <c r="A44" s="561"/>
      <c r="B44" s="1348"/>
      <c r="C44" s="1348"/>
      <c r="D44" s="1348"/>
      <c r="E44" s="1348"/>
      <c r="F44" s="1348"/>
      <c r="G44" s="1348"/>
      <c r="H44" s="4"/>
    </row>
    <row r="45" spans="1:8" ht="15" customHeight="1">
      <c r="A45" s="480" t="s">
        <v>719</v>
      </c>
      <c r="B45" s="1348"/>
      <c r="C45" s="1348"/>
      <c r="D45" s="1348"/>
      <c r="E45" s="1348"/>
      <c r="F45" s="1348"/>
      <c r="G45" s="1348"/>
      <c r="H45" s="4"/>
    </row>
    <row r="46" spans="1:8" ht="15" customHeight="1">
      <c r="A46" s="480"/>
      <c r="B46" s="1348"/>
      <c r="C46" s="1348"/>
      <c r="D46" s="1348"/>
      <c r="E46" s="1348"/>
      <c r="F46" s="1348"/>
      <c r="G46" s="1348"/>
      <c r="H46" s="4"/>
    </row>
    <row r="47" spans="1:8" ht="15" customHeight="1">
      <c r="A47" s="480"/>
      <c r="B47" s="1348"/>
      <c r="C47" s="1348"/>
      <c r="D47" s="1348"/>
      <c r="E47" s="1348"/>
      <c r="F47" s="1348"/>
      <c r="G47" s="1348"/>
      <c r="H47" s="4"/>
    </row>
  </sheetData>
  <pageMargins left="0.39370078740157483" right="0.27559055118110237" top="0.70866141732283472" bottom="0.47244094488188981" header="0.51181102362204722" footer="0.51181102362204722"/>
  <pageSetup paperSize="9" scale="72" orientation="landscape"/>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3DD2-32AB-544F-9592-D7CB5118F00B}">
  <sheetPr>
    <pageSetUpPr fitToPage="1"/>
  </sheetPr>
  <dimension ref="A1:K60"/>
  <sheetViews>
    <sheetView topLeftCell="A25" zoomScaleNormal="100" workbookViewId="0">
      <selection activeCell="A43" sqref="A43"/>
    </sheetView>
  </sheetViews>
  <sheetFormatPr baseColWidth="10" defaultColWidth="11.3984375" defaultRowHeight="13"/>
  <cols>
    <col min="1" max="1" width="12.3984375" style="3" customWidth="1"/>
    <col min="2" max="2" width="13.3984375" style="396" customWidth="1"/>
    <col min="3" max="3" width="12.59765625" style="396" customWidth="1"/>
    <col min="4" max="4" width="14" style="396" customWidth="1"/>
    <col min="5" max="5" width="13.3984375" style="396" customWidth="1"/>
    <col min="6" max="6" width="13.59765625" style="396" customWidth="1"/>
    <col min="7" max="7" width="13.19921875" style="396" customWidth="1"/>
    <col min="8" max="8" width="14" style="396" customWidth="1"/>
    <col min="9" max="9" width="13.59765625" style="396" customWidth="1"/>
    <col min="10" max="16384" width="11.3984375" style="3"/>
  </cols>
  <sheetData>
    <row r="1" spans="1:9" s="2" customFormat="1" ht="14" customHeight="1">
      <c r="A1" s="121"/>
      <c r="B1" s="1286"/>
      <c r="C1" s="1286"/>
      <c r="D1" s="1286"/>
      <c r="E1" s="1286"/>
      <c r="F1" s="1286"/>
      <c r="G1" s="1286"/>
      <c r="H1" s="1286"/>
      <c r="I1" s="1286"/>
    </row>
    <row r="2" spans="1:9" s="2" customFormat="1" ht="25.25" customHeight="1">
      <c r="A2" s="123" t="s">
        <v>2084</v>
      </c>
      <c r="B2" s="1349"/>
      <c r="C2" s="1349"/>
      <c r="D2" s="1349"/>
      <c r="E2" s="1349"/>
      <c r="F2" s="1349"/>
      <c r="G2" s="1349"/>
      <c r="H2" s="1349"/>
      <c r="I2" s="318"/>
    </row>
    <row r="3" spans="1:9" s="1353" customFormat="1" ht="64.25" customHeight="1">
      <c r="A3" s="1350" t="s">
        <v>469</v>
      </c>
      <c r="B3" s="1351" t="s">
        <v>651</v>
      </c>
      <c r="C3" s="1352" t="s">
        <v>2085</v>
      </c>
      <c r="D3" s="1351" t="s">
        <v>2086</v>
      </c>
      <c r="E3" s="1352" t="s">
        <v>2087</v>
      </c>
      <c r="F3" s="1351" t="s">
        <v>2088</v>
      </c>
      <c r="G3" s="1352" t="s">
        <v>2089</v>
      </c>
      <c r="H3" s="1351" t="s">
        <v>2090</v>
      </c>
      <c r="I3" s="1352" t="s">
        <v>2091</v>
      </c>
    </row>
    <row r="4" spans="1:9" ht="12" customHeight="1">
      <c r="A4" s="188"/>
      <c r="B4" s="189"/>
      <c r="C4" s="190"/>
      <c r="D4" s="189"/>
      <c r="E4" s="190" t="s">
        <v>721</v>
      </c>
      <c r="F4" s="189"/>
      <c r="G4" s="190"/>
      <c r="H4" s="189"/>
      <c r="I4" s="190"/>
    </row>
    <row r="5" spans="1:9" ht="1.5" customHeight="1" thickBot="1">
      <c r="A5" s="322">
        <v>1996</v>
      </c>
      <c r="B5" s="311">
        <v>100</v>
      </c>
      <c r="C5" s="312">
        <v>100</v>
      </c>
      <c r="D5" s="311">
        <v>100</v>
      </c>
      <c r="E5" s="312">
        <v>100</v>
      </c>
      <c r="F5" s="311">
        <v>100</v>
      </c>
      <c r="G5" s="312">
        <v>100</v>
      </c>
      <c r="H5" s="311">
        <v>100</v>
      </c>
      <c r="I5" s="312">
        <v>100</v>
      </c>
    </row>
    <row r="6" spans="1:9" ht="18" hidden="1" customHeight="1" thickBot="1">
      <c r="A6" s="324">
        <v>1997</v>
      </c>
      <c r="B6" s="313">
        <v>99.603751768772071</v>
      </c>
      <c r="C6" s="314">
        <v>100.38008221695314</v>
      </c>
      <c r="D6" s="313">
        <v>100.54808570359472</v>
      </c>
      <c r="E6" s="314">
        <v>101.42789940293106</v>
      </c>
      <c r="F6" s="313">
        <v>99.259050938587137</v>
      </c>
      <c r="G6" s="314">
        <v>99.621819781936267</v>
      </c>
      <c r="H6" s="313">
        <v>100.76095634245317</v>
      </c>
      <c r="I6" s="314">
        <v>100.52020451848172</v>
      </c>
    </row>
    <row r="7" spans="1:9" ht="18.75" hidden="1" customHeight="1" thickBot="1">
      <c r="A7" s="324">
        <v>1998</v>
      </c>
      <c r="B7" s="313">
        <v>96.927242504783251</v>
      </c>
      <c r="C7" s="314">
        <v>100.33490779124649</v>
      </c>
      <c r="D7" s="313">
        <v>101.27038445552139</v>
      </c>
      <c r="E7" s="314">
        <v>102.99618303138374</v>
      </c>
      <c r="F7" s="313">
        <v>98.452579284674385</v>
      </c>
      <c r="G7" s="314">
        <v>100.44765774993816</v>
      </c>
      <c r="H7" s="313">
        <v>101.24816209588769</v>
      </c>
      <c r="I7" s="314">
        <v>100.538234878222</v>
      </c>
    </row>
    <row r="8" spans="1:9" ht="18.5" hidden="1" customHeight="1" thickBot="1">
      <c r="A8" s="324">
        <v>1999</v>
      </c>
      <c r="B8" s="313">
        <v>95.844672232466905</v>
      </c>
      <c r="C8" s="314">
        <v>100.33187275209576</v>
      </c>
      <c r="D8" s="313">
        <v>101.87444222283719</v>
      </c>
      <c r="E8" s="314">
        <v>104.14320934906627</v>
      </c>
      <c r="F8" s="313">
        <v>98.676778256833302</v>
      </c>
      <c r="G8" s="314">
        <v>98.097369567529682</v>
      </c>
      <c r="H8" s="313">
        <v>101.67388949401801</v>
      </c>
      <c r="I8" s="314">
        <v>101.34904536554785</v>
      </c>
    </row>
    <row r="9" spans="1:9" ht="0.5" customHeight="1" thickBot="1">
      <c r="A9" s="324">
        <v>2000</v>
      </c>
      <c r="B9" s="313">
        <v>96.254772438034038</v>
      </c>
      <c r="C9" s="314">
        <v>100.33187275209576</v>
      </c>
      <c r="D9" s="313">
        <v>103.57018844964638</v>
      </c>
      <c r="E9" s="314">
        <v>104.72011004030597</v>
      </c>
      <c r="F9" s="313">
        <v>98.363608314160032</v>
      </c>
      <c r="G9" s="314">
        <v>97.073589844089597</v>
      </c>
      <c r="H9" s="313">
        <v>102.16099312393871</v>
      </c>
      <c r="I9" s="314">
        <v>102.92856130382158</v>
      </c>
    </row>
    <row r="10" spans="1:9" ht="18.75" customHeight="1" thickBot="1">
      <c r="A10" s="324">
        <v>2001</v>
      </c>
      <c r="B10" s="313">
        <v>95.617677812696272</v>
      </c>
      <c r="C10" s="314">
        <v>100.39157021638326</v>
      </c>
      <c r="D10" s="313">
        <v>105.66882988327751</v>
      </c>
      <c r="E10" s="314">
        <v>105.48310266577438</v>
      </c>
      <c r="F10" s="313">
        <v>99.731930662678707</v>
      </c>
      <c r="G10" s="314">
        <v>97.957928816735219</v>
      </c>
      <c r="H10" s="313">
        <v>102.72634889630439</v>
      </c>
      <c r="I10" s="314">
        <v>103.94658841484843</v>
      </c>
    </row>
    <row r="11" spans="1:9" ht="18.75" customHeight="1" thickBot="1">
      <c r="A11" s="324">
        <v>2002</v>
      </c>
      <c r="B11" s="313">
        <v>92.551966547481953</v>
      </c>
      <c r="C11" s="314">
        <v>100.41926181326284</v>
      </c>
      <c r="D11" s="313">
        <v>106.79946557044345</v>
      </c>
      <c r="E11" s="314">
        <v>107.26502318301614</v>
      </c>
      <c r="F11" s="313">
        <v>100.07068960129637</v>
      </c>
      <c r="G11" s="314">
        <v>98.584756517798724</v>
      </c>
      <c r="H11" s="313">
        <v>103.14270646204406</v>
      </c>
      <c r="I11" s="314">
        <v>104.61466069154169</v>
      </c>
    </row>
    <row r="12" spans="1:9" ht="18.75" customHeight="1" thickBot="1">
      <c r="A12" s="324">
        <v>2003</v>
      </c>
      <c r="B12" s="313">
        <v>91.45775676895002</v>
      </c>
      <c r="C12" s="314">
        <v>100.41926181326284</v>
      </c>
      <c r="D12" s="313">
        <v>107.42707824790855</v>
      </c>
      <c r="E12" s="314">
        <v>109.53160933947478</v>
      </c>
      <c r="F12" s="313">
        <v>99.942646202359242</v>
      </c>
      <c r="G12" s="314">
        <v>101.42505436052258</v>
      </c>
      <c r="H12" s="313">
        <v>104.03822755450696</v>
      </c>
      <c r="I12" s="314">
        <v>105.28242519538023</v>
      </c>
    </row>
    <row r="13" spans="1:9" ht="18.75" customHeight="1" thickBot="1">
      <c r="A13" s="324">
        <v>2004</v>
      </c>
      <c r="B13" s="313">
        <v>91.277873491072683</v>
      </c>
      <c r="C13" s="314">
        <v>100.41926181326284</v>
      </c>
      <c r="D13" s="313">
        <v>108.0206930792616</v>
      </c>
      <c r="E13" s="314">
        <v>111.84653649880872</v>
      </c>
      <c r="F13" s="313">
        <v>99.616681761713792</v>
      </c>
      <c r="G13" s="314">
        <v>102.9912008077947</v>
      </c>
      <c r="H13" s="313">
        <v>105.00309051283621</v>
      </c>
      <c r="I13" s="314">
        <v>106.12777463640488</v>
      </c>
    </row>
    <row r="14" spans="1:9" ht="18.75" customHeight="1" thickBot="1">
      <c r="A14" s="324">
        <v>2005</v>
      </c>
      <c r="B14" s="313">
        <v>90.545065570821578</v>
      </c>
      <c r="C14" s="314">
        <v>100.41926181326284</v>
      </c>
      <c r="D14" s="313">
        <v>108.68924828481903</v>
      </c>
      <c r="E14" s="314">
        <v>113.62688750297009</v>
      </c>
      <c r="F14" s="313">
        <v>99.312074290760378</v>
      </c>
      <c r="G14" s="314">
        <v>104.286528158435</v>
      </c>
      <c r="H14" s="313">
        <v>105.64575378514422</v>
      </c>
      <c r="I14" s="314">
        <v>107.37148474241722</v>
      </c>
    </row>
    <row r="15" spans="1:9" ht="18.75" customHeight="1" thickBot="1">
      <c r="A15" s="324">
        <v>2006</v>
      </c>
      <c r="B15" s="313">
        <v>86.696332978376475</v>
      </c>
      <c r="C15" s="314">
        <v>100.71403685540849</v>
      </c>
      <c r="D15" s="313">
        <v>109.14873746718119</v>
      </c>
      <c r="E15" s="314">
        <v>115.28983892872013</v>
      </c>
      <c r="F15" s="313">
        <v>98.680124510149113</v>
      </c>
      <c r="G15" s="314">
        <v>106.00372327689165</v>
      </c>
      <c r="H15" s="313">
        <v>105.66566787033413</v>
      </c>
      <c r="I15" s="314">
        <v>108.50911580449518</v>
      </c>
    </row>
    <row r="16" spans="1:9" ht="18.75" customHeight="1" thickBot="1">
      <c r="A16" s="324">
        <v>2007</v>
      </c>
      <c r="B16" s="313">
        <v>83.233835471503482</v>
      </c>
      <c r="C16" s="314">
        <v>100.42267684759494</v>
      </c>
      <c r="D16" s="313">
        <v>110.00800794644306</v>
      </c>
      <c r="E16" s="314">
        <v>116.63437045741058</v>
      </c>
      <c r="F16" s="313">
        <v>99.187764413075584</v>
      </c>
      <c r="G16" s="314">
        <v>105.50553429064226</v>
      </c>
      <c r="H16" s="313">
        <v>105.43881893306715</v>
      </c>
      <c r="I16" s="314">
        <v>109.30370285388793</v>
      </c>
    </row>
    <row r="17" spans="1:9" ht="18.75" customHeight="1" thickBot="1">
      <c r="A17" s="324">
        <v>2008</v>
      </c>
      <c r="B17" s="313">
        <v>80.876503293860637</v>
      </c>
      <c r="C17" s="314">
        <v>100.27174673364941</v>
      </c>
      <c r="D17" s="313">
        <v>110.60728313222906</v>
      </c>
      <c r="E17" s="314">
        <v>117.20461917762597</v>
      </c>
      <c r="F17" s="313">
        <v>100.09938833310221</v>
      </c>
      <c r="G17" s="314">
        <v>106.37901466085199</v>
      </c>
      <c r="H17" s="313">
        <v>105.25410470313801</v>
      </c>
      <c r="I17" s="314">
        <v>111.95546669777498</v>
      </c>
    </row>
    <row r="18" spans="1:9" ht="18.75" customHeight="1" thickBot="1">
      <c r="A18" s="324">
        <v>2009</v>
      </c>
      <c r="B18" s="313">
        <v>79.774559305345349</v>
      </c>
      <c r="C18" s="314">
        <v>100.24578836075855</v>
      </c>
      <c r="D18" s="313">
        <v>111.95824700734549</v>
      </c>
      <c r="E18" s="314">
        <v>118.31872254158185</v>
      </c>
      <c r="F18" s="313">
        <v>99.579677577575481</v>
      </c>
      <c r="G18" s="314">
        <v>107.51319620704622</v>
      </c>
      <c r="H18" s="313">
        <v>105.58870631204552</v>
      </c>
      <c r="I18" s="314">
        <v>111.41755622659586</v>
      </c>
    </row>
    <row r="19" spans="1:9" ht="18.75" customHeight="1" thickBot="1">
      <c r="A19" s="324">
        <v>2010</v>
      </c>
      <c r="B19" s="313">
        <v>75.837832454358434</v>
      </c>
      <c r="C19" s="314">
        <v>100.23725272557202</v>
      </c>
      <c r="D19" s="313">
        <v>113.02277156346835</v>
      </c>
      <c r="E19" s="314">
        <v>119.53575426201748</v>
      </c>
      <c r="F19" s="313">
        <v>99.007991606364158</v>
      </c>
      <c r="G19" s="314">
        <v>109.36105925946448</v>
      </c>
      <c r="H19" s="313">
        <v>105.34544603494989</v>
      </c>
      <c r="I19" s="314">
        <v>112.18439310242962</v>
      </c>
    </row>
    <row r="20" spans="1:9" s="110" customFormat="1" ht="24" customHeight="1" thickBot="1">
      <c r="A20" s="326">
        <v>2011</v>
      </c>
      <c r="B20" s="315">
        <v>71.894274383338143</v>
      </c>
      <c r="C20" s="316">
        <v>100.25103329205794</v>
      </c>
      <c r="D20" s="315">
        <v>113.93513276157225</v>
      </c>
      <c r="E20" s="316">
        <v>120.99860480691905</v>
      </c>
      <c r="F20" s="315">
        <v>97.339502993664723</v>
      </c>
      <c r="G20" s="316">
        <v>110.89891872952356</v>
      </c>
      <c r="H20" s="315">
        <v>105.10575308260573</v>
      </c>
      <c r="I20" s="316">
        <v>112.44390147519579</v>
      </c>
    </row>
    <row r="21" spans="1:9" ht="20" customHeight="1">
      <c r="A21" s="1287"/>
      <c r="B21" s="1288"/>
      <c r="C21" s="1288"/>
      <c r="D21" s="1288"/>
      <c r="E21" s="1288"/>
      <c r="F21" s="1288"/>
      <c r="G21" s="1288"/>
      <c r="H21" s="1288"/>
      <c r="I21" s="1288"/>
    </row>
    <row r="22" spans="1:9" ht="28.5" customHeight="1">
      <c r="A22" s="1354" t="s">
        <v>2092</v>
      </c>
      <c r="B22" s="1152"/>
      <c r="C22" s="1152"/>
      <c r="D22" s="1152"/>
      <c r="E22" s="1152"/>
      <c r="F22" s="1152"/>
      <c r="G22" s="1152"/>
      <c r="H22" s="1152"/>
      <c r="I22" s="1355"/>
    </row>
    <row r="23" spans="1:9" ht="63.5" customHeight="1">
      <c r="A23" s="1356" t="s">
        <v>469</v>
      </c>
      <c r="B23" s="1357" t="s">
        <v>651</v>
      </c>
      <c r="C23" s="1358" t="s">
        <v>2085</v>
      </c>
      <c r="D23" s="1357" t="s">
        <v>2086</v>
      </c>
      <c r="E23" s="1358" t="s">
        <v>2087</v>
      </c>
      <c r="F23" s="1357" t="s">
        <v>2088</v>
      </c>
      <c r="G23" s="1358" t="s">
        <v>2089</v>
      </c>
      <c r="H23" s="1357" t="s">
        <v>2090</v>
      </c>
      <c r="I23" s="1352" t="s">
        <v>2093</v>
      </c>
    </row>
    <row r="24" spans="1:9" ht="12.5" customHeight="1">
      <c r="A24" s="188"/>
      <c r="B24" s="189"/>
      <c r="C24" s="190"/>
      <c r="D24" s="189"/>
      <c r="E24" s="190"/>
      <c r="F24" s="189"/>
      <c r="G24" s="190"/>
      <c r="H24" s="189"/>
      <c r="I24" s="190"/>
    </row>
    <row r="25" spans="1:9" ht="1.25" customHeight="1" thickBot="1">
      <c r="A25" s="322">
        <v>1997</v>
      </c>
      <c r="B25" s="247">
        <v>-3.9624823122792474E-3</v>
      </c>
      <c r="C25" s="248">
        <v>3.8008221695313704E-3</v>
      </c>
      <c r="D25" s="247">
        <v>5.4808570359472508E-3</v>
      </c>
      <c r="E25" s="248">
        <v>1.4278994029310654E-2</v>
      </c>
      <c r="F25" s="247">
        <v>-7.4094906141286554E-3</v>
      </c>
      <c r="G25" s="248">
        <v>-3.7818021806372837E-3</v>
      </c>
      <c r="H25" s="247">
        <v>7.6095634245316734E-3</v>
      </c>
      <c r="I25" s="248">
        <v>5.2020451848171501E-3</v>
      </c>
    </row>
    <row r="26" spans="1:9" ht="20.25" hidden="1" customHeight="1" thickBot="1">
      <c r="A26" s="324">
        <v>1998</v>
      </c>
      <c r="B26" s="249">
        <v>-2.6871570763742691E-2</v>
      </c>
      <c r="C26" s="250">
        <v>-4.5003375877905594E-4</v>
      </c>
      <c r="D26" s="249">
        <v>7.1836151516193603E-3</v>
      </c>
      <c r="E26" s="250">
        <v>1.5462053711893686E-2</v>
      </c>
      <c r="F26" s="249">
        <v>-8.1249180431084422E-3</v>
      </c>
      <c r="G26" s="250">
        <v>8.2897297982467144E-3</v>
      </c>
      <c r="H26" s="249">
        <v>4.8352632916530691E-3</v>
      </c>
      <c r="I26" s="250">
        <v>1.7937050393657117E-4</v>
      </c>
    </row>
    <row r="27" spans="1:9" ht="0.5" hidden="1" customHeight="1" thickBot="1">
      <c r="A27" s="324">
        <v>1999</v>
      </c>
      <c r="B27" s="249">
        <v>-1.1168895806180856E-2</v>
      </c>
      <c r="C27" s="250">
        <v>-3.0249084964961703E-5</v>
      </c>
      <c r="D27" s="249">
        <v>5.9648017588114222E-3</v>
      </c>
      <c r="E27" s="250">
        <v>1.1136590540768099E-2</v>
      </c>
      <c r="F27" s="249">
        <v>2.2772280197012051E-3</v>
      </c>
      <c r="G27" s="250">
        <v>-2.3398138244890232E-2</v>
      </c>
      <c r="H27" s="249">
        <v>4.2047913692213612E-3</v>
      </c>
      <c r="I27" s="250">
        <v>8.0646978565712679E-3</v>
      </c>
    </row>
    <row r="28" spans="1:9" ht="19.75" hidden="1" customHeight="1" thickBot="1">
      <c r="A28" s="324">
        <v>2000</v>
      </c>
      <c r="B28" s="249">
        <v>4.2788002297347028E-3</v>
      </c>
      <c r="C28" s="250">
        <v>0</v>
      </c>
      <c r="D28" s="249">
        <v>1.6645452871290045E-2</v>
      </c>
      <c r="E28" s="250">
        <v>5.5394940759512235E-3</v>
      </c>
      <c r="F28" s="249">
        <v>-3.1736944416462798E-3</v>
      </c>
      <c r="G28" s="250">
        <v>-1.0436362646149444E-2</v>
      </c>
      <c r="H28" s="249">
        <v>4.7908428835050643E-3</v>
      </c>
      <c r="I28" s="250">
        <v>1.5584911851677541E-2</v>
      </c>
    </row>
    <row r="29" spans="1:9" ht="20.25" customHeight="1" thickBot="1">
      <c r="A29" s="324">
        <v>2001</v>
      </c>
      <c r="B29" s="249">
        <v>-6.618836751683288E-3</v>
      </c>
      <c r="C29" s="250">
        <v>5.9499999999990116E-4</v>
      </c>
      <c r="D29" s="249">
        <v>2.0262987497135176E-2</v>
      </c>
      <c r="E29" s="250">
        <v>7.2860181790750378E-3</v>
      </c>
      <c r="F29" s="249">
        <v>1.3910859635694051E-2</v>
      </c>
      <c r="G29" s="250">
        <v>9.1099852603160336E-3</v>
      </c>
      <c r="H29" s="249">
        <v>5.5339690333648939E-3</v>
      </c>
      <c r="I29" s="250">
        <v>9.8906182903097939E-3</v>
      </c>
    </row>
    <row r="30" spans="1:9" ht="20.25" customHeight="1" thickBot="1">
      <c r="A30" s="324">
        <v>2002</v>
      </c>
      <c r="B30" s="249">
        <v>-3.206218071118272E-2</v>
      </c>
      <c r="C30" s="250">
        <v>2.7583587765289685E-4</v>
      </c>
      <c r="D30" s="249">
        <v>1.0699803228774618E-2</v>
      </c>
      <c r="E30" s="250">
        <v>1.6892947516796264E-2</v>
      </c>
      <c r="F30" s="249">
        <v>3.3966948836419153E-3</v>
      </c>
      <c r="G30" s="250">
        <v>6.3989480855215497E-3</v>
      </c>
      <c r="H30" s="249">
        <v>4.0530747000455669E-3</v>
      </c>
      <c r="I30" s="250">
        <v>6.4270726618462781E-3</v>
      </c>
    </row>
    <row r="31" spans="1:9" ht="20.25" customHeight="1" thickBot="1">
      <c r="A31" s="324">
        <v>2003</v>
      </c>
      <c r="B31" s="249">
        <v>-1.1822652930562727E-2</v>
      </c>
      <c r="C31" s="250">
        <v>0</v>
      </c>
      <c r="D31" s="249">
        <v>5.8765526036377302E-3</v>
      </c>
      <c r="E31" s="250">
        <v>2.1130710544772668E-2</v>
      </c>
      <c r="F31" s="249">
        <v>-1.2795294950727065E-3</v>
      </c>
      <c r="G31" s="250">
        <v>2.8810720268006795E-2</v>
      </c>
      <c r="H31" s="249">
        <v>8.6823501455475238E-3</v>
      </c>
      <c r="I31" s="250">
        <v>6.3830872214694079E-3</v>
      </c>
    </row>
    <row r="32" spans="1:9" ht="20.25" customHeight="1" thickBot="1">
      <c r="A32" s="324">
        <v>2004</v>
      </c>
      <c r="B32" s="249">
        <v>-1.966845505863235E-3</v>
      </c>
      <c r="C32" s="250">
        <v>0</v>
      </c>
      <c r="D32" s="249">
        <v>5.5257467766476331E-3</v>
      </c>
      <c r="E32" s="250">
        <v>2.1134786326011179E-2</v>
      </c>
      <c r="F32" s="249">
        <v>-3.2615150091729328E-3</v>
      </c>
      <c r="G32" s="250">
        <v>1.5441415902082145E-2</v>
      </c>
      <c r="H32" s="249">
        <v>9.2741195328778225E-3</v>
      </c>
      <c r="I32" s="250">
        <v>8.0293500026797915E-3</v>
      </c>
    </row>
    <row r="33" spans="1:9" ht="20.25" customHeight="1" thickBot="1">
      <c r="A33" s="324">
        <v>2005</v>
      </c>
      <c r="B33" s="249">
        <v>-8.0283193749334236E-3</v>
      </c>
      <c r="C33" s="250">
        <v>0</v>
      </c>
      <c r="D33" s="249">
        <v>6.1891401221325637E-3</v>
      </c>
      <c r="E33" s="250">
        <v>1.5917801837165957E-2</v>
      </c>
      <c r="F33" s="249">
        <v>-3.0577957985193915E-3</v>
      </c>
      <c r="G33" s="250">
        <v>1.2577068142527015E-2</v>
      </c>
      <c r="H33" s="249">
        <v>6.1204224482274139E-3</v>
      </c>
      <c r="I33" s="250">
        <v>1.1718987892409105E-2</v>
      </c>
    </row>
    <row r="34" spans="1:9" ht="20.25" customHeight="1" thickBot="1">
      <c r="A34" s="324">
        <v>2006</v>
      </c>
      <c r="B34" s="249">
        <v>-4.2506265451149772E-2</v>
      </c>
      <c r="C34" s="250">
        <v>2.9354432289476762E-3</v>
      </c>
      <c r="D34" s="249">
        <v>4.227549547109577E-3</v>
      </c>
      <c r="E34" s="250">
        <v>1.4635192974959965E-2</v>
      </c>
      <c r="F34" s="249">
        <v>-6.3632723928520596E-3</v>
      </c>
      <c r="G34" s="250">
        <v>1.6466126054631269E-2</v>
      </c>
      <c r="H34" s="249">
        <v>1.8849868050940799E-4</v>
      </c>
      <c r="I34" s="250">
        <v>1.059528109168939E-2</v>
      </c>
    </row>
    <row r="35" spans="1:9" ht="20.25" customHeight="1" thickBot="1">
      <c r="A35" s="324">
        <v>2007</v>
      </c>
      <c r="B35" s="249">
        <v>-3.9938223312589227E-2</v>
      </c>
      <c r="C35" s="250">
        <v>-2.8929433960813711E-3</v>
      </c>
      <c r="D35" s="249">
        <v>7.8724729135801752E-3</v>
      </c>
      <c r="E35" s="250">
        <v>1.1662185854225404E-2</v>
      </c>
      <c r="F35" s="249">
        <v>5.1442973491004906E-3</v>
      </c>
      <c r="G35" s="250">
        <v>-4.6997310174480278E-3</v>
      </c>
      <c r="H35" s="249">
        <v>-2.1468556612480594E-3</v>
      </c>
      <c r="I35" s="250">
        <v>7.3227677094371835E-3</v>
      </c>
    </row>
    <row r="36" spans="1:9" ht="20.25" customHeight="1" thickBot="1">
      <c r="A36" s="324">
        <v>2008</v>
      </c>
      <c r="B36" s="249">
        <v>-2.8321801636185806E-2</v>
      </c>
      <c r="C36" s="250">
        <v>-1.5029485240131146E-3</v>
      </c>
      <c r="D36" s="249">
        <v>5.4475596547276517E-3</v>
      </c>
      <c r="E36" s="250">
        <v>4.8891996242532709E-3</v>
      </c>
      <c r="F36" s="249">
        <v>9.1908908868043593E-3</v>
      </c>
      <c r="G36" s="250">
        <v>8.279000491135502E-3</v>
      </c>
      <c r="H36" s="249">
        <v>-1.7518617127758596E-3</v>
      </c>
      <c r="I36" s="250">
        <v>2.4260512449718163E-2</v>
      </c>
    </row>
    <row r="37" spans="1:9" ht="20.25" customHeight="1" thickBot="1">
      <c r="A37" s="324">
        <v>2009</v>
      </c>
      <c r="B37" s="249">
        <v>-1.3625020168236412E-2</v>
      </c>
      <c r="C37" s="250">
        <v>-2.5888023033859842E-4</v>
      </c>
      <c r="D37" s="249">
        <v>1.2214058937704664E-2</v>
      </c>
      <c r="E37" s="250">
        <v>9.505626755780261E-3</v>
      </c>
      <c r="F37" s="249">
        <v>-5.1919473653253556E-3</v>
      </c>
      <c r="G37" s="250">
        <v>1.0661703812637535E-2</v>
      </c>
      <c r="H37" s="249">
        <v>3.1789886945619017E-3</v>
      </c>
      <c r="I37" s="250">
        <v>-4.8046824960429335E-3</v>
      </c>
    </row>
    <row r="38" spans="1:9" ht="20.25" customHeight="1" thickBot="1">
      <c r="A38" s="324">
        <v>2010</v>
      </c>
      <c r="B38" s="249">
        <v>-4.9348149150140519E-2</v>
      </c>
      <c r="C38" s="250">
        <v>-8.5147070277069581E-5</v>
      </c>
      <c r="D38" s="249">
        <v>9.508228152706133E-3</v>
      </c>
      <c r="E38" s="250">
        <v>1.0286045135484922E-2</v>
      </c>
      <c r="F38" s="249">
        <v>-5.7409903819578556E-3</v>
      </c>
      <c r="G38" s="250">
        <v>1.7187313907584878E-2</v>
      </c>
      <c r="H38" s="249">
        <v>-2.3038475002877812E-3</v>
      </c>
      <c r="I38" s="250">
        <v>6.8825497686755277E-3</v>
      </c>
    </row>
    <row r="39" spans="1:9" ht="22.5" customHeight="1" thickBot="1">
      <c r="A39" s="1359">
        <v>2011</v>
      </c>
      <c r="B39" s="292">
        <v>-5.1999878469544125E-2</v>
      </c>
      <c r="C39" s="289">
        <v>1.3747949101960977E-4</v>
      </c>
      <c r="D39" s="292">
        <v>8.0723661743824504E-3</v>
      </c>
      <c r="E39" s="289">
        <v>1.2237765628642538E-2</v>
      </c>
      <c r="F39" s="292">
        <v>-1.6852059976461331E-2</v>
      </c>
      <c r="G39" s="289">
        <v>1.4062221786005358E-2</v>
      </c>
      <c r="H39" s="292">
        <v>-2.2753043569119225E-3</v>
      </c>
      <c r="I39" s="289">
        <v>2.3132306160378313E-3</v>
      </c>
    </row>
    <row r="40" spans="1:9" ht="20" customHeight="1">
      <c r="A40" s="1287" t="s">
        <v>2401</v>
      </c>
      <c r="B40" s="1152"/>
      <c r="C40" s="1152"/>
      <c r="D40" s="1152"/>
      <c r="E40" s="1152"/>
      <c r="F40" s="1152"/>
      <c r="G40" s="1152"/>
      <c r="H40" s="1152"/>
      <c r="I40" s="1152"/>
    </row>
    <row r="41" spans="1:9" ht="11.25" customHeight="1">
      <c r="A41" s="1289"/>
      <c r="B41" s="1152"/>
      <c r="C41" s="1152"/>
      <c r="D41" s="1152"/>
      <c r="E41" s="1152"/>
      <c r="F41" s="1152"/>
      <c r="G41" s="1152"/>
      <c r="H41" s="1152"/>
      <c r="I41" s="1152"/>
    </row>
    <row r="42" spans="1:9" ht="13.5" customHeight="1">
      <c r="A42" s="1289" t="s">
        <v>2094</v>
      </c>
      <c r="B42" s="1152"/>
      <c r="C42" s="1152"/>
      <c r="D42" s="1152"/>
      <c r="E42" s="1152"/>
      <c r="F42" s="1152"/>
      <c r="G42" s="1152"/>
      <c r="H42" s="1152"/>
      <c r="I42" s="1152"/>
    </row>
    <row r="43" spans="1:9" ht="12.75" customHeight="1">
      <c r="A43" s="1289"/>
      <c r="B43" s="1152"/>
      <c r="C43" s="1152"/>
      <c r="D43" s="1152"/>
      <c r="E43" s="1152"/>
      <c r="F43" s="1152"/>
      <c r="G43" s="1152"/>
      <c r="H43" s="1152"/>
      <c r="I43" s="1152"/>
    </row>
    <row r="44" spans="1:9" ht="13.5" customHeight="1">
      <c r="A44" s="44" t="s">
        <v>2095</v>
      </c>
      <c r="B44" s="1290"/>
      <c r="C44" s="1290"/>
      <c r="D44" s="1290"/>
      <c r="E44" s="1290"/>
      <c r="F44" s="1290"/>
      <c r="G44" s="1290"/>
      <c r="H44" s="1290"/>
      <c r="I44" s="1290"/>
    </row>
    <row r="45" spans="1:9" ht="13.5" customHeight="1">
      <c r="A45" s="1085" t="s">
        <v>2096</v>
      </c>
      <c r="B45" s="1290"/>
      <c r="C45" s="1290"/>
      <c r="D45" s="1290"/>
      <c r="E45" s="1290"/>
      <c r="F45" s="1290"/>
      <c r="G45" s="1290"/>
      <c r="H45" s="1290"/>
      <c r="I45" s="1290"/>
    </row>
    <row r="46" spans="1:9" ht="13.5" customHeight="1">
      <c r="A46" s="1085" t="s">
        <v>2097</v>
      </c>
      <c r="B46" s="1290"/>
      <c r="C46" s="1290"/>
      <c r="D46" s="1290"/>
      <c r="E46" s="1290"/>
      <c r="F46" s="1290"/>
      <c r="G46" s="1290"/>
      <c r="H46" s="1290"/>
      <c r="I46" s="1290"/>
    </row>
    <row r="47" spans="1:9" ht="13.5" customHeight="1">
      <c r="A47" s="3" t="s">
        <v>2098</v>
      </c>
      <c r="B47" s="1290"/>
      <c r="C47" s="1290"/>
      <c r="D47" s="1290"/>
      <c r="E47" s="1290"/>
      <c r="F47" s="1290"/>
      <c r="G47" s="1290"/>
      <c r="H47" s="1290"/>
      <c r="I47" s="1290"/>
    </row>
    <row r="48" spans="1:9" ht="13.5" customHeight="1">
      <c r="A48" s="3" t="s">
        <v>2099</v>
      </c>
      <c r="B48" s="1290"/>
      <c r="C48" s="1290"/>
      <c r="D48" s="1290"/>
      <c r="E48" s="1290"/>
      <c r="F48" s="1290"/>
      <c r="G48" s="1290"/>
      <c r="H48" s="1290"/>
      <c r="I48" s="1290"/>
    </row>
    <row r="49" spans="1:11" ht="13.5" customHeight="1">
      <c r="A49" s="1085" t="s">
        <v>2100</v>
      </c>
      <c r="B49" s="1290"/>
      <c r="C49" s="1290"/>
      <c r="D49" s="1290"/>
      <c r="E49" s="1290"/>
      <c r="F49" s="1290"/>
      <c r="G49" s="1290"/>
      <c r="H49" s="1290"/>
      <c r="I49" s="1290"/>
    </row>
    <row r="50" spans="1:11" ht="13.5" customHeight="1">
      <c r="A50" s="1085" t="s">
        <v>2101</v>
      </c>
      <c r="B50" s="1290"/>
      <c r="C50" s="1290"/>
      <c r="D50" s="1290"/>
      <c r="E50" s="1290"/>
      <c r="F50" s="1290"/>
      <c r="G50" s="1290"/>
      <c r="H50" s="1290"/>
      <c r="I50" s="1290"/>
    </row>
    <row r="51" spans="1:11" ht="13.5" customHeight="1">
      <c r="A51" s="1085" t="s">
        <v>2102</v>
      </c>
      <c r="B51" s="1290"/>
      <c r="C51" s="1290"/>
      <c r="D51" s="1290"/>
      <c r="E51" s="1290"/>
      <c r="F51" s="1290"/>
      <c r="G51" s="1290"/>
      <c r="H51" s="1290"/>
      <c r="I51" s="1290"/>
    </row>
    <row r="52" spans="1:11" ht="13.5" customHeight="1">
      <c r="A52" s="1085" t="s">
        <v>2103</v>
      </c>
      <c r="B52" s="1290"/>
      <c r="C52" s="1290"/>
      <c r="D52" s="1290"/>
      <c r="E52" s="1290"/>
      <c r="F52" s="1290"/>
      <c r="G52" s="1290"/>
      <c r="H52" s="1290"/>
      <c r="I52" s="1290"/>
    </row>
    <row r="53" spans="1:11" ht="13.5" customHeight="1">
      <c r="A53" s="3" t="s">
        <v>2104</v>
      </c>
      <c r="B53" s="1290"/>
      <c r="C53" s="1290"/>
      <c r="D53" s="1290"/>
      <c r="E53" s="1290"/>
      <c r="F53" s="1290"/>
      <c r="G53" s="1290"/>
      <c r="H53" s="1290"/>
      <c r="I53" s="1290"/>
    </row>
    <row r="54" spans="1:11" ht="13.5" customHeight="1">
      <c r="A54" s="3" t="s">
        <v>2105</v>
      </c>
      <c r="B54" s="1290"/>
      <c r="C54" s="1290"/>
      <c r="D54" s="1290"/>
      <c r="E54" s="1290"/>
      <c r="F54" s="1290"/>
      <c r="G54" s="1290"/>
      <c r="H54" s="1290"/>
      <c r="I54" s="1290"/>
    </row>
    <row r="55" spans="1:11" ht="13.5" customHeight="1">
      <c r="A55" s="1085" t="s">
        <v>2106</v>
      </c>
      <c r="B55" s="1290"/>
      <c r="C55" s="1290"/>
      <c r="D55" s="1290"/>
      <c r="E55" s="1290"/>
      <c r="F55" s="1290"/>
      <c r="G55" s="1290"/>
      <c r="H55" s="1290"/>
      <c r="I55" s="1290"/>
    </row>
    <row r="57" spans="1:11">
      <c r="A57" s="1289" t="s">
        <v>2107</v>
      </c>
    </row>
    <row r="60" spans="1:11" ht="16">
      <c r="A60" s="173" t="s">
        <v>719</v>
      </c>
      <c r="K60" s="120"/>
    </row>
  </sheetData>
  <pageMargins left="0.51181102362204722" right="0.43307086614173229" top="0.74803149606299213" bottom="0.47244094488188981" header="0.39370078740157483" footer="0.51181102362204722"/>
  <pageSetup paperSize="9" scale="78" orientation="portrait"/>
  <headerFooter alignWithMargins="0"/>
  <rowBreaks count="1" manualBreakCount="1">
    <brk id="57" max="16383"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F2BB-A173-5445-BACC-1AF5CB35E42C}">
  <sheetPr>
    <pageSetUpPr fitToPage="1"/>
  </sheetPr>
  <dimension ref="A1:K72"/>
  <sheetViews>
    <sheetView topLeftCell="A12" zoomScaleNormal="100" workbookViewId="0">
      <selection activeCell="A3" sqref="A3"/>
    </sheetView>
  </sheetViews>
  <sheetFormatPr baseColWidth="10" defaultColWidth="11.3984375" defaultRowHeight="13"/>
  <cols>
    <col min="1" max="1" width="11.3984375" style="3"/>
    <col min="2" max="7" width="13.59765625" style="396" customWidth="1"/>
    <col min="8" max="9" width="13.59765625" style="3" customWidth="1"/>
    <col min="10" max="10" width="2.59765625" style="3" customWidth="1"/>
    <col min="11" max="11" width="13.59765625" style="3" customWidth="1"/>
    <col min="12" max="16384" width="11.3984375" style="3"/>
  </cols>
  <sheetData>
    <row r="1" spans="1:11" s="2" customFormat="1" ht="14" customHeight="1">
      <c r="A1" s="121"/>
      <c r="B1" s="1286"/>
      <c r="C1" s="1286"/>
      <c r="D1" s="1286"/>
      <c r="E1" s="1286"/>
      <c r="F1" s="1286"/>
      <c r="G1" s="1286"/>
    </row>
    <row r="2" spans="1:11" s="2" customFormat="1" ht="25.25" customHeight="1">
      <c r="A2" s="1291" t="s">
        <v>2065</v>
      </c>
      <c r="B2" s="436"/>
      <c r="C2" s="436"/>
      <c r="D2" s="436"/>
      <c r="E2" s="436"/>
      <c r="F2" s="436"/>
      <c r="G2" s="436"/>
      <c r="H2" s="436"/>
      <c r="I2" s="436"/>
      <c r="J2" s="1292"/>
      <c r="K2" s="246"/>
    </row>
    <row r="3" spans="1:11" ht="27" customHeight="1">
      <c r="A3" s="1096" t="s">
        <v>469</v>
      </c>
      <c r="B3" s="261" t="s">
        <v>2066</v>
      </c>
      <c r="C3" s="1064"/>
      <c r="D3" s="1064"/>
      <c r="E3" s="1293"/>
      <c r="F3" s="1294" t="s">
        <v>2067</v>
      </c>
      <c r="G3" s="1066"/>
      <c r="H3" s="1295"/>
      <c r="I3" s="1295"/>
      <c r="J3" s="173"/>
    </row>
    <row r="4" spans="1:11" ht="22.75" customHeight="1">
      <c r="A4" s="184"/>
      <c r="B4" s="1067" t="s">
        <v>701</v>
      </c>
      <c r="C4" s="1296" t="s">
        <v>348</v>
      </c>
      <c r="D4" s="1067" t="s">
        <v>700</v>
      </c>
      <c r="E4" s="1296" t="s">
        <v>2068</v>
      </c>
      <c r="F4" s="1297" t="s">
        <v>701</v>
      </c>
      <c r="G4" s="1296" t="s">
        <v>650</v>
      </c>
      <c r="H4" s="1067" t="s">
        <v>650</v>
      </c>
      <c r="I4" s="1296" t="s">
        <v>650</v>
      </c>
      <c r="J4" s="1098"/>
    </row>
    <row r="5" spans="1:11" ht="16.25" customHeight="1">
      <c r="A5" s="184"/>
      <c r="B5" s="1067" t="s">
        <v>702</v>
      </c>
      <c r="C5" s="1296"/>
      <c r="D5" s="1067" t="s">
        <v>348</v>
      </c>
      <c r="E5" s="1296"/>
      <c r="F5" s="1297" t="s">
        <v>702</v>
      </c>
      <c r="G5" s="1296" t="s">
        <v>2069</v>
      </c>
      <c r="H5" s="1067" t="s">
        <v>2070</v>
      </c>
      <c r="I5" s="1296" t="s">
        <v>2071</v>
      </c>
      <c r="J5" s="1098"/>
    </row>
    <row r="6" spans="1:11" s="317" customFormat="1" ht="22.75" customHeight="1">
      <c r="A6" s="470"/>
      <c r="B6" s="1067"/>
      <c r="C6" s="1296"/>
      <c r="D6" s="1067"/>
      <c r="E6" s="1296"/>
      <c r="F6" s="1297"/>
      <c r="G6" s="1296" t="s">
        <v>2072</v>
      </c>
      <c r="H6" s="1298"/>
      <c r="I6" s="1299"/>
      <c r="J6" s="935"/>
    </row>
    <row r="7" spans="1:11" ht="1.25" customHeight="1" thickBot="1">
      <c r="A7" s="1300">
        <v>1996</v>
      </c>
      <c r="B7" s="1151">
        <v>85.845027995215389</v>
      </c>
      <c r="C7" s="1149" t="s">
        <v>30</v>
      </c>
      <c r="D7" s="1151" t="s">
        <v>30</v>
      </c>
      <c r="E7" s="1149" t="s">
        <v>30</v>
      </c>
      <c r="F7" s="1301" t="s">
        <v>30</v>
      </c>
      <c r="G7" s="1149" t="s">
        <v>30</v>
      </c>
      <c r="H7" s="311" t="s">
        <v>30</v>
      </c>
      <c r="I7" s="312" t="s">
        <v>30</v>
      </c>
      <c r="J7" s="1302"/>
    </row>
    <row r="8" spans="1:11" ht="0.75" hidden="1" customHeight="1" thickBot="1">
      <c r="A8" s="324">
        <v>1997</v>
      </c>
      <c r="B8" s="1151">
        <v>92.815135115864891</v>
      </c>
      <c r="C8" s="314">
        <v>92.444560110674317</v>
      </c>
      <c r="D8" s="313">
        <v>92.272278855639584</v>
      </c>
      <c r="E8" s="314">
        <v>94.708135081815001</v>
      </c>
      <c r="F8" s="1301" t="s">
        <v>30</v>
      </c>
      <c r="G8" s="1149" t="s">
        <v>30</v>
      </c>
      <c r="H8" s="311" t="s">
        <v>30</v>
      </c>
      <c r="I8" s="312" t="s">
        <v>30</v>
      </c>
      <c r="J8" s="1302"/>
    </row>
    <row r="9" spans="1:11" ht="18" hidden="1" customHeight="1" thickBot="1">
      <c r="A9" s="1303">
        <v>1998</v>
      </c>
      <c r="B9" s="1151">
        <v>97.82364594098182</v>
      </c>
      <c r="C9" s="1304">
        <v>97.816191141488716</v>
      </c>
      <c r="D9" s="1305">
        <v>98.901550603293458</v>
      </c>
      <c r="E9" s="1304">
        <v>97.609376813276072</v>
      </c>
      <c r="F9" s="1301" t="s">
        <v>30</v>
      </c>
      <c r="G9" s="1149" t="s">
        <v>30</v>
      </c>
      <c r="H9" s="311" t="s">
        <v>30</v>
      </c>
      <c r="I9" s="312" t="s">
        <v>30</v>
      </c>
      <c r="J9" s="1302"/>
    </row>
    <row r="10" spans="1:11" ht="18" hidden="1" customHeight="1" thickBot="1">
      <c r="A10" s="324">
        <v>1999</v>
      </c>
      <c r="B10" s="1151">
        <v>100</v>
      </c>
      <c r="C10" s="314">
        <v>100</v>
      </c>
      <c r="D10" s="313">
        <v>100</v>
      </c>
      <c r="E10" s="314">
        <v>100</v>
      </c>
      <c r="F10" s="1306">
        <v>100</v>
      </c>
      <c r="G10" s="314">
        <v>100</v>
      </c>
      <c r="H10" s="313">
        <v>100</v>
      </c>
      <c r="I10" s="314">
        <v>100</v>
      </c>
      <c r="J10" s="1302"/>
    </row>
    <row r="11" spans="1:11" ht="0.5" hidden="1" customHeight="1" thickBot="1">
      <c r="A11" s="322">
        <v>2000</v>
      </c>
      <c r="B11" s="311">
        <v>103.20562026598945</v>
      </c>
      <c r="C11" s="312">
        <v>103.03441222531174</v>
      </c>
      <c r="D11" s="311">
        <v>99.091265525004431</v>
      </c>
      <c r="E11" s="312">
        <v>103.07365838293074</v>
      </c>
      <c r="F11" s="1307">
        <v>106.4</v>
      </c>
      <c r="G11" s="312">
        <v>104.3</v>
      </c>
      <c r="H11" s="311">
        <v>107.5</v>
      </c>
      <c r="I11" s="312">
        <v>106.7</v>
      </c>
      <c r="J11" s="1302"/>
    </row>
    <row r="12" spans="1:11" ht="18" customHeight="1" thickBot="1">
      <c r="A12" s="324">
        <v>2001</v>
      </c>
      <c r="B12" s="313">
        <v>106.94335020000455</v>
      </c>
      <c r="C12" s="314">
        <v>107.41253121846763</v>
      </c>
      <c r="D12" s="313">
        <v>99.966483697164392</v>
      </c>
      <c r="E12" s="314">
        <v>108.20305376415389</v>
      </c>
      <c r="F12" s="1306">
        <v>111.1</v>
      </c>
      <c r="G12" s="314">
        <v>107.5</v>
      </c>
      <c r="H12" s="313">
        <v>112.5</v>
      </c>
      <c r="I12" s="314">
        <v>112.5</v>
      </c>
      <c r="J12" s="1302"/>
    </row>
    <row r="13" spans="1:11" ht="18" customHeight="1" thickBot="1">
      <c r="A13" s="1303">
        <v>2002</v>
      </c>
      <c r="B13" s="1305">
        <v>116.62017344016445</v>
      </c>
      <c r="C13" s="1304">
        <v>116.60890964793332</v>
      </c>
      <c r="D13" s="1305">
        <v>112.72607694837224</v>
      </c>
      <c r="E13" s="1304">
        <v>118.09048558497321</v>
      </c>
      <c r="F13" s="1308">
        <v>115.4</v>
      </c>
      <c r="G13" s="1304">
        <v>107.9</v>
      </c>
      <c r="H13" s="1305">
        <v>117.5</v>
      </c>
      <c r="I13" s="1304">
        <v>119.3</v>
      </c>
      <c r="J13" s="1302"/>
    </row>
    <row r="14" spans="1:11" ht="18" customHeight="1" thickBot="1">
      <c r="A14" s="1303">
        <v>2003</v>
      </c>
      <c r="B14" s="1305">
        <v>127.26432081149086</v>
      </c>
      <c r="C14" s="1304">
        <v>126.36094255801954</v>
      </c>
      <c r="D14" s="1305">
        <v>128.18468115245491</v>
      </c>
      <c r="E14" s="1304">
        <v>128.50511447470944</v>
      </c>
      <c r="F14" s="1308">
        <v>116.38</v>
      </c>
      <c r="G14" s="1304">
        <v>110</v>
      </c>
      <c r="H14" s="1305">
        <v>117.9</v>
      </c>
      <c r="I14" s="1304">
        <v>120.1</v>
      </c>
      <c r="J14" s="1302"/>
    </row>
    <row r="15" spans="1:11" ht="15.75" customHeight="1" thickBot="1">
      <c r="A15" s="1303">
        <v>2004</v>
      </c>
      <c r="B15" s="1305">
        <v>136.21209815526825</v>
      </c>
      <c r="C15" s="1304">
        <v>134.46062249738608</v>
      </c>
      <c r="D15" s="1305">
        <v>140.98790883565627</v>
      </c>
      <c r="E15" s="1304">
        <v>134.59274855352376</v>
      </c>
      <c r="F15" s="1308">
        <v>117.9</v>
      </c>
      <c r="G15" s="1304">
        <v>113.3</v>
      </c>
      <c r="H15" s="1305">
        <v>118.6</v>
      </c>
      <c r="I15" s="1304">
        <v>121.2</v>
      </c>
      <c r="J15" s="1302"/>
    </row>
    <row r="16" spans="1:11" s="110" customFormat="1" ht="19.5" customHeight="1" thickBot="1">
      <c r="A16" s="1303">
        <v>2005</v>
      </c>
      <c r="B16" s="1305">
        <v>138.755283887497</v>
      </c>
      <c r="C16" s="1304">
        <v>137.01928125613529</v>
      </c>
      <c r="D16" s="1305">
        <v>145.19388864998862</v>
      </c>
      <c r="E16" s="1304">
        <v>134.35401780533496</v>
      </c>
      <c r="F16" s="1308">
        <v>118.91</v>
      </c>
      <c r="G16" s="1304">
        <v>114.2</v>
      </c>
      <c r="H16" s="1305">
        <v>119.4</v>
      </c>
      <c r="I16" s="1304">
        <v>122.7</v>
      </c>
      <c r="J16" s="1302"/>
    </row>
    <row r="17" spans="1:11" ht="19.5" customHeight="1" thickBot="1">
      <c r="A17" s="1303">
        <v>2006</v>
      </c>
      <c r="B17" s="1305">
        <v>144.06903358290245</v>
      </c>
      <c r="C17" s="1304">
        <v>142.457115984312</v>
      </c>
      <c r="D17" s="1305">
        <v>151.60878253610909</v>
      </c>
      <c r="E17" s="1304">
        <v>137.84213929276015</v>
      </c>
      <c r="F17" s="1308">
        <v>122.4</v>
      </c>
      <c r="G17" s="1304">
        <v>113.4</v>
      </c>
      <c r="H17" s="1305">
        <v>123.8</v>
      </c>
      <c r="I17" s="1304">
        <v>128.5</v>
      </c>
      <c r="J17" s="1302"/>
    </row>
    <row r="18" spans="1:11" ht="19.5" customHeight="1" thickBot="1">
      <c r="A18" s="1303">
        <v>2007</v>
      </c>
      <c r="B18" s="1305">
        <v>145.70957931673081</v>
      </c>
      <c r="C18" s="1304">
        <v>143.74603348537357</v>
      </c>
      <c r="D18" s="1305">
        <v>152.46313206688083</v>
      </c>
      <c r="E18" s="1304">
        <v>137.76256237669722</v>
      </c>
      <c r="F18" s="1308">
        <v>123</v>
      </c>
      <c r="G18" s="1304">
        <v>113.3</v>
      </c>
      <c r="H18" s="1305">
        <v>124.8</v>
      </c>
      <c r="I18" s="1304">
        <v>128.80000000000001</v>
      </c>
      <c r="J18" s="1302"/>
    </row>
    <row r="19" spans="1:11" ht="19.5" customHeight="1" thickBot="1">
      <c r="A19" s="1303">
        <v>2008</v>
      </c>
      <c r="B19" s="1305">
        <v>144.2402840216258</v>
      </c>
      <c r="C19" s="1304">
        <v>142.13751192807996</v>
      </c>
      <c r="D19" s="1305">
        <v>151.18824779298308</v>
      </c>
      <c r="E19" s="1304">
        <v>133.56819575921349</v>
      </c>
      <c r="F19" s="1308">
        <v>124.4</v>
      </c>
      <c r="G19" s="1304">
        <v>114.4</v>
      </c>
      <c r="H19" s="1305">
        <v>125.1</v>
      </c>
      <c r="I19" s="1304">
        <v>132</v>
      </c>
      <c r="J19" s="1302"/>
    </row>
    <row r="20" spans="1:11" ht="19.5" customHeight="1" thickBot="1">
      <c r="A20" s="1303">
        <v>2009</v>
      </c>
      <c r="B20" s="1305">
        <v>145.62457246467343</v>
      </c>
      <c r="C20" s="1304">
        <v>142.63879062206922</v>
      </c>
      <c r="D20" s="1305">
        <v>152.86418891088371</v>
      </c>
      <c r="E20" s="1304">
        <v>133.17503978163364</v>
      </c>
      <c r="F20" s="1308">
        <v>126.6</v>
      </c>
      <c r="G20" s="1304">
        <v>114.3</v>
      </c>
      <c r="H20" s="1305">
        <v>127.8</v>
      </c>
      <c r="I20" s="1304">
        <v>135.6</v>
      </c>
      <c r="J20" s="1302"/>
    </row>
    <row r="21" spans="1:11" ht="19.5" customHeight="1" thickBot="1">
      <c r="A21" s="1303">
        <v>2010</v>
      </c>
      <c r="B21" s="1305">
        <v>158.11372025519123</v>
      </c>
      <c r="C21" s="1304">
        <v>154.20278530169568</v>
      </c>
      <c r="D21" s="1305">
        <v>170.07906968946978</v>
      </c>
      <c r="E21" s="1304">
        <v>144.32918357213987</v>
      </c>
      <c r="F21" s="1308">
        <v>134.80000000000001</v>
      </c>
      <c r="G21" s="1304">
        <v>120.5</v>
      </c>
      <c r="H21" s="1305">
        <v>136.4</v>
      </c>
      <c r="I21" s="1304">
        <v>145.19999999999999</v>
      </c>
      <c r="J21" s="1302"/>
    </row>
    <row r="22" spans="1:11" s="110" customFormat="1" ht="19.5" customHeight="1" thickBot="1">
      <c r="A22" s="1309">
        <v>2011</v>
      </c>
      <c r="B22" s="1310">
        <v>167.64989451725353</v>
      </c>
      <c r="C22" s="1311">
        <v>162.68382625079579</v>
      </c>
      <c r="D22" s="1310">
        <v>186.6931998189595</v>
      </c>
      <c r="E22" s="1311">
        <v>152.14455191259268</v>
      </c>
      <c r="F22" s="1312">
        <v>141.30000000000001</v>
      </c>
      <c r="G22" s="1311">
        <v>124.7</v>
      </c>
      <c r="H22" s="1310">
        <v>143.30000000000001</v>
      </c>
      <c r="I22" s="1311">
        <v>153.1</v>
      </c>
      <c r="J22" s="1313"/>
    </row>
    <row r="23" spans="1:11" s="382" customFormat="1" ht="21.75" customHeight="1" thickBot="1">
      <c r="A23" s="1314">
        <v>2012</v>
      </c>
      <c r="B23" s="1315" t="s">
        <v>30</v>
      </c>
      <c r="C23" s="1316" t="s">
        <v>30</v>
      </c>
      <c r="D23" s="1317" t="s">
        <v>30</v>
      </c>
      <c r="E23" s="1316" t="s">
        <v>30</v>
      </c>
      <c r="F23" s="1318">
        <v>142.69999999999999</v>
      </c>
      <c r="G23" s="1316">
        <v>123.8</v>
      </c>
      <c r="H23" s="1317">
        <v>145.6</v>
      </c>
      <c r="I23" s="1316">
        <v>155.30000000000001</v>
      </c>
      <c r="J23" s="1319"/>
    </row>
    <row r="24" spans="1:11" ht="18" customHeight="1">
      <c r="A24" s="1320"/>
      <c r="B24" s="1302"/>
      <c r="C24" s="936"/>
      <c r="D24" s="1302"/>
      <c r="E24" s="936"/>
      <c r="F24" s="1302"/>
      <c r="G24" s="936"/>
      <c r="H24" s="1302"/>
      <c r="I24" s="936"/>
      <c r="J24" s="494"/>
    </row>
    <row r="25" spans="1:11" ht="18" customHeight="1">
      <c r="A25" s="1320"/>
      <c r="B25" s="1302"/>
      <c r="C25" s="936"/>
      <c r="D25" s="1302"/>
      <c r="E25" s="936"/>
      <c r="F25" s="1302"/>
      <c r="G25" s="936"/>
      <c r="H25" s="1302"/>
      <c r="I25" s="936"/>
      <c r="J25" s="494"/>
    </row>
    <row r="26" spans="1:11" ht="18" customHeight="1">
      <c r="A26" s="1321" t="s">
        <v>2073</v>
      </c>
      <c r="B26" s="1302"/>
      <c r="C26" s="936"/>
      <c r="D26" s="1302"/>
      <c r="E26" s="936"/>
      <c r="F26" s="1302"/>
      <c r="G26" s="936"/>
      <c r="H26" s="1302"/>
      <c r="I26" s="936"/>
      <c r="J26" s="494"/>
    </row>
    <row r="27" spans="1:11" ht="10.75" customHeight="1">
      <c r="A27" s="1322"/>
      <c r="B27" s="1323"/>
      <c r="C27" s="1324"/>
      <c r="D27" s="1323"/>
      <c r="E27" s="1324"/>
      <c r="F27" s="1323"/>
      <c r="G27" s="1324"/>
      <c r="H27" s="1323"/>
      <c r="I27" s="1324"/>
      <c r="J27" s="494"/>
      <c r="K27" s="337"/>
    </row>
    <row r="28" spans="1:11" ht="27" customHeight="1">
      <c r="A28" s="1096" t="s">
        <v>469</v>
      </c>
      <c r="B28" s="261" t="s">
        <v>2066</v>
      </c>
      <c r="C28" s="1064"/>
      <c r="D28" s="1064"/>
      <c r="E28" s="1293"/>
      <c r="F28" s="1294" t="s">
        <v>2067</v>
      </c>
      <c r="G28" s="1066"/>
      <c r="H28" s="1295"/>
      <c r="I28" s="1295"/>
      <c r="J28" s="494"/>
      <c r="K28" s="1325" t="s">
        <v>2074</v>
      </c>
    </row>
    <row r="29" spans="1:11" ht="23.5" customHeight="1">
      <c r="A29" s="184"/>
      <c r="B29" s="1067" t="s">
        <v>701</v>
      </c>
      <c r="C29" s="1296" t="s">
        <v>348</v>
      </c>
      <c r="D29" s="1067" t="s">
        <v>700</v>
      </c>
      <c r="E29" s="1296" t="s">
        <v>2068</v>
      </c>
      <c r="F29" s="1297" t="s">
        <v>701</v>
      </c>
      <c r="G29" s="1296" t="s">
        <v>650</v>
      </c>
      <c r="H29" s="1067" t="s">
        <v>650</v>
      </c>
      <c r="I29" s="1296" t="s">
        <v>650</v>
      </c>
      <c r="J29" s="494"/>
      <c r="K29" s="1326" t="s">
        <v>2075</v>
      </c>
    </row>
    <row r="30" spans="1:11" ht="15" customHeight="1">
      <c r="A30" s="184"/>
      <c r="B30" s="1067" t="s">
        <v>702</v>
      </c>
      <c r="C30" s="1296"/>
      <c r="D30" s="1067" t="s">
        <v>348</v>
      </c>
      <c r="E30" s="1296"/>
      <c r="F30" s="1297" t="s">
        <v>702</v>
      </c>
      <c r="G30" s="1296" t="s">
        <v>2069</v>
      </c>
      <c r="H30" s="1067" t="s">
        <v>2070</v>
      </c>
      <c r="I30" s="1296" t="s">
        <v>2071</v>
      </c>
      <c r="J30" s="494"/>
      <c r="K30" s="1326" t="s">
        <v>2076</v>
      </c>
    </row>
    <row r="31" spans="1:11" s="317" customFormat="1" ht="26.25" customHeight="1">
      <c r="A31" s="188"/>
      <c r="B31" s="1298"/>
      <c r="C31" s="1299"/>
      <c r="D31" s="1298"/>
      <c r="E31" s="1299"/>
      <c r="F31" s="1327"/>
      <c r="G31" s="1299" t="s">
        <v>2072</v>
      </c>
      <c r="H31" s="1298"/>
      <c r="I31" s="1299"/>
      <c r="J31" s="494"/>
      <c r="K31" s="1328" t="s">
        <v>2077</v>
      </c>
    </row>
    <row r="32" spans="1:11" ht="2.25" customHeight="1" thickBot="1">
      <c r="A32" s="322">
        <v>1997</v>
      </c>
      <c r="B32" s="247">
        <v>8.1194068933590158E-2</v>
      </c>
      <c r="C32" s="248" t="s">
        <v>30</v>
      </c>
      <c r="D32" s="247" t="s">
        <v>30</v>
      </c>
      <c r="E32" s="248" t="s">
        <v>30</v>
      </c>
      <c r="F32" s="1329" t="s">
        <v>30</v>
      </c>
      <c r="G32" s="248" t="s">
        <v>30</v>
      </c>
      <c r="H32" s="247" t="s">
        <v>30</v>
      </c>
      <c r="I32" s="248" t="s">
        <v>30</v>
      </c>
      <c r="J32" s="494"/>
      <c r="K32" s="311" t="s">
        <v>30</v>
      </c>
    </row>
    <row r="33" spans="1:11" ht="18" hidden="1" customHeight="1" thickBot="1">
      <c r="A33" s="324">
        <v>1998</v>
      </c>
      <c r="B33" s="247">
        <v>5.3962220912188608E-2</v>
      </c>
      <c r="C33" s="250">
        <v>5.8106512967161184E-2</v>
      </c>
      <c r="D33" s="249">
        <v>7.1844673501836986E-2</v>
      </c>
      <c r="E33" s="250">
        <v>3.0633500796471091E-2</v>
      </c>
      <c r="F33" s="1329" t="s">
        <v>30</v>
      </c>
      <c r="G33" s="248" t="s">
        <v>30</v>
      </c>
      <c r="H33" s="247" t="s">
        <v>30</v>
      </c>
      <c r="I33" s="248" t="s">
        <v>30</v>
      </c>
      <c r="J33" s="494"/>
      <c r="K33" s="311" t="s">
        <v>30</v>
      </c>
    </row>
    <row r="34" spans="1:11" ht="18" hidden="1" customHeight="1" thickBot="1">
      <c r="A34" s="322">
        <v>1999</v>
      </c>
      <c r="B34" s="247">
        <v>2.2247729964299134E-2</v>
      </c>
      <c r="C34" s="250">
        <v>2.2325637842026236E-2</v>
      </c>
      <c r="D34" s="249">
        <v>1.1106493174334098E-2</v>
      </c>
      <c r="E34" s="250">
        <v>2.4491737011057113E-2</v>
      </c>
      <c r="F34" s="1329" t="s">
        <v>30</v>
      </c>
      <c r="G34" s="248" t="s">
        <v>30</v>
      </c>
      <c r="H34" s="247" t="s">
        <v>30</v>
      </c>
      <c r="I34" s="248" t="s">
        <v>30</v>
      </c>
      <c r="J34" s="494"/>
      <c r="K34" s="313" t="s">
        <v>30</v>
      </c>
    </row>
    <row r="35" spans="1:11" ht="18" hidden="1" customHeight="1" thickBot="1">
      <c r="A35" s="324">
        <v>2000</v>
      </c>
      <c r="B35" s="247">
        <v>3.2056202659894506E-2</v>
      </c>
      <c r="C35" s="250">
        <v>3.0344122253117334E-2</v>
      </c>
      <c r="D35" s="249">
        <v>-9.0873447499556503E-3</v>
      </c>
      <c r="E35" s="250">
        <v>3.073658382930744E-2</v>
      </c>
      <c r="F35" s="1330">
        <v>6.4000000000000001E-2</v>
      </c>
      <c r="G35" s="250">
        <v>4.2999999999999997E-2</v>
      </c>
      <c r="H35" s="249">
        <v>7.4999999999999997E-2</v>
      </c>
      <c r="I35" s="250">
        <v>6.7000000000000004E-2</v>
      </c>
      <c r="J35" s="494"/>
      <c r="K35" s="247">
        <v>-3.0000000000000001E-3</v>
      </c>
    </row>
    <row r="36" spans="1:11" ht="18" customHeight="1" thickBot="1">
      <c r="A36" s="322">
        <v>2001</v>
      </c>
      <c r="B36" s="247">
        <v>3.6216340974279504E-2</v>
      </c>
      <c r="C36" s="250">
        <v>4.2491813158326064E-2</v>
      </c>
      <c r="D36" s="249">
        <v>8.8324451960815065E-3</v>
      </c>
      <c r="E36" s="250">
        <v>4.9764367169028212E-2</v>
      </c>
      <c r="F36" s="1330">
        <v>4.4000000000000004E-2</v>
      </c>
      <c r="G36" s="250">
        <v>0.03</v>
      </c>
      <c r="H36" s="249">
        <v>4.7E-2</v>
      </c>
      <c r="I36" s="250">
        <v>5.5E-2</v>
      </c>
      <c r="J36" s="494"/>
      <c r="K36" s="249">
        <v>-4.0000000000000001E-3</v>
      </c>
    </row>
    <row r="37" spans="1:11" ht="18" customHeight="1" thickBot="1">
      <c r="A37" s="324">
        <v>2002</v>
      </c>
      <c r="B37" s="247">
        <v>9.0485506785250358E-2</v>
      </c>
      <c r="C37" s="250">
        <v>8.5617370013942429E-2</v>
      </c>
      <c r="D37" s="249">
        <v>0.12763871228942492</v>
      </c>
      <c r="E37" s="250">
        <v>9.1378491427520858E-2</v>
      </c>
      <c r="F37" s="1330">
        <v>3.9E-2</v>
      </c>
      <c r="G37" s="250">
        <v>4.0000000000000001E-3</v>
      </c>
      <c r="H37" s="249">
        <v>4.4000000000000004E-2</v>
      </c>
      <c r="I37" s="250">
        <v>0.06</v>
      </c>
      <c r="J37" s="494"/>
      <c r="K37" s="1331">
        <v>-5.0000000000000001E-3</v>
      </c>
    </row>
    <row r="38" spans="1:11" ht="18" customHeight="1" thickBot="1">
      <c r="A38" s="324">
        <v>2003</v>
      </c>
      <c r="B38" s="247">
        <v>9.1271921978299142E-2</v>
      </c>
      <c r="C38" s="250">
        <v>8.3630255522752606E-2</v>
      </c>
      <c r="D38" s="249">
        <v>0.13713423391078017</v>
      </c>
      <c r="E38" s="250">
        <v>8.8191938903005695E-2</v>
      </c>
      <c r="F38" s="1330">
        <v>8.492201039861369E-3</v>
      </c>
      <c r="G38" s="250">
        <v>1.9462465245597693E-2</v>
      </c>
      <c r="H38" s="249">
        <v>3.4042553191488967E-3</v>
      </c>
      <c r="I38" s="250">
        <v>6.7057837384743024E-3</v>
      </c>
      <c r="J38" s="494"/>
      <c r="K38" s="1331">
        <v>-5.0000000000000001E-3</v>
      </c>
    </row>
    <row r="39" spans="1:11" ht="18" customHeight="1" thickBot="1">
      <c r="A39" s="1303">
        <v>2004</v>
      </c>
      <c r="B39" s="247">
        <v>7.0308608781491921E-2</v>
      </c>
      <c r="C39" s="250">
        <v>6.4099553037502144E-2</v>
      </c>
      <c r="D39" s="249">
        <v>9.9881105667954051E-2</v>
      </c>
      <c r="E39" s="250">
        <v>4.7372698773109123E-2</v>
      </c>
      <c r="F39" s="1330">
        <v>1.3060663344217405E-2</v>
      </c>
      <c r="G39" s="250">
        <v>3.0000000000000027E-2</v>
      </c>
      <c r="H39" s="249">
        <v>5.9372349448685302E-3</v>
      </c>
      <c r="I39" s="250">
        <v>9.1590341382181695E-3</v>
      </c>
      <c r="J39" s="1332"/>
      <c r="K39" s="1331">
        <v>-4.0000000000000001E-3</v>
      </c>
    </row>
    <row r="40" spans="1:11" ht="18" customHeight="1" thickBot="1">
      <c r="A40" s="1303">
        <v>2005</v>
      </c>
      <c r="B40" s="247">
        <v>1.8670777167897112E-2</v>
      </c>
      <c r="C40" s="250">
        <v>1.9029056323154769E-2</v>
      </c>
      <c r="D40" s="249">
        <v>2.9832202272288999E-2</v>
      </c>
      <c r="E40" s="250">
        <v>-1.773726673646614E-3</v>
      </c>
      <c r="F40" s="1330">
        <v>8.5665818490245904E-3</v>
      </c>
      <c r="G40" s="250">
        <v>7.9435127978817466E-3</v>
      </c>
      <c r="H40" s="249">
        <v>6.7453625632378778E-3</v>
      </c>
      <c r="I40" s="250">
        <v>1.2376237623762387E-2</v>
      </c>
      <c r="J40" s="494"/>
      <c r="K40" s="1331">
        <v>-2E-3</v>
      </c>
    </row>
    <row r="41" spans="1:11" ht="18" customHeight="1" thickBot="1">
      <c r="A41" s="1303">
        <v>2006</v>
      </c>
      <c r="B41" s="247">
        <v>3.8295836717208154E-2</v>
      </c>
      <c r="C41" s="250">
        <v>3.9686638831593068E-2</v>
      </c>
      <c r="D41" s="249">
        <v>4.4181569525866937E-2</v>
      </c>
      <c r="E41" s="250">
        <v>2.5962167298034355E-2</v>
      </c>
      <c r="F41" s="1330">
        <v>2.9349928517366175E-2</v>
      </c>
      <c r="G41" s="250">
        <v>-7.0052539404553693E-3</v>
      </c>
      <c r="H41" s="249">
        <v>3.6850921273031689E-2</v>
      </c>
      <c r="I41" s="250">
        <v>4.7269763651181629E-2</v>
      </c>
      <c r="J41" s="1332"/>
      <c r="K41" s="1331">
        <v>-3.0000000000000001E-3</v>
      </c>
    </row>
    <row r="42" spans="1:11" ht="21" customHeight="1" thickBot="1">
      <c r="A42" s="1303">
        <v>2007</v>
      </c>
      <c r="B42" s="247">
        <v>1.1387219675381033E-2</v>
      </c>
      <c r="C42" s="250">
        <v>9.0477579316117218E-3</v>
      </c>
      <c r="D42" s="249">
        <v>5.6352245330395512E-3</v>
      </c>
      <c r="E42" s="250">
        <v>-5.7730470864159056E-4</v>
      </c>
      <c r="F42" s="1330">
        <v>4.9019607843137081E-3</v>
      </c>
      <c r="G42" s="250">
        <v>-8.8183421516763172E-4</v>
      </c>
      <c r="H42" s="249">
        <v>8.0775444264944429E-3</v>
      </c>
      <c r="I42" s="250">
        <v>2.3346303501945442E-3</v>
      </c>
      <c r="J42" s="1332"/>
      <c r="K42" s="1331">
        <v>0</v>
      </c>
    </row>
    <row r="43" spans="1:11" ht="21" customHeight="1" thickBot="1">
      <c r="A43" s="1303">
        <v>2008</v>
      </c>
      <c r="B43" s="247">
        <v>-1.0083724776331904E-2</v>
      </c>
      <c r="C43" s="250">
        <v>-1.1190023949128935E-2</v>
      </c>
      <c r="D43" s="249">
        <v>-8.3619184298174831E-3</v>
      </c>
      <c r="E43" s="250">
        <v>-3.0446345836793287E-2</v>
      </c>
      <c r="F43" s="1330">
        <v>1.1382113821138296E-2</v>
      </c>
      <c r="G43" s="250">
        <v>9.7087378640776656E-3</v>
      </c>
      <c r="H43" s="249">
        <v>2.4038461538460343E-3</v>
      </c>
      <c r="I43" s="250">
        <v>2.4844720496894235E-2</v>
      </c>
      <c r="J43" s="1332"/>
      <c r="K43" s="1331">
        <v>0</v>
      </c>
    </row>
    <row r="44" spans="1:11" ht="21" customHeight="1" thickBot="1">
      <c r="A44" s="1303">
        <v>2009</v>
      </c>
      <c r="B44" s="247">
        <v>9.5971000919554683E-3</v>
      </c>
      <c r="C44" s="250">
        <v>3.5267163973076165E-3</v>
      </c>
      <c r="D44" s="249">
        <v>1.1085128258086829E-2</v>
      </c>
      <c r="E44" s="250">
        <v>-2.9434849766826199E-3</v>
      </c>
      <c r="F44" s="1330">
        <v>1.7684887459807008E-2</v>
      </c>
      <c r="G44" s="250">
        <v>-8.7412587412594167E-4</v>
      </c>
      <c r="H44" s="249">
        <v>2.1582733812949728E-2</v>
      </c>
      <c r="I44" s="250">
        <v>2.7272727272727337E-2</v>
      </c>
      <c r="J44" s="1332"/>
      <c r="K44" s="1331">
        <v>-1E-3</v>
      </c>
    </row>
    <row r="45" spans="1:11" ht="21" customHeight="1" thickBot="1">
      <c r="A45" s="1303">
        <v>2010</v>
      </c>
      <c r="B45" s="247">
        <v>8.5762640048591354E-2</v>
      </c>
      <c r="C45" s="250">
        <v>8.1071878338242698E-2</v>
      </c>
      <c r="D45" s="249">
        <v>0.11261552428490584</v>
      </c>
      <c r="E45" s="250">
        <v>8.3755513111132718E-2</v>
      </c>
      <c r="F45" s="1330">
        <v>6.4770932069510456E-2</v>
      </c>
      <c r="G45" s="250">
        <v>5.4243219597550407E-2</v>
      </c>
      <c r="H45" s="249">
        <v>6.7292644757433573E-2</v>
      </c>
      <c r="I45" s="250">
        <v>7.0796460176991038E-2</v>
      </c>
      <c r="J45" s="1332"/>
      <c r="K45" s="1331">
        <v>-6.0000000000000001E-3</v>
      </c>
    </row>
    <row r="46" spans="1:11" s="110" customFormat="1" ht="21" customHeight="1" thickBot="1">
      <c r="A46" s="1309">
        <v>2011</v>
      </c>
      <c r="B46" s="1333">
        <v>6.0312123746574242E-2</v>
      </c>
      <c r="C46" s="1334">
        <v>5.4999272111116992E-2</v>
      </c>
      <c r="D46" s="1335">
        <v>9.7684742513136857E-2</v>
      </c>
      <c r="E46" s="1334">
        <v>5.4149605416055513E-2</v>
      </c>
      <c r="F46" s="1336">
        <v>4.8219584569732854E-2</v>
      </c>
      <c r="G46" s="1334">
        <v>3.4854771784232463E-2</v>
      </c>
      <c r="H46" s="1335">
        <v>5.0586510263929574E-2</v>
      </c>
      <c r="I46" s="1334">
        <v>5.4407713498622723E-2</v>
      </c>
      <c r="J46" s="1337"/>
      <c r="K46" s="1338">
        <v>-4.0000000000000001E-3</v>
      </c>
    </row>
    <row r="47" spans="1:11" s="382" customFormat="1" ht="22.75" customHeight="1" thickBot="1">
      <c r="A47" s="1314" t="s">
        <v>2078</v>
      </c>
      <c r="B47" s="1339">
        <v>2.1999999999999999E-2</v>
      </c>
      <c r="C47" s="1340" t="s">
        <v>30</v>
      </c>
      <c r="D47" s="1341" t="s">
        <v>30</v>
      </c>
      <c r="E47" s="1340" t="s">
        <v>30</v>
      </c>
      <c r="F47" s="1342">
        <v>9.9079971691435897E-3</v>
      </c>
      <c r="G47" s="1340">
        <v>-7.2173215717723505E-3</v>
      </c>
      <c r="H47" s="290">
        <v>1.6050244242846956E-2</v>
      </c>
      <c r="I47" s="291">
        <v>1.4369693011103912E-2</v>
      </c>
      <c r="J47" s="1343"/>
      <c r="K47" s="290">
        <v>-2E-3</v>
      </c>
    </row>
    <row r="48" spans="1:11" ht="17.25" customHeight="1">
      <c r="A48" s="1344" t="s">
        <v>2400</v>
      </c>
      <c r="B48" s="1345"/>
      <c r="C48" s="1345"/>
      <c r="D48" s="1345"/>
      <c r="E48" s="1345"/>
      <c r="F48" s="1345"/>
      <c r="G48" s="1345"/>
    </row>
    <row r="49" spans="1:9" ht="12" customHeight="1">
      <c r="A49" s="1346"/>
      <c r="B49" s="1302"/>
      <c r="C49" s="1302"/>
      <c r="D49" s="1302"/>
      <c r="E49" s="1302"/>
      <c r="F49" s="1302"/>
      <c r="G49" s="1302"/>
    </row>
    <row r="50" spans="1:9" ht="14.25" customHeight="1">
      <c r="A50" s="1346" t="s">
        <v>2079</v>
      </c>
      <c r="B50" s="1302"/>
      <c r="C50" s="1302"/>
      <c r="D50" s="1302"/>
      <c r="E50" s="1302"/>
      <c r="F50" s="1302"/>
      <c r="G50" s="1302"/>
    </row>
    <row r="51" spans="1:9" ht="15" customHeight="1">
      <c r="A51" s="1347" t="s">
        <v>2080</v>
      </c>
      <c r="B51"/>
      <c r="C51"/>
      <c r="D51"/>
      <c r="E51"/>
      <c r="F51"/>
      <c r="G51"/>
      <c r="I51" s="173"/>
    </row>
    <row r="52" spans="1:9" ht="15.75" customHeight="1">
      <c r="A52" s="4" t="s">
        <v>2081</v>
      </c>
      <c r="B52" s="1348"/>
      <c r="C52" s="1348"/>
      <c r="D52" s="1348"/>
      <c r="E52" s="1348"/>
      <c r="F52" s="1348"/>
      <c r="G52" s="1348"/>
      <c r="I52" s="952"/>
    </row>
    <row r="53" spans="1:9" ht="15" customHeight="1">
      <c r="A53" s="1346" t="s">
        <v>2082</v>
      </c>
      <c r="B53" s="1348"/>
      <c r="C53" s="1348"/>
      <c r="D53" s="1348"/>
      <c r="E53" s="1348"/>
      <c r="F53" s="1348"/>
      <c r="G53" s="1348"/>
    </row>
    <row r="54" spans="1:9" ht="15" customHeight="1">
      <c r="A54" s="1346" t="s">
        <v>2083</v>
      </c>
      <c r="B54" s="1348"/>
      <c r="C54" s="1348"/>
      <c r="D54" s="1348"/>
      <c r="E54" s="1348"/>
      <c r="F54" s="1348"/>
      <c r="G54" s="1348"/>
    </row>
    <row r="55" spans="1:9" ht="15.75" customHeight="1">
      <c r="A55" s="4"/>
      <c r="B55" s="1348"/>
      <c r="C55" s="1348"/>
      <c r="D55" s="1348"/>
      <c r="E55" s="1348"/>
      <c r="F55" s="1348"/>
      <c r="G55" s="1348"/>
      <c r="I55" s="173"/>
    </row>
    <row r="56" spans="1:9" ht="15" customHeight="1">
      <c r="A56" s="1346"/>
      <c r="B56" s="1348"/>
      <c r="C56" s="1348"/>
      <c r="D56" s="1348"/>
      <c r="E56" s="1348"/>
      <c r="F56" s="1348"/>
      <c r="G56" s="1348"/>
    </row>
    <row r="57" spans="1:9" ht="16.5" customHeight="1">
      <c r="A57" s="4" t="s">
        <v>719</v>
      </c>
      <c r="B57" s="1348"/>
      <c r="C57" s="1348"/>
      <c r="D57" s="1348"/>
      <c r="E57" s="1348"/>
      <c r="F57" s="1348"/>
      <c r="G57" s="1348"/>
    </row>
    <row r="58" spans="1:9" ht="31" customHeight="1">
      <c r="A58" s="4"/>
      <c r="B58" s="1348"/>
      <c r="C58" s="1348"/>
      <c r="D58" s="1348"/>
      <c r="E58" s="1348"/>
      <c r="F58" s="1348"/>
      <c r="G58" s="1348"/>
    </row>
    <row r="59" spans="1:9" ht="31" customHeight="1">
      <c r="A59" s="4"/>
      <c r="B59" s="1348"/>
      <c r="C59" s="1348"/>
      <c r="D59" s="1348"/>
      <c r="E59" s="1348"/>
      <c r="F59" s="1348"/>
      <c r="G59" s="1348"/>
    </row>
    <row r="60" spans="1:9">
      <c r="A60" s="4"/>
      <c r="B60" s="1348"/>
      <c r="C60" s="1348"/>
      <c r="D60" s="1348"/>
      <c r="E60" s="1348"/>
      <c r="F60" s="1348"/>
      <c r="G60" s="1348"/>
    </row>
    <row r="61" spans="1:9">
      <c r="A61" s="4"/>
      <c r="B61" s="1348"/>
      <c r="C61" s="1348"/>
      <c r="D61" s="1348"/>
      <c r="E61" s="1348"/>
      <c r="F61" s="1348"/>
      <c r="G61" s="1348"/>
    </row>
    <row r="62" spans="1:9">
      <c r="A62" s="4"/>
      <c r="B62" s="1348"/>
      <c r="C62" s="1348"/>
      <c r="D62" s="1348"/>
      <c r="E62" s="1348"/>
      <c r="F62" s="1348"/>
      <c r="G62" s="1348"/>
    </row>
    <row r="63" spans="1:9">
      <c r="A63" s="4"/>
      <c r="B63" s="1348"/>
      <c r="C63" s="1348"/>
      <c r="D63" s="1348"/>
      <c r="E63" s="1348"/>
      <c r="F63" s="1348"/>
      <c r="G63" s="1348"/>
    </row>
    <row r="64" spans="1:9">
      <c r="A64" s="4"/>
      <c r="B64" s="1348"/>
      <c r="C64" s="1348"/>
      <c r="D64" s="1348"/>
      <c r="E64" s="1348"/>
      <c r="F64" s="1348"/>
      <c r="G64" s="1348"/>
    </row>
    <row r="65" spans="1:7">
      <c r="A65" s="4"/>
      <c r="B65" s="1348"/>
      <c r="C65" s="1348"/>
      <c r="D65" s="1348"/>
      <c r="E65" s="1348"/>
      <c r="F65" s="1348"/>
      <c r="G65" s="1348"/>
    </row>
    <row r="66" spans="1:7">
      <c r="A66" s="4"/>
      <c r="B66" s="1348"/>
      <c r="C66" s="1348"/>
      <c r="D66" s="1348"/>
      <c r="E66" s="1348"/>
      <c r="F66" s="1348"/>
      <c r="G66" s="1348"/>
    </row>
    <row r="67" spans="1:7">
      <c r="A67" s="4"/>
      <c r="B67" s="1348"/>
      <c r="C67" s="1348"/>
      <c r="D67" s="1348"/>
      <c r="E67" s="1348"/>
      <c r="F67" s="1348"/>
      <c r="G67" s="1348"/>
    </row>
    <row r="68" spans="1:7">
      <c r="A68" s="4"/>
      <c r="B68" s="1348"/>
      <c r="C68" s="1348"/>
      <c r="D68" s="1348"/>
      <c r="E68" s="1348"/>
      <c r="F68" s="1348"/>
      <c r="G68" s="1348"/>
    </row>
    <row r="69" spans="1:7">
      <c r="A69" s="4"/>
      <c r="B69" s="1348"/>
      <c r="C69" s="1348"/>
      <c r="D69" s="1348"/>
      <c r="E69" s="1348"/>
      <c r="F69" s="1348"/>
      <c r="G69" s="1348"/>
    </row>
    <row r="70" spans="1:7">
      <c r="A70" s="4"/>
      <c r="B70" s="1348"/>
      <c r="C70" s="1348"/>
      <c r="D70" s="1348"/>
      <c r="E70" s="1348"/>
      <c r="F70" s="1348"/>
      <c r="G70" s="1348"/>
    </row>
    <row r="71" spans="1:7">
      <c r="A71" s="4"/>
      <c r="B71" s="1348"/>
      <c r="C71" s="1348"/>
      <c r="D71" s="1348"/>
      <c r="E71" s="1348"/>
      <c r="F71" s="1348"/>
      <c r="G71" s="1348"/>
    </row>
    <row r="72" spans="1:7">
      <c r="A72" s="4"/>
      <c r="B72" s="1348"/>
      <c r="C72" s="1348"/>
      <c r="D72" s="1348"/>
      <c r="E72" s="1348"/>
      <c r="F72" s="1348"/>
      <c r="G72" s="1348"/>
    </row>
  </sheetData>
  <pageMargins left="0.46" right="0.44" top="0.67" bottom="0.68" header="0.41" footer="0.33"/>
  <pageSetup paperSize="9" scale="69" orientation="portrait" horizontalDpi="1200" verticalDpi="1200"/>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1F2C-3CE1-5145-A53F-ED70A284B471}">
  <sheetPr>
    <pageSetUpPr fitToPage="1"/>
  </sheetPr>
  <dimension ref="A1:O39"/>
  <sheetViews>
    <sheetView topLeftCell="A17" zoomScaleNormal="100" workbookViewId="0">
      <selection activeCell="A27" sqref="A27"/>
    </sheetView>
  </sheetViews>
  <sheetFormatPr baseColWidth="10" defaultColWidth="11.3984375" defaultRowHeight="13"/>
  <cols>
    <col min="1" max="1" width="17.3984375" style="3" customWidth="1"/>
    <col min="2" max="2" width="13.3984375" style="396" customWidth="1"/>
    <col min="3" max="3" width="13" style="396" customWidth="1"/>
    <col min="4" max="4" width="14.796875" style="396" customWidth="1"/>
    <col min="5" max="5" width="13.19921875" style="396" customWidth="1"/>
    <col min="6" max="6" width="15" style="396" customWidth="1"/>
    <col min="7" max="7" width="12.796875" style="396" customWidth="1"/>
    <col min="8" max="8" width="13.3984375" style="396" customWidth="1"/>
    <col min="9" max="10" width="13" style="396" customWidth="1"/>
    <col min="11" max="11" width="13.3984375" style="396" customWidth="1"/>
    <col min="12" max="12" width="12.59765625" style="3" customWidth="1"/>
    <col min="13" max="13" width="14" style="3" customWidth="1"/>
    <col min="14" max="15" width="12.3984375" style="3" customWidth="1"/>
    <col min="16" max="16384" width="11.3984375" style="3"/>
  </cols>
  <sheetData>
    <row r="1" spans="1:15" s="2" customFormat="1" ht="14" customHeight="1">
      <c r="A1" s="121"/>
      <c r="B1" s="1286"/>
      <c r="C1" s="1286"/>
      <c r="D1" s="1286"/>
      <c r="E1" s="1286"/>
      <c r="F1" s="1286"/>
      <c r="G1" s="1286"/>
      <c r="H1" s="1286"/>
      <c r="I1" s="1286"/>
      <c r="J1" s="1286"/>
      <c r="K1" s="1286"/>
    </row>
    <row r="2" spans="1:15" s="2" customFormat="1" ht="27" customHeight="1">
      <c r="A2" s="123" t="s">
        <v>2038</v>
      </c>
      <c r="B2" s="436"/>
      <c r="C2" s="436"/>
      <c r="D2" s="436"/>
      <c r="E2" s="436"/>
      <c r="F2" s="436"/>
      <c r="G2" s="436"/>
      <c r="H2" s="436"/>
      <c r="I2" s="436"/>
      <c r="J2" s="436"/>
      <c r="K2" s="207"/>
      <c r="M2" s="207"/>
    </row>
    <row r="3" spans="1:15" s="707" customFormat="1" ht="27" customHeight="1">
      <c r="A3" s="92" t="s">
        <v>469</v>
      </c>
      <c r="B3" s="182" t="s">
        <v>2039</v>
      </c>
      <c r="C3" s="94" t="s">
        <v>279</v>
      </c>
      <c r="D3" s="182" t="s">
        <v>2040</v>
      </c>
      <c r="E3" s="94" t="s">
        <v>279</v>
      </c>
      <c r="F3" s="182" t="s">
        <v>2041</v>
      </c>
      <c r="G3" s="94" t="s">
        <v>279</v>
      </c>
      <c r="H3" s="182" t="s">
        <v>2042</v>
      </c>
      <c r="I3" s="94" t="s">
        <v>279</v>
      </c>
      <c r="J3" s="182" t="s">
        <v>1024</v>
      </c>
      <c r="K3" s="94" t="s">
        <v>279</v>
      </c>
      <c r="L3" s="182" t="s">
        <v>2043</v>
      </c>
      <c r="M3" s="94" t="s">
        <v>279</v>
      </c>
      <c r="N3" s="182" t="s">
        <v>1023</v>
      </c>
      <c r="O3" s="94" t="s">
        <v>279</v>
      </c>
    </row>
    <row r="4" spans="1:15" s="707" customFormat="1" ht="19.5" customHeight="1">
      <c r="A4" s="184"/>
      <c r="B4" s="185" t="s">
        <v>2044</v>
      </c>
      <c r="C4" s="95" t="s">
        <v>282</v>
      </c>
      <c r="D4" s="185" t="s">
        <v>2045</v>
      </c>
      <c r="E4" s="95" t="s">
        <v>282</v>
      </c>
      <c r="F4" s="185" t="s">
        <v>1590</v>
      </c>
      <c r="G4" s="95" t="s">
        <v>282</v>
      </c>
      <c r="H4" s="185" t="s">
        <v>562</v>
      </c>
      <c r="I4" s="95" t="s">
        <v>282</v>
      </c>
      <c r="J4" s="185" t="s">
        <v>1039</v>
      </c>
      <c r="K4" s="95" t="s">
        <v>282</v>
      </c>
      <c r="L4" s="185" t="s">
        <v>2046</v>
      </c>
      <c r="M4" s="95" t="s">
        <v>282</v>
      </c>
      <c r="N4" s="185" t="s">
        <v>1038</v>
      </c>
      <c r="O4" s="95" t="s">
        <v>282</v>
      </c>
    </row>
    <row r="5" spans="1:15" s="707" customFormat="1" ht="19.5" customHeight="1">
      <c r="A5" s="184"/>
      <c r="B5" s="185" t="s">
        <v>2047</v>
      </c>
      <c r="C5" s="95" t="s">
        <v>283</v>
      </c>
      <c r="D5" s="185" t="s">
        <v>2048</v>
      </c>
      <c r="E5" s="95" t="s">
        <v>283</v>
      </c>
      <c r="F5" s="185" t="s">
        <v>2049</v>
      </c>
      <c r="G5" s="95" t="s">
        <v>283</v>
      </c>
      <c r="H5" s="185"/>
      <c r="I5" s="95" t="s">
        <v>283</v>
      </c>
      <c r="J5" s="185" t="s">
        <v>2050</v>
      </c>
      <c r="K5" s="95" t="s">
        <v>283</v>
      </c>
      <c r="L5" s="185" t="s">
        <v>2051</v>
      </c>
      <c r="M5" s="95" t="s">
        <v>283</v>
      </c>
      <c r="N5" s="185" t="s">
        <v>2052</v>
      </c>
      <c r="O5" s="95" t="s">
        <v>283</v>
      </c>
    </row>
    <row r="6" spans="1:15" ht="33.75" customHeight="1">
      <c r="A6" s="408"/>
      <c r="B6" s="189" t="s">
        <v>2053</v>
      </c>
      <c r="C6" s="97"/>
      <c r="D6" s="189"/>
      <c r="E6" s="97"/>
      <c r="F6" s="189" t="s">
        <v>2054</v>
      </c>
      <c r="G6" s="97"/>
      <c r="H6" s="189" t="s">
        <v>2055</v>
      </c>
      <c r="I6" s="97"/>
      <c r="J6" s="189" t="s">
        <v>2056</v>
      </c>
      <c r="K6" s="97"/>
      <c r="L6" s="189"/>
      <c r="M6" s="97"/>
      <c r="N6" s="189" t="s">
        <v>2057</v>
      </c>
      <c r="O6" s="97"/>
    </row>
    <row r="7" spans="1:15" ht="21" customHeight="1" thickBot="1">
      <c r="A7" s="322">
        <v>1996</v>
      </c>
      <c r="B7" s="311">
        <v>100</v>
      </c>
      <c r="C7" s="101" t="s">
        <v>1415</v>
      </c>
      <c r="D7" s="311">
        <v>100</v>
      </c>
      <c r="E7" s="101" t="s">
        <v>1415</v>
      </c>
      <c r="F7" s="311">
        <v>100</v>
      </c>
      <c r="G7" s="101" t="s">
        <v>1415</v>
      </c>
      <c r="H7" s="311">
        <v>100</v>
      </c>
      <c r="I7" s="101" t="s">
        <v>1415</v>
      </c>
      <c r="J7" s="311">
        <v>100</v>
      </c>
      <c r="K7" s="101" t="s">
        <v>1415</v>
      </c>
      <c r="L7" s="311">
        <v>100</v>
      </c>
      <c r="M7" s="101" t="s">
        <v>1415</v>
      </c>
      <c r="N7" s="311">
        <v>100</v>
      </c>
      <c r="O7" s="101" t="s">
        <v>1415</v>
      </c>
    </row>
    <row r="8" spans="1:15" ht="20.25" customHeight="1" thickBot="1">
      <c r="A8" s="324">
        <v>1997</v>
      </c>
      <c r="B8" s="313">
        <v>105.39794339791686</v>
      </c>
      <c r="C8" s="197">
        <v>5.3979433979168601E-2</v>
      </c>
      <c r="D8" s="313">
        <v>101.86202823875851</v>
      </c>
      <c r="E8" s="197">
        <v>1.8620282387585174E-2</v>
      </c>
      <c r="F8" s="313">
        <v>107.8243544179355</v>
      </c>
      <c r="G8" s="197">
        <v>7.8243544179354974E-2</v>
      </c>
      <c r="H8" s="313">
        <v>108.11940689335901</v>
      </c>
      <c r="I8" s="197">
        <v>8.1194068933590158E-2</v>
      </c>
      <c r="J8" s="313">
        <v>105.86780210602365</v>
      </c>
      <c r="K8" s="197">
        <v>5.8678021060236452E-2</v>
      </c>
      <c r="L8" s="313">
        <v>100.47120418848168</v>
      </c>
      <c r="M8" s="197">
        <v>4.7120418848167755E-3</v>
      </c>
      <c r="N8" s="313">
        <v>105.32478620076284</v>
      </c>
      <c r="O8" s="197">
        <v>5.3247862007628433E-2</v>
      </c>
    </row>
    <row r="9" spans="1:15" ht="20.25" customHeight="1" thickBot="1">
      <c r="A9" s="324">
        <v>1998</v>
      </c>
      <c r="B9" s="313">
        <v>112.34514562910323</v>
      </c>
      <c r="C9" s="197">
        <v>6.5914020778926163E-2</v>
      </c>
      <c r="D9" s="313">
        <v>105.86830875441009</v>
      </c>
      <c r="E9" s="197">
        <v>3.9330460868706618E-2</v>
      </c>
      <c r="F9" s="313">
        <v>115.36251956603556</v>
      </c>
      <c r="G9" s="197">
        <v>6.9911525914466033E-2</v>
      </c>
      <c r="H9" s="313">
        <v>113.95377021303325</v>
      </c>
      <c r="I9" s="197">
        <v>5.3962220912188608E-2</v>
      </c>
      <c r="J9" s="313">
        <v>124.70421988413921</v>
      </c>
      <c r="K9" s="197">
        <v>0.17792395235759617</v>
      </c>
      <c r="L9" s="313">
        <v>101.15183246073298</v>
      </c>
      <c r="M9" s="197">
        <v>6.774361646690874E-3</v>
      </c>
      <c r="N9" s="313">
        <v>110.42083260410833</v>
      </c>
      <c r="O9" s="197">
        <v>4.8384113437759613E-2</v>
      </c>
    </row>
    <row r="10" spans="1:15" ht="20.25" customHeight="1" thickBot="1">
      <c r="A10" s="324">
        <v>1999</v>
      </c>
      <c r="B10" s="313">
        <v>116.73767747746584</v>
      </c>
      <c r="C10" s="197">
        <v>3.9098546036551829E-2</v>
      </c>
      <c r="D10" s="313">
        <v>108.76544952296268</v>
      </c>
      <c r="E10" s="197">
        <v>2.7365514785669065E-2</v>
      </c>
      <c r="F10" s="313">
        <v>118.23129090839484</v>
      </c>
      <c r="G10" s="197">
        <v>2.4867447010960442E-2</v>
      </c>
      <c r="H10" s="313">
        <v>116.48898292114663</v>
      </c>
      <c r="I10" s="197">
        <v>2.2247729964299356E-2</v>
      </c>
      <c r="J10" s="313">
        <v>129.78488562275899</v>
      </c>
      <c r="K10" s="197">
        <v>4.0741730659476838E-2</v>
      </c>
      <c r="L10" s="313">
        <v>101.46596858638743</v>
      </c>
      <c r="M10" s="197">
        <v>3.1055900621119736E-3</v>
      </c>
      <c r="N10" s="313">
        <v>114.70622171826312</v>
      </c>
      <c r="O10" s="197">
        <v>3.8809606965374055E-2</v>
      </c>
    </row>
    <row r="11" spans="1:15" ht="20.25" customHeight="1" thickBot="1">
      <c r="A11" s="324">
        <v>2000</v>
      </c>
      <c r="B11" s="313">
        <v>123.67905954399367</v>
      </c>
      <c r="C11" s="197">
        <v>5.9461368570295159E-2</v>
      </c>
      <c r="D11" s="313">
        <v>112.70035278561646</v>
      </c>
      <c r="E11" s="197">
        <v>3.6177878912025507E-2</v>
      </c>
      <c r="F11" s="313">
        <v>122.25148214575734</v>
      </c>
      <c r="G11" s="197">
        <v>3.4002768695787333E-2</v>
      </c>
      <c r="H11" s="313">
        <v>120.22317736531187</v>
      </c>
      <c r="I11" s="197">
        <v>3.2056202659894284E-2</v>
      </c>
      <c r="J11" s="313">
        <v>135.7015791217149</v>
      </c>
      <c r="K11" s="197">
        <v>4.5588463329649498E-2</v>
      </c>
      <c r="L11" s="313">
        <v>102.77486910994764</v>
      </c>
      <c r="M11" s="197">
        <v>1.2899896800825594E-2</v>
      </c>
      <c r="N11" s="313">
        <v>121.80714822286554</v>
      </c>
      <c r="O11" s="197">
        <v>6.1905329965827205E-2</v>
      </c>
    </row>
    <row r="12" spans="1:15" ht="20.25" customHeight="1" thickBot="1">
      <c r="A12" s="324">
        <v>2001</v>
      </c>
      <c r="B12" s="313">
        <v>130.2910910770666</v>
      </c>
      <c r="C12" s="197">
        <v>5.3461204810673513E-2</v>
      </c>
      <c r="D12" s="313">
        <v>119.03449432568512</v>
      </c>
      <c r="E12" s="197">
        <v>5.6203386977126346E-2</v>
      </c>
      <c r="F12" s="313">
        <v>126.81505316810784</v>
      </c>
      <c r="G12" s="197">
        <v>3.7329371736446237E-2</v>
      </c>
      <c r="H12" s="313">
        <v>124.57722094978531</v>
      </c>
      <c r="I12" s="197">
        <v>3.6216340974279726E-2</v>
      </c>
      <c r="J12" s="313">
        <v>141.65456872934899</v>
      </c>
      <c r="K12" s="197">
        <v>4.3868241225805349E-2</v>
      </c>
      <c r="L12" s="313">
        <v>105.28795811518326</v>
      </c>
      <c r="M12" s="197">
        <v>2.4452368823229875E-2</v>
      </c>
      <c r="N12" s="313">
        <v>128.52179281376732</v>
      </c>
      <c r="O12" s="197">
        <v>5.5125209717711066E-2</v>
      </c>
    </row>
    <row r="13" spans="1:15" ht="20.25" customHeight="1" thickBot="1">
      <c r="A13" s="324">
        <v>2002</v>
      </c>
      <c r="B13" s="313">
        <v>135.12284583994762</v>
      </c>
      <c r="C13" s="197">
        <v>3.7084306554951318E-2</v>
      </c>
      <c r="D13" s="313">
        <v>122.30444994955147</v>
      </c>
      <c r="E13" s="197">
        <v>2.7470655816116407E-2</v>
      </c>
      <c r="F13" s="313">
        <v>137.28928000877301</v>
      </c>
      <c r="G13" s="197">
        <v>8.2594507347486523E-2</v>
      </c>
      <c r="H13" s="313">
        <v>135.84965392132474</v>
      </c>
      <c r="I13" s="197">
        <v>9.0485506785250358E-2</v>
      </c>
      <c r="J13" s="313">
        <v>146.83573016358903</v>
      </c>
      <c r="K13" s="197">
        <v>3.6576027732218019E-2</v>
      </c>
      <c r="L13" s="313">
        <v>107.17277486910994</v>
      </c>
      <c r="M13" s="197">
        <v>1.7901541521630815E-2</v>
      </c>
      <c r="N13" s="313">
        <v>133.29917496812052</v>
      </c>
      <c r="O13" s="197">
        <v>3.7171767135833589E-2</v>
      </c>
    </row>
    <row r="14" spans="1:15" ht="20.25" customHeight="1" thickBot="1">
      <c r="A14" s="324">
        <v>2003</v>
      </c>
      <c r="B14" s="313">
        <v>141.13594015958546</v>
      </c>
      <c r="C14" s="197">
        <v>4.4500944916156637E-2</v>
      </c>
      <c r="D14" s="313">
        <v>126.16400951454192</v>
      </c>
      <c r="E14" s="197">
        <v>3.1556983957512941E-2</v>
      </c>
      <c r="F14" s="313">
        <v>148.64710880687124</v>
      </c>
      <c r="G14" s="197">
        <v>8.2729174465569821E-2</v>
      </c>
      <c r="H14" s="313">
        <v>148.24891293481085</v>
      </c>
      <c r="I14" s="197">
        <v>9.1271921978299142E-2</v>
      </c>
      <c r="J14" s="313">
        <v>151.28762572832832</v>
      </c>
      <c r="K14" s="197">
        <v>3.0318884645988087E-2</v>
      </c>
      <c r="L14" s="313">
        <v>108.6910994764398</v>
      </c>
      <c r="M14" s="197">
        <v>1.4167073766487626E-2</v>
      </c>
      <c r="N14" s="313">
        <v>139.55532245127495</v>
      </c>
      <c r="O14" s="197">
        <v>4.6933129816074448E-2</v>
      </c>
    </row>
    <row r="15" spans="1:15" ht="20.25" customHeight="1" thickBot="1">
      <c r="A15" s="324">
        <v>2004</v>
      </c>
      <c r="B15" s="313">
        <v>150.48255750594851</v>
      </c>
      <c r="C15" s="197">
        <v>6.6224218549822522E-2</v>
      </c>
      <c r="D15" s="313">
        <v>129.76680025721751</v>
      </c>
      <c r="E15" s="197">
        <v>2.8556406510371168E-2</v>
      </c>
      <c r="F15" s="313">
        <v>159.53922129347404</v>
      </c>
      <c r="G15" s="197">
        <v>7.3274970324207933E-2</v>
      </c>
      <c r="H15" s="313">
        <v>158.6720877566259</v>
      </c>
      <c r="I15" s="197">
        <v>7.0308608781491699E-2</v>
      </c>
      <c r="J15" s="313">
        <v>165.28935819309285</v>
      </c>
      <c r="K15" s="197">
        <v>9.2550414466202602E-2</v>
      </c>
      <c r="L15" s="313">
        <v>109.68586387434556</v>
      </c>
      <c r="M15" s="197">
        <v>9.1522157996146714E-3</v>
      </c>
      <c r="N15" s="313">
        <v>148.17711435357148</v>
      </c>
      <c r="O15" s="197">
        <v>6.1780459181747016E-2</v>
      </c>
    </row>
    <row r="16" spans="1:15" ht="20.25" customHeight="1" thickBot="1">
      <c r="A16" s="324">
        <v>2005</v>
      </c>
      <c r="B16" s="313">
        <v>158.85411997758723</v>
      </c>
      <c r="C16" s="197">
        <v>5.5631447327759487E-2</v>
      </c>
      <c r="D16" s="313">
        <v>131.56863292998989</v>
      </c>
      <c r="E16" s="197">
        <v>1.3885159140865522E-2</v>
      </c>
      <c r="F16" s="313">
        <v>163.19650081000955</v>
      </c>
      <c r="G16" s="197">
        <v>2.2924015090984406E-2</v>
      </c>
      <c r="H16" s="313">
        <v>161.63461894989487</v>
      </c>
      <c r="I16" s="197">
        <v>1.8670777167897112E-2</v>
      </c>
      <c r="J16" s="313">
        <v>173.55365358411964</v>
      </c>
      <c r="K16" s="197">
        <v>4.9998956262945482E-2</v>
      </c>
      <c r="L16" s="313">
        <v>110.73298429319371</v>
      </c>
      <c r="M16" s="197">
        <v>9.5465393794746944E-3</v>
      </c>
      <c r="N16" s="313">
        <v>156.56555204739018</v>
      </c>
      <c r="O16" s="197">
        <v>5.6610885766088748E-2</v>
      </c>
    </row>
    <row r="17" spans="1:15" ht="20.25" customHeight="1" thickBot="1">
      <c r="A17" s="324">
        <v>2006</v>
      </c>
      <c r="B17" s="313">
        <v>159.92892738162934</v>
      </c>
      <c r="C17" s="197">
        <v>6.7660026960192354E-3</v>
      </c>
      <c r="D17" s="313">
        <v>132.42007975142448</v>
      </c>
      <c r="E17" s="197">
        <v>6.4715031423003833E-3</v>
      </c>
      <c r="F17" s="313">
        <v>168.77599451425854</v>
      </c>
      <c r="G17" s="197">
        <v>3.4188807214344141E-2</v>
      </c>
      <c r="H17" s="313">
        <v>167.82455192504821</v>
      </c>
      <c r="I17" s="197">
        <v>3.8295836717208154E-2</v>
      </c>
      <c r="J17" s="313">
        <v>175.08520169816336</v>
      </c>
      <c r="K17" s="197">
        <v>8.8246376979981278E-3</v>
      </c>
      <c r="L17" s="313">
        <v>112.04188481675392</v>
      </c>
      <c r="M17" s="197">
        <v>1.1820330969267268E-2</v>
      </c>
      <c r="N17" s="313">
        <v>157.56912262112198</v>
      </c>
      <c r="O17" s="197">
        <v>6.409906653208175E-3</v>
      </c>
    </row>
    <row r="18" spans="1:15" ht="20.25" customHeight="1" thickBot="1">
      <c r="A18" s="324">
        <v>2007</v>
      </c>
      <c r="B18" s="313">
        <v>166.19096335942064</v>
      </c>
      <c r="C18" s="197">
        <v>3.915511771581226E-2</v>
      </c>
      <c r="D18" s="313">
        <v>137.4374713918709</v>
      </c>
      <c r="E18" s="197">
        <v>3.7889960871983597E-2</v>
      </c>
      <c r="F18" s="313">
        <v>171.12819099456249</v>
      </c>
      <c r="G18" s="197">
        <v>1.3936795259738455E-2</v>
      </c>
      <c r="H18" s="313">
        <v>169.73560696474115</v>
      </c>
      <c r="I18" s="197">
        <v>1.1387219675381255E-2</v>
      </c>
      <c r="J18" s="313">
        <v>180.36269580313146</v>
      </c>
      <c r="K18" s="197">
        <v>3.014243381954218E-2</v>
      </c>
      <c r="L18" s="313">
        <v>113.87434554973821</v>
      </c>
      <c r="M18" s="197">
        <v>1.6355140186915751E-2</v>
      </c>
      <c r="N18" s="313">
        <v>163.98455355690925</v>
      </c>
      <c r="O18" s="197">
        <v>4.071502607280042E-2</v>
      </c>
    </row>
    <row r="19" spans="1:15" ht="20.25" customHeight="1" thickBot="1">
      <c r="A19" s="324">
        <v>2008</v>
      </c>
      <c r="B19" s="313">
        <v>173.20418822710363</v>
      </c>
      <c r="C19" s="197">
        <v>4.2199796703239034E-2</v>
      </c>
      <c r="D19" s="313">
        <v>143.68661612885961</v>
      </c>
      <c r="E19" s="197">
        <v>4.5469002548589765E-2</v>
      </c>
      <c r="F19" s="313">
        <v>170.40272566721498</v>
      </c>
      <c r="G19" s="197">
        <v>-4.2393092752938122E-3</v>
      </c>
      <c r="H19" s="313">
        <v>168.02403981936502</v>
      </c>
      <c r="I19" s="197">
        <v>-1.0083724776332126E-2</v>
      </c>
      <c r="J19" s="313">
        <v>186.17626997740183</v>
      </c>
      <c r="K19" s="197">
        <v>3.223268619036368E-2</v>
      </c>
      <c r="L19" s="313">
        <v>116.1780104712042</v>
      </c>
      <c r="M19" s="197">
        <v>2.0229885057471586E-2</v>
      </c>
      <c r="N19" s="313">
        <v>171.18417748466891</v>
      </c>
      <c r="O19" s="197">
        <v>4.3904281053282812E-2</v>
      </c>
    </row>
    <row r="20" spans="1:15" ht="20.25" customHeight="1" thickBot="1">
      <c r="A20" s="324">
        <v>2009</v>
      </c>
      <c r="B20" s="313">
        <v>178.14457174882662</v>
      </c>
      <c r="C20" s="197">
        <v>2.8523464543739552E-2</v>
      </c>
      <c r="D20" s="313">
        <v>148.24252210037352</v>
      </c>
      <c r="E20" s="197">
        <v>3.1707239645953678E-2</v>
      </c>
      <c r="F20" s="313">
        <v>172.18272475452474</v>
      </c>
      <c r="G20" s="197">
        <v>1.0445836945037978E-2</v>
      </c>
      <c r="H20" s="313">
        <v>169.63658334736624</v>
      </c>
      <c r="I20" s="197">
        <v>9.5971000919559124E-3</v>
      </c>
      <c r="J20" s="313">
        <v>189.06670056079494</v>
      </c>
      <c r="K20" s="197">
        <v>1.5525236292165179E-2</v>
      </c>
      <c r="L20" s="313">
        <v>118.63874345549739</v>
      </c>
      <c r="M20" s="197">
        <v>2.118071203244698E-2</v>
      </c>
      <c r="N20" s="313">
        <v>176.44399172965743</v>
      </c>
      <c r="O20" s="197">
        <v>3.0726053787649699E-2</v>
      </c>
    </row>
    <row r="21" spans="1:15" ht="20.25" customHeight="1" thickBot="1">
      <c r="A21" s="324">
        <v>2010</v>
      </c>
      <c r="B21" s="313">
        <v>181.26989827085112</v>
      </c>
      <c r="C21" s="197">
        <v>1.7543765107987719E-2</v>
      </c>
      <c r="D21" s="313">
        <v>150.44438815411891</v>
      </c>
      <c r="E21" s="197">
        <v>1.4853134057274842E-2</v>
      </c>
      <c r="F21" s="313">
        <v>184.78971423770679</v>
      </c>
      <c r="G21" s="197">
        <v>7.3218666397313781E-2</v>
      </c>
      <c r="H21" s="313">
        <v>184.18506458405923</v>
      </c>
      <c r="I21" s="197">
        <v>8.5762640048591132E-2</v>
      </c>
      <c r="J21" s="313">
        <v>188.79926771134839</v>
      </c>
      <c r="K21" s="197">
        <v>-1.4144894296738153E-3</v>
      </c>
      <c r="L21" s="313">
        <v>119.63350785340315</v>
      </c>
      <c r="M21" s="197">
        <v>8.3848190644306708E-3</v>
      </c>
      <c r="N21" s="313">
        <v>180.09757230327764</v>
      </c>
      <c r="O21" s="197">
        <v>2.0706744037043423E-2</v>
      </c>
    </row>
    <row r="22" spans="1:15" s="110" customFormat="1" ht="26.25" customHeight="1" thickBot="1">
      <c r="A22" s="326">
        <v>2011</v>
      </c>
      <c r="B22" s="315">
        <v>184.07205165862686</v>
      </c>
      <c r="C22" s="965">
        <v>1.5458459537439628E-2</v>
      </c>
      <c r="D22" s="1222" t="s">
        <v>30</v>
      </c>
      <c r="E22" s="1236" t="s">
        <v>30</v>
      </c>
      <c r="F22" s="315">
        <v>195.37601142650229</v>
      </c>
      <c r="G22" s="965">
        <v>5.7288346553627356E-2</v>
      </c>
      <c r="H22" s="315">
        <v>195.29365699152376</v>
      </c>
      <c r="I22" s="965">
        <v>6.031212374657402E-2</v>
      </c>
      <c r="J22" s="315">
        <v>195.92212024976232</v>
      </c>
      <c r="K22" s="965">
        <v>3.7727119520950314E-2</v>
      </c>
      <c r="L22" s="328">
        <v>120.73298429319372</v>
      </c>
      <c r="M22" s="929">
        <v>9.1903719912473925E-3</v>
      </c>
      <c r="N22" s="328">
        <v>182.2269910281583</v>
      </c>
      <c r="O22" s="929">
        <v>1.1823694776378124E-2</v>
      </c>
    </row>
    <row r="23" spans="1:15" ht="20" customHeight="1">
      <c r="A23" s="1287" t="s">
        <v>2399</v>
      </c>
      <c r="B23" s="1288"/>
      <c r="C23" s="1288"/>
      <c r="D23" s="1288"/>
      <c r="E23" s="1288"/>
      <c r="F23" s="1288"/>
      <c r="G23" s="1288"/>
      <c r="H23" s="1288"/>
      <c r="I23" s="1288"/>
      <c r="J23" s="1288"/>
      <c r="K23" s="1288"/>
    </row>
    <row r="24" spans="1:15" ht="12.75" customHeight="1">
      <c r="A24" s="1289"/>
      <c r="B24" s="1152"/>
      <c r="C24" s="1152"/>
      <c r="D24" s="1152"/>
      <c r="E24" s="1152"/>
      <c r="F24" s="1152"/>
      <c r="G24" s="1152"/>
      <c r="H24" s="1152"/>
      <c r="I24" s="1152"/>
      <c r="J24" s="1152"/>
      <c r="K24" s="1152"/>
    </row>
    <row r="25" spans="1:15" ht="12" customHeight="1">
      <c r="A25" s="1289" t="s">
        <v>2058</v>
      </c>
      <c r="B25" s="1152"/>
      <c r="C25" s="1152"/>
      <c r="D25" s="1152"/>
      <c r="E25" s="1152"/>
      <c r="F25" s="1152"/>
      <c r="G25" s="1152"/>
      <c r="H25" s="1152"/>
      <c r="I25" s="1152"/>
      <c r="J25" s="1152"/>
      <c r="K25" s="1152"/>
    </row>
    <row r="26" spans="1:15" ht="12" customHeight="1">
      <c r="A26" s="1289" t="s">
        <v>2059</v>
      </c>
      <c r="B26" s="1152"/>
      <c r="C26" s="1152"/>
      <c r="D26" s="1152"/>
      <c r="E26" s="1152"/>
      <c r="F26" s="1152"/>
      <c r="G26" s="1152"/>
      <c r="H26" s="1152"/>
      <c r="I26" s="1152"/>
      <c r="J26" s="1152"/>
      <c r="K26" s="1152"/>
    </row>
    <row r="27" spans="1:15" ht="12" customHeight="1">
      <c r="A27" s="1289" t="s">
        <v>2060</v>
      </c>
      <c r="B27" s="1152"/>
      <c r="C27" s="1152"/>
      <c r="D27" s="1152"/>
      <c r="E27" s="1152"/>
      <c r="F27" s="1152"/>
      <c r="G27" s="1152"/>
      <c r="H27" s="1152"/>
      <c r="I27" s="1152"/>
      <c r="J27" s="1152"/>
      <c r="K27" s="1152"/>
    </row>
    <row r="28" spans="1:15" ht="12" customHeight="1">
      <c r="A28" s="1289" t="s">
        <v>2061</v>
      </c>
      <c r="B28" s="1152"/>
      <c r="C28" s="1152"/>
      <c r="D28" s="1152"/>
      <c r="E28" s="1152"/>
      <c r="F28" s="1152"/>
      <c r="G28" s="1152"/>
      <c r="H28" s="1152"/>
      <c r="I28" s="1152"/>
      <c r="J28" s="1152"/>
      <c r="K28" s="1152"/>
    </row>
    <row r="29" spans="1:15" ht="12" customHeight="1">
      <c r="A29" s="1289" t="s">
        <v>2062</v>
      </c>
      <c r="B29" s="1152"/>
      <c r="C29" s="1152"/>
      <c r="D29" s="1152"/>
      <c r="E29" s="1152"/>
      <c r="F29" s="1152"/>
      <c r="G29" s="1152"/>
      <c r="H29" s="1152"/>
      <c r="I29" s="1152"/>
      <c r="J29" s="1152"/>
      <c r="K29" s="1152"/>
    </row>
    <row r="30" spans="1:15" ht="12" customHeight="1">
      <c r="A30" s="1289" t="s">
        <v>2063</v>
      </c>
      <c r="B30" s="1290"/>
      <c r="C30" s="1290"/>
      <c r="D30" s="1290"/>
      <c r="E30" s="1290"/>
      <c r="F30" s="1290"/>
      <c r="G30" s="1290"/>
      <c r="H30" s="1290"/>
      <c r="I30" s="1290"/>
      <c r="J30" s="1290"/>
      <c r="K30" s="1290"/>
    </row>
    <row r="31" spans="1:15" ht="12" customHeight="1">
      <c r="A31" s="1289" t="s">
        <v>2064</v>
      </c>
      <c r="B31" s="1152"/>
      <c r="C31" s="1152"/>
      <c r="D31" s="1152"/>
      <c r="E31" s="1152"/>
      <c r="F31" s="1152"/>
      <c r="G31" s="1152"/>
      <c r="H31" s="1152"/>
      <c r="I31" s="1152"/>
      <c r="J31" s="1152"/>
      <c r="K31" s="1152"/>
    </row>
    <row r="32" spans="1:15" ht="15.75" customHeight="1">
      <c r="A32" s="1289"/>
      <c r="B32" s="1290"/>
      <c r="C32" s="1290"/>
      <c r="D32" s="1290"/>
      <c r="E32" s="1290"/>
      <c r="F32" s="1290"/>
      <c r="G32" s="1290"/>
      <c r="H32" s="1290"/>
      <c r="I32" s="1290"/>
      <c r="J32" s="1290"/>
      <c r="K32" s="1290"/>
    </row>
    <row r="33" spans="1:13" ht="15.75" customHeight="1">
      <c r="A33" s="61"/>
      <c r="B33" s="1290"/>
      <c r="C33" s="1290"/>
      <c r="D33" s="1290"/>
      <c r="E33" s="1290"/>
      <c r="F33" s="1290"/>
      <c r="G33" s="1290"/>
      <c r="H33" s="1290"/>
      <c r="I33" s="1290"/>
      <c r="J33" s="1290"/>
      <c r="K33" s="1290"/>
      <c r="M33" s="120"/>
    </row>
    <row r="34" spans="1:13" ht="15.75" customHeight="1">
      <c r="A34" s="173" t="s">
        <v>719</v>
      </c>
      <c r="B34" s="1290"/>
      <c r="C34" s="1290"/>
      <c r="D34" s="1290"/>
      <c r="E34" s="1290"/>
      <c r="F34" s="1290"/>
      <c r="G34" s="1290"/>
      <c r="H34" s="1290"/>
      <c r="I34" s="1290"/>
      <c r="J34" s="1290"/>
      <c r="K34" s="1290"/>
    </row>
    <row r="35" spans="1:13" ht="31" customHeight="1">
      <c r="A35" s="61"/>
      <c r="B35" s="1290"/>
      <c r="C35" s="1290"/>
      <c r="D35" s="1290"/>
      <c r="E35" s="1290"/>
      <c r="F35" s="1290"/>
      <c r="G35" s="1290"/>
      <c r="H35" s="1290"/>
      <c r="I35" s="1290"/>
      <c r="J35" s="1290"/>
      <c r="K35" s="1290"/>
    </row>
    <row r="36" spans="1:13" ht="31" customHeight="1">
      <c r="A36" s="61"/>
      <c r="B36" s="1290"/>
      <c r="C36" s="1290"/>
      <c r="D36" s="1290"/>
      <c r="E36" s="1290"/>
      <c r="F36" s="1290"/>
      <c r="G36" s="1290"/>
      <c r="H36" s="1290"/>
      <c r="I36" s="1290"/>
      <c r="J36" s="1290"/>
      <c r="K36" s="1290"/>
    </row>
    <row r="37" spans="1:13" ht="31" customHeight="1">
      <c r="A37" s="61"/>
      <c r="B37" s="1290"/>
      <c r="C37" s="1290"/>
      <c r="D37" s="1290"/>
      <c r="E37" s="1290"/>
      <c r="F37" s="1290"/>
      <c r="G37" s="1290"/>
      <c r="H37" s="1290"/>
      <c r="I37" s="1290"/>
      <c r="J37" s="1290"/>
      <c r="K37" s="1290"/>
    </row>
    <row r="38" spans="1:13" ht="31" customHeight="1">
      <c r="A38" s="61"/>
      <c r="B38" s="1290"/>
      <c r="C38" s="1290"/>
      <c r="D38" s="1290"/>
      <c r="E38" s="1290"/>
      <c r="F38" s="1290"/>
      <c r="G38" s="1290"/>
      <c r="H38" s="1290"/>
      <c r="I38" s="1290"/>
      <c r="J38" s="1290"/>
      <c r="K38" s="1290"/>
    </row>
    <row r="39" spans="1:13" ht="31" customHeight="1">
      <c r="A39" s="61"/>
      <c r="B39" s="1290"/>
      <c r="C39" s="1290"/>
      <c r="D39" s="1290"/>
      <c r="E39" s="1290"/>
      <c r="F39" s="1290"/>
      <c r="G39" s="1290"/>
      <c r="H39" s="1290"/>
      <c r="I39" s="1290"/>
      <c r="J39" s="1290"/>
      <c r="K39" s="1290"/>
    </row>
  </sheetData>
  <pageMargins left="0.55118110236220474" right="0.59055118110236227" top="0.82" bottom="0.47244094488188981" header="0.47244094488188981" footer="0.51181102362204722"/>
  <pageSetup paperSize="9" scale="67" orientation="landscape"/>
  <headerFooter alignWithMargins="0"/>
  <rowBreaks count="1" manualBreakCount="1">
    <brk id="29" max="16383"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AB70-2B85-484A-91AD-9195A30C52C1}">
  <sheetPr>
    <pageSetUpPr fitToPage="1"/>
  </sheetPr>
  <dimension ref="A1:J57"/>
  <sheetViews>
    <sheetView topLeftCell="A31" zoomScaleNormal="100" workbookViewId="0">
      <selection activeCell="B51" sqref="B51"/>
    </sheetView>
  </sheetViews>
  <sheetFormatPr baseColWidth="10" defaultColWidth="11.3984375" defaultRowHeight="13"/>
  <cols>
    <col min="1" max="1" width="23.59765625" style="3" customWidth="1"/>
    <col min="2" max="2" width="20" style="3" customWidth="1"/>
    <col min="3" max="3" width="15.796875" style="3" customWidth="1"/>
    <col min="4" max="4" width="18.796875" style="3" customWidth="1"/>
    <col min="5" max="5" width="14.3984375" style="3" customWidth="1"/>
    <col min="6" max="6" width="20" style="3" customWidth="1"/>
    <col min="7" max="7" width="15" style="3" customWidth="1"/>
    <col min="8" max="8" width="13.19921875" style="3" customWidth="1"/>
    <col min="9" max="10" width="13.3984375" style="3" customWidth="1"/>
    <col min="11" max="16384" width="11.3984375" style="3"/>
  </cols>
  <sheetData>
    <row r="1" spans="1:10" s="2" customFormat="1" ht="14" customHeight="1"/>
    <row r="2" spans="1:10" s="2" customFormat="1" ht="25.25" customHeight="1">
      <c r="A2" s="181" t="s">
        <v>2035</v>
      </c>
      <c r="B2" s="436"/>
      <c r="C2" s="436"/>
      <c r="D2" s="436"/>
      <c r="E2" s="436"/>
      <c r="F2" s="436"/>
      <c r="G2" s="180"/>
    </row>
    <row r="3" spans="1:10" ht="24" customHeight="1">
      <c r="A3" s="92" t="s">
        <v>398</v>
      </c>
      <c r="B3" s="182" t="s">
        <v>399</v>
      </c>
      <c r="C3" s="183" t="s">
        <v>400</v>
      </c>
      <c r="D3" s="182" t="s">
        <v>401</v>
      </c>
      <c r="E3" s="183" t="s">
        <v>402</v>
      </c>
      <c r="F3" s="182" t="s">
        <v>683</v>
      </c>
      <c r="G3" s="94" t="s">
        <v>279</v>
      </c>
    </row>
    <row r="4" spans="1:10" ht="15" customHeight="1">
      <c r="A4" s="184"/>
      <c r="B4" s="185" t="s">
        <v>403</v>
      </c>
      <c r="C4" s="186" t="s">
        <v>404</v>
      </c>
      <c r="D4" s="185" t="s">
        <v>405</v>
      </c>
      <c r="E4" s="187" t="s">
        <v>406</v>
      </c>
      <c r="F4" s="185"/>
      <c r="G4" s="95" t="s">
        <v>282</v>
      </c>
    </row>
    <row r="5" spans="1:10" ht="15" customHeight="1">
      <c r="A5" s="184"/>
      <c r="B5" s="185" t="s">
        <v>407</v>
      </c>
      <c r="C5" s="186" t="s">
        <v>408</v>
      </c>
      <c r="D5" s="185"/>
      <c r="E5" s="187" t="s">
        <v>409</v>
      </c>
      <c r="F5" s="185"/>
      <c r="G5" s="95" t="s">
        <v>283</v>
      </c>
    </row>
    <row r="6" spans="1:10" ht="24" customHeight="1">
      <c r="A6" s="408"/>
      <c r="B6" s="189"/>
      <c r="C6" s="190"/>
      <c r="D6" s="189"/>
      <c r="E6" s="191" t="s">
        <v>410</v>
      </c>
      <c r="F6" s="189"/>
      <c r="G6" s="522"/>
    </row>
    <row r="7" spans="1:10" ht="1.5" customHeight="1" thickBot="1">
      <c r="A7" s="192">
        <v>1996</v>
      </c>
      <c r="B7" s="100">
        <v>1753.1648672625149</v>
      </c>
      <c r="C7" s="193">
        <v>1842.1623355260151</v>
      </c>
      <c r="D7" s="100">
        <v>1515.4959144221264</v>
      </c>
      <c r="E7" s="193">
        <v>1176.4588298743031</v>
      </c>
      <c r="F7" s="100">
        <v>1771.0161788756484</v>
      </c>
      <c r="G7" s="101" t="s">
        <v>30</v>
      </c>
    </row>
    <row r="8" spans="1:10" ht="19.5" hidden="1" customHeight="1" thickBot="1">
      <c r="A8" s="194">
        <v>1997</v>
      </c>
      <c r="B8" s="195">
        <v>1811.5958116334416</v>
      </c>
      <c r="C8" s="196">
        <v>2130.0081643172375</v>
      </c>
      <c r="D8" s="195">
        <v>1576.8168903289518</v>
      </c>
      <c r="E8" s="196">
        <v>1389.6088488110106</v>
      </c>
      <c r="F8" s="195">
        <v>1909.5867615098578</v>
      </c>
      <c r="G8" s="197">
        <v>7.8243544179354974E-2</v>
      </c>
      <c r="H8" s="9"/>
      <c r="I8" s="9"/>
      <c r="J8" s="9"/>
    </row>
    <row r="9" spans="1:10" ht="21" hidden="1" customHeight="1" thickBot="1">
      <c r="A9" s="194">
        <v>1998</v>
      </c>
      <c r="B9" s="195">
        <v>1918.0694163570959</v>
      </c>
      <c r="C9" s="196">
        <v>2297.6573623558743</v>
      </c>
      <c r="D9" s="195">
        <v>1557.6743377537739</v>
      </c>
      <c r="E9" s="196">
        <v>1666.142713790621</v>
      </c>
      <c r="F9" s="195">
        <v>2043.088885873075</v>
      </c>
      <c r="G9" s="197">
        <v>6.9911525914465811E-2</v>
      </c>
    </row>
    <row r="10" spans="1:10" ht="21" hidden="1" customHeight="1" thickBot="1">
      <c r="A10" s="194">
        <v>1999</v>
      </c>
      <c r="B10" s="195">
        <v>1950.8999883727415</v>
      </c>
      <c r="C10" s="196">
        <v>2374.4763783142644</v>
      </c>
      <c r="D10" s="195">
        <v>1570.8419091195699</v>
      </c>
      <c r="E10" s="196">
        <v>1752.9616538234313</v>
      </c>
      <c r="F10" s="195">
        <v>2093.8952904812063</v>
      </c>
      <c r="G10" s="197">
        <v>2.4867447010960664E-2</v>
      </c>
    </row>
    <row r="11" spans="1:10" ht="21" hidden="1" customHeight="1" thickBot="1">
      <c r="A11" s="194">
        <v>2000</v>
      </c>
      <c r="B11" s="195">
        <v>2027.0193294058211</v>
      </c>
      <c r="C11" s="196">
        <v>2433.7171249231678</v>
      </c>
      <c r="D11" s="195">
        <v>1662.9240904226378</v>
      </c>
      <c r="E11" s="196">
        <v>1828.3919207533229</v>
      </c>
      <c r="F11" s="195">
        <v>2165.0935277166373</v>
      </c>
      <c r="G11" s="197">
        <v>3.4002768695787333E-2</v>
      </c>
    </row>
    <row r="12" spans="1:10" ht="21" customHeight="1" thickBot="1">
      <c r="A12" s="194">
        <v>2001</v>
      </c>
      <c r="B12" s="195">
        <v>2122.8464393209329</v>
      </c>
      <c r="C12" s="196">
        <v>2484.2689833767849</v>
      </c>
      <c r="D12" s="195">
        <v>1731.3120166424887</v>
      </c>
      <c r="E12" s="196">
        <v>1922.2028434326885</v>
      </c>
      <c r="F12" s="195">
        <v>2245.9151088569452</v>
      </c>
      <c r="G12" s="197">
        <v>3.7329371736446237E-2</v>
      </c>
    </row>
    <row r="13" spans="1:10" ht="21" customHeight="1" thickBot="1">
      <c r="A13" s="194">
        <v>2002</v>
      </c>
      <c r="B13" s="195">
        <v>2285.7395632640332</v>
      </c>
      <c r="C13" s="196">
        <v>2654.9017890161094</v>
      </c>
      <c r="D13" s="195">
        <v>1950.7839810299843</v>
      </c>
      <c r="E13" s="196">
        <v>2240.2987240624661</v>
      </c>
      <c r="F13" s="195">
        <v>2431.415360817261</v>
      </c>
      <c r="G13" s="197">
        <v>8.2594507347486523E-2</v>
      </c>
    </row>
    <row r="14" spans="1:10" ht="21" customHeight="1" thickBot="1">
      <c r="A14" s="194">
        <v>2003</v>
      </c>
      <c r="B14" s="195">
        <v>2510.8199696536694</v>
      </c>
      <c r="C14" s="196">
        <v>2859.9015075571601</v>
      </c>
      <c r="D14" s="195">
        <v>2124.4793305026888</v>
      </c>
      <c r="E14" s="196">
        <v>2210.374964555655</v>
      </c>
      <c r="F14" s="195">
        <v>2632.5643464005784</v>
      </c>
      <c r="G14" s="197">
        <v>8.2729174465569821E-2</v>
      </c>
    </row>
    <row r="15" spans="1:10" ht="21" customHeight="1" thickBot="1">
      <c r="A15" s="194">
        <v>2004</v>
      </c>
      <c r="B15" s="195">
        <v>2690.5459375499613</v>
      </c>
      <c r="C15" s="196">
        <v>3090.7636553345851</v>
      </c>
      <c r="D15" s="195">
        <v>2246.9396743730986</v>
      </c>
      <c r="E15" s="196">
        <v>2415.1482194113514</v>
      </c>
      <c r="F15" s="195">
        <v>2825.4654207596486</v>
      </c>
      <c r="G15" s="197">
        <v>7.3274970324207933E-2</v>
      </c>
    </row>
    <row r="16" spans="1:10" ht="21" customHeight="1" thickBot="1">
      <c r="A16" s="194">
        <v>2005</v>
      </c>
      <c r="B16" s="195">
        <v>2840.2952473424793</v>
      </c>
      <c r="C16" s="196">
        <v>3103.8126743937628</v>
      </c>
      <c r="D16" s="195">
        <v>2376.2836440132501</v>
      </c>
      <c r="E16" s="196">
        <v>2400.5917441113538</v>
      </c>
      <c r="F16" s="195">
        <v>2890.2364327041978</v>
      </c>
      <c r="G16" s="197">
        <v>2.2924015090984629E-2</v>
      </c>
    </row>
    <row r="17" spans="1:7" ht="21" customHeight="1" thickBot="1">
      <c r="A17" s="194">
        <v>2006</v>
      </c>
      <c r="B17" s="195">
        <v>3011.1782609964857</v>
      </c>
      <c r="C17" s="196">
        <v>3242.7971622539844</v>
      </c>
      <c r="D17" s="195">
        <v>2532.6355623862773</v>
      </c>
      <c r="E17" s="196">
        <v>2415.428916702369</v>
      </c>
      <c r="F17" s="195">
        <v>2989.0501689057955</v>
      </c>
      <c r="G17" s="197">
        <v>3.4188807214344141E-2</v>
      </c>
    </row>
    <row r="18" spans="1:7" ht="21" customHeight="1" thickBot="1">
      <c r="A18" s="194">
        <v>2007</v>
      </c>
      <c r="B18" s="195">
        <v>3123.9745528614731</v>
      </c>
      <c r="C18" s="196">
        <v>3317.638542693885</v>
      </c>
      <c r="D18" s="195">
        <v>2650.6385932147032</v>
      </c>
      <c r="E18" s="196">
        <v>2470.5095950288969</v>
      </c>
      <c r="F18" s="195">
        <v>3030.7079491309219</v>
      </c>
      <c r="G18" s="197">
        <v>1.3936795259738233E-2</v>
      </c>
    </row>
    <row r="19" spans="1:7" ht="21" customHeight="1" thickBot="1">
      <c r="A19" s="194">
        <v>2008</v>
      </c>
      <c r="B19" s="195">
        <v>3180.5156961243692</v>
      </c>
      <c r="C19" s="196">
        <v>3344.9015527889869</v>
      </c>
      <c r="D19" s="195">
        <v>2727.0156464501351</v>
      </c>
      <c r="E19" s="196">
        <v>2468.4220560673621</v>
      </c>
      <c r="F19" s="195">
        <v>3017.8598408114649</v>
      </c>
      <c r="G19" s="197">
        <v>-4.2393092752937012E-3</v>
      </c>
    </row>
    <row r="20" spans="1:7" ht="21" customHeight="1" thickBot="1">
      <c r="A20" s="194">
        <v>2009</v>
      </c>
      <c r="B20" s="195">
        <v>3243.4047860779601</v>
      </c>
      <c r="C20" s="196">
        <v>3381.8730613579137</v>
      </c>
      <c r="D20" s="195">
        <v>2806.1776808293953</v>
      </c>
      <c r="E20" s="196">
        <v>2595.8313806278784</v>
      </c>
      <c r="F20" s="195">
        <v>3049.3839126315593</v>
      </c>
      <c r="G20" s="197">
        <v>1.0445836945037756E-2</v>
      </c>
    </row>
    <row r="21" spans="1:7" ht="21" customHeight="1" thickBot="1">
      <c r="A21" s="194">
        <v>2010</v>
      </c>
      <c r="B21" s="195">
        <v>3580.9467455800068</v>
      </c>
      <c r="C21" s="196">
        <v>3784.2286980765448</v>
      </c>
      <c r="D21" s="195">
        <v>3041.1445773385881</v>
      </c>
      <c r="E21" s="196">
        <v>2814.6296923683039</v>
      </c>
      <c r="F21" s="195">
        <v>3272.655736047865</v>
      </c>
      <c r="G21" s="197">
        <v>7.3218666397313781E-2</v>
      </c>
    </row>
    <row r="22" spans="1:7" ht="21.75" customHeight="1" thickBot="1">
      <c r="A22" s="198">
        <v>2011</v>
      </c>
      <c r="B22" s="199">
        <v>3856.1776135371192</v>
      </c>
      <c r="C22" s="200">
        <v>4048.3761099951839</v>
      </c>
      <c r="D22" s="199">
        <v>3250.9157740142191</v>
      </c>
      <c r="E22" s="200">
        <v>3032.2458588100644</v>
      </c>
      <c r="F22" s="199">
        <v>3460.1407720052912</v>
      </c>
      <c r="G22" s="929">
        <v>5.7288346553627134E-2</v>
      </c>
    </row>
    <row r="23" spans="1:7" ht="20" customHeight="1">
      <c r="A23" s="1285" t="s">
        <v>720</v>
      </c>
      <c r="B23" s="112"/>
      <c r="C23" s="112"/>
      <c r="D23" s="112"/>
      <c r="E23" s="112"/>
      <c r="F23" s="112"/>
      <c r="G23" s="796"/>
    </row>
    <row r="24" spans="1:7">
      <c r="G24" s="797"/>
    </row>
    <row r="25" spans="1:7">
      <c r="A25" s="393" t="s">
        <v>2036</v>
      </c>
      <c r="G25" s="797"/>
    </row>
    <row r="26" spans="1:7">
      <c r="G26" s="797"/>
    </row>
    <row r="27" spans="1:7">
      <c r="G27" s="797"/>
    </row>
    <row r="28" spans="1:7" ht="16">
      <c r="A28" s="952" t="s">
        <v>2037</v>
      </c>
      <c r="G28" s="797"/>
    </row>
    <row r="29" spans="1:7">
      <c r="G29" s="797"/>
    </row>
    <row r="30" spans="1:7" ht="18" customHeight="1">
      <c r="A30" s="92" t="s">
        <v>469</v>
      </c>
      <c r="B30" s="182" t="s">
        <v>349</v>
      </c>
      <c r="C30" s="783" t="s">
        <v>279</v>
      </c>
      <c r="D30" s="182" t="s">
        <v>459</v>
      </c>
      <c r="E30" s="783" t="s">
        <v>279</v>
      </c>
      <c r="F30" s="182" t="s">
        <v>1597</v>
      </c>
      <c r="G30" s="783" t="s">
        <v>279</v>
      </c>
    </row>
    <row r="31" spans="1:7" ht="18" customHeight="1">
      <c r="A31" s="953"/>
      <c r="B31" s="185" t="s">
        <v>460</v>
      </c>
      <c r="C31" s="784" t="s">
        <v>282</v>
      </c>
      <c r="D31" s="185" t="s">
        <v>461</v>
      </c>
      <c r="E31" s="784" t="s">
        <v>282</v>
      </c>
      <c r="F31" s="185" t="s">
        <v>1598</v>
      </c>
      <c r="G31" s="784" t="s">
        <v>282</v>
      </c>
    </row>
    <row r="32" spans="1:7" ht="18" customHeight="1">
      <c r="A32" s="184"/>
      <c r="B32" s="185"/>
      <c r="C32" s="784" t="s">
        <v>283</v>
      </c>
      <c r="D32" s="185"/>
      <c r="E32" s="784" t="s">
        <v>283</v>
      </c>
      <c r="F32" s="185"/>
      <c r="G32" s="784" t="s">
        <v>283</v>
      </c>
    </row>
    <row r="33" spans="1:7" ht="22.75" customHeight="1">
      <c r="A33" s="188"/>
      <c r="B33" s="189"/>
      <c r="C33" s="474"/>
      <c r="D33" s="189"/>
      <c r="E33" s="474"/>
      <c r="F33" s="189"/>
      <c r="G33" s="474"/>
    </row>
    <row r="34" spans="1:7" ht="1.75" customHeight="1" thickBot="1">
      <c r="A34" s="192">
        <v>1996</v>
      </c>
      <c r="B34" s="100" t="s">
        <v>30</v>
      </c>
      <c r="C34" s="193" t="s">
        <v>30</v>
      </c>
      <c r="D34" s="100" t="s">
        <v>30</v>
      </c>
      <c r="E34" s="193" t="s">
        <v>30</v>
      </c>
      <c r="F34" s="100" t="s">
        <v>30</v>
      </c>
      <c r="G34" s="101" t="s">
        <v>30</v>
      </c>
    </row>
    <row r="35" spans="1:7" ht="22.75" hidden="1" customHeight="1" thickBot="1">
      <c r="A35" s="194">
        <v>1997</v>
      </c>
      <c r="B35" s="100">
        <v>635</v>
      </c>
      <c r="C35" s="197" t="s">
        <v>30</v>
      </c>
      <c r="D35" s="100">
        <v>1640.1499999999999</v>
      </c>
      <c r="E35" s="197" t="s">
        <v>30</v>
      </c>
      <c r="F35" s="100">
        <v>2340.06</v>
      </c>
      <c r="G35" s="197" t="s">
        <v>30</v>
      </c>
    </row>
    <row r="36" spans="1:7" ht="22.75" hidden="1" customHeight="1" thickBot="1">
      <c r="A36" s="194">
        <v>1998</v>
      </c>
      <c r="B36" s="100">
        <v>656.52</v>
      </c>
      <c r="C36" s="197">
        <v>3.388976377952746E-2</v>
      </c>
      <c r="D36" s="100">
        <v>1784.45</v>
      </c>
      <c r="E36" s="197">
        <v>8.7979757948968285E-2</v>
      </c>
      <c r="F36" s="100">
        <v>2512.02</v>
      </c>
      <c r="G36" s="197">
        <v>7.3485295248839844E-2</v>
      </c>
    </row>
    <row r="37" spans="1:7" ht="22.75" hidden="1" customHeight="1" thickBot="1">
      <c r="A37" s="194">
        <v>1999</v>
      </c>
      <c r="B37" s="100">
        <v>671.71</v>
      </c>
      <c r="C37" s="197">
        <v>2.3137147383171852E-2</v>
      </c>
      <c r="D37" s="100">
        <v>1815.1499999999999</v>
      </c>
      <c r="E37" s="197">
        <v>1.7204180559836191E-2</v>
      </c>
      <c r="F37" s="100">
        <v>2575.1999999999998</v>
      </c>
      <c r="G37" s="197">
        <v>2.5151073637948773E-2</v>
      </c>
    </row>
    <row r="38" spans="1:7" ht="22.75" hidden="1" customHeight="1" thickBot="1">
      <c r="A38" s="194">
        <v>2000</v>
      </c>
      <c r="B38" s="100">
        <v>693.68000000000006</v>
      </c>
      <c r="C38" s="197">
        <v>3.2707567253725589E-2</v>
      </c>
      <c r="D38" s="100">
        <v>1808.28</v>
      </c>
      <c r="E38" s="197">
        <v>-3.784811172630298E-3</v>
      </c>
      <c r="F38" s="100">
        <v>2662.32</v>
      </c>
      <c r="G38" s="197">
        <v>3.3830382106244228E-2</v>
      </c>
    </row>
    <row r="39" spans="1:7" ht="21" customHeight="1" thickBot="1">
      <c r="A39" s="194">
        <v>2001</v>
      </c>
      <c r="B39" s="100">
        <v>727.81999999999994</v>
      </c>
      <c r="C39" s="197">
        <v>4.9215776727020932E-2</v>
      </c>
      <c r="D39" s="100">
        <v>1832.96</v>
      </c>
      <c r="E39" s="197">
        <v>1.364832879863731E-2</v>
      </c>
      <c r="F39" s="100">
        <v>2775.24</v>
      </c>
      <c r="G39" s="197">
        <v>4.2414135040115264E-2</v>
      </c>
    </row>
    <row r="40" spans="1:7" ht="21" customHeight="1" thickBot="1">
      <c r="A40" s="194">
        <v>2002</v>
      </c>
      <c r="B40" s="100">
        <v>787.46999999999991</v>
      </c>
      <c r="C40" s="197">
        <v>8.1957077299332326E-2</v>
      </c>
      <c r="D40" s="100">
        <v>2041.33</v>
      </c>
      <c r="E40" s="197">
        <v>0.11367951291899425</v>
      </c>
      <c r="F40" s="100">
        <v>2988.54</v>
      </c>
      <c r="G40" s="197">
        <v>7.6858217667661322E-2</v>
      </c>
    </row>
    <row r="41" spans="1:7" ht="21" customHeight="1" thickBot="1">
      <c r="A41" s="194">
        <v>2003</v>
      </c>
      <c r="B41" s="100">
        <v>852.56</v>
      </c>
      <c r="C41" s="197">
        <v>8.2657117096524457E-2</v>
      </c>
      <c r="D41" s="100">
        <v>2294.29</v>
      </c>
      <c r="E41" s="197">
        <v>0.12391920953496016</v>
      </c>
      <c r="F41" s="100">
        <v>3212.78</v>
      </c>
      <c r="G41" s="197">
        <v>7.5033293849170679E-2</v>
      </c>
    </row>
    <row r="42" spans="1:7" ht="21" customHeight="1" thickBot="1">
      <c r="A42" s="194">
        <v>2004</v>
      </c>
      <c r="B42" s="100">
        <v>892.68000000000006</v>
      </c>
      <c r="C42" s="197">
        <v>4.7058271558600095E-2</v>
      </c>
      <c r="D42" s="100">
        <v>2519.2999999999997</v>
      </c>
      <c r="E42" s="197">
        <v>9.8073913934158208E-2</v>
      </c>
      <c r="F42" s="100">
        <v>3430.62</v>
      </c>
      <c r="G42" s="197">
        <v>6.7804206948499424E-2</v>
      </c>
    </row>
    <row r="43" spans="1:7" ht="21" customHeight="1" thickBot="1">
      <c r="A43" s="194">
        <v>2005</v>
      </c>
      <c r="B43" s="100">
        <v>898.43</v>
      </c>
      <c r="C43" s="197">
        <v>6.4412779495450767E-3</v>
      </c>
      <c r="D43" s="100">
        <v>2598.67</v>
      </c>
      <c r="E43" s="197">
        <v>3.1504783074663756E-2</v>
      </c>
      <c r="F43" s="100">
        <v>3506.0200000000004</v>
      </c>
      <c r="G43" s="197">
        <v>2.1978534492307578E-2</v>
      </c>
    </row>
    <row r="44" spans="1:7" ht="21" customHeight="1" thickBot="1">
      <c r="A44" s="194">
        <v>2006</v>
      </c>
      <c r="B44" s="100">
        <v>921.03000000000009</v>
      </c>
      <c r="C44" s="197">
        <v>2.5154992598199311E-2</v>
      </c>
      <c r="D44" s="100">
        <v>2701.55</v>
      </c>
      <c r="E44" s="197">
        <v>3.9589482312105906E-2</v>
      </c>
      <c r="F44" s="100">
        <v>3630.2000000000003</v>
      </c>
      <c r="G44" s="197">
        <v>3.5419079183803825E-2</v>
      </c>
    </row>
    <row r="45" spans="1:7" ht="21" customHeight="1" thickBot="1">
      <c r="A45" s="194">
        <v>2007</v>
      </c>
      <c r="B45" s="100">
        <v>923.76</v>
      </c>
      <c r="C45" s="197">
        <v>2.9640728315036835E-3</v>
      </c>
      <c r="D45" s="100">
        <v>2720.47</v>
      </c>
      <c r="E45" s="197">
        <v>7.0033869445316199E-3</v>
      </c>
      <c r="F45" s="100">
        <v>3670.5600000000004</v>
      </c>
      <c r="G45" s="197">
        <v>1.1117844746845851E-2</v>
      </c>
    </row>
    <row r="46" spans="1:7" ht="21" customHeight="1" thickBot="1">
      <c r="A46" s="194">
        <v>2008</v>
      </c>
      <c r="B46" s="100">
        <v>900.7570192948325</v>
      </c>
      <c r="C46" s="197">
        <v>-2.4901468677110405E-2</v>
      </c>
      <c r="D46" s="100">
        <v>2711.5696629149288</v>
      </c>
      <c r="E46" s="197">
        <v>-3.2716174356162142E-3</v>
      </c>
      <c r="F46" s="100">
        <v>3651.1711467075061</v>
      </c>
      <c r="G46" s="197">
        <v>-5.2822602797650831E-3</v>
      </c>
    </row>
    <row r="47" spans="1:7" ht="21" customHeight="1" thickBot="1">
      <c r="A47" s="194">
        <v>2009</v>
      </c>
      <c r="B47" s="100">
        <v>899.0236454390664</v>
      </c>
      <c r="C47" s="197">
        <v>-1.9243523154813813E-3</v>
      </c>
      <c r="D47" s="100">
        <v>2751.4413723136295</v>
      </c>
      <c r="E47" s="197">
        <v>1.4704291003108105E-2</v>
      </c>
      <c r="F47" s="100">
        <v>3668.3142766978899</v>
      </c>
      <c r="G47" s="197">
        <v>4.6952414174949997E-3</v>
      </c>
    </row>
    <row r="48" spans="1:7" ht="21" customHeight="1" thickBot="1">
      <c r="A48" s="194">
        <v>2010</v>
      </c>
      <c r="B48" s="100">
        <v>964.51625034648475</v>
      </c>
      <c r="C48" s="197">
        <v>7.284858995608845E-2</v>
      </c>
      <c r="D48" s="100">
        <v>3021.122471904001</v>
      </c>
      <c r="E48" s="197">
        <v>9.8014481538308162E-2</v>
      </c>
      <c r="F48" s="100">
        <v>3920.1467433099961</v>
      </c>
      <c r="G48" s="197">
        <v>6.8650733720339474E-2</v>
      </c>
    </row>
    <row r="49" spans="1:7" ht="21.75" customHeight="1" thickBot="1">
      <c r="A49" s="955">
        <v>2011</v>
      </c>
      <c r="B49" s="224">
        <v>1011.9738750344361</v>
      </c>
      <c r="C49" s="929">
        <v>4.9203551180089677E-2</v>
      </c>
      <c r="D49" s="224">
        <v>3292.6015089816101</v>
      </c>
      <c r="E49" s="929">
        <v>8.9860321652738273E-2</v>
      </c>
      <c r="F49" s="224">
        <v>4126.358810998554</v>
      </c>
      <c r="G49" s="929">
        <v>5.2603150134742593E-2</v>
      </c>
    </row>
    <row r="50" spans="1:7" ht="16.75" customHeight="1">
      <c r="A50" s="172" t="s">
        <v>720</v>
      </c>
    </row>
    <row r="52" spans="1:7">
      <c r="A52" s="115" t="str">
        <f>A25</f>
        <v>Quelle: T 3.05 + 2.02</v>
      </c>
    </row>
    <row r="54" spans="1:7">
      <c r="A54" s="173" t="s">
        <v>1615</v>
      </c>
    </row>
    <row r="57" spans="1:7">
      <c r="A57" s="3" t="s">
        <v>719</v>
      </c>
    </row>
  </sheetData>
  <pageMargins left="0.56000000000000005" right="0.54" top="0.5" bottom="0.49" header="0.36" footer="0.4921259845"/>
  <pageSetup paperSize="9" scale="72" orientation="portrait" horizontalDpi="1200" verticalDpi="1200"/>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E4BB-C794-064A-BE22-0AFA7557055D}">
  <sheetPr>
    <pageSetUpPr fitToPage="1"/>
  </sheetPr>
  <dimension ref="A1:K31"/>
  <sheetViews>
    <sheetView zoomScaleNormal="100" workbookViewId="0">
      <selection activeCell="A3" sqref="A3"/>
    </sheetView>
  </sheetViews>
  <sheetFormatPr baseColWidth="10" defaultColWidth="11.3984375" defaultRowHeight="13"/>
  <cols>
    <col min="1" max="1" width="20.796875" style="3" customWidth="1"/>
    <col min="2" max="2" width="14.796875" style="3" customWidth="1"/>
    <col min="3" max="3" width="14.796875" style="119" customWidth="1"/>
    <col min="4" max="4" width="14.796875" style="3" customWidth="1"/>
    <col min="5" max="5" width="14.796875" style="119" customWidth="1"/>
    <col min="6" max="6" width="14.796875" style="3" customWidth="1"/>
    <col min="7" max="7" width="14.796875" style="119" customWidth="1"/>
    <col min="8" max="16384" width="11.3984375" style="3"/>
  </cols>
  <sheetData>
    <row r="1" spans="1:11" s="2" customFormat="1" ht="14" customHeight="1">
      <c r="C1" s="88"/>
      <c r="E1" s="88"/>
      <c r="G1" s="88"/>
    </row>
    <row r="2" spans="1:11" s="2" customFormat="1" ht="23" customHeight="1">
      <c r="A2" s="246" t="s">
        <v>1838</v>
      </c>
      <c r="C2" s="88"/>
      <c r="E2" s="88"/>
      <c r="G2" s="974"/>
    </row>
    <row r="3" spans="1:11" ht="24" customHeight="1">
      <c r="A3" s="92" t="s">
        <v>469</v>
      </c>
      <c r="B3" s="182" t="s">
        <v>1646</v>
      </c>
      <c r="C3" s="94" t="s">
        <v>279</v>
      </c>
      <c r="D3" s="182" t="s">
        <v>1647</v>
      </c>
      <c r="E3" s="94" t="s">
        <v>279</v>
      </c>
      <c r="F3" s="182" t="s">
        <v>1648</v>
      </c>
      <c r="G3" s="94" t="s">
        <v>279</v>
      </c>
    </row>
    <row r="4" spans="1:11" ht="15" customHeight="1">
      <c r="A4" s="184"/>
      <c r="B4" s="185"/>
      <c r="C4" s="95" t="s">
        <v>282</v>
      </c>
      <c r="D4" s="185" t="s">
        <v>1649</v>
      </c>
      <c r="E4" s="95" t="s">
        <v>282</v>
      </c>
      <c r="F4" s="185"/>
      <c r="G4" s="95" t="s">
        <v>282</v>
      </c>
    </row>
    <row r="5" spans="1:11" ht="15" customHeight="1">
      <c r="A5" s="184"/>
      <c r="B5" s="185"/>
      <c r="C5" s="95" t="s">
        <v>283</v>
      </c>
      <c r="D5" s="185"/>
      <c r="E5" s="95" t="s">
        <v>283</v>
      </c>
      <c r="F5" s="185"/>
      <c r="G5" s="95" t="s">
        <v>283</v>
      </c>
    </row>
    <row r="6" spans="1:11" ht="24" customHeight="1">
      <c r="A6" s="188"/>
      <c r="B6" s="189"/>
      <c r="C6" s="97"/>
      <c r="D6" s="189"/>
      <c r="E6" s="97"/>
      <c r="F6" s="189"/>
      <c r="G6" s="97"/>
    </row>
    <row r="7" spans="1:11" ht="1.5" customHeight="1" thickBot="1">
      <c r="A7" s="192">
        <v>1996</v>
      </c>
      <c r="B7" s="100">
        <v>5599991</v>
      </c>
      <c r="C7" s="101">
        <v>-1.7950663164953688E-2</v>
      </c>
      <c r="D7" s="100">
        <v>1117084</v>
      </c>
      <c r="E7" s="101">
        <v>-7.0395014962435803E-2</v>
      </c>
      <c r="F7" s="100">
        <v>18812841</v>
      </c>
      <c r="G7" s="101">
        <v>-0.15548674078736344</v>
      </c>
    </row>
    <row r="8" spans="1:11" ht="0.75" hidden="1" customHeight="1" thickBot="1">
      <c r="A8" s="194">
        <v>1997</v>
      </c>
      <c r="B8" s="195">
        <v>5669325</v>
      </c>
      <c r="C8" s="197">
        <v>1.2381091326753918E-2</v>
      </c>
      <c r="D8" s="195">
        <v>1150122</v>
      </c>
      <c r="E8" s="197">
        <v>2.9575215471710273E-2</v>
      </c>
      <c r="F8" s="195">
        <v>18987651</v>
      </c>
      <c r="G8" s="197">
        <v>9.2920574835028899E-3</v>
      </c>
      <c r="I8" s="9"/>
      <c r="J8" s="9"/>
      <c r="K8" s="9"/>
    </row>
    <row r="9" spans="1:11" ht="19.5" hidden="1" customHeight="1" thickBot="1">
      <c r="A9" s="194">
        <v>1998</v>
      </c>
      <c r="B9" s="195">
        <v>5768621</v>
      </c>
      <c r="C9" s="197">
        <v>1.7514607118131346E-2</v>
      </c>
      <c r="D9" s="195">
        <v>1154759</v>
      </c>
      <c r="E9" s="197">
        <v>4.0317461973599323E-3</v>
      </c>
      <c r="F9" s="195">
        <v>17067058</v>
      </c>
      <c r="G9" s="197">
        <v>-0.10114958401120813</v>
      </c>
    </row>
    <row r="10" spans="1:11" ht="20" hidden="1" customHeight="1" thickBot="1">
      <c r="A10" s="194">
        <v>1999</v>
      </c>
      <c r="B10" s="195">
        <v>5833167</v>
      </c>
      <c r="C10" s="197">
        <v>1.1189155952523141E-2</v>
      </c>
      <c r="D10" s="195">
        <v>1096033</v>
      </c>
      <c r="E10" s="197">
        <v>-5.085563308014919E-2</v>
      </c>
      <c r="F10" s="195">
        <v>12747160</v>
      </c>
      <c r="G10" s="197">
        <v>-0.25311321963047173</v>
      </c>
    </row>
    <row r="11" spans="1:11" ht="19.25" hidden="1" customHeight="1" thickBot="1">
      <c r="A11" s="194">
        <v>2000</v>
      </c>
      <c r="B11" s="195">
        <v>5947035</v>
      </c>
      <c r="C11" s="197">
        <v>1.9520785192674923E-2</v>
      </c>
      <c r="D11" s="195">
        <v>1097932</v>
      </c>
      <c r="E11" s="197">
        <v>1.7326120655126261E-3</v>
      </c>
      <c r="F11" s="195">
        <v>12447351</v>
      </c>
      <c r="G11" s="197">
        <v>-2.3519670263807781E-2</v>
      </c>
    </row>
    <row r="12" spans="1:11" ht="19.5" customHeight="1" thickBot="1">
      <c r="A12" s="194">
        <v>2001</v>
      </c>
      <c r="B12" s="195">
        <v>6043905</v>
      </c>
      <c r="C12" s="197">
        <v>1.6288789287434831E-2</v>
      </c>
      <c r="D12" s="195">
        <v>1193315</v>
      </c>
      <c r="E12" s="197">
        <v>8.6875143451507014E-2</v>
      </c>
      <c r="F12" s="195">
        <v>12514126</v>
      </c>
      <c r="G12" s="197">
        <v>5.3645952460085683E-3</v>
      </c>
    </row>
    <row r="13" spans="1:11" ht="19.5" customHeight="1" thickBot="1">
      <c r="A13" s="194">
        <v>2002</v>
      </c>
      <c r="B13" s="195">
        <v>6170788</v>
      </c>
      <c r="C13" s="197">
        <v>2.0993546390950885E-2</v>
      </c>
      <c r="D13" s="195">
        <v>1207239</v>
      </c>
      <c r="E13" s="197">
        <v>1.1668335686721444E-2</v>
      </c>
      <c r="F13" s="195">
        <v>12391461</v>
      </c>
      <c r="G13" s="197">
        <v>-9.8021228170469109E-3</v>
      </c>
    </row>
    <row r="14" spans="1:11" ht="19.5" customHeight="1" thickBot="1">
      <c r="A14" s="194">
        <v>2003</v>
      </c>
      <c r="B14" s="195">
        <v>6105077</v>
      </c>
      <c r="C14" s="197">
        <v>-1.0648721038544834E-2</v>
      </c>
      <c r="D14" s="195">
        <v>1148028</v>
      </c>
      <c r="E14" s="197">
        <v>-4.904662622728391E-2</v>
      </c>
      <c r="F14" s="195">
        <v>11395671</v>
      </c>
      <c r="G14" s="197">
        <v>-8.0360984067980368E-2</v>
      </c>
    </row>
    <row r="15" spans="1:11" ht="19.5" customHeight="1" thickBot="1">
      <c r="A15" s="194">
        <v>2004</v>
      </c>
      <c r="B15" s="195">
        <v>6076231</v>
      </c>
      <c r="C15" s="197">
        <v>-4.7249199313948043E-3</v>
      </c>
      <c r="D15" s="195">
        <v>1196146</v>
      </c>
      <c r="E15" s="197">
        <v>4.191361186312529E-2</v>
      </c>
      <c r="F15" s="195">
        <v>11754955</v>
      </c>
      <c r="G15" s="197">
        <v>3.1528112736845422E-2</v>
      </c>
    </row>
    <row r="16" spans="1:11" ht="19.5" customHeight="1" thickBot="1">
      <c r="A16" s="194">
        <v>2005</v>
      </c>
      <c r="B16" s="195">
        <v>6104057</v>
      </c>
      <c r="C16" s="197">
        <v>4.5794835647294807E-3</v>
      </c>
      <c r="D16" s="195">
        <v>1219455</v>
      </c>
      <c r="E16" s="197">
        <v>1.948675161727742E-2</v>
      </c>
      <c r="F16" s="195">
        <v>11492862</v>
      </c>
      <c r="G16" s="197">
        <v>-2.2296384801132829E-2</v>
      </c>
    </row>
    <row r="17" spans="1:7" ht="19.5" customHeight="1" thickBot="1">
      <c r="A17" s="194">
        <v>2006</v>
      </c>
      <c r="B17" s="195">
        <v>6139775</v>
      </c>
      <c r="C17" s="197">
        <v>5.8515180968985447E-3</v>
      </c>
      <c r="D17" s="195">
        <v>1147933</v>
      </c>
      <c r="E17" s="197">
        <v>-5.86507907220849E-2</v>
      </c>
      <c r="F17" s="195">
        <v>11050113</v>
      </c>
      <c r="G17" s="197">
        <v>-3.8523824613921231E-2</v>
      </c>
    </row>
    <row r="18" spans="1:7" ht="19.5" customHeight="1" thickBot="1">
      <c r="A18" s="194">
        <v>2007</v>
      </c>
      <c r="B18" s="195">
        <v>6170950</v>
      </c>
      <c r="C18" s="197">
        <v>5.0775476300026767E-3</v>
      </c>
      <c r="D18" s="195">
        <v>1232442</v>
      </c>
      <c r="E18" s="197">
        <v>7.3618408042978034E-2</v>
      </c>
      <c r="F18" s="195">
        <v>11706006</v>
      </c>
      <c r="G18" s="197">
        <v>5.935622558791942E-2</v>
      </c>
    </row>
    <row r="19" spans="1:7" ht="19.5" customHeight="1" thickBot="1">
      <c r="A19" s="194">
        <v>2008</v>
      </c>
      <c r="B19" s="975">
        <v>6246787.7832813188</v>
      </c>
      <c r="C19" s="976">
        <v>1.2289482702228849E-2</v>
      </c>
      <c r="D19" s="195">
        <v>1283429</v>
      </c>
      <c r="E19" s="197">
        <v>4.1370709534404027E-2</v>
      </c>
      <c r="F19" s="195">
        <v>11789734</v>
      </c>
      <c r="G19" s="197">
        <v>7.152567664838072E-3</v>
      </c>
    </row>
    <row r="20" spans="1:7" ht="19.5" customHeight="1" thickBot="1">
      <c r="A20" s="194">
        <v>2009</v>
      </c>
      <c r="B20" s="195">
        <v>6463073</v>
      </c>
      <c r="C20" s="976">
        <v>3.4623429548469531E-2</v>
      </c>
      <c r="D20" s="195">
        <v>1289334</v>
      </c>
      <c r="E20" s="197">
        <v>4.6009557209631957E-3</v>
      </c>
      <c r="F20" s="195">
        <v>11966875</v>
      </c>
      <c r="G20" s="197">
        <v>1.5025020920743426E-2</v>
      </c>
    </row>
    <row r="21" spans="1:7" ht="19.5" customHeight="1" thickBot="1">
      <c r="A21" s="194">
        <v>2010</v>
      </c>
      <c r="B21" s="195">
        <v>6497094</v>
      </c>
      <c r="C21" s="197">
        <v>5.2639046472164885E-3</v>
      </c>
      <c r="D21" s="195">
        <v>1211453</v>
      </c>
      <c r="E21" s="197">
        <v>-6.0404053565639271E-2</v>
      </c>
      <c r="F21" s="195">
        <v>10978202</v>
      </c>
      <c r="G21" s="197">
        <v>-8.2617475322504852E-2</v>
      </c>
    </row>
    <row r="22" spans="1:7" ht="27.5" customHeight="1" thickBot="1">
      <c r="A22" s="198">
        <v>2011</v>
      </c>
      <c r="B22" s="199">
        <v>6573455</v>
      </c>
      <c r="C22" s="109">
        <v>1.1753100693941088E-2</v>
      </c>
      <c r="D22" s="199">
        <v>1231733</v>
      </c>
      <c r="E22" s="109">
        <v>1.6740228469449558E-2</v>
      </c>
      <c r="F22" s="199">
        <v>11005083.609999999</v>
      </c>
      <c r="G22" s="109">
        <v>2.4486350314922856E-3</v>
      </c>
    </row>
    <row r="23" spans="1:7" ht="17.5" customHeight="1">
      <c r="A23" s="112" t="s">
        <v>720</v>
      </c>
      <c r="B23" s="112"/>
      <c r="C23" s="114"/>
      <c r="D23" s="112"/>
      <c r="E23" s="114"/>
      <c r="F23" s="112"/>
      <c r="G23" s="114"/>
    </row>
    <row r="24" spans="1:7" ht="12.75" customHeight="1">
      <c r="A24" s="115"/>
      <c r="B24" s="115"/>
      <c r="C24" s="117"/>
      <c r="D24" s="115"/>
      <c r="E24" s="117"/>
      <c r="F24" s="115"/>
      <c r="G24" s="117"/>
    </row>
    <row r="25" spans="1:7" ht="12.75" customHeight="1">
      <c r="A25" s="115" t="s">
        <v>1650</v>
      </c>
      <c r="B25" s="115"/>
      <c r="C25" s="117"/>
      <c r="D25" s="115"/>
      <c r="E25" s="117"/>
      <c r="F25" s="115"/>
      <c r="G25" s="117"/>
    </row>
    <row r="26" spans="1:7" ht="12.75" customHeight="1">
      <c r="A26" s="977" t="s">
        <v>1651</v>
      </c>
      <c r="B26" s="115"/>
      <c r="C26" s="117"/>
      <c r="D26" s="115"/>
      <c r="E26" s="117"/>
      <c r="F26" s="115"/>
      <c r="G26" s="117"/>
    </row>
    <row r="28" spans="1:7">
      <c r="A28" s="1094" t="s">
        <v>1836</v>
      </c>
    </row>
    <row r="31" spans="1:7">
      <c r="A31" s="3" t="s">
        <v>719</v>
      </c>
    </row>
  </sheetData>
  <pageMargins left="0.53" right="0.47" top="0.92" bottom="0.49" header="0.54" footer="0.4921259845"/>
  <pageSetup paperSize="9" scale="85" orientation="portrait" horizontalDpi="4294967292" verticalDpi="4294967292"/>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894E-F735-2545-88E1-767909E7633F}">
  <sheetPr>
    <pageSetUpPr fitToPage="1"/>
  </sheetPr>
  <dimension ref="A1:G35"/>
  <sheetViews>
    <sheetView zoomScaleNormal="100" workbookViewId="0">
      <selection activeCell="E18" sqref="E18"/>
    </sheetView>
  </sheetViews>
  <sheetFormatPr baseColWidth="10" defaultColWidth="10.796875" defaultRowHeight="13"/>
  <cols>
    <col min="1" max="1" width="36.3984375" style="3" customWidth="1"/>
    <col min="2" max="6" width="14.19921875" style="8" customWidth="1"/>
    <col min="7" max="7" width="14.19921875" style="3" customWidth="1"/>
    <col min="8" max="16384" width="10.796875" style="3"/>
  </cols>
  <sheetData>
    <row r="1" spans="1:7" ht="14" customHeight="1">
      <c r="A1" s="126"/>
    </row>
    <row r="2" spans="1:7" ht="24" customHeight="1">
      <c r="A2" s="246" t="s">
        <v>1837</v>
      </c>
      <c r="G2" s="207">
        <v>2011</v>
      </c>
    </row>
    <row r="3" spans="1:7" s="119" customFormat="1" ht="25" customHeight="1">
      <c r="A3" s="978" t="s">
        <v>1652</v>
      </c>
      <c r="B3" s="93" t="s">
        <v>346</v>
      </c>
      <c r="C3" s="229" t="s">
        <v>347</v>
      </c>
      <c r="D3" s="93" t="s">
        <v>348</v>
      </c>
      <c r="E3" s="183" t="s">
        <v>1653</v>
      </c>
      <c r="F3" s="466" t="s">
        <v>278</v>
      </c>
      <c r="G3" s="94" t="s">
        <v>279</v>
      </c>
    </row>
    <row r="4" spans="1:7" s="119" customFormat="1" ht="15" customHeight="1">
      <c r="A4" s="979"/>
      <c r="B4" s="96"/>
      <c r="C4" s="187"/>
      <c r="D4" s="96"/>
      <c r="E4" s="187"/>
      <c r="F4" s="185"/>
      <c r="G4" s="95" t="s">
        <v>282</v>
      </c>
    </row>
    <row r="5" spans="1:7" s="119" customFormat="1" ht="15" customHeight="1">
      <c r="A5" s="979"/>
      <c r="B5" s="96"/>
      <c r="C5" s="187"/>
      <c r="D5" s="96"/>
      <c r="E5" s="187"/>
      <c r="F5" s="185"/>
      <c r="G5" s="95" t="s">
        <v>283</v>
      </c>
    </row>
    <row r="6" spans="1:7" s="119" customFormat="1" ht="24" customHeight="1">
      <c r="A6" s="980"/>
      <c r="B6" s="981"/>
      <c r="C6" s="982"/>
      <c r="D6" s="981"/>
      <c r="E6" s="982"/>
      <c r="F6" s="135"/>
      <c r="G6" s="97"/>
    </row>
    <row r="7" spans="1:7" ht="28.25" customHeight="1" thickBot="1">
      <c r="A7" s="983" t="s">
        <v>1654</v>
      </c>
      <c r="B7" s="410">
        <v>3103820.45</v>
      </c>
      <c r="C7" s="411">
        <v>3255003.5</v>
      </c>
      <c r="D7" s="410">
        <v>6358823.9500000002</v>
      </c>
      <c r="E7" s="411">
        <v>1503946.51</v>
      </c>
      <c r="F7" s="412">
        <v>7862770.46</v>
      </c>
      <c r="G7" s="278">
        <v>1.068281272931788E-2</v>
      </c>
    </row>
    <row r="8" spans="1:7" ht="24" customHeight="1" thickBot="1">
      <c r="A8" s="984" t="s">
        <v>1655</v>
      </c>
      <c r="B8" s="195">
        <v>2297651</v>
      </c>
      <c r="C8" s="196">
        <v>2889962</v>
      </c>
      <c r="D8" s="195">
        <v>5187613</v>
      </c>
      <c r="E8" s="196">
        <v>1385842</v>
      </c>
      <c r="F8" s="413">
        <v>6573455</v>
      </c>
      <c r="G8" s="278">
        <v>1.1753100693941015E-2</v>
      </c>
    </row>
    <row r="9" spans="1:7" ht="23.25" customHeight="1" thickBot="1">
      <c r="A9" s="984" t="s">
        <v>1656</v>
      </c>
      <c r="B9" s="313">
        <v>74.03</v>
      </c>
      <c r="C9" s="314">
        <v>88.79</v>
      </c>
      <c r="D9" s="313">
        <v>81.581327628987111</v>
      </c>
      <c r="E9" s="314">
        <v>92.15</v>
      </c>
      <c r="F9" s="928">
        <v>83.6</v>
      </c>
      <c r="G9" s="278">
        <v>1.0777152436832619E-3</v>
      </c>
    </row>
    <row r="10" spans="1:7" ht="24" customHeight="1" thickBot="1">
      <c r="A10" s="984" t="s">
        <v>1657</v>
      </c>
      <c r="B10" s="195">
        <v>504166</v>
      </c>
      <c r="C10" s="196">
        <v>639973</v>
      </c>
      <c r="D10" s="195">
        <v>1144139</v>
      </c>
      <c r="E10" s="196">
        <v>87594</v>
      </c>
      <c r="F10" s="413">
        <v>1231733</v>
      </c>
      <c r="G10" s="278">
        <v>1.6740228469449496E-2</v>
      </c>
    </row>
    <row r="11" spans="1:7" ht="20" customHeight="1" thickBot="1">
      <c r="A11" s="985" t="s">
        <v>1658</v>
      </c>
      <c r="B11" s="975" t="s">
        <v>30</v>
      </c>
      <c r="C11" s="986">
        <v>93161</v>
      </c>
      <c r="D11" s="975">
        <v>93161</v>
      </c>
      <c r="E11" s="986">
        <v>367</v>
      </c>
      <c r="F11" s="987">
        <v>93528</v>
      </c>
      <c r="G11" s="988">
        <v>1.6873967121857875E-2</v>
      </c>
    </row>
    <row r="12" spans="1:7" ht="24" customHeight="1" thickBot="1">
      <c r="A12" s="984" t="s">
        <v>1659</v>
      </c>
      <c r="B12" s="313">
        <v>16.239999999999998</v>
      </c>
      <c r="C12" s="314">
        <v>19.66</v>
      </c>
      <c r="D12" s="313">
        <v>17.992934055046454</v>
      </c>
      <c r="E12" s="314">
        <v>5.82</v>
      </c>
      <c r="F12" s="928">
        <v>15.67</v>
      </c>
      <c r="G12" s="278">
        <v>6.4226075786769201E-3</v>
      </c>
    </row>
    <row r="13" spans="1:7" ht="24" customHeight="1" thickBot="1">
      <c r="A13" s="984" t="s">
        <v>1660</v>
      </c>
      <c r="B13" s="195">
        <v>4696833.49</v>
      </c>
      <c r="C13" s="196">
        <v>5864751.3099999996</v>
      </c>
      <c r="D13" s="195">
        <v>10561584.800000001</v>
      </c>
      <c r="E13" s="196">
        <v>443498.81</v>
      </c>
      <c r="F13" s="413">
        <v>11005083.609999999</v>
      </c>
      <c r="G13" s="278">
        <v>2.4486350314923523E-3</v>
      </c>
    </row>
    <row r="14" spans="1:7" ht="20" customHeight="1" thickBot="1">
      <c r="A14" s="985" t="s">
        <v>1658</v>
      </c>
      <c r="B14" s="989" t="s">
        <v>30</v>
      </c>
      <c r="C14" s="986">
        <v>518363.94</v>
      </c>
      <c r="D14" s="975">
        <v>518363.94</v>
      </c>
      <c r="E14" s="986">
        <v>2299.56</v>
      </c>
      <c r="F14" s="987">
        <v>520663.5</v>
      </c>
      <c r="G14" s="988">
        <v>1.3449043705742438E-2</v>
      </c>
    </row>
    <row r="15" spans="1:7" ht="24.5" customHeight="1" thickBot="1">
      <c r="A15" s="984" t="s">
        <v>1661</v>
      </c>
      <c r="B15" s="313">
        <v>151.32</v>
      </c>
      <c r="C15" s="314">
        <v>180.18</v>
      </c>
      <c r="D15" s="313">
        <v>166.09336699752478</v>
      </c>
      <c r="E15" s="314">
        <v>29.49</v>
      </c>
      <c r="F15" s="928">
        <v>139.96</v>
      </c>
      <c r="G15" s="278">
        <v>-8.1496704698462586E-3</v>
      </c>
    </row>
    <row r="16" spans="1:7" ht="30" customHeight="1" thickBot="1">
      <c r="A16" s="990" t="s">
        <v>1662</v>
      </c>
      <c r="B16" s="991">
        <v>9.32</v>
      </c>
      <c r="C16" s="992">
        <v>9.16</v>
      </c>
      <c r="D16" s="991">
        <v>9.2310329426756716</v>
      </c>
      <c r="E16" s="992">
        <v>5.0599999999999996</v>
      </c>
      <c r="F16" s="315">
        <v>8.93</v>
      </c>
      <c r="G16" s="287">
        <v>-1.4348785871964765E-2</v>
      </c>
    </row>
    <row r="17" spans="1:7" ht="20" customHeight="1">
      <c r="A17" s="112" t="s">
        <v>720</v>
      </c>
      <c r="B17" s="432"/>
      <c r="C17" s="432"/>
      <c r="D17" s="432"/>
      <c r="E17" s="432"/>
      <c r="F17" s="432"/>
      <c r="G17" s="112"/>
    </row>
    <row r="18" spans="1:7" ht="13.5" customHeight="1">
      <c r="A18" s="115"/>
      <c r="B18" s="529"/>
      <c r="C18" s="529"/>
      <c r="D18" s="529"/>
      <c r="E18" s="529"/>
      <c r="F18" s="529"/>
      <c r="G18" s="115"/>
    </row>
    <row r="19" spans="1:7" ht="13.5" customHeight="1">
      <c r="A19" s="115" t="s">
        <v>1663</v>
      </c>
      <c r="B19" s="529"/>
      <c r="C19" s="529"/>
      <c r="D19" s="529"/>
      <c r="E19" s="529"/>
      <c r="F19" s="529"/>
      <c r="G19" s="115"/>
    </row>
    <row r="20" spans="1:7" ht="12.75" customHeight="1">
      <c r="A20" s="115" t="s">
        <v>1664</v>
      </c>
      <c r="B20" s="529"/>
      <c r="C20" s="529"/>
      <c r="D20" s="529"/>
      <c r="E20" s="529"/>
      <c r="F20" s="529"/>
      <c r="G20" s="115"/>
    </row>
    <row r="21" spans="1:7" ht="12.75" customHeight="1">
      <c r="A21" s="115" t="s">
        <v>1665</v>
      </c>
      <c r="B21" s="529"/>
      <c r="C21" s="529"/>
      <c r="D21" s="529"/>
      <c r="E21" s="529"/>
      <c r="F21" s="529"/>
      <c r="G21" s="115"/>
    </row>
    <row r="22" spans="1:7" ht="12.75" customHeight="1">
      <c r="A22" s="993" t="s">
        <v>1666</v>
      </c>
    </row>
    <row r="23" spans="1:7" ht="12.75" customHeight="1">
      <c r="A23" s="993" t="s">
        <v>1667</v>
      </c>
    </row>
    <row r="24" spans="1:7" ht="12.75" customHeight="1">
      <c r="A24" s="993" t="s">
        <v>1668</v>
      </c>
    </row>
    <row r="25" spans="1:7" ht="12.75" customHeight="1">
      <c r="A25" s="993" t="s">
        <v>1669</v>
      </c>
    </row>
    <row r="26" spans="1:7" ht="12.75" customHeight="1">
      <c r="A26" s="993" t="s">
        <v>1670</v>
      </c>
    </row>
    <row r="27" spans="1:7" ht="12.75" customHeight="1">
      <c r="A27" s="993" t="s">
        <v>1671</v>
      </c>
    </row>
    <row r="28" spans="1:7" ht="12.75" customHeight="1">
      <c r="A28" s="993" t="s">
        <v>1672</v>
      </c>
    </row>
    <row r="29" spans="1:7" ht="12.75" customHeight="1">
      <c r="A29" s="993" t="s">
        <v>1673</v>
      </c>
    </row>
    <row r="30" spans="1:7" ht="12.75" customHeight="1">
      <c r="A30" s="993" t="s">
        <v>1674</v>
      </c>
    </row>
    <row r="32" spans="1:7">
      <c r="A32" s="3" t="s">
        <v>1675</v>
      </c>
    </row>
    <row r="35" spans="1:1">
      <c r="A35" s="173" t="s">
        <v>719</v>
      </c>
    </row>
  </sheetData>
  <pageMargins left="0.57999999999999996" right="0.65" top="0.85" bottom="0.47244094488188981" header="0.49" footer="0.51181102362204722"/>
  <pageSetup paperSize="9" scale="74" orientation="portrait" horizontalDpi="1200" verticalDpi="12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4AF0-6E22-AA48-9B98-E7341AC01019}">
  <sheetPr>
    <pageSetUpPr fitToPage="1"/>
  </sheetPr>
  <dimension ref="A1:K41"/>
  <sheetViews>
    <sheetView topLeftCell="A6" zoomScaleNormal="100" workbookViewId="0">
      <selection activeCell="H27" sqref="H27"/>
    </sheetView>
  </sheetViews>
  <sheetFormatPr baseColWidth="10" defaultColWidth="11.3984375" defaultRowHeight="13"/>
  <cols>
    <col min="1" max="1" width="15.3984375" style="3" customWidth="1"/>
    <col min="2" max="9" width="14.59765625" style="396" customWidth="1"/>
    <col min="10" max="10" width="14.3984375" style="396" customWidth="1"/>
    <col min="11" max="11" width="14.19921875" style="396" customWidth="1"/>
    <col min="12" max="16384" width="11.3984375" style="3"/>
  </cols>
  <sheetData>
    <row r="1" spans="1:11" s="2" customFormat="1" ht="14" customHeight="1">
      <c r="A1" s="121"/>
      <c r="B1" s="1286"/>
      <c r="C1" s="1286"/>
      <c r="D1" s="1286"/>
      <c r="E1" s="1286"/>
      <c r="F1" s="1286"/>
      <c r="G1" s="1286"/>
      <c r="H1" s="1286"/>
      <c r="I1" s="1286"/>
      <c r="J1" s="1286"/>
      <c r="K1" s="1286"/>
    </row>
    <row r="2" spans="1:11" s="2" customFormat="1" ht="21.5" customHeight="1">
      <c r="A2" s="123" t="s">
        <v>2386</v>
      </c>
      <c r="B2" s="1349"/>
      <c r="C2" s="1349"/>
      <c r="D2" s="1349"/>
      <c r="E2" s="1349"/>
      <c r="F2" s="1349"/>
      <c r="G2" s="1349"/>
      <c r="H2" s="1349"/>
      <c r="I2" s="1349"/>
      <c r="J2" s="1651"/>
      <c r="K2" s="938"/>
    </row>
    <row r="3" spans="1:11" ht="25.25" customHeight="1">
      <c r="A3" s="184" t="s">
        <v>469</v>
      </c>
      <c r="B3" s="1652" t="s">
        <v>2387</v>
      </c>
      <c r="C3" s="1653"/>
      <c r="D3" s="1654"/>
      <c r="E3" s="1655"/>
      <c r="F3" s="1294" t="s">
        <v>2388</v>
      </c>
      <c r="G3" s="1656"/>
      <c r="H3" s="1657"/>
      <c r="I3" s="1658"/>
      <c r="J3" s="3"/>
      <c r="K3" s="3"/>
    </row>
    <row r="4" spans="1:11" ht="36" customHeight="1">
      <c r="A4" s="184"/>
      <c r="B4" s="1659" t="s">
        <v>2373</v>
      </c>
      <c r="C4" s="1660"/>
      <c r="D4" s="1661" t="s">
        <v>2389</v>
      </c>
      <c r="E4" s="1662" t="s">
        <v>278</v>
      </c>
      <c r="F4" s="1663" t="s">
        <v>2373</v>
      </c>
      <c r="G4" s="1659"/>
      <c r="H4" s="1661" t="s">
        <v>2389</v>
      </c>
      <c r="I4" s="1662" t="s">
        <v>278</v>
      </c>
      <c r="J4" s="3"/>
      <c r="K4" s="3"/>
    </row>
    <row r="5" spans="1:11" ht="17.5" customHeight="1">
      <c r="A5" s="184"/>
      <c r="B5" s="185" t="s">
        <v>2390</v>
      </c>
      <c r="C5" s="186" t="s">
        <v>405</v>
      </c>
      <c r="D5" s="185" t="s">
        <v>405</v>
      </c>
      <c r="E5" s="186"/>
      <c r="F5" s="1664" t="s">
        <v>2390</v>
      </c>
      <c r="G5" s="186" t="s">
        <v>405</v>
      </c>
      <c r="H5" s="185" t="s">
        <v>405</v>
      </c>
      <c r="I5" s="186"/>
      <c r="J5" s="3"/>
      <c r="K5" s="3"/>
    </row>
    <row r="6" spans="1:11" ht="16.25" customHeight="1">
      <c r="A6" s="184"/>
      <c r="B6" s="185" t="s">
        <v>405</v>
      </c>
      <c r="C6" s="186" t="s">
        <v>2391</v>
      </c>
      <c r="D6" s="185" t="s">
        <v>2392</v>
      </c>
      <c r="E6" s="186"/>
      <c r="F6" s="1664" t="s">
        <v>405</v>
      </c>
      <c r="G6" s="186" t="s">
        <v>2391</v>
      </c>
      <c r="H6" s="185" t="s">
        <v>2392</v>
      </c>
      <c r="I6" s="186"/>
      <c r="J6" s="3"/>
      <c r="K6" s="3"/>
    </row>
    <row r="7" spans="1:11" ht="15" customHeight="1">
      <c r="A7" s="184"/>
      <c r="B7" s="321" t="s">
        <v>2393</v>
      </c>
      <c r="C7" s="919"/>
      <c r="D7" s="321"/>
      <c r="E7" s="919"/>
      <c r="F7" s="1640" t="s">
        <v>2393</v>
      </c>
      <c r="G7" s="186"/>
      <c r="H7" s="185"/>
      <c r="I7" s="186"/>
      <c r="J7" s="3"/>
      <c r="K7" s="3"/>
    </row>
    <row r="8" spans="1:11" ht="13.25" customHeight="1">
      <c r="A8" s="408"/>
      <c r="B8" s="189"/>
      <c r="C8" s="190"/>
      <c r="D8" s="189"/>
      <c r="E8" s="190"/>
      <c r="F8" s="1641"/>
      <c r="G8" s="190"/>
      <c r="H8" s="189"/>
      <c r="I8" s="190"/>
      <c r="J8" s="3"/>
      <c r="K8" s="3"/>
    </row>
    <row r="9" spans="1:11" ht="1.5" customHeight="1" thickBot="1">
      <c r="A9" s="322">
        <v>1991</v>
      </c>
      <c r="B9" s="1642">
        <v>996.2</v>
      </c>
      <c r="C9" s="1643" t="s">
        <v>30</v>
      </c>
      <c r="D9" s="1642">
        <v>780</v>
      </c>
      <c r="E9" s="1643">
        <v>1776.2</v>
      </c>
      <c r="F9" s="1644">
        <v>885.4</v>
      </c>
      <c r="G9" s="1643" t="s">
        <v>30</v>
      </c>
      <c r="H9" s="311">
        <v>649.4</v>
      </c>
      <c r="I9" s="312">
        <v>1534.8</v>
      </c>
      <c r="J9" s="3"/>
      <c r="K9" s="3"/>
    </row>
    <row r="10" spans="1:11" ht="20" hidden="1" customHeight="1" thickBot="1">
      <c r="A10" s="324">
        <v>1992</v>
      </c>
      <c r="B10" s="1645">
        <v>1003.8</v>
      </c>
      <c r="C10" s="1643" t="s">
        <v>30</v>
      </c>
      <c r="D10" s="1647">
        <v>897</v>
      </c>
      <c r="E10" s="1665">
        <v>1900.8</v>
      </c>
      <c r="F10" s="1649">
        <v>923.2</v>
      </c>
      <c r="G10" s="1643" t="s">
        <v>30</v>
      </c>
      <c r="H10" s="1607">
        <v>783.9</v>
      </c>
      <c r="I10" s="1648">
        <v>1707.1</v>
      </c>
      <c r="J10" s="3"/>
      <c r="K10" s="3"/>
    </row>
    <row r="11" spans="1:11" ht="20" hidden="1" customHeight="1" thickBot="1">
      <c r="A11" s="324">
        <v>1993</v>
      </c>
      <c r="B11" s="1645">
        <v>1026.2</v>
      </c>
      <c r="C11" s="1643" t="s">
        <v>30</v>
      </c>
      <c r="D11" s="1647">
        <v>932.8</v>
      </c>
      <c r="E11" s="1665">
        <v>1959</v>
      </c>
      <c r="F11" s="1649">
        <v>928.41399999999999</v>
      </c>
      <c r="G11" s="1643" t="s">
        <v>30</v>
      </c>
      <c r="H11" s="1607">
        <v>833.7</v>
      </c>
      <c r="I11" s="1648">
        <v>1762.114</v>
      </c>
      <c r="J11" s="3"/>
      <c r="K11" s="3"/>
    </row>
    <row r="12" spans="1:11" ht="20" hidden="1" customHeight="1" thickBot="1">
      <c r="A12" s="324">
        <v>1994</v>
      </c>
      <c r="B12" s="1645">
        <v>1052.2</v>
      </c>
      <c r="C12" s="1643" t="s">
        <v>30</v>
      </c>
      <c r="D12" s="1647">
        <v>931.1</v>
      </c>
      <c r="E12" s="1665">
        <v>1983.3000000000002</v>
      </c>
      <c r="F12" s="1649">
        <v>983.23500000000001</v>
      </c>
      <c r="G12" s="1643" t="s">
        <v>30</v>
      </c>
      <c r="H12" s="1607">
        <v>876.1</v>
      </c>
      <c r="I12" s="1648">
        <v>1859.335</v>
      </c>
      <c r="J12" s="3"/>
      <c r="K12" s="3"/>
    </row>
    <row r="13" spans="1:11" ht="19.5" hidden="1" customHeight="1" thickBot="1">
      <c r="A13" s="324">
        <v>1995</v>
      </c>
      <c r="B13" s="1645">
        <v>1073.0999999999999</v>
      </c>
      <c r="C13" s="1643" t="s">
        <v>30</v>
      </c>
      <c r="D13" s="1647">
        <v>935</v>
      </c>
      <c r="E13" s="1665">
        <v>2008.1</v>
      </c>
      <c r="F13" s="1649">
        <v>1017.388</v>
      </c>
      <c r="G13" s="1643" t="s">
        <v>30</v>
      </c>
      <c r="H13" s="1607">
        <v>901.4</v>
      </c>
      <c r="I13" s="1648">
        <v>1918.788</v>
      </c>
      <c r="J13" s="3"/>
      <c r="K13" s="3"/>
    </row>
    <row r="14" spans="1:11" ht="0.75" hidden="1" customHeight="1" thickBot="1">
      <c r="A14" s="324">
        <v>1996</v>
      </c>
      <c r="B14" s="1645">
        <v>832</v>
      </c>
      <c r="C14" s="1646">
        <v>180.9</v>
      </c>
      <c r="D14" s="1647">
        <v>978.3</v>
      </c>
      <c r="E14" s="1665">
        <v>1991.1999999999998</v>
      </c>
      <c r="F14" s="1649">
        <v>872.50191104999999</v>
      </c>
      <c r="G14" s="1646">
        <v>116.7</v>
      </c>
      <c r="H14" s="1607">
        <v>846.1</v>
      </c>
      <c r="I14" s="1648">
        <v>1835.3019110499999</v>
      </c>
      <c r="J14"/>
      <c r="K14" s="3"/>
    </row>
    <row r="15" spans="1:11" ht="19.5" hidden="1" customHeight="1" thickBot="1">
      <c r="A15" s="324">
        <v>1997</v>
      </c>
      <c r="B15" s="1645">
        <v>558.9</v>
      </c>
      <c r="C15" s="314">
        <v>393.8</v>
      </c>
      <c r="D15" s="313">
        <v>1319.9</v>
      </c>
      <c r="E15" s="1643">
        <v>2272.6000000000004</v>
      </c>
      <c r="F15" s="1649">
        <v>621.52611999999999</v>
      </c>
      <c r="G15" s="314">
        <v>335.7</v>
      </c>
      <c r="H15" s="313">
        <v>1082.8</v>
      </c>
      <c r="I15" s="312">
        <v>2040.02612</v>
      </c>
      <c r="J15"/>
      <c r="K15" s="3"/>
    </row>
    <row r="16" spans="1:11" ht="0.75" hidden="1" customHeight="1" thickBot="1">
      <c r="A16" s="324">
        <v>1998</v>
      </c>
      <c r="B16" s="1645">
        <v>509.6</v>
      </c>
      <c r="C16" s="314">
        <v>508.1</v>
      </c>
      <c r="D16" s="313">
        <v>1428.4</v>
      </c>
      <c r="E16" s="1643">
        <v>2446.1000000000004</v>
      </c>
      <c r="F16" s="1649">
        <v>456.36259100000001</v>
      </c>
      <c r="G16" s="314">
        <v>453.7</v>
      </c>
      <c r="H16" s="313">
        <v>1137.0999999999999</v>
      </c>
      <c r="I16" s="312">
        <v>2047.1625909999998</v>
      </c>
      <c r="J16"/>
      <c r="K16" s="3"/>
    </row>
    <row r="17" spans="1:11" ht="19.75" hidden="1" customHeight="1" thickBot="1">
      <c r="A17" s="324">
        <v>1999</v>
      </c>
      <c r="B17" s="1645">
        <v>462.9</v>
      </c>
      <c r="C17" s="314">
        <v>442.7</v>
      </c>
      <c r="D17" s="313">
        <v>1337.8</v>
      </c>
      <c r="E17" s="1643">
        <v>2243.3999999999996</v>
      </c>
      <c r="F17" s="1649">
        <v>412.14915300000001</v>
      </c>
      <c r="G17" s="314">
        <v>385.2</v>
      </c>
      <c r="H17" s="313">
        <v>1077.5</v>
      </c>
      <c r="I17" s="312">
        <v>1874.8491530000001</v>
      </c>
      <c r="J17"/>
      <c r="K17" s="3"/>
    </row>
    <row r="18" spans="1:11" ht="20" hidden="1" customHeight="1" thickBot="1">
      <c r="A18" s="324">
        <v>2000</v>
      </c>
      <c r="B18" s="1645">
        <v>438.9</v>
      </c>
      <c r="C18" s="314">
        <v>339.7</v>
      </c>
      <c r="D18" s="313">
        <v>1636.2</v>
      </c>
      <c r="E18" s="1643">
        <v>2414.8000000000002</v>
      </c>
      <c r="F18" s="1649">
        <v>381.63992000000002</v>
      </c>
      <c r="G18" s="314">
        <v>299.2</v>
      </c>
      <c r="H18" s="313">
        <v>1334.1</v>
      </c>
      <c r="I18" s="312">
        <v>2014.9399199999998</v>
      </c>
      <c r="J18"/>
      <c r="K18" s="3"/>
    </row>
    <row r="19" spans="1:11" ht="20" customHeight="1" thickBot="1">
      <c r="A19" s="324">
        <v>2001</v>
      </c>
      <c r="B19" s="1645">
        <v>398.65</v>
      </c>
      <c r="C19" s="314">
        <v>248.38</v>
      </c>
      <c r="D19" s="313">
        <v>1850.78</v>
      </c>
      <c r="E19" s="1643">
        <v>2497.81</v>
      </c>
      <c r="F19" s="1649">
        <v>351.97137099999998</v>
      </c>
      <c r="G19" s="314">
        <v>201.85</v>
      </c>
      <c r="H19" s="313">
        <v>1595.15</v>
      </c>
      <c r="I19" s="312">
        <v>2148.9713710000001</v>
      </c>
      <c r="J19"/>
      <c r="K19" s="3"/>
    </row>
    <row r="20" spans="1:11" ht="20" customHeight="1" thickBot="1">
      <c r="A20" s="324">
        <v>2002</v>
      </c>
      <c r="B20" s="1645">
        <v>370.90300000000002</v>
      </c>
      <c r="C20" s="314">
        <v>248.779527</v>
      </c>
      <c r="D20" s="313">
        <v>1945.9522629999999</v>
      </c>
      <c r="E20" s="1643">
        <v>2565.6347900000001</v>
      </c>
      <c r="F20" s="1649">
        <v>329.149</v>
      </c>
      <c r="G20" s="314">
        <v>227.06825000000001</v>
      </c>
      <c r="H20" s="313">
        <v>1700.9860189999999</v>
      </c>
      <c r="I20" s="312">
        <v>2257.2032690000001</v>
      </c>
      <c r="J20"/>
      <c r="K20" s="3"/>
    </row>
    <row r="21" spans="1:11" ht="20" customHeight="1" thickBot="1">
      <c r="A21" s="324">
        <v>2003</v>
      </c>
      <c r="B21" s="1645">
        <v>354.08080662000003</v>
      </c>
      <c r="C21" s="314">
        <v>295.50233600000001</v>
      </c>
      <c r="D21" s="313">
        <v>2059.7853359999999</v>
      </c>
      <c r="E21" s="1643">
        <v>2709.3684786200001</v>
      </c>
      <c r="F21" s="1649">
        <v>309.91303072000005</v>
      </c>
      <c r="G21" s="314">
        <v>266.92607400000003</v>
      </c>
      <c r="H21" s="313">
        <v>1821.754373</v>
      </c>
      <c r="I21" s="312">
        <v>2398.59347772</v>
      </c>
      <c r="J21"/>
      <c r="K21" s="3"/>
    </row>
    <row r="22" spans="1:11" ht="20" customHeight="1" thickBot="1">
      <c r="A22" s="324">
        <v>2004</v>
      </c>
      <c r="B22" s="1645">
        <v>354.05374882999996</v>
      </c>
      <c r="C22" s="314">
        <v>465.97641131</v>
      </c>
      <c r="D22" s="313">
        <v>2199.5077430000001</v>
      </c>
      <c r="E22" s="1643">
        <v>3019.5379031399998</v>
      </c>
      <c r="F22" s="1649">
        <v>277.93515424999998</v>
      </c>
      <c r="G22" s="314">
        <v>341.37247587999997</v>
      </c>
      <c r="H22" s="313">
        <v>1729.046304</v>
      </c>
      <c r="I22" s="312">
        <v>2348.3539341300002</v>
      </c>
      <c r="J22"/>
      <c r="K22" s="3"/>
    </row>
    <row r="23" spans="1:11" ht="20" customHeight="1" thickBot="1">
      <c r="A23" s="324">
        <v>2005</v>
      </c>
      <c r="B23" s="1666">
        <v>340.05814830000003</v>
      </c>
      <c r="C23" s="1304">
        <v>497.83377424000003</v>
      </c>
      <c r="D23" s="1305">
        <v>2145.0129550000001</v>
      </c>
      <c r="E23" s="1667">
        <v>2982.9048775400001</v>
      </c>
      <c r="F23" s="1668">
        <v>251.06148209</v>
      </c>
      <c r="G23" s="1304">
        <v>268.00454783000004</v>
      </c>
      <c r="H23" s="1305">
        <v>1547.535421</v>
      </c>
      <c r="I23" s="312">
        <v>2066.6014509199999</v>
      </c>
      <c r="J23"/>
      <c r="K23" s="3"/>
    </row>
    <row r="24" spans="1:11" ht="20" customHeight="1" thickBot="1">
      <c r="A24" s="324">
        <v>2006</v>
      </c>
      <c r="B24" s="1669">
        <v>315.75842189999997</v>
      </c>
      <c r="C24" s="1670">
        <v>549.01423610000006</v>
      </c>
      <c r="D24" s="1671">
        <v>2152.4333590000001</v>
      </c>
      <c r="E24" s="1672">
        <v>3017.2060170000004</v>
      </c>
      <c r="F24" s="1673">
        <v>220.62135384000001</v>
      </c>
      <c r="G24" s="1670">
        <v>347.81852166000004</v>
      </c>
      <c r="H24" s="1671">
        <v>1471.853128</v>
      </c>
      <c r="I24" s="312">
        <v>2040.2930034999999</v>
      </c>
      <c r="J24"/>
      <c r="K24" s="3"/>
    </row>
    <row r="25" spans="1:11" ht="20" customHeight="1" thickBot="1">
      <c r="A25" s="324">
        <v>2007</v>
      </c>
      <c r="B25" s="1669">
        <v>299.25460810000004</v>
      </c>
      <c r="C25" s="1670">
        <v>544.40750937999996</v>
      </c>
      <c r="D25" s="1671">
        <v>2152.1659110000001</v>
      </c>
      <c r="E25" s="1672">
        <v>2995.8280284800003</v>
      </c>
      <c r="F25" s="1673">
        <v>207.71949052000002</v>
      </c>
      <c r="G25" s="1670">
        <v>361.81478957000002</v>
      </c>
      <c r="H25" s="1671">
        <v>1413.613732</v>
      </c>
      <c r="I25" s="312">
        <v>1983.1480120900001</v>
      </c>
      <c r="J25"/>
      <c r="K25" s="3"/>
    </row>
    <row r="26" spans="1:11" ht="20" customHeight="1" thickBot="1">
      <c r="A26" s="324">
        <v>2008</v>
      </c>
      <c r="B26" s="1669">
        <v>279.14776779000005</v>
      </c>
      <c r="C26" s="1670">
        <v>601.73837565999997</v>
      </c>
      <c r="D26" s="1671">
        <v>2165.5996903400001</v>
      </c>
      <c r="E26" s="1672">
        <v>3046.48583379</v>
      </c>
      <c r="F26" s="1673">
        <v>198.28855634000001</v>
      </c>
      <c r="G26" s="1670">
        <v>376.54164749</v>
      </c>
      <c r="H26" s="1671">
        <v>1588.33368651</v>
      </c>
      <c r="I26" s="312">
        <v>2163.1638903399999</v>
      </c>
      <c r="J26"/>
      <c r="K26" s="3"/>
    </row>
    <row r="27" spans="1:11" ht="20" customHeight="1" thickBot="1">
      <c r="A27" s="324">
        <v>2009</v>
      </c>
      <c r="B27" s="1669">
        <v>266.99439283000004</v>
      </c>
      <c r="C27" s="1670">
        <v>613.90236912</v>
      </c>
      <c r="D27" s="1671">
        <v>2277.2683508800001</v>
      </c>
      <c r="E27" s="1672">
        <v>3158.16511283</v>
      </c>
      <c r="F27" s="1673">
        <v>197.19709062000001</v>
      </c>
      <c r="G27" s="1670">
        <v>416.67744579000004</v>
      </c>
      <c r="H27" s="1671">
        <v>1765.9177112100001</v>
      </c>
      <c r="I27" s="312">
        <v>2379.7922476200001</v>
      </c>
      <c r="J27"/>
      <c r="K27" s="3"/>
    </row>
    <row r="28" spans="1:11" ht="20" customHeight="1" thickBot="1">
      <c r="A28" s="324">
        <v>2010</v>
      </c>
      <c r="B28" s="1669">
        <v>247.74789125999999</v>
      </c>
      <c r="C28" s="1670">
        <v>635.46234808000008</v>
      </c>
      <c r="D28" s="1671">
        <v>2210.8710219199997</v>
      </c>
      <c r="E28" s="1672">
        <v>3094.0812612599998</v>
      </c>
      <c r="F28" s="1673">
        <v>191.64464322000001</v>
      </c>
      <c r="G28" s="1670">
        <v>422.56109957000001</v>
      </c>
      <c r="H28" s="1671">
        <v>1869.3956174300001</v>
      </c>
      <c r="I28" s="312">
        <v>2483.6013602200001</v>
      </c>
      <c r="J28"/>
      <c r="K28" s="3"/>
    </row>
    <row r="29" spans="1:11" s="482" customFormat="1" ht="27.75" customHeight="1" thickBot="1">
      <c r="A29" s="326">
        <v>2011</v>
      </c>
      <c r="B29" s="1674">
        <v>240.00022977</v>
      </c>
      <c r="C29" s="316">
        <v>609.69295476000002</v>
      </c>
      <c r="D29" s="315">
        <v>2324.8161742399998</v>
      </c>
      <c r="E29" s="1675">
        <v>3174.5093587699998</v>
      </c>
      <c r="F29" s="1676">
        <v>188.23914556</v>
      </c>
      <c r="G29" s="316">
        <v>541.66194351000001</v>
      </c>
      <c r="H29" s="315">
        <v>1827.5736344899997</v>
      </c>
      <c r="I29" s="1675">
        <v>2557.4747235599998</v>
      </c>
      <c r="J29" s="1677"/>
      <c r="K29" s="1389"/>
    </row>
    <row r="30" spans="1:11" ht="17.5" customHeight="1">
      <c r="A30" s="1287" t="s">
        <v>2399</v>
      </c>
      <c r="B30" s="1288"/>
      <c r="C30" s="1288"/>
      <c r="D30" s="1288"/>
      <c r="E30" s="1288"/>
      <c r="F30" s="1288"/>
      <c r="G30" s="1288"/>
      <c r="H30" s="1288"/>
      <c r="I30" s="1288"/>
      <c r="J30" s="1152"/>
      <c r="K30" s="1152"/>
    </row>
    <row r="31" spans="1:11" ht="13.5" customHeight="1">
      <c r="A31" s="1289"/>
      <c r="B31" s="1152"/>
      <c r="C31" s="1152"/>
      <c r="D31" s="1152"/>
      <c r="E31" s="1152"/>
      <c r="F31" s="1152"/>
      <c r="G31" s="1152"/>
      <c r="H31" s="1152"/>
      <c r="I31" s="1152"/>
      <c r="J31" s="1152"/>
      <c r="K31" s="1152"/>
    </row>
    <row r="32" spans="1:11">
      <c r="A32" s="61" t="s">
        <v>2394</v>
      </c>
      <c r="B32" s="1290"/>
      <c r="C32" s="1290"/>
      <c r="D32" s="1290"/>
      <c r="E32" s="1290"/>
      <c r="F32" s="1290"/>
      <c r="G32" s="1290"/>
      <c r="H32" s="1290"/>
      <c r="I32" s="1290"/>
      <c r="J32" s="1290"/>
      <c r="K32" s="1290"/>
    </row>
    <row r="33" spans="1:11">
      <c r="A33" s="61" t="s">
        <v>2395</v>
      </c>
      <c r="B33" s="1290"/>
      <c r="C33" s="1290"/>
      <c r="D33" s="1290"/>
      <c r="E33" s="1290"/>
      <c r="F33" s="1290"/>
      <c r="G33" s="1290"/>
      <c r="H33" s="1290"/>
      <c r="I33" s="1290"/>
      <c r="J33" s="1290"/>
      <c r="K33" s="1290"/>
    </row>
    <row r="34" spans="1:11">
      <c r="A34" s="61" t="s">
        <v>2396</v>
      </c>
      <c r="B34" s="1290"/>
      <c r="C34" s="1290"/>
      <c r="D34" s="1290"/>
      <c r="E34" s="1290"/>
      <c r="F34" s="1290"/>
      <c r="G34" s="1290"/>
      <c r="H34" s="1290"/>
      <c r="I34" s="1290"/>
      <c r="J34" s="1290"/>
      <c r="K34" s="1290"/>
    </row>
    <row r="35" spans="1:11">
      <c r="A35" s="61" t="s">
        <v>2397</v>
      </c>
      <c r="B35" s="1290"/>
      <c r="C35" s="1290"/>
      <c r="D35" s="1290"/>
      <c r="E35" s="1290"/>
      <c r="F35" s="1290"/>
      <c r="G35" s="1290"/>
      <c r="H35" s="1290"/>
      <c r="I35" s="1290"/>
      <c r="J35" s="1290"/>
      <c r="K35" s="1290"/>
    </row>
    <row r="36" spans="1:11">
      <c r="A36" s="1289" t="s">
        <v>2380</v>
      </c>
      <c r="B36" s="1290"/>
      <c r="C36" s="1290"/>
      <c r="D36" s="1290"/>
      <c r="E36" s="1290"/>
      <c r="F36" s="1290"/>
      <c r="G36" s="1290"/>
      <c r="H36" s="1290"/>
      <c r="I36" s="1290"/>
      <c r="J36" s="1290"/>
      <c r="K36" s="1290"/>
    </row>
    <row r="37" spans="1:11">
      <c r="A37" s="1289" t="s">
        <v>2381</v>
      </c>
      <c r="B37" s="1290"/>
      <c r="C37" s="1290"/>
      <c r="D37" s="1290"/>
      <c r="E37" s="1290"/>
      <c r="F37" s="1290"/>
      <c r="G37" s="1290"/>
      <c r="H37" s="1290"/>
      <c r="I37" s="1290"/>
      <c r="J37" s="1290"/>
      <c r="K37" s="1290"/>
    </row>
    <row r="38" spans="1:11">
      <c r="A38" s="61" t="s">
        <v>2398</v>
      </c>
      <c r="B38" s="1290"/>
      <c r="C38" s="1290"/>
      <c r="D38" s="1290"/>
      <c r="E38" s="1290"/>
      <c r="F38" s="1290"/>
      <c r="G38" s="1290"/>
      <c r="H38" s="1290"/>
      <c r="I38" s="1290"/>
      <c r="J38" s="1290"/>
      <c r="K38" s="1290"/>
    </row>
    <row r="39" spans="1:11">
      <c r="A39" s="1678"/>
      <c r="B39" s="1290"/>
      <c r="C39" s="1290"/>
      <c r="D39" s="1290"/>
      <c r="E39" s="1290"/>
      <c r="F39" s="1290"/>
      <c r="G39" s="1290"/>
      <c r="H39" s="1290"/>
      <c r="I39" s="1290"/>
      <c r="J39" s="1290"/>
      <c r="K39" s="1290"/>
    </row>
    <row r="41" spans="1:11">
      <c r="A41" s="3" t="s">
        <v>719</v>
      </c>
    </row>
  </sheetData>
  <pageMargins left="0.47244094488188981" right="0.43307086614173229" top="0.62992125984251968" bottom="0.47244094488188981" header="0.39370078740157483" footer="0.51181102362204722"/>
  <pageSetup paperSize="9" scale="85" orientation="landscape"/>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9962-B73B-214B-B372-5561BA655357}">
  <sheetPr>
    <pageSetUpPr fitToPage="1"/>
  </sheetPr>
  <dimension ref="A1:L41"/>
  <sheetViews>
    <sheetView zoomScaleNormal="100" workbookViewId="0">
      <selection activeCell="A3" sqref="A3"/>
    </sheetView>
  </sheetViews>
  <sheetFormatPr baseColWidth="10" defaultColWidth="11.3984375" defaultRowHeight="13"/>
  <cols>
    <col min="1" max="1" width="13" style="3" customWidth="1"/>
    <col min="2" max="2" width="17" style="396" customWidth="1"/>
    <col min="3" max="3" width="17.3984375" style="396" customWidth="1"/>
    <col min="4" max="4" width="16.796875" style="396" customWidth="1"/>
    <col min="5" max="5" width="15.19921875" style="396" customWidth="1"/>
    <col min="6" max="6" width="16.3984375" style="396" customWidth="1"/>
    <col min="7" max="7" width="17.59765625" style="396" customWidth="1"/>
    <col min="8" max="8" width="17.19921875" style="396" customWidth="1"/>
    <col min="9" max="9" width="16.3984375" style="396" customWidth="1"/>
    <col min="10" max="10" width="9.59765625" style="3" customWidth="1"/>
    <col min="11" max="16384" width="11.3984375" style="3"/>
  </cols>
  <sheetData>
    <row r="1" spans="1:12" s="2" customFormat="1" ht="14" customHeight="1">
      <c r="A1" s="121"/>
      <c r="B1" s="1286"/>
      <c r="C1" s="1286"/>
      <c r="D1" s="1286"/>
      <c r="E1" s="1286"/>
      <c r="F1" s="1286"/>
      <c r="G1" s="1286"/>
      <c r="H1" s="1286"/>
      <c r="I1" s="1286"/>
    </row>
    <row r="2" spans="1:12" s="2" customFormat="1" ht="24.5" customHeight="1">
      <c r="A2" s="123" t="s">
        <v>2372</v>
      </c>
      <c r="B2" s="1349"/>
      <c r="C2" s="1349"/>
      <c r="D2" s="1349"/>
      <c r="E2" s="1349"/>
      <c r="F2" s="1349"/>
      <c r="G2" s="1349"/>
      <c r="H2" s="1349"/>
      <c r="I2" s="318"/>
    </row>
    <row r="3" spans="1:12" ht="20" customHeight="1">
      <c r="A3" s="184" t="s">
        <v>469</v>
      </c>
      <c r="B3" s="1634" t="s">
        <v>562</v>
      </c>
      <c r="C3" s="186"/>
      <c r="D3" s="185"/>
      <c r="E3" s="342" t="s">
        <v>278</v>
      </c>
      <c r="F3" s="1635" t="s">
        <v>1731</v>
      </c>
      <c r="G3" s="184"/>
      <c r="H3" s="531"/>
      <c r="I3" s="342" t="s">
        <v>278</v>
      </c>
    </row>
    <row r="4" spans="1:12" ht="33" customHeight="1">
      <c r="A4" s="184"/>
      <c r="B4" s="520" t="s">
        <v>2373</v>
      </c>
      <c r="C4" s="1636"/>
      <c r="D4" s="1637" t="s">
        <v>2374</v>
      </c>
      <c r="E4" s="1638"/>
      <c r="F4" s="1639" t="s">
        <v>2373</v>
      </c>
      <c r="G4" s="134"/>
      <c r="H4" s="1637" t="s">
        <v>2374</v>
      </c>
      <c r="I4" s="1638"/>
    </row>
    <row r="5" spans="1:12" ht="15" customHeight="1">
      <c r="A5" s="184"/>
      <c r="B5" s="321" t="s">
        <v>2375</v>
      </c>
      <c r="C5" s="919" t="s">
        <v>1047</v>
      </c>
      <c r="D5" s="321" t="s">
        <v>405</v>
      </c>
      <c r="E5" s="186"/>
      <c r="F5" s="1640" t="s">
        <v>2375</v>
      </c>
      <c r="G5" s="919" t="s">
        <v>1047</v>
      </c>
      <c r="H5" s="321" t="s">
        <v>405</v>
      </c>
      <c r="I5" s="186"/>
    </row>
    <row r="6" spans="1:12" ht="17.25" customHeight="1">
      <c r="A6" s="184"/>
      <c r="B6" s="321" t="s">
        <v>2376</v>
      </c>
      <c r="C6" s="919" t="s">
        <v>2377</v>
      </c>
      <c r="D6" s="321" t="s">
        <v>1032</v>
      </c>
      <c r="E6" s="186"/>
      <c r="F6" s="1640" t="s">
        <v>2376</v>
      </c>
      <c r="G6" s="919" t="s">
        <v>2377</v>
      </c>
      <c r="H6" s="321" t="s">
        <v>1032</v>
      </c>
      <c r="I6" s="186"/>
    </row>
    <row r="7" spans="1:12" ht="16.5" customHeight="1">
      <c r="A7" s="408"/>
      <c r="B7" s="189"/>
      <c r="C7" s="190"/>
      <c r="D7" s="189"/>
      <c r="E7" s="190"/>
      <c r="F7" s="1641"/>
      <c r="G7" s="190"/>
      <c r="H7" s="189"/>
      <c r="I7" s="190"/>
    </row>
    <row r="8" spans="1:12" ht="1.5" customHeight="1" thickBot="1">
      <c r="A8" s="322">
        <v>1991</v>
      </c>
      <c r="B8" s="1642">
        <v>7381.6</v>
      </c>
      <c r="C8" s="1643">
        <v>2030</v>
      </c>
      <c r="D8" s="1642">
        <v>763.6</v>
      </c>
      <c r="E8" s="312">
        <v>10175.200000000001</v>
      </c>
      <c r="F8" s="1644">
        <v>8411.9</v>
      </c>
      <c r="G8" s="1643">
        <v>1717.6</v>
      </c>
      <c r="H8" s="1642">
        <v>608.6</v>
      </c>
      <c r="I8" s="312">
        <v>10738.1</v>
      </c>
    </row>
    <row r="9" spans="1:12" ht="20" hidden="1" customHeight="1" thickBot="1">
      <c r="A9" s="324">
        <v>1992</v>
      </c>
      <c r="B9" s="1645">
        <v>8071.6</v>
      </c>
      <c r="C9" s="1646">
        <v>2234.5</v>
      </c>
      <c r="D9" s="1647">
        <v>751.05194456734102</v>
      </c>
      <c r="E9" s="1648">
        <v>11057.151944567342</v>
      </c>
      <c r="F9" s="1649">
        <v>9374.4</v>
      </c>
      <c r="G9" s="1646">
        <v>1832.3</v>
      </c>
      <c r="H9" s="1647">
        <v>631.14866850607859</v>
      </c>
      <c r="I9" s="1648">
        <v>11837.848668506078</v>
      </c>
    </row>
    <row r="10" spans="1:12" ht="20" hidden="1" customHeight="1" thickBot="1">
      <c r="A10" s="324">
        <v>1993</v>
      </c>
      <c r="B10" s="1645">
        <v>8959</v>
      </c>
      <c r="C10" s="1646">
        <v>3326.3</v>
      </c>
      <c r="D10" s="1647">
        <v>734.92479192401356</v>
      </c>
      <c r="E10" s="1648">
        <v>13020.224791924013</v>
      </c>
      <c r="F10" s="1649">
        <v>9747.2000000000007</v>
      </c>
      <c r="G10" s="1646">
        <v>2431.9</v>
      </c>
      <c r="H10" s="1647">
        <v>626.00138979065252</v>
      </c>
      <c r="I10" s="1648">
        <v>12805.101389790652</v>
      </c>
    </row>
    <row r="11" spans="1:12" ht="20" hidden="1" customHeight="1" thickBot="1">
      <c r="A11" s="324">
        <v>1994</v>
      </c>
      <c r="B11" s="1645">
        <v>8986.1</v>
      </c>
      <c r="C11" s="1646">
        <v>4076.6</v>
      </c>
      <c r="D11" s="1647">
        <v>690.03021854426788</v>
      </c>
      <c r="E11" s="1648">
        <v>13752.730218544268</v>
      </c>
      <c r="F11" s="1649">
        <v>9548.9</v>
      </c>
      <c r="G11" s="1646">
        <v>3331.5</v>
      </c>
      <c r="H11" s="1647">
        <v>613.0603501903413</v>
      </c>
      <c r="I11" s="1648">
        <v>13493.46035019034</v>
      </c>
    </row>
    <row r="12" spans="1:12" ht="19.5" hidden="1" customHeight="1" thickBot="1">
      <c r="A12" s="324">
        <v>1995</v>
      </c>
      <c r="B12" s="1645">
        <v>9125.7999999999993</v>
      </c>
      <c r="C12" s="1646">
        <v>4249.7</v>
      </c>
      <c r="D12" s="1647">
        <v>651.42256806953048</v>
      </c>
      <c r="E12" s="1648">
        <v>14026.922568069531</v>
      </c>
      <c r="F12" s="1649">
        <v>10017.200000000001</v>
      </c>
      <c r="G12" s="1646">
        <v>3664.1</v>
      </c>
      <c r="H12" s="1647">
        <v>587.27080996548773</v>
      </c>
      <c r="I12" s="1648">
        <v>14268.570809965489</v>
      </c>
    </row>
    <row r="13" spans="1:12" ht="0.75" hidden="1" customHeight="1" thickBot="1">
      <c r="A13" s="324">
        <v>1996</v>
      </c>
      <c r="B13" s="1645">
        <v>11035.2</v>
      </c>
      <c r="C13" s="1646">
        <v>4337.5</v>
      </c>
      <c r="D13" s="1647">
        <v>640.36315374410731</v>
      </c>
      <c r="E13" s="1648">
        <v>16013.063153744108</v>
      </c>
      <c r="F13" s="1649">
        <v>10780.5</v>
      </c>
      <c r="G13" s="1646">
        <v>3809.6285714248806</v>
      </c>
      <c r="H13" s="1647">
        <v>512.67578326995283</v>
      </c>
      <c r="I13" s="1648">
        <v>15102.804354694834</v>
      </c>
      <c r="K13"/>
      <c r="L13"/>
    </row>
    <row r="14" spans="1:12" ht="19.5" hidden="1" customHeight="1" thickBot="1">
      <c r="A14" s="324">
        <v>1997</v>
      </c>
      <c r="B14" s="313">
        <v>11924.8</v>
      </c>
      <c r="C14" s="314">
        <v>4410.6000000000004</v>
      </c>
      <c r="D14" s="313">
        <v>601.9</v>
      </c>
      <c r="E14" s="312">
        <v>16937.3</v>
      </c>
      <c r="F14" s="1306">
        <v>11360.5</v>
      </c>
      <c r="G14" s="314">
        <v>3288.3</v>
      </c>
      <c r="H14" s="313">
        <v>475.9</v>
      </c>
      <c r="I14" s="312">
        <v>15124.699999999999</v>
      </c>
      <c r="K14"/>
      <c r="L14"/>
    </row>
    <row r="15" spans="1:12" ht="0.75" hidden="1" customHeight="1" thickBot="1">
      <c r="A15" s="324">
        <v>1998</v>
      </c>
      <c r="B15" s="313">
        <v>12604.2</v>
      </c>
      <c r="C15" s="314">
        <v>4453.3</v>
      </c>
      <c r="D15" s="313">
        <v>637.79999999999995</v>
      </c>
      <c r="E15" s="312">
        <v>17695.3</v>
      </c>
      <c r="F15" s="1306">
        <v>11926.9</v>
      </c>
      <c r="G15" s="314">
        <v>3299.5</v>
      </c>
      <c r="H15" s="313">
        <v>460.1</v>
      </c>
      <c r="I15" s="312">
        <v>15686.5</v>
      </c>
      <c r="K15"/>
      <c r="L15"/>
    </row>
    <row r="16" spans="1:12" ht="19.75" hidden="1" customHeight="1" thickBot="1">
      <c r="A16" s="324">
        <v>1999</v>
      </c>
      <c r="B16" s="313">
        <v>12949.5</v>
      </c>
      <c r="C16" s="314">
        <v>3766.7</v>
      </c>
      <c r="D16" s="313">
        <v>1098.2</v>
      </c>
      <c r="E16" s="312">
        <v>17814.400000000001</v>
      </c>
      <c r="F16" s="1306">
        <v>12430.6</v>
      </c>
      <c r="G16" s="314">
        <v>2787.1</v>
      </c>
      <c r="H16" s="313">
        <v>763.9</v>
      </c>
      <c r="I16" s="312">
        <v>15981.6</v>
      </c>
      <c r="K16"/>
      <c r="L16"/>
    </row>
    <row r="17" spans="1:12" ht="20" hidden="1" customHeight="1" thickBot="1">
      <c r="A17" s="324">
        <v>2000</v>
      </c>
      <c r="B17" s="313">
        <v>13346.7</v>
      </c>
      <c r="C17" s="314">
        <v>2917.4</v>
      </c>
      <c r="D17" s="313">
        <v>2242.9</v>
      </c>
      <c r="E17" s="312">
        <v>18507</v>
      </c>
      <c r="F17" s="1306">
        <v>13190.3</v>
      </c>
      <c r="G17" s="314">
        <v>2199.1</v>
      </c>
      <c r="H17" s="313">
        <v>1583.8</v>
      </c>
      <c r="I17" s="312">
        <v>16973.2</v>
      </c>
      <c r="K17"/>
      <c r="L17"/>
    </row>
    <row r="18" spans="1:12" ht="20" customHeight="1" thickBot="1">
      <c r="A18" s="324">
        <v>2001</v>
      </c>
      <c r="B18" s="313">
        <v>13954.7</v>
      </c>
      <c r="C18" s="314">
        <v>1986.99</v>
      </c>
      <c r="D18" s="313">
        <v>3190.46</v>
      </c>
      <c r="E18" s="312">
        <v>19132.150000000001</v>
      </c>
      <c r="F18" s="1306">
        <v>13986.27</v>
      </c>
      <c r="G18" s="314">
        <v>1576.7</v>
      </c>
      <c r="H18" s="313">
        <v>2353.3000000000002</v>
      </c>
      <c r="I18" s="312">
        <v>17916.27</v>
      </c>
      <c r="K18"/>
      <c r="L18"/>
    </row>
    <row r="19" spans="1:12" ht="20" customHeight="1" thickBot="1">
      <c r="A19" s="324">
        <v>2002</v>
      </c>
      <c r="B19" s="313">
        <v>15296.16</v>
      </c>
      <c r="C19" s="314">
        <v>1958.4404729999999</v>
      </c>
      <c r="D19" s="313">
        <v>3432.3745709999994</v>
      </c>
      <c r="E19" s="312">
        <v>20686.975043999999</v>
      </c>
      <c r="F19" s="1306">
        <v>14592.75</v>
      </c>
      <c r="G19" s="314">
        <v>1422.34175</v>
      </c>
      <c r="H19" s="313">
        <v>2395.4617459999999</v>
      </c>
      <c r="I19" s="312">
        <v>18410.553496</v>
      </c>
      <c r="K19"/>
      <c r="L19"/>
    </row>
    <row r="20" spans="1:12" ht="20" customHeight="1" thickBot="1">
      <c r="A20" s="324">
        <v>2003</v>
      </c>
      <c r="B20" s="313">
        <v>16759.707467</v>
      </c>
      <c r="C20" s="314">
        <v>1882.6076640000001</v>
      </c>
      <c r="D20" s="313">
        <v>3406.1985699999996</v>
      </c>
      <c r="E20" s="312">
        <v>22048.513701</v>
      </c>
      <c r="F20" s="1306">
        <v>15335.619704000001</v>
      </c>
      <c r="G20" s="314">
        <v>1354.5729260000001</v>
      </c>
      <c r="H20" s="313">
        <v>2360.4405969999998</v>
      </c>
      <c r="I20" s="312">
        <v>19050.633227000002</v>
      </c>
      <c r="K20"/>
      <c r="L20"/>
    </row>
    <row r="21" spans="1:12" ht="20" customHeight="1" thickBot="1">
      <c r="A21" s="324">
        <v>2004</v>
      </c>
      <c r="B21" s="313">
        <v>17979.586842000001</v>
      </c>
      <c r="C21" s="314">
        <v>1358.7895999899999</v>
      </c>
      <c r="D21" s="313">
        <v>4022.0203419999989</v>
      </c>
      <c r="E21" s="312">
        <v>23360.39678399</v>
      </c>
      <c r="F21" s="1306">
        <v>16307.508545000001</v>
      </c>
      <c r="G21" s="314">
        <v>1040.45917962</v>
      </c>
      <c r="H21" s="313">
        <v>2754.9745040000003</v>
      </c>
      <c r="I21" s="312">
        <v>20102.942228620002</v>
      </c>
      <c r="K21"/>
      <c r="L21"/>
    </row>
    <row r="22" spans="1:12" ht="20" customHeight="1" thickBot="1">
      <c r="A22" s="324">
        <v>2005</v>
      </c>
      <c r="B22" s="313">
        <v>18442.676721830001</v>
      </c>
      <c r="C22" s="314">
        <v>1397.6693543900001</v>
      </c>
      <c r="D22" s="313">
        <v>4025.3035210000007</v>
      </c>
      <c r="E22" s="312">
        <v>23865.649597220003</v>
      </c>
      <c r="F22" s="1306">
        <v>17352.720037080002</v>
      </c>
      <c r="G22" s="314">
        <v>1144.4166189</v>
      </c>
      <c r="H22" s="313">
        <v>2812.7367870000003</v>
      </c>
      <c r="I22" s="312">
        <v>21309.873442980002</v>
      </c>
      <c r="K22"/>
      <c r="L22"/>
    </row>
    <row r="23" spans="1:12" ht="20" customHeight="1" thickBot="1">
      <c r="A23" s="324">
        <v>2006</v>
      </c>
      <c r="B23" s="313">
        <v>19234.85838514</v>
      </c>
      <c r="C23" s="314">
        <v>1384.0624223099999</v>
      </c>
      <c r="D23" s="313">
        <v>4199.0627370000002</v>
      </c>
      <c r="E23" s="312">
        <v>24817.983544449999</v>
      </c>
      <c r="F23" s="1306">
        <v>17563.915602790003</v>
      </c>
      <c r="G23" s="314">
        <v>1083.2765844199998</v>
      </c>
      <c r="H23" s="313">
        <v>2891.0596519999999</v>
      </c>
      <c r="I23" s="312">
        <v>21538.251839210003</v>
      </c>
      <c r="K23"/>
      <c r="L23"/>
    </row>
    <row r="24" spans="1:12" ht="20" customHeight="1" thickBot="1">
      <c r="A24" s="324">
        <v>2007</v>
      </c>
      <c r="B24" s="313">
        <v>19629.610287169999</v>
      </c>
      <c r="C24" s="314">
        <v>1410.6232075</v>
      </c>
      <c r="D24" s="313">
        <v>4207.0683449999997</v>
      </c>
      <c r="E24" s="312">
        <v>25247.301839669999</v>
      </c>
      <c r="F24" s="1306">
        <v>18423.621994609999</v>
      </c>
      <c r="G24" s="314">
        <v>1170.1273056000002</v>
      </c>
      <c r="H24" s="313">
        <v>3037.7777310000001</v>
      </c>
      <c r="I24" s="312">
        <v>22631.527031209996</v>
      </c>
      <c r="K24"/>
      <c r="L24"/>
    </row>
    <row r="25" spans="1:12" ht="20" customHeight="1" thickBot="1">
      <c r="A25" s="324">
        <v>2008</v>
      </c>
      <c r="B25" s="313">
        <v>19621.43996068</v>
      </c>
      <c r="C25" s="314">
        <v>1412.4505677400002</v>
      </c>
      <c r="D25" s="313">
        <v>4509.4953152600001</v>
      </c>
      <c r="E25" s="312">
        <v>25543.38584368</v>
      </c>
      <c r="F25" s="1306">
        <v>19431.457254779998</v>
      </c>
      <c r="G25" s="314">
        <v>1241.37670198</v>
      </c>
      <c r="H25" s="313">
        <v>3128.0701190199998</v>
      </c>
      <c r="I25" s="312">
        <v>23800.904075779996</v>
      </c>
      <c r="K25"/>
      <c r="L25"/>
    </row>
    <row r="26" spans="1:12" ht="20" customHeight="1" thickBot="1">
      <c r="A26" s="324">
        <v>2009</v>
      </c>
      <c r="B26" s="313">
        <v>20057.64279962</v>
      </c>
      <c r="C26" s="314">
        <v>1381.60592514</v>
      </c>
      <c r="D26" s="313">
        <v>4313.5737268599996</v>
      </c>
      <c r="E26" s="312">
        <v>25752.822451619999</v>
      </c>
      <c r="F26" s="1306">
        <v>20273.850593919997</v>
      </c>
      <c r="G26" s="314">
        <v>1229.2542896300001</v>
      </c>
      <c r="H26" s="313">
        <v>3158.8125223699999</v>
      </c>
      <c r="I26" s="312">
        <v>24661.917405919998</v>
      </c>
      <c r="K26"/>
      <c r="L26"/>
    </row>
    <row r="27" spans="1:12" ht="20" customHeight="1" thickBot="1">
      <c r="A27" s="324">
        <v>2010</v>
      </c>
      <c r="B27" s="313">
        <v>21955.717553830003</v>
      </c>
      <c r="C27" s="314">
        <v>1442.6310089400001</v>
      </c>
      <c r="D27" s="313">
        <v>4581.4113640599999</v>
      </c>
      <c r="E27" s="312">
        <v>27979.759926830004</v>
      </c>
      <c r="F27" s="1306">
        <v>20883.74693053</v>
      </c>
      <c r="G27" s="314">
        <v>1281.58085265</v>
      </c>
      <c r="H27" s="313">
        <v>3204.0921983499998</v>
      </c>
      <c r="I27" s="312">
        <v>25369.419981530002</v>
      </c>
      <c r="K27"/>
      <c r="L27"/>
    </row>
    <row r="28" spans="1:12" ht="24.75" customHeight="1" thickBot="1">
      <c r="A28" s="326">
        <v>2011</v>
      </c>
      <c r="B28" s="315">
        <v>23513.73191518</v>
      </c>
      <c r="C28" s="316">
        <v>1273.43894946</v>
      </c>
      <c r="D28" s="315">
        <v>5039.4533475400003</v>
      </c>
      <c r="E28" s="316">
        <v>29826.624212180002</v>
      </c>
      <c r="F28" s="1650">
        <v>21356.405837950002</v>
      </c>
      <c r="G28" s="316">
        <v>979.24089520000007</v>
      </c>
      <c r="H28" s="315">
        <v>3671.2015778</v>
      </c>
      <c r="I28" s="316">
        <v>26006.848310950001</v>
      </c>
      <c r="K28"/>
      <c r="L28"/>
    </row>
    <row r="29" spans="1:12" ht="17.25" customHeight="1">
      <c r="A29" s="1287" t="s">
        <v>2399</v>
      </c>
      <c r="B29" s="1288"/>
      <c r="C29" s="1288"/>
      <c r="D29" s="1288"/>
      <c r="E29" s="1288"/>
      <c r="F29" s="1288"/>
      <c r="G29" s="1288"/>
      <c r="H29" s="1288"/>
      <c r="I29" s="1288"/>
    </row>
    <row r="30" spans="1:12" ht="13.5" customHeight="1">
      <c r="A30" s="1289"/>
      <c r="B30" s="1152"/>
      <c r="C30" s="1152"/>
      <c r="D30" s="1152"/>
      <c r="E30" s="1152"/>
      <c r="F30" s="1152"/>
      <c r="G30" s="1152"/>
      <c r="H30" s="1152"/>
      <c r="I30" s="1152"/>
    </row>
    <row r="31" spans="1:12">
      <c r="A31" s="61" t="s">
        <v>2378</v>
      </c>
      <c r="B31" s="1290"/>
      <c r="C31" s="1290"/>
      <c r="D31" s="1290"/>
      <c r="E31" s="1290"/>
      <c r="F31" s="1290"/>
      <c r="G31" s="1290"/>
      <c r="H31" s="1290"/>
      <c r="I31" s="1290"/>
    </row>
    <row r="32" spans="1:12">
      <c r="A32" s="61" t="s">
        <v>2379</v>
      </c>
      <c r="B32" s="1290"/>
      <c r="C32" s="1290"/>
      <c r="D32" s="1290"/>
      <c r="E32" s="1290"/>
      <c r="F32" s="1290"/>
      <c r="G32" s="1290"/>
      <c r="H32" s="1290"/>
      <c r="I32" s="1290"/>
    </row>
    <row r="33" spans="1:9">
      <c r="A33" s="1289" t="s">
        <v>2380</v>
      </c>
      <c r="B33" s="1290"/>
      <c r="C33" s="1290"/>
      <c r="D33" s="1290"/>
      <c r="E33" s="1290"/>
      <c r="F33" s="1290"/>
      <c r="G33" s="1290"/>
      <c r="H33" s="1290"/>
      <c r="I33" s="1290"/>
    </row>
    <row r="34" spans="1:9">
      <c r="A34" s="1289" t="s">
        <v>2381</v>
      </c>
      <c r="B34" s="1290"/>
      <c r="C34" s="1290"/>
      <c r="D34" s="1290"/>
      <c r="E34" s="1290"/>
      <c r="F34" s="1290"/>
      <c r="G34" s="1290"/>
      <c r="H34" s="1290"/>
      <c r="I34" s="1290"/>
    </row>
    <row r="35" spans="1:9">
      <c r="A35" s="61" t="s">
        <v>2382</v>
      </c>
    </row>
    <row r="36" spans="1:9">
      <c r="A36" s="61" t="s">
        <v>2383</v>
      </c>
    </row>
    <row r="37" spans="1:9">
      <c r="A37" s="61" t="s">
        <v>2384</v>
      </c>
    </row>
    <row r="38" spans="1:9">
      <c r="A38" s="61" t="s">
        <v>2385</v>
      </c>
    </row>
    <row r="41" spans="1:9">
      <c r="A41" s="3" t="s">
        <v>719</v>
      </c>
    </row>
  </sheetData>
  <pageMargins left="0.47244094488188981" right="0.43307086614173229" top="0.77" bottom="0.47244094488188981" header="0.43307086614173229" footer="0.51181102362204722"/>
  <pageSetup paperSize="9" scale="89" orientation="landscape" horizontalDpi="1200" verticalDpi="1200"/>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697A-8BEF-924F-BE40-EA3F3B70B0D9}">
  <sheetPr>
    <pageSetUpPr fitToPage="1"/>
  </sheetPr>
  <dimension ref="A2:Q123"/>
  <sheetViews>
    <sheetView zoomScaleNormal="100" workbookViewId="0">
      <selection activeCell="A51" sqref="A51"/>
    </sheetView>
  </sheetViews>
  <sheetFormatPr baseColWidth="10" defaultColWidth="11.3984375" defaultRowHeight="13"/>
  <cols>
    <col min="1" max="1" width="29.796875" style="3" customWidth="1"/>
    <col min="2" max="2" width="0.19921875" style="3" customWidth="1"/>
    <col min="3" max="3" width="0.3984375" style="3" hidden="1" customWidth="1"/>
    <col min="4" max="4" width="9.59765625" style="3" hidden="1" customWidth="1"/>
    <col min="5" max="5" width="10" style="3" hidden="1" customWidth="1"/>
    <col min="6" max="6" width="0.3984375" style="3" customWidth="1"/>
    <col min="7" max="15" width="10" style="3" customWidth="1"/>
    <col min="16" max="16" width="9.796875" style="3" customWidth="1"/>
    <col min="17" max="17" width="10.796875" style="3" customWidth="1"/>
    <col min="18" max="16384" width="11.3984375" style="3"/>
  </cols>
  <sheetData>
    <row r="2" spans="1:17" ht="19.5" customHeight="1">
      <c r="A2" s="1265" t="s">
        <v>2342</v>
      </c>
    </row>
    <row r="3" spans="1:17" s="2" customFormat="1" ht="29.25" customHeight="1">
      <c r="A3" s="121"/>
      <c r="B3" s="121"/>
      <c r="C3" s="121"/>
      <c r="D3" s="121"/>
      <c r="E3" s="121"/>
      <c r="F3" s="121"/>
    </row>
    <row r="4" spans="1:17" s="2" customFormat="1" ht="21.75" customHeight="1">
      <c r="A4" s="123" t="s">
        <v>2343</v>
      </c>
      <c r="B4" s="436"/>
      <c r="C4" s="436"/>
      <c r="D4" s="436"/>
      <c r="E4" s="436"/>
      <c r="F4" s="436"/>
      <c r="G4" s="436"/>
      <c r="H4" s="436"/>
      <c r="I4" s="207"/>
      <c r="J4" s="207"/>
      <c r="K4" s="207"/>
    </row>
    <row r="5" spans="1:17" ht="78" customHeight="1">
      <c r="A5" s="1618" t="s">
        <v>2344</v>
      </c>
      <c r="B5" s="1619">
        <v>1996</v>
      </c>
      <c r="C5" s="1620">
        <v>1997</v>
      </c>
      <c r="D5" s="1619">
        <v>1998</v>
      </c>
      <c r="E5" s="1620">
        <v>1999</v>
      </c>
      <c r="F5" s="1619">
        <v>2000</v>
      </c>
      <c r="G5" s="1620">
        <v>2001</v>
      </c>
      <c r="H5" s="1619">
        <v>2002</v>
      </c>
      <c r="I5" s="1620">
        <v>2003</v>
      </c>
      <c r="J5" s="1619">
        <v>2004</v>
      </c>
      <c r="K5" s="1620">
        <v>2005</v>
      </c>
      <c r="L5" s="1619">
        <v>2006</v>
      </c>
      <c r="M5" s="1620">
        <v>2007</v>
      </c>
      <c r="N5" s="1619">
        <v>2008</v>
      </c>
      <c r="O5" s="1620">
        <v>2009</v>
      </c>
      <c r="P5" s="1619">
        <v>2010</v>
      </c>
      <c r="Q5" s="1620">
        <v>2011</v>
      </c>
    </row>
    <row r="6" spans="1:17" ht="22.75" customHeight="1" thickBot="1">
      <c r="A6" s="1300" t="s">
        <v>2345</v>
      </c>
      <c r="B6" s="276">
        <v>7.4080000000000007E-2</v>
      </c>
      <c r="C6" s="277">
        <v>7.4639999999999998E-2</v>
      </c>
      <c r="D6" s="276">
        <v>7.6329999999999995E-2</v>
      </c>
      <c r="E6" s="277">
        <v>7.7549999999999994E-2</v>
      </c>
      <c r="F6" s="276">
        <v>8.0320000000000003E-2</v>
      </c>
      <c r="G6" s="277">
        <v>8.1189999999999998E-2</v>
      </c>
      <c r="H6" s="276">
        <v>8.3553000000000002E-2</v>
      </c>
      <c r="I6" s="277">
        <v>8.2829E-2</v>
      </c>
      <c r="J6" s="276">
        <v>8.5357000000000002E-2</v>
      </c>
      <c r="K6" s="277">
        <v>8.4246000000000001E-2</v>
      </c>
      <c r="L6" s="276">
        <v>8.455399999999999E-2</v>
      </c>
      <c r="M6" s="277">
        <v>8.4779999999999994E-2</v>
      </c>
      <c r="N6" s="276">
        <v>8.7444000000000008E-2</v>
      </c>
      <c r="O6" s="277">
        <v>9.0961E-2</v>
      </c>
      <c r="P6" s="276" t="s">
        <v>30</v>
      </c>
      <c r="Q6" s="277" t="s">
        <v>30</v>
      </c>
    </row>
    <row r="7" spans="1:17" ht="18" customHeight="1" thickBot="1">
      <c r="A7" s="324" t="s">
        <v>2346</v>
      </c>
      <c r="B7" s="249">
        <v>9.4800000000000009E-2</v>
      </c>
      <c r="C7" s="250">
        <v>9.820000000000001E-2</v>
      </c>
      <c r="D7" s="249">
        <v>9.9839999999999998E-2</v>
      </c>
      <c r="E7" s="250">
        <v>0.10119</v>
      </c>
      <c r="F7" s="249">
        <v>9.9459999999999993E-2</v>
      </c>
      <c r="G7" s="250">
        <v>0.100937</v>
      </c>
      <c r="H7" s="249">
        <v>0.10122299999999999</v>
      </c>
      <c r="I7" s="250">
        <v>0.103035</v>
      </c>
      <c r="J7" s="249">
        <v>0.104283</v>
      </c>
      <c r="K7" s="250">
        <v>0.10418699999999999</v>
      </c>
      <c r="L7" s="249">
        <v>0.102177</v>
      </c>
      <c r="M7" s="250">
        <v>0.102617</v>
      </c>
      <c r="N7" s="249">
        <v>0.104895</v>
      </c>
      <c r="O7" s="250">
        <v>0.11194900000000001</v>
      </c>
      <c r="P7" s="249">
        <v>0.109849</v>
      </c>
      <c r="Q7" s="250" t="s">
        <v>30</v>
      </c>
    </row>
    <row r="8" spans="1:17" ht="18" customHeight="1" thickBot="1">
      <c r="A8" s="324" t="s">
        <v>2347</v>
      </c>
      <c r="B8" s="249">
        <v>7.9210000000000003E-2</v>
      </c>
      <c r="C8" s="250">
        <v>7.7759999999999996E-2</v>
      </c>
      <c r="D8" s="249">
        <v>7.8969999999999999E-2</v>
      </c>
      <c r="E8" s="250">
        <v>8.0869999999999997E-2</v>
      </c>
      <c r="F8" s="249">
        <v>8.1310000000000007E-2</v>
      </c>
      <c r="G8" s="250">
        <v>8.2920999999999995E-2</v>
      </c>
      <c r="H8" s="249">
        <v>8.4617999999999999E-2</v>
      </c>
      <c r="I8" s="250">
        <v>9.9951999999999999E-2</v>
      </c>
      <c r="J8" s="249">
        <v>0.10120799999999999</v>
      </c>
      <c r="K8" s="250">
        <v>0.100892</v>
      </c>
      <c r="L8" s="249">
        <v>9.5769000000000007E-2</v>
      </c>
      <c r="M8" s="250">
        <v>9.6072000000000005E-2</v>
      </c>
      <c r="N8" s="249">
        <v>9.9960000000000007E-2</v>
      </c>
      <c r="O8" s="250">
        <v>0.10664899999999999</v>
      </c>
      <c r="P8" s="249">
        <v>0.105463</v>
      </c>
      <c r="Q8" s="250" t="s">
        <v>30</v>
      </c>
    </row>
    <row r="9" spans="1:17" ht="18" customHeight="1" thickBot="1">
      <c r="A9" s="324" t="s">
        <v>2348</v>
      </c>
      <c r="B9" s="249">
        <v>8.2110000000000002E-2</v>
      </c>
      <c r="C9" s="250">
        <v>8.1509999999999999E-2</v>
      </c>
      <c r="D9" s="249">
        <v>8.1560000000000007E-2</v>
      </c>
      <c r="E9" s="250">
        <v>8.9540000000000008E-2</v>
      </c>
      <c r="F9" s="249">
        <v>8.6989999999999998E-2</v>
      </c>
      <c r="G9" s="250">
        <v>9.1001999999999986E-2</v>
      </c>
      <c r="H9" s="249">
        <v>9.3329000000000009E-2</v>
      </c>
      <c r="I9" s="250">
        <v>9.5093999999999998E-2</v>
      </c>
      <c r="J9" s="249">
        <v>9.6748999999999988E-2</v>
      </c>
      <c r="K9" s="250">
        <v>9.7699999999999995E-2</v>
      </c>
      <c r="L9" s="249">
        <v>9.9243000000000012E-2</v>
      </c>
      <c r="M9" s="250">
        <v>9.987299999999999E-2</v>
      </c>
      <c r="N9" s="249">
        <v>0.10183</v>
      </c>
      <c r="O9" s="250">
        <v>0.114512</v>
      </c>
      <c r="P9" s="249">
        <v>0.11115999999999999</v>
      </c>
      <c r="Q9" s="250" t="s">
        <v>30</v>
      </c>
    </row>
    <row r="10" spans="1:17" ht="18" customHeight="1" thickBot="1">
      <c r="A10" s="324" t="s">
        <v>2349</v>
      </c>
      <c r="B10" s="249">
        <v>8.0380000000000007E-2</v>
      </c>
      <c r="C10" s="250">
        <v>7.7199999999999991E-2</v>
      </c>
      <c r="D10" s="249">
        <v>7.3550000000000004E-2</v>
      </c>
      <c r="E10" s="250">
        <v>7.3789999999999994E-2</v>
      </c>
      <c r="F10" s="249">
        <v>7.2239999999999999E-2</v>
      </c>
      <c r="G10" s="250">
        <v>7.4250999999999998E-2</v>
      </c>
      <c r="H10" s="249">
        <v>7.8078999999999996E-2</v>
      </c>
      <c r="I10" s="250">
        <v>8.1511E-2</v>
      </c>
      <c r="J10" s="249">
        <v>8.2094E-2</v>
      </c>
      <c r="K10" s="250">
        <v>8.4293999999999994E-2</v>
      </c>
      <c r="L10" s="249">
        <v>8.3446999999999993E-2</v>
      </c>
      <c r="M10" s="250">
        <v>8.0429E-2</v>
      </c>
      <c r="N10" s="249">
        <v>8.3027999999999991E-2</v>
      </c>
      <c r="O10" s="250">
        <v>9.1629000000000002E-2</v>
      </c>
      <c r="P10" s="249">
        <v>8.9122000000000007E-2</v>
      </c>
      <c r="Q10" s="250">
        <v>8.7987999999999997E-2</v>
      </c>
    </row>
    <row r="11" spans="1:17" ht="18" customHeight="1" thickBot="1">
      <c r="A11" s="324" t="s">
        <v>2350</v>
      </c>
      <c r="B11" s="249">
        <v>0.10369999999999999</v>
      </c>
      <c r="C11" s="250">
        <v>0.10228999999999999</v>
      </c>
      <c r="D11" s="249">
        <v>0.10125999999999999</v>
      </c>
      <c r="E11" s="250">
        <v>0.10147</v>
      </c>
      <c r="F11" s="249">
        <v>0.10071999999999999</v>
      </c>
      <c r="G11" s="250">
        <v>0.102113</v>
      </c>
      <c r="H11" s="249">
        <v>0.105603</v>
      </c>
      <c r="I11" s="250">
        <v>0.109344</v>
      </c>
      <c r="J11" s="249">
        <v>0.11036199999999999</v>
      </c>
      <c r="K11" s="250">
        <v>0.11153200000000001</v>
      </c>
      <c r="L11" s="249">
        <v>0.11093600000000001</v>
      </c>
      <c r="M11" s="250">
        <v>0.110724</v>
      </c>
      <c r="N11" s="249">
        <v>0.109821</v>
      </c>
      <c r="O11" s="250">
        <v>0.116588</v>
      </c>
      <c r="P11" s="249">
        <v>0.11641799999999999</v>
      </c>
      <c r="Q11" s="250" t="s">
        <v>30</v>
      </c>
    </row>
    <row r="12" spans="1:17" ht="18" customHeight="1" thickBot="1">
      <c r="A12" s="324" t="s">
        <v>2351</v>
      </c>
      <c r="B12" s="249">
        <v>0.10378</v>
      </c>
      <c r="C12" s="250">
        <v>0.10217000000000001</v>
      </c>
      <c r="D12" s="249">
        <v>0.10231</v>
      </c>
      <c r="E12" s="250">
        <v>0.10267</v>
      </c>
      <c r="F12" s="249">
        <v>0.10285999999999999</v>
      </c>
      <c r="G12" s="250">
        <v>0.105041</v>
      </c>
      <c r="H12" s="249">
        <v>0.107242</v>
      </c>
      <c r="I12" s="250">
        <v>0.10919000000000001</v>
      </c>
      <c r="J12" s="249">
        <v>0.10668900000000001</v>
      </c>
      <c r="K12" s="250">
        <v>0.108056</v>
      </c>
      <c r="L12" s="249">
        <v>0.10631299999999999</v>
      </c>
      <c r="M12" s="250">
        <v>0.104686</v>
      </c>
      <c r="N12" s="249">
        <v>0.106876</v>
      </c>
      <c r="O12" s="250">
        <v>0.117248</v>
      </c>
      <c r="P12" s="249">
        <v>0.11599399999999999</v>
      </c>
      <c r="Q12" s="250" t="s">
        <v>30</v>
      </c>
    </row>
    <row r="13" spans="1:17" ht="18" customHeight="1" thickBot="1">
      <c r="A13" s="324" t="s">
        <v>2352</v>
      </c>
      <c r="B13" s="249">
        <v>7.3779999999999998E-2</v>
      </c>
      <c r="C13" s="250">
        <v>7.6550000000000007E-2</v>
      </c>
      <c r="D13" s="249">
        <v>7.7270000000000005E-2</v>
      </c>
      <c r="E13" s="250">
        <v>7.7890000000000001E-2</v>
      </c>
      <c r="F13" s="249">
        <v>8.0630000000000007E-2</v>
      </c>
      <c r="G13" s="250">
        <v>8.1662999999999999E-2</v>
      </c>
      <c r="H13" s="249">
        <v>8.2951999999999998E-2</v>
      </c>
      <c r="I13" s="250">
        <v>8.3054000000000003E-2</v>
      </c>
      <c r="J13" s="249">
        <v>8.6155000000000009E-2</v>
      </c>
      <c r="K13" s="250">
        <v>8.8970000000000007E-2</v>
      </c>
      <c r="L13" s="249">
        <v>8.9705999999999994E-2</v>
      </c>
      <c r="M13" s="250">
        <v>8.637800000000001E-2</v>
      </c>
      <c r="N13" s="249">
        <v>8.8915000000000008E-2</v>
      </c>
      <c r="O13" s="250">
        <v>9.3179999999999999E-2</v>
      </c>
      <c r="P13" s="249">
        <v>9.2919000000000002E-2</v>
      </c>
      <c r="Q13" s="250">
        <v>9.1321999999999987E-2</v>
      </c>
    </row>
    <row r="14" spans="1:17" ht="18" customHeight="1" thickBot="1">
      <c r="A14" s="324" t="s">
        <v>2353</v>
      </c>
      <c r="B14" s="249">
        <v>7.0489999999999997E-2</v>
      </c>
      <c r="C14" s="250">
        <v>6.9919999999999996E-2</v>
      </c>
      <c r="D14" s="249">
        <v>7.2840000000000002E-2</v>
      </c>
      <c r="E14" s="250">
        <v>7.5490000000000002E-2</v>
      </c>
      <c r="F14" s="249">
        <v>7.707E-2</v>
      </c>
      <c r="G14" s="250">
        <v>7.8060999999999992E-2</v>
      </c>
      <c r="H14" s="249">
        <v>7.8575000000000006E-2</v>
      </c>
      <c r="I14" s="250">
        <v>7.9881000000000008E-2</v>
      </c>
      <c r="J14" s="249">
        <v>7.9947000000000004E-2</v>
      </c>
      <c r="K14" s="250">
        <v>8.1819000000000003E-2</v>
      </c>
      <c r="L14" s="249">
        <v>8.1986000000000003E-2</v>
      </c>
      <c r="M14" s="250">
        <v>8.2294999999999993E-2</v>
      </c>
      <c r="N14" s="249">
        <v>8.5662000000000002E-2</v>
      </c>
      <c r="O14" s="250">
        <v>9.4608000000000012E-2</v>
      </c>
      <c r="P14" s="249" t="s">
        <v>30</v>
      </c>
      <c r="Q14" s="250" t="s">
        <v>30</v>
      </c>
    </row>
    <row r="15" spans="1:17" ht="18" customHeight="1" thickBot="1">
      <c r="A15" s="324" t="s">
        <v>2354</v>
      </c>
      <c r="B15" s="249">
        <v>8.2110000000000002E-2</v>
      </c>
      <c r="C15" s="250">
        <v>7.9490000000000005E-2</v>
      </c>
      <c r="D15" s="249">
        <v>8.0619999999999997E-2</v>
      </c>
      <c r="E15" s="250">
        <v>8.0879999999999994E-2</v>
      </c>
      <c r="F15" s="249">
        <v>7.9579999999999998E-2</v>
      </c>
      <c r="G15" s="250">
        <v>8.2973999999999992E-2</v>
      </c>
      <c r="H15" s="249">
        <v>8.8699E-2</v>
      </c>
      <c r="I15" s="250">
        <v>9.7727999999999995E-2</v>
      </c>
      <c r="J15" s="249">
        <v>9.9682999999999994E-2</v>
      </c>
      <c r="K15" s="250">
        <v>9.8287999999999986E-2</v>
      </c>
      <c r="L15" s="249">
        <v>9.7224000000000005E-2</v>
      </c>
      <c r="M15" s="250">
        <v>0.10828699999999999</v>
      </c>
      <c r="N15" s="249">
        <v>0.110183</v>
      </c>
      <c r="O15" s="250">
        <v>0.118949</v>
      </c>
      <c r="P15" s="249">
        <v>0.11991199999999999</v>
      </c>
      <c r="Q15" s="250" t="s">
        <v>30</v>
      </c>
    </row>
    <row r="16" spans="1:17" ht="18" customHeight="1" thickBot="1">
      <c r="A16" s="324" t="s">
        <v>2355</v>
      </c>
      <c r="B16" s="249">
        <v>7.8270000000000006E-2</v>
      </c>
      <c r="C16" s="250">
        <v>8.3989999999999995E-2</v>
      </c>
      <c r="D16" s="249">
        <v>9.2520000000000005E-2</v>
      </c>
      <c r="E16" s="250">
        <v>9.3290000000000012E-2</v>
      </c>
      <c r="F16" s="249">
        <v>8.4209999999999993E-2</v>
      </c>
      <c r="G16" s="250">
        <v>8.8013999999999995E-2</v>
      </c>
      <c r="H16" s="249">
        <v>9.7910999999999998E-2</v>
      </c>
      <c r="I16" s="250">
        <v>0.10022199999999999</v>
      </c>
      <c r="J16" s="249">
        <v>9.5981999999999998E-2</v>
      </c>
      <c r="K16" s="250">
        <v>9.0303999999999995E-2</v>
      </c>
      <c r="L16" s="249">
        <v>8.5639999999999994E-2</v>
      </c>
      <c r="M16" s="250">
        <v>8.746000000000001E-2</v>
      </c>
      <c r="N16" s="249">
        <v>8.5512999999999992E-2</v>
      </c>
      <c r="O16" s="250">
        <v>9.7798999999999997E-2</v>
      </c>
      <c r="P16" s="249">
        <v>9.4143000000000004E-2</v>
      </c>
      <c r="Q16" s="250">
        <v>9.2036999999999994E-2</v>
      </c>
    </row>
    <row r="17" spans="1:17" ht="18" customHeight="1" thickBot="1">
      <c r="A17" s="324" t="s">
        <v>2356</v>
      </c>
      <c r="B17" s="249">
        <v>7.4630000000000002E-2</v>
      </c>
      <c r="C17" s="250">
        <v>7.3340000000000002E-2</v>
      </c>
      <c r="D17" s="249">
        <v>7.3190000000000005E-2</v>
      </c>
      <c r="E17" s="250">
        <v>7.3160000000000003E-2</v>
      </c>
      <c r="F17" s="249">
        <v>7.2110000000000007E-2</v>
      </c>
      <c r="G17" s="250">
        <v>7.2415999999999994E-2</v>
      </c>
      <c r="H17" s="249">
        <v>7.2503999999999999E-2</v>
      </c>
      <c r="I17" s="250">
        <v>8.1824999999999995E-2</v>
      </c>
      <c r="J17" s="249">
        <v>8.2256999999999997E-2</v>
      </c>
      <c r="K17" s="250">
        <v>8.3018999999999996E-2</v>
      </c>
      <c r="L17" s="249">
        <v>8.4040000000000004E-2</v>
      </c>
      <c r="M17" s="250">
        <v>8.4971999999999992E-2</v>
      </c>
      <c r="N17" s="249">
        <v>8.9437000000000003E-2</v>
      </c>
      <c r="O17" s="250">
        <v>9.6286999999999998E-2</v>
      </c>
      <c r="P17" s="249">
        <v>9.5821000000000003E-2</v>
      </c>
      <c r="Q17" s="250" t="s">
        <v>30</v>
      </c>
    </row>
    <row r="18" spans="1:17" ht="18" customHeight="1" thickBot="1">
      <c r="A18" s="324" t="s">
        <v>2357</v>
      </c>
      <c r="B18" s="249">
        <v>8.199999999999999E-2</v>
      </c>
      <c r="C18" s="250">
        <v>8.0259999999999998E-2</v>
      </c>
      <c r="D18" s="249">
        <v>8.115E-2</v>
      </c>
      <c r="E18" s="250">
        <v>8.1979999999999997E-2</v>
      </c>
      <c r="F18" s="249">
        <v>8.1799999999999998E-2</v>
      </c>
      <c r="G18" s="250">
        <v>8.8595000000000007E-2</v>
      </c>
      <c r="H18" s="249">
        <v>9.2281999999999989E-2</v>
      </c>
      <c r="I18" s="250">
        <v>9.3100000000000002E-2</v>
      </c>
      <c r="J18" s="249">
        <v>9.0879999999999989E-2</v>
      </c>
      <c r="K18" s="250">
        <v>9.0615000000000001E-2</v>
      </c>
      <c r="L18" s="249">
        <v>8.9480000000000004E-2</v>
      </c>
      <c r="M18" s="250">
        <v>8.9171999999999987E-2</v>
      </c>
      <c r="N18" s="249">
        <v>9.2284000000000005E-2</v>
      </c>
      <c r="O18" s="250">
        <v>9.9390000000000006E-2</v>
      </c>
      <c r="P18" s="249">
        <v>9.5554E-2</v>
      </c>
      <c r="Q18" s="250" t="s">
        <v>30</v>
      </c>
    </row>
    <row r="19" spans="1:17" ht="18" customHeight="1" thickBot="1">
      <c r="A19" s="324" t="s">
        <v>2358</v>
      </c>
      <c r="B19" s="249">
        <v>6.8440000000000001E-2</v>
      </c>
      <c r="C19" s="250">
        <v>6.6049999999999998E-2</v>
      </c>
      <c r="D19" s="249">
        <v>6.6549999999999998E-2</v>
      </c>
      <c r="E19" s="250">
        <v>6.8909999999999999E-2</v>
      </c>
      <c r="F19" s="249">
        <v>7.0099999999999996E-2</v>
      </c>
      <c r="G19" s="250">
        <v>7.2599999999999998E-2</v>
      </c>
      <c r="H19" s="249">
        <v>7.5731999999999994E-2</v>
      </c>
      <c r="I19" s="250">
        <v>7.7769000000000005E-2</v>
      </c>
      <c r="J19" s="249">
        <v>7.9995999999999998E-2</v>
      </c>
      <c r="K19" s="250">
        <v>8.2468E-2</v>
      </c>
      <c r="L19" s="249">
        <v>8.4627999999999995E-2</v>
      </c>
      <c r="M19" s="250">
        <v>8.4779999999999994E-2</v>
      </c>
      <c r="N19" s="249">
        <v>8.7584999999999996E-2</v>
      </c>
      <c r="O19" s="250">
        <v>9.8021999999999998E-2</v>
      </c>
      <c r="P19" s="249">
        <v>9.6206E-2</v>
      </c>
      <c r="Q19" s="250" t="s">
        <v>30</v>
      </c>
    </row>
    <row r="20" spans="1:17" ht="18" customHeight="1" thickBot="1">
      <c r="A20" s="324" t="s">
        <v>2359</v>
      </c>
      <c r="B20" s="249">
        <v>0.13666</v>
      </c>
      <c r="C20" s="250">
        <v>0.13561000000000001</v>
      </c>
      <c r="D20" s="249">
        <v>0.13580999999999999</v>
      </c>
      <c r="E20" s="250">
        <v>0.13583999999999999</v>
      </c>
      <c r="F20" s="249">
        <v>0.13663999999999998</v>
      </c>
      <c r="G20" s="250">
        <v>0.143211</v>
      </c>
      <c r="H20" s="249">
        <v>0.15149899999999999</v>
      </c>
      <c r="I20" s="250">
        <v>0.156857</v>
      </c>
      <c r="J20" s="249">
        <v>0.15778700000000001</v>
      </c>
      <c r="K20" s="250">
        <v>0.15829199999999999</v>
      </c>
      <c r="L20" s="249">
        <v>0.159302</v>
      </c>
      <c r="M20" s="250">
        <v>0.161524</v>
      </c>
      <c r="N20" s="249">
        <v>0.16601099999999999</v>
      </c>
      <c r="O20" s="250">
        <v>0.176734</v>
      </c>
      <c r="P20" s="249">
        <v>0.176117</v>
      </c>
      <c r="Q20" s="250" t="s">
        <v>30</v>
      </c>
    </row>
    <row r="21" spans="1:17" s="482" customFormat="1" ht="30" customHeight="1" thickBot="1">
      <c r="A21" s="1359" t="s">
        <v>2360</v>
      </c>
      <c r="B21" s="292">
        <v>9.9469999999999989E-2</v>
      </c>
      <c r="C21" s="289">
        <v>9.9510000000000001E-2</v>
      </c>
      <c r="D21" s="292">
        <v>0.10073</v>
      </c>
      <c r="E21" s="289">
        <v>0.10202</v>
      </c>
      <c r="F21" s="292">
        <v>0.10151</v>
      </c>
      <c r="G21" s="289">
        <v>0.10590400000000001</v>
      </c>
      <c r="H21" s="292">
        <v>0.109125</v>
      </c>
      <c r="I21" s="289">
        <v>0.11254699999999999</v>
      </c>
      <c r="J21" s="292">
        <v>0.11300399999999999</v>
      </c>
      <c r="K21" s="289">
        <v>0.11221</v>
      </c>
      <c r="L21" s="292">
        <v>0.10758100000000001</v>
      </c>
      <c r="M21" s="289">
        <v>0.10595800000000001</v>
      </c>
      <c r="N21" s="292">
        <v>0.10719799999999999</v>
      </c>
      <c r="O21" s="289">
        <v>0.11384999999999999</v>
      </c>
      <c r="P21" s="292">
        <v>0.11355399999999999</v>
      </c>
      <c r="Q21" s="1621">
        <v>0.114714</v>
      </c>
    </row>
    <row r="22" spans="1:17" ht="9.75" customHeight="1">
      <c r="A22" s="1622"/>
      <c r="B22" s="1623"/>
      <c r="C22" s="1623"/>
      <c r="D22" s="1623"/>
      <c r="E22" s="1623"/>
      <c r="F22" s="1623"/>
      <c r="G22" s="1624"/>
      <c r="H22" s="1624"/>
      <c r="I22" s="1624"/>
      <c r="J22" s="1624"/>
      <c r="K22" s="1624"/>
      <c r="L22" s="1624"/>
      <c r="M22" s="1624"/>
      <c r="N22" s="1624"/>
      <c r="O22" s="1624"/>
      <c r="P22" s="1624"/>
      <c r="Q22" s="1624"/>
    </row>
    <row r="23" spans="1:17" s="44" customFormat="1" ht="26.25" customHeight="1" thickBot="1">
      <c r="A23" s="1625" t="s">
        <v>2361</v>
      </c>
      <c r="B23" s="1626">
        <v>3.5624658814363358E-2</v>
      </c>
      <c r="C23" s="1388">
        <v>3.6541719623972846E-2</v>
      </c>
      <c r="D23" s="1626">
        <v>3.7643432570707028E-2</v>
      </c>
      <c r="E23" s="1388">
        <v>3.8407716952479763E-2</v>
      </c>
      <c r="F23" s="1626">
        <v>3.871842657206593E-2</v>
      </c>
      <c r="G23" s="1388">
        <v>4.019167602662601E-2</v>
      </c>
      <c r="H23" s="1626">
        <v>4.1494101249786454E-2</v>
      </c>
      <c r="I23" s="1388">
        <v>4.3116092512608215E-2</v>
      </c>
      <c r="J23" s="1626">
        <v>4.4590486061892129E-2</v>
      </c>
      <c r="K23" s="1388">
        <v>4.6026031703889358E-2</v>
      </c>
      <c r="L23" s="1626">
        <v>4.4196971221844489E-2</v>
      </c>
      <c r="M23" s="1388">
        <v>4.346644776913719E-2</v>
      </c>
      <c r="N23" s="1626">
        <v>4.390062689592053E-2</v>
      </c>
      <c r="O23" s="1388">
        <v>4.628131528862129E-2</v>
      </c>
      <c r="P23" s="1626">
        <v>4.6348073252223607E-2</v>
      </c>
      <c r="Q23" s="1388">
        <v>4.4626590275825509E-2</v>
      </c>
    </row>
    <row r="24" spans="1:17" ht="20" customHeight="1">
      <c r="A24" s="1627"/>
      <c r="B24" s="172"/>
      <c r="C24" s="172"/>
      <c r="D24" s="172"/>
      <c r="E24" s="172"/>
      <c r="F24" s="172"/>
    </row>
    <row r="25" spans="1:17" ht="20" customHeight="1">
      <c r="A25" s="1628"/>
      <c r="B25" s="172"/>
      <c r="C25" s="172"/>
      <c r="D25" s="172"/>
      <c r="E25" s="172"/>
      <c r="F25" s="172"/>
    </row>
    <row r="26" spans="1:17" ht="22.75" customHeight="1">
      <c r="A26" s="123" t="s">
        <v>2362</v>
      </c>
      <c r="B26" s="172"/>
      <c r="C26" s="172"/>
      <c r="D26" s="172"/>
      <c r="E26" s="172"/>
      <c r="F26" s="172"/>
    </row>
    <row r="27" spans="1:17" ht="78" customHeight="1">
      <c r="A27" s="1618" t="s">
        <v>2344</v>
      </c>
      <c r="B27" s="1619">
        <v>1996</v>
      </c>
      <c r="C27" s="1620">
        <v>1997</v>
      </c>
      <c r="D27" s="1619">
        <v>1998</v>
      </c>
      <c r="E27" s="1620">
        <v>1999</v>
      </c>
      <c r="F27" s="1619">
        <v>2000</v>
      </c>
      <c r="G27" s="1620">
        <v>2001</v>
      </c>
      <c r="H27" s="1619">
        <v>2002</v>
      </c>
      <c r="I27" s="1620">
        <v>2003</v>
      </c>
      <c r="J27" s="1619">
        <v>2004</v>
      </c>
      <c r="K27" s="1620">
        <v>2005</v>
      </c>
      <c r="L27" s="1619">
        <v>2006</v>
      </c>
      <c r="M27" s="1620">
        <v>2007</v>
      </c>
      <c r="N27" s="1619">
        <v>2008</v>
      </c>
      <c r="O27" s="1620">
        <v>2009</v>
      </c>
      <c r="P27" s="1619">
        <v>2010</v>
      </c>
      <c r="Q27" s="1620">
        <v>2011</v>
      </c>
    </row>
    <row r="28" spans="1:17" ht="23.5" customHeight="1" thickBot="1">
      <c r="A28" s="1300" t="s">
        <v>2345</v>
      </c>
      <c r="B28" s="410">
        <v>2192.1048443716359</v>
      </c>
      <c r="C28" s="411">
        <v>2560.8662900188324</v>
      </c>
      <c r="D28" s="410">
        <v>2317.1413775245987</v>
      </c>
      <c r="E28" s="411">
        <v>3150.6169207500006</v>
      </c>
      <c r="F28" s="410">
        <v>3827.6680403199994</v>
      </c>
      <c r="G28" s="411">
        <v>4394.4034119620337</v>
      </c>
      <c r="H28" s="410">
        <v>4531.5703432715336</v>
      </c>
      <c r="I28" s="411">
        <v>4749.8199963422667</v>
      </c>
      <c r="J28" s="410">
        <v>5046.9325172458848</v>
      </c>
      <c r="K28" s="411">
        <v>5192.6605567579363</v>
      </c>
      <c r="L28" s="410">
        <v>5246.3438413143595</v>
      </c>
      <c r="M28" s="411">
        <v>5361.6718063497092</v>
      </c>
      <c r="N28" s="410">
        <v>5345.8285815790769</v>
      </c>
      <c r="O28" s="411">
        <v>5628.7042973538892</v>
      </c>
      <c r="P28" s="410" t="s">
        <v>30</v>
      </c>
      <c r="Q28" s="411" t="s">
        <v>30</v>
      </c>
    </row>
    <row r="29" spans="1:17" ht="18" customHeight="1" thickBot="1">
      <c r="A29" s="324" t="s">
        <v>2346</v>
      </c>
      <c r="B29" s="195">
        <v>2936.0318277556753</v>
      </c>
      <c r="C29" s="196">
        <v>3042.2975517890773</v>
      </c>
      <c r="D29" s="195">
        <v>3159.606421543242</v>
      </c>
      <c r="E29" s="196">
        <v>5116.9991889304592</v>
      </c>
      <c r="F29" s="195">
        <v>5298.6362805677045</v>
      </c>
      <c r="G29" s="196">
        <v>5391.2915603186111</v>
      </c>
      <c r="H29" s="195">
        <v>5461.5150554135489</v>
      </c>
      <c r="I29" s="196">
        <v>5731.4207132307447</v>
      </c>
      <c r="J29" s="195">
        <v>6007.7600167771088</v>
      </c>
      <c r="K29" s="196">
        <v>6105.6310321310111</v>
      </c>
      <c r="L29" s="195">
        <v>6198.6009890588593</v>
      </c>
      <c r="M29" s="196">
        <v>6251.581549161192</v>
      </c>
      <c r="N29" s="195">
        <v>6462.6875019827767</v>
      </c>
      <c r="O29" s="196">
        <v>6665.4878337225282</v>
      </c>
      <c r="P29" s="195">
        <v>6665.5374902682379</v>
      </c>
      <c r="Q29" s="196" t="s">
        <v>30</v>
      </c>
    </row>
    <row r="30" spans="1:17" ht="18" customHeight="1" thickBot="1">
      <c r="A30" s="324" t="s">
        <v>2347</v>
      </c>
      <c r="B30" s="195">
        <v>3568.3697636321085</v>
      </c>
      <c r="C30" s="196">
        <v>3815.1977401129943</v>
      </c>
      <c r="D30" s="195">
        <v>3954.2206110823408</v>
      </c>
      <c r="E30" s="196">
        <v>3834.1266744456802</v>
      </c>
      <c r="F30" s="195">
        <v>4156.5449203343214</v>
      </c>
      <c r="G30" s="196">
        <v>4350.2841270461076</v>
      </c>
      <c r="H30" s="195">
        <v>4502.9896380346609</v>
      </c>
      <c r="I30" s="196">
        <v>5378.1673687704024</v>
      </c>
      <c r="J30" s="195">
        <v>5534.5589050326089</v>
      </c>
      <c r="K30" s="196">
        <v>5658.41891233769</v>
      </c>
      <c r="L30" s="195">
        <v>5435.2004509811431</v>
      </c>
      <c r="M30" s="196">
        <v>5477.673413550925</v>
      </c>
      <c r="N30" s="195">
        <v>5727.565195486688</v>
      </c>
      <c r="O30" s="196">
        <v>5998.5910139807947</v>
      </c>
      <c r="P30" s="195">
        <v>6019.5442534460799</v>
      </c>
      <c r="Q30" s="196" t="s">
        <v>30</v>
      </c>
    </row>
    <row r="31" spans="1:17" ht="18" customHeight="1" thickBot="1">
      <c r="A31" s="324" t="s">
        <v>2348</v>
      </c>
      <c r="B31" s="195">
        <v>3827.5043295108821</v>
      </c>
      <c r="C31" s="196">
        <v>3887.7024482109227</v>
      </c>
      <c r="D31" s="195">
        <v>3948.4205075090626</v>
      </c>
      <c r="E31" s="196">
        <v>4515.186284620786</v>
      </c>
      <c r="F31" s="195">
        <v>4642.6583575556215</v>
      </c>
      <c r="G31" s="196">
        <v>4927.2599063698608</v>
      </c>
      <c r="H31" s="195">
        <v>5083.98482248458</v>
      </c>
      <c r="I31" s="196">
        <v>5141.0101454570577</v>
      </c>
      <c r="J31" s="195">
        <v>5477.803711978152</v>
      </c>
      <c r="K31" s="196">
        <v>5651.7084301027826</v>
      </c>
      <c r="L31" s="195">
        <v>5932.3833768584545</v>
      </c>
      <c r="M31" s="196">
        <v>6026.7546107239323</v>
      </c>
      <c r="N31" s="195">
        <v>6281.1711103697953</v>
      </c>
      <c r="O31" s="196">
        <v>6724.6389872029904</v>
      </c>
      <c r="P31" s="195">
        <v>6770.4327976160903</v>
      </c>
      <c r="Q31" s="196" t="s">
        <v>30</v>
      </c>
    </row>
    <row r="32" spans="1:17" ht="18" customHeight="1" thickBot="1">
      <c r="A32" s="324" t="s">
        <v>2349</v>
      </c>
      <c r="B32" s="195">
        <v>2505.7940556985723</v>
      </c>
      <c r="C32" s="196">
        <v>2668.1732580037665</v>
      </c>
      <c r="D32" s="195">
        <v>2689.7980321077162</v>
      </c>
      <c r="E32" s="196">
        <v>3259.6741783650145</v>
      </c>
      <c r="F32" s="195">
        <v>3430.5305517873016</v>
      </c>
      <c r="G32" s="196">
        <v>3625.1418155797392</v>
      </c>
      <c r="H32" s="195">
        <v>3807.258785075378</v>
      </c>
      <c r="I32" s="196">
        <v>3999.6187026049502</v>
      </c>
      <c r="J32" s="195">
        <v>4299.9386348909729</v>
      </c>
      <c r="K32" s="196">
        <v>4511.138369306158</v>
      </c>
      <c r="L32" s="195">
        <v>4585.9527280456978</v>
      </c>
      <c r="M32" s="196">
        <v>4654.5027651990231</v>
      </c>
      <c r="N32" s="195">
        <v>4896.5113821741188</v>
      </c>
      <c r="O32" s="196">
        <v>5015.7143146694452</v>
      </c>
      <c r="P32" s="195">
        <v>4930.658219082582</v>
      </c>
      <c r="Q32" s="196">
        <v>4946.4777382592065</v>
      </c>
    </row>
    <row r="33" spans="1:17" ht="18" customHeight="1" thickBot="1">
      <c r="A33" s="324" t="s">
        <v>2350</v>
      </c>
      <c r="B33" s="195">
        <v>3398.5064357594197</v>
      </c>
      <c r="C33" s="196">
        <v>3536.7796610169494</v>
      </c>
      <c r="D33" s="195">
        <v>3603.3143448990163</v>
      </c>
      <c r="E33" s="196">
        <v>4500.2311086981563</v>
      </c>
      <c r="F33" s="195">
        <v>4726.9620350164387</v>
      </c>
      <c r="G33" s="196">
        <v>4997.4143282756249</v>
      </c>
      <c r="H33" s="195">
        <v>5173.0265306781275</v>
      </c>
      <c r="I33" s="196">
        <v>5297.2177269037747</v>
      </c>
      <c r="J33" s="195">
        <v>5452.1090617446325</v>
      </c>
      <c r="K33" s="196">
        <v>5740.6539943068246</v>
      </c>
      <c r="L33" s="195">
        <v>5777.2821186748797</v>
      </c>
      <c r="M33" s="196">
        <v>5868.0123269884534</v>
      </c>
      <c r="N33" s="195">
        <v>5806.8453155914476</v>
      </c>
      <c r="O33" s="196">
        <v>6027.3632883048203</v>
      </c>
      <c r="P33" s="195">
        <v>6027.3778709932058</v>
      </c>
      <c r="Q33" s="196" t="s">
        <v>30</v>
      </c>
    </row>
    <row r="34" spans="1:17" ht="18" customHeight="1" thickBot="1">
      <c r="A34" s="324" t="s">
        <v>2351</v>
      </c>
      <c r="B34" s="195">
        <v>1781.705125204774</v>
      </c>
      <c r="C34" s="196">
        <v>2246.1958568738232</v>
      </c>
      <c r="D34" s="195">
        <v>2430.2433972035215</v>
      </c>
      <c r="E34" s="196">
        <v>4832.1431527977438</v>
      </c>
      <c r="F34" s="195">
        <v>4940.8779416756997</v>
      </c>
      <c r="G34" s="196">
        <v>5161.9270751702779</v>
      </c>
      <c r="H34" s="195">
        <v>5212.591354358713</v>
      </c>
      <c r="I34" s="196">
        <v>5500.0040548808265</v>
      </c>
      <c r="J34" s="195">
        <v>5553.72689135378</v>
      </c>
      <c r="K34" s="196">
        <v>5859.3464875381151</v>
      </c>
      <c r="L34" s="195">
        <v>5914.3412431444449</v>
      </c>
      <c r="M34" s="196">
        <v>5956.1199196033767</v>
      </c>
      <c r="N34" s="195">
        <v>6143.8136245496635</v>
      </c>
      <c r="O34" s="196">
        <v>6479.6802121852252</v>
      </c>
      <c r="P34" s="195">
        <v>6580.1055730919252</v>
      </c>
      <c r="Q34" s="196" t="s">
        <v>30</v>
      </c>
    </row>
    <row r="35" spans="1:17" ht="18" customHeight="1" thickBot="1">
      <c r="A35" s="324" t="s">
        <v>2352</v>
      </c>
      <c r="B35" s="195">
        <v>2018.5218815820267</v>
      </c>
      <c r="C35" s="196">
        <v>2325.9510357815443</v>
      </c>
      <c r="D35" s="195">
        <v>2388.1926462972551</v>
      </c>
      <c r="E35" s="196">
        <v>3528.5266036080652</v>
      </c>
      <c r="F35" s="195">
        <v>3820.9668874989015</v>
      </c>
      <c r="G35" s="196">
        <v>4099.1150582474384</v>
      </c>
      <c r="H35" s="195">
        <v>3958.187068952122</v>
      </c>
      <c r="I35" s="196">
        <v>4024.5166351933153</v>
      </c>
      <c r="J35" s="195">
        <v>4159.851180818755</v>
      </c>
      <c r="K35" s="196">
        <v>4384.8901571475999</v>
      </c>
      <c r="L35" s="195">
        <v>4522.1478271740325</v>
      </c>
      <c r="M35" s="196">
        <v>4430.5994028698369</v>
      </c>
      <c r="N35" s="195">
        <v>4595.3207660601065</v>
      </c>
      <c r="O35" s="196">
        <v>4608.0869537304816</v>
      </c>
      <c r="P35" s="195">
        <v>4494.9849261830177</v>
      </c>
      <c r="Q35" s="196" t="s">
        <v>30</v>
      </c>
    </row>
    <row r="36" spans="1:17" ht="18" customHeight="1" thickBot="1">
      <c r="A36" s="324" t="s">
        <v>2353</v>
      </c>
      <c r="B36" s="195">
        <v>3216.2443248303298</v>
      </c>
      <c r="C36" s="196">
        <v>3420.7721280602636</v>
      </c>
      <c r="D36" s="195">
        <v>3221.9575349559814</v>
      </c>
      <c r="E36" s="196">
        <v>3426.3828269447154</v>
      </c>
      <c r="F36" s="195">
        <v>3654.081376035751</v>
      </c>
      <c r="G36" s="196">
        <v>3817.2290695405686</v>
      </c>
      <c r="H36" s="195">
        <v>3791.2445149350629</v>
      </c>
      <c r="I36" s="196">
        <v>3971.4903251855826</v>
      </c>
      <c r="J36" s="195">
        <v>4115.6196193965961</v>
      </c>
      <c r="K36" s="196">
        <v>4340.8625620828225</v>
      </c>
      <c r="L36" s="195">
        <v>4322.9910212611594</v>
      </c>
      <c r="M36" s="196">
        <v>4394.1837505864451</v>
      </c>
      <c r="N36" s="195">
        <v>4456.4592180777545</v>
      </c>
      <c r="O36" s="196">
        <v>4653.9517183548905</v>
      </c>
      <c r="P36" s="195" t="s">
        <v>30</v>
      </c>
      <c r="Q36" s="196" t="s">
        <v>30</v>
      </c>
    </row>
    <row r="37" spans="1:17" ht="18" customHeight="1" thickBot="1">
      <c r="A37" s="324" t="s">
        <v>2354</v>
      </c>
      <c r="B37" s="195">
        <v>2722.7727591855837</v>
      </c>
      <c r="C37" s="196">
        <v>2839.2843691148778</v>
      </c>
      <c r="D37" s="195">
        <v>2997.2035214914554</v>
      </c>
      <c r="E37" s="196">
        <v>4077.5826348176147</v>
      </c>
      <c r="F37" s="195">
        <v>4332.0970438718368</v>
      </c>
      <c r="G37" s="196">
        <v>4699.3593410012363</v>
      </c>
      <c r="H37" s="195">
        <v>5017.609171596212</v>
      </c>
      <c r="I37" s="196">
        <v>5504.6339267779413</v>
      </c>
      <c r="J37" s="195">
        <v>5802.0947709173961</v>
      </c>
      <c r="K37" s="196">
        <v>6013.1007929733314</v>
      </c>
      <c r="L37" s="195">
        <v>6138.7950776495363</v>
      </c>
      <c r="M37" s="196">
        <v>7056.6952605380484</v>
      </c>
      <c r="N37" s="195">
        <v>7322.8538694103809</v>
      </c>
      <c r="O37" s="196">
        <v>7493.4969368043849</v>
      </c>
      <c r="P37" s="195">
        <v>7668.8061147206154</v>
      </c>
      <c r="Q37" s="196" t="s">
        <v>30</v>
      </c>
    </row>
    <row r="38" spans="1:17" ht="18" customHeight="1" thickBot="1">
      <c r="A38" s="324" t="s">
        <v>2355</v>
      </c>
      <c r="B38" s="195">
        <v>3547.2918324362277</v>
      </c>
      <c r="C38" s="196">
        <v>4376.3841807909603</v>
      </c>
      <c r="D38" s="195">
        <v>4571.9316416364582</v>
      </c>
      <c r="E38" s="196">
        <v>5204.6970295123101</v>
      </c>
      <c r="F38" s="195">
        <v>5633.2978483365123</v>
      </c>
      <c r="G38" s="196">
        <v>6005.5493554828254</v>
      </c>
      <c r="H38" s="195">
        <v>6426.4551072823324</v>
      </c>
      <c r="I38" s="196">
        <v>6813.8972716213366</v>
      </c>
      <c r="J38" s="195">
        <v>7149.9077848485995</v>
      </c>
      <c r="K38" s="196">
        <v>7495.3122135851454</v>
      </c>
      <c r="L38" s="195">
        <v>7647.4701101316823</v>
      </c>
      <c r="M38" s="196">
        <v>7814.0865527353308</v>
      </c>
      <c r="N38" s="195">
        <v>8123.5922815306931</v>
      </c>
      <c r="O38" s="196">
        <v>8202.3932225645603</v>
      </c>
      <c r="P38" s="195">
        <v>8171.3656914019957</v>
      </c>
      <c r="Q38" s="196">
        <v>7834.0074478552024</v>
      </c>
    </row>
    <row r="39" spans="1:17" ht="18" customHeight="1" thickBot="1">
      <c r="A39" s="324" t="s">
        <v>2356</v>
      </c>
      <c r="B39" s="195">
        <v>3455.5408378188627</v>
      </c>
      <c r="C39" s="196">
        <v>3684.6892655367233</v>
      </c>
      <c r="D39" s="195">
        <v>3848.3687208700157</v>
      </c>
      <c r="E39" s="196">
        <v>2715.4671588779997</v>
      </c>
      <c r="F39" s="195">
        <v>2846.2701859878989</v>
      </c>
      <c r="G39" s="196">
        <v>3008.8746501987248</v>
      </c>
      <c r="H39" s="195">
        <v>3090.6816983622907</v>
      </c>
      <c r="I39" s="196">
        <v>3599.0961375692109</v>
      </c>
      <c r="J39" s="195">
        <v>3744.9073542451652</v>
      </c>
      <c r="K39" s="196">
        <v>3963.121404550368</v>
      </c>
      <c r="L39" s="195">
        <v>4232.8392223265701</v>
      </c>
      <c r="M39" s="196">
        <v>4382.0500534535104</v>
      </c>
      <c r="N39" s="195">
        <v>4592.5200078018925</v>
      </c>
      <c r="O39" s="196">
        <v>4749.0906053766521</v>
      </c>
      <c r="P39" s="195">
        <v>4634.5230872225457</v>
      </c>
      <c r="Q39" s="196" t="s">
        <v>30</v>
      </c>
    </row>
    <row r="40" spans="1:17" ht="18" customHeight="1" thickBot="1">
      <c r="A40" s="324" t="s">
        <v>2357</v>
      </c>
      <c r="B40" s="195">
        <v>3177.8080973554879</v>
      </c>
      <c r="C40" s="196">
        <v>3333.7664783427495</v>
      </c>
      <c r="D40" s="195">
        <v>3385.8104609010875</v>
      </c>
      <c r="E40" s="196">
        <v>3986.806888725398</v>
      </c>
      <c r="F40" s="195">
        <v>4233.0095814475944</v>
      </c>
      <c r="G40" s="196">
        <v>4601.941230446384</v>
      </c>
      <c r="H40" s="195">
        <v>4785.2285964602224</v>
      </c>
      <c r="I40" s="196">
        <v>5032.0678755715862</v>
      </c>
      <c r="J40" s="195">
        <v>5179.7775159616585</v>
      </c>
      <c r="K40" s="196">
        <v>5164.4543983692756</v>
      </c>
      <c r="L40" s="195">
        <v>5298.0003710463916</v>
      </c>
      <c r="M40" s="196">
        <v>5490.1748130221058</v>
      </c>
      <c r="N40" s="195">
        <v>5661.6224766931755</v>
      </c>
      <c r="O40" s="196">
        <v>5691.1425802709609</v>
      </c>
      <c r="P40" s="195">
        <v>5699.3138731738472</v>
      </c>
      <c r="Q40" s="196" t="s">
        <v>30</v>
      </c>
    </row>
    <row r="41" spans="1:17" ht="18" customHeight="1" thickBot="1">
      <c r="A41" s="324" t="s">
        <v>2358</v>
      </c>
      <c r="B41" s="195">
        <v>1461.8165223496374</v>
      </c>
      <c r="C41" s="196">
        <v>1538.5499058380415</v>
      </c>
      <c r="D41" s="195">
        <v>1602.2786121180736</v>
      </c>
      <c r="E41" s="196">
        <v>3128.236005399538</v>
      </c>
      <c r="F41" s="195">
        <v>3383.516819592403</v>
      </c>
      <c r="G41" s="196">
        <v>3683.4413396591203</v>
      </c>
      <c r="H41" s="195">
        <v>3873.8260709109568</v>
      </c>
      <c r="I41" s="196">
        <v>4123.0877574884025</v>
      </c>
      <c r="J41" s="195">
        <v>4455.1629469433474</v>
      </c>
      <c r="K41" s="196">
        <v>4705.1766554992282</v>
      </c>
      <c r="L41" s="195">
        <v>4910.7239038047255</v>
      </c>
      <c r="M41" s="196">
        <v>4847.7415446274181</v>
      </c>
      <c r="N41" s="195">
        <v>4867.394956399894</v>
      </c>
      <c r="O41" s="196">
        <v>5182.168605085496</v>
      </c>
      <c r="P41" s="195">
        <v>5207.2192414771998</v>
      </c>
      <c r="Q41" s="196" t="s">
        <v>30</v>
      </c>
    </row>
    <row r="42" spans="1:17" ht="22.5" customHeight="1" thickBot="1">
      <c r="A42" s="324" t="s">
        <v>2359</v>
      </c>
      <c r="B42" s="793">
        <v>4835.5253919962552</v>
      </c>
      <c r="C42" s="1143">
        <v>5880.1318267419965</v>
      </c>
      <c r="D42" s="793">
        <v>6142.3096841015022</v>
      </c>
      <c r="E42" s="196">
        <v>8477.1639866804471</v>
      </c>
      <c r="F42" s="195">
        <v>8874.8718178342388</v>
      </c>
      <c r="G42" s="196">
        <v>9461.8000986620864</v>
      </c>
      <c r="H42" s="195">
        <v>9875.3271405185151</v>
      </c>
      <c r="I42" s="196">
        <v>10648.591824269888</v>
      </c>
      <c r="J42" s="195">
        <v>11145.989706892726</v>
      </c>
      <c r="K42" s="196">
        <v>11724.694678418802</v>
      </c>
      <c r="L42" s="195">
        <v>11785.905819203737</v>
      </c>
      <c r="M42" s="196">
        <v>11972.660469814013</v>
      </c>
      <c r="N42" s="195">
        <v>12018.363108999811</v>
      </c>
      <c r="O42" s="196">
        <v>12253.408507279373</v>
      </c>
      <c r="P42" s="195">
        <v>12486.823377662256</v>
      </c>
      <c r="Q42" s="196" t="s">
        <v>30</v>
      </c>
    </row>
    <row r="43" spans="1:17" s="382" customFormat="1" ht="21.75" customHeight="1" thickBot="1">
      <c r="A43" s="1359" t="s">
        <v>2360</v>
      </c>
      <c r="B43" s="108">
        <v>5298</v>
      </c>
      <c r="C43" s="500">
        <v>5390</v>
      </c>
      <c r="D43" s="108">
        <v>5600</v>
      </c>
      <c r="E43" s="225">
        <v>5753.71</v>
      </c>
      <c r="F43" s="224">
        <v>5963.4530000000004</v>
      </c>
      <c r="G43" s="225">
        <v>6306.2221</v>
      </c>
      <c r="H43" s="224">
        <v>6505.1796999999997</v>
      </c>
      <c r="I43" s="225">
        <v>6712.7875999999997</v>
      </c>
      <c r="J43" s="224">
        <v>6902.6113999999998</v>
      </c>
      <c r="K43" s="225">
        <v>6997.7448999999997</v>
      </c>
      <c r="L43" s="224">
        <v>7051.5506999999998</v>
      </c>
      <c r="M43" s="225">
        <v>7312.1558999999997</v>
      </c>
      <c r="N43" s="224">
        <v>7639.7133999999996</v>
      </c>
      <c r="O43" s="225">
        <v>7875.1530000000002</v>
      </c>
      <c r="P43" s="1281">
        <v>7992.4785000000002</v>
      </c>
      <c r="Q43" s="1282">
        <v>8213.1026000000002</v>
      </c>
    </row>
    <row r="44" spans="1:17" ht="9.75" customHeight="1">
      <c r="A44" s="1622"/>
      <c r="B44" s="1623"/>
      <c r="C44" s="1623"/>
      <c r="D44" s="1623"/>
      <c r="E44" s="1629"/>
      <c r="F44" s="1629"/>
      <c r="G44" s="1630"/>
      <c r="H44" s="1630"/>
      <c r="I44" s="1630"/>
      <c r="J44" s="1630"/>
      <c r="K44" s="1630"/>
      <c r="L44" s="1630"/>
      <c r="M44" s="1630"/>
      <c r="N44" s="1630"/>
      <c r="O44" s="1630"/>
      <c r="P44" s="1630"/>
      <c r="Q44" s="1630"/>
    </row>
    <row r="45" spans="1:17" s="44" customFormat="1" ht="26.25" customHeight="1" thickBot="1">
      <c r="A45" s="1631" t="s">
        <v>2361</v>
      </c>
      <c r="B45" s="1632">
        <v>1855.3107485800188</v>
      </c>
      <c r="C45" s="1633">
        <v>1939.0233128827574</v>
      </c>
      <c r="D45" s="1632">
        <v>2053.2393946360617</v>
      </c>
      <c r="E45" s="1633">
        <v>2128.4240170100579</v>
      </c>
      <c r="F45" s="417">
        <v>2249.3257570804471</v>
      </c>
      <c r="G45" s="1412">
        <v>2368.8798186562203</v>
      </c>
      <c r="H45" s="417">
        <v>2453.378303724407</v>
      </c>
      <c r="I45" s="1412">
        <v>2559.9512260364686</v>
      </c>
      <c r="J45" s="417">
        <v>2725.9429772763169</v>
      </c>
      <c r="K45" s="1412">
        <v>2870.7950047573486</v>
      </c>
      <c r="L45" s="417">
        <v>2899.0829518125847</v>
      </c>
      <c r="M45" s="1412">
        <v>3004.9921877854235</v>
      </c>
      <c r="N45" s="417">
        <v>3137.0665548927504</v>
      </c>
      <c r="O45" s="1412">
        <v>3215.8599114526196</v>
      </c>
      <c r="P45" s="417">
        <v>3280.0789709587111</v>
      </c>
      <c r="Q45" s="1412">
        <v>3330.3997975810171</v>
      </c>
    </row>
    <row r="46" spans="1:17" ht="20" customHeight="1">
      <c r="A46" s="1320" t="s">
        <v>2399</v>
      </c>
      <c r="B46" s="173"/>
      <c r="C46" s="173"/>
      <c r="D46" s="173"/>
      <c r="E46" s="173"/>
      <c r="F46" s="173"/>
      <c r="G46" s="173"/>
    </row>
    <row r="47" spans="1:17" ht="16.5" customHeight="1">
      <c r="A47" s="1320"/>
      <c r="B47" s="173"/>
      <c r="C47" s="173"/>
      <c r="D47" s="173"/>
      <c r="E47" s="173"/>
      <c r="F47" s="173"/>
      <c r="G47" s="173"/>
    </row>
    <row r="48" spans="1:17" ht="16.5" customHeight="1">
      <c r="A48" s="1628" t="s">
        <v>2363</v>
      </c>
      <c r="B48" s="172"/>
      <c r="C48" s="172"/>
      <c r="D48" s="172"/>
      <c r="E48" s="172"/>
      <c r="F48" s="172"/>
      <c r="G48" s="115"/>
      <c r="H48" s="115"/>
      <c r="I48" s="115"/>
      <c r="J48" s="115"/>
      <c r="K48" s="115"/>
      <c r="L48" s="115"/>
      <c r="M48" s="115"/>
      <c r="N48" s="115"/>
      <c r="O48" s="115"/>
    </row>
    <row r="49" spans="1:11" ht="17.25" customHeight="1">
      <c r="A49" s="1628" t="s">
        <v>2364</v>
      </c>
      <c r="B49" s="172"/>
      <c r="C49" s="172"/>
      <c r="D49" s="172"/>
      <c r="E49" s="172"/>
      <c r="F49" s="172"/>
    </row>
    <row r="50" spans="1:11" ht="16.5" customHeight="1">
      <c r="A50" s="1628" t="s">
        <v>2365</v>
      </c>
      <c r="B50" s="172"/>
      <c r="C50" s="172"/>
      <c r="D50" s="172"/>
      <c r="E50" s="172"/>
      <c r="F50" s="172"/>
    </row>
    <row r="51" spans="1:11" ht="16.5" customHeight="1">
      <c r="A51" s="1628" t="s">
        <v>2366</v>
      </c>
      <c r="B51" s="172"/>
      <c r="C51" s="172"/>
      <c r="D51" s="172"/>
      <c r="E51" s="172"/>
      <c r="F51" s="172"/>
    </row>
    <row r="52" spans="1:11" ht="13.5" customHeight="1">
      <c r="A52" s="1628"/>
      <c r="B52" s="172"/>
      <c r="C52" s="172"/>
      <c r="D52" s="172"/>
      <c r="E52" s="172"/>
      <c r="F52" s="172"/>
    </row>
    <row r="53" spans="1:11" ht="12.75" customHeight="1">
      <c r="A53" s="1628" t="s">
        <v>2367</v>
      </c>
      <c r="B53" s="172"/>
      <c r="C53" s="172"/>
      <c r="D53" s="172"/>
      <c r="E53" s="172"/>
      <c r="F53" s="172"/>
    </row>
    <row r="54" spans="1:11" ht="12.75" customHeight="1">
      <c r="A54" s="1628" t="s">
        <v>2368</v>
      </c>
      <c r="B54" s="172"/>
      <c r="C54" s="172"/>
      <c r="D54" s="172"/>
      <c r="E54" s="172"/>
      <c r="F54" s="172"/>
    </row>
    <row r="55" spans="1:11" ht="15.75" customHeight="1">
      <c r="A55" s="1628" t="s">
        <v>2369</v>
      </c>
      <c r="B55" s="172"/>
      <c r="C55" s="172"/>
      <c r="D55" s="172"/>
      <c r="E55" s="172"/>
      <c r="F55" s="172"/>
    </row>
    <row r="56" spans="1:11" ht="9.5" customHeight="1">
      <c r="A56" s="1095"/>
      <c r="B56" s="173"/>
      <c r="C56" s="173"/>
      <c r="D56" s="173"/>
      <c r="E56" s="173"/>
      <c r="F56" s="173"/>
      <c r="G56" s="173"/>
    </row>
    <row r="57" spans="1:11" ht="14.25" customHeight="1">
      <c r="A57" s="1628" t="s">
        <v>2370</v>
      </c>
      <c r="B57" s="173"/>
      <c r="C57" s="173"/>
      <c r="D57" s="173"/>
      <c r="E57" s="173"/>
      <c r="F57" s="173"/>
      <c r="G57" s="173"/>
    </row>
    <row r="58" spans="1:11" ht="14.25" customHeight="1">
      <c r="A58" s="1628" t="s">
        <v>2371</v>
      </c>
      <c r="B58" s="173"/>
      <c r="C58" s="173"/>
      <c r="D58" s="173"/>
      <c r="E58" s="173"/>
      <c r="F58" s="173"/>
      <c r="G58" s="173"/>
    </row>
    <row r="59" spans="1:11" ht="14.25" customHeight="1">
      <c r="A59" s="952"/>
      <c r="B59" s="173"/>
      <c r="C59" s="173"/>
      <c r="D59" s="173"/>
      <c r="E59" s="173"/>
      <c r="F59" s="173"/>
      <c r="G59" s="173"/>
    </row>
    <row r="60" spans="1:11" ht="18.75" customHeight="1">
      <c r="A60" s="389" t="s">
        <v>719</v>
      </c>
      <c r="B60" s="173"/>
      <c r="C60" s="173"/>
      <c r="D60" s="173"/>
      <c r="E60" s="173"/>
      <c r="F60" s="173"/>
      <c r="G60" s="173"/>
    </row>
    <row r="61" spans="1:11" ht="31" customHeight="1">
      <c r="A61" s="173"/>
      <c r="B61" s="173"/>
      <c r="C61" s="173"/>
      <c r="D61" s="173"/>
      <c r="E61" s="173"/>
      <c r="F61" s="173"/>
      <c r="G61" s="173"/>
      <c r="K61" s="2"/>
    </row>
    <row r="62" spans="1:11" ht="31" customHeight="1">
      <c r="A62" s="173"/>
      <c r="B62" s="173"/>
      <c r="C62" s="173"/>
      <c r="D62" s="173"/>
      <c r="E62" s="173"/>
      <c r="F62" s="173"/>
      <c r="G62" s="173"/>
    </row>
    <row r="63" spans="1:11" ht="31" customHeight="1">
      <c r="A63" s="173"/>
      <c r="B63" s="173"/>
      <c r="C63" s="173"/>
      <c r="D63" s="173"/>
      <c r="E63" s="173"/>
      <c r="F63" s="173"/>
      <c r="G63" s="173"/>
    </row>
    <row r="64" spans="1:11" ht="31" customHeight="1">
      <c r="A64" s="173"/>
      <c r="B64" s="173"/>
      <c r="C64" s="173"/>
      <c r="D64" s="173"/>
      <c r="E64" s="173"/>
      <c r="F64" s="173"/>
      <c r="G64" s="173"/>
    </row>
    <row r="65" spans="1:7" ht="31" customHeight="1">
      <c r="A65" s="173"/>
      <c r="B65" s="173"/>
      <c r="C65" s="173"/>
      <c r="D65" s="173"/>
      <c r="E65" s="173"/>
      <c r="F65" s="173"/>
      <c r="G65" s="173"/>
    </row>
    <row r="66" spans="1:7" ht="31" customHeight="1">
      <c r="A66" s="173"/>
      <c r="B66" s="173"/>
      <c r="C66" s="173"/>
      <c r="D66" s="173"/>
      <c r="E66" s="173"/>
      <c r="F66" s="173"/>
      <c r="G66" s="173"/>
    </row>
    <row r="67" spans="1:7" ht="31" customHeight="1">
      <c r="A67" s="173"/>
      <c r="B67" s="173"/>
      <c r="C67" s="173"/>
      <c r="D67" s="173"/>
      <c r="E67" s="173"/>
      <c r="F67" s="173"/>
      <c r="G67" s="173"/>
    </row>
    <row r="68" spans="1:7">
      <c r="A68" s="173"/>
      <c r="B68" s="173"/>
      <c r="C68" s="173"/>
      <c r="D68" s="173"/>
      <c r="E68" s="173"/>
      <c r="F68" s="173"/>
      <c r="G68" s="173"/>
    </row>
    <row r="69" spans="1:7">
      <c r="A69" s="173"/>
      <c r="B69" s="173"/>
      <c r="C69" s="173"/>
      <c r="D69" s="173"/>
      <c r="E69" s="173"/>
      <c r="F69" s="173"/>
      <c r="G69" s="173"/>
    </row>
    <row r="70" spans="1:7">
      <c r="A70" s="173"/>
      <c r="B70" s="173"/>
      <c r="C70" s="173"/>
      <c r="D70" s="173"/>
      <c r="E70" s="173"/>
      <c r="F70" s="173"/>
      <c r="G70" s="173"/>
    </row>
    <row r="71" spans="1:7">
      <c r="A71" s="173"/>
      <c r="B71" s="173"/>
      <c r="C71" s="173"/>
      <c r="D71" s="173"/>
      <c r="E71" s="173"/>
      <c r="F71" s="173"/>
      <c r="G71" s="173"/>
    </row>
    <row r="72" spans="1:7">
      <c r="A72" s="173"/>
      <c r="B72" s="173"/>
      <c r="C72" s="173"/>
      <c r="D72" s="173"/>
      <c r="E72" s="173"/>
      <c r="F72" s="173"/>
      <c r="G72" s="173"/>
    </row>
    <row r="73" spans="1:7">
      <c r="A73" s="173"/>
      <c r="B73" s="173"/>
      <c r="C73" s="173"/>
      <c r="D73" s="173"/>
      <c r="E73" s="173"/>
      <c r="F73" s="173"/>
      <c r="G73" s="173"/>
    </row>
    <row r="74" spans="1:7">
      <c r="A74" s="173"/>
      <c r="B74" s="173"/>
      <c r="C74" s="173"/>
      <c r="D74" s="173"/>
      <c r="E74" s="173"/>
      <c r="F74" s="173"/>
      <c r="G74" s="173"/>
    </row>
    <row r="75" spans="1:7">
      <c r="A75" s="173"/>
      <c r="B75" s="173"/>
      <c r="C75" s="173"/>
      <c r="D75" s="173"/>
      <c r="E75" s="173"/>
      <c r="F75" s="173"/>
      <c r="G75" s="173"/>
    </row>
    <row r="76" spans="1:7">
      <c r="A76" s="173"/>
      <c r="B76" s="173"/>
      <c r="C76" s="173"/>
      <c r="D76" s="173"/>
      <c r="E76" s="173"/>
      <c r="F76" s="173"/>
      <c r="G76" s="173"/>
    </row>
    <row r="77" spans="1:7">
      <c r="A77" s="173"/>
      <c r="B77" s="173"/>
      <c r="C77" s="173"/>
      <c r="D77" s="173"/>
      <c r="E77" s="173"/>
      <c r="F77" s="173"/>
      <c r="G77" s="173"/>
    </row>
    <row r="78" spans="1:7">
      <c r="A78" s="173"/>
      <c r="B78" s="173"/>
      <c r="C78" s="173"/>
      <c r="D78" s="173"/>
      <c r="E78" s="173"/>
      <c r="F78" s="173"/>
      <c r="G78" s="173"/>
    </row>
    <row r="79" spans="1:7">
      <c r="A79" s="173"/>
      <c r="B79" s="173"/>
      <c r="C79" s="173"/>
      <c r="D79" s="173"/>
      <c r="E79" s="173"/>
      <c r="F79" s="173"/>
      <c r="G79" s="173"/>
    </row>
    <row r="80" spans="1:7">
      <c r="A80" s="173"/>
      <c r="B80" s="173"/>
      <c r="C80" s="173"/>
      <c r="D80" s="173"/>
      <c r="E80" s="173"/>
      <c r="F80" s="173"/>
      <c r="G80" s="173"/>
    </row>
    <row r="81" spans="1:7">
      <c r="A81" s="173"/>
      <c r="B81" s="173"/>
      <c r="C81" s="173"/>
      <c r="D81" s="173"/>
      <c r="E81" s="173"/>
      <c r="F81" s="173"/>
      <c r="G81" s="173"/>
    </row>
    <row r="82" spans="1:7">
      <c r="A82" s="173"/>
      <c r="B82" s="173"/>
      <c r="C82" s="173"/>
      <c r="D82" s="173"/>
      <c r="E82" s="173"/>
      <c r="F82" s="173"/>
      <c r="G82" s="173"/>
    </row>
    <row r="83" spans="1:7">
      <c r="A83" s="173"/>
      <c r="B83" s="173"/>
      <c r="C83" s="173"/>
      <c r="D83" s="173"/>
      <c r="E83" s="173"/>
      <c r="F83" s="173"/>
      <c r="G83" s="173"/>
    </row>
    <row r="84" spans="1:7">
      <c r="A84" s="173"/>
      <c r="B84" s="173"/>
      <c r="C84" s="173"/>
      <c r="D84" s="173"/>
      <c r="E84" s="173"/>
      <c r="F84" s="173"/>
      <c r="G84" s="173"/>
    </row>
    <row r="85" spans="1:7">
      <c r="A85" s="173"/>
      <c r="B85" s="173"/>
      <c r="C85" s="173"/>
      <c r="D85" s="173"/>
      <c r="E85" s="173"/>
      <c r="F85" s="173"/>
      <c r="G85" s="173"/>
    </row>
    <row r="86" spans="1:7">
      <c r="A86" s="173"/>
      <c r="B86" s="173"/>
      <c r="C86" s="173"/>
      <c r="D86" s="173"/>
      <c r="E86" s="173"/>
      <c r="F86" s="173"/>
      <c r="G86" s="173"/>
    </row>
    <row r="87" spans="1:7">
      <c r="A87" s="173"/>
      <c r="B87" s="173"/>
      <c r="C87" s="173"/>
      <c r="D87" s="173"/>
      <c r="E87" s="173"/>
      <c r="F87" s="173"/>
      <c r="G87" s="173"/>
    </row>
    <row r="88" spans="1:7">
      <c r="A88" s="173"/>
      <c r="B88" s="173"/>
      <c r="C88" s="173"/>
      <c r="D88" s="173"/>
      <c r="E88" s="173"/>
      <c r="F88" s="173"/>
      <c r="G88" s="173"/>
    </row>
    <row r="89" spans="1:7">
      <c r="A89" s="173"/>
      <c r="B89" s="173"/>
      <c r="C89" s="173"/>
      <c r="D89" s="173"/>
      <c r="E89" s="173"/>
      <c r="F89" s="173"/>
      <c r="G89" s="173"/>
    </row>
    <row r="90" spans="1:7">
      <c r="A90" s="173"/>
      <c r="B90" s="173"/>
      <c r="C90" s="173"/>
      <c r="D90" s="173"/>
      <c r="E90" s="173"/>
      <c r="F90" s="173"/>
      <c r="G90" s="173"/>
    </row>
    <row r="91" spans="1:7">
      <c r="A91" s="173"/>
      <c r="B91" s="173"/>
      <c r="C91" s="173"/>
      <c r="D91" s="173"/>
      <c r="E91" s="173"/>
      <c r="F91" s="173"/>
      <c r="G91" s="173"/>
    </row>
    <row r="92" spans="1:7">
      <c r="A92" s="173"/>
      <c r="B92" s="173"/>
      <c r="C92" s="173"/>
      <c r="D92" s="173"/>
      <c r="E92" s="173"/>
      <c r="F92" s="173"/>
      <c r="G92" s="173"/>
    </row>
    <row r="93" spans="1:7">
      <c r="A93" s="173"/>
      <c r="B93" s="173"/>
      <c r="C93" s="173"/>
      <c r="D93" s="173"/>
      <c r="E93" s="173"/>
      <c r="F93" s="173"/>
      <c r="G93" s="173"/>
    </row>
    <row r="94" spans="1:7">
      <c r="A94" s="173"/>
      <c r="B94" s="173"/>
      <c r="C94" s="173"/>
      <c r="D94" s="173"/>
      <c r="E94" s="173"/>
      <c r="F94" s="173"/>
      <c r="G94" s="173"/>
    </row>
    <row r="95" spans="1:7">
      <c r="A95" s="173"/>
      <c r="B95" s="173"/>
      <c r="C95" s="173"/>
      <c r="D95" s="173"/>
      <c r="E95" s="173"/>
      <c r="F95" s="173"/>
      <c r="G95" s="173"/>
    </row>
    <row r="96" spans="1:7">
      <c r="A96" s="173"/>
      <c r="B96" s="173"/>
      <c r="C96" s="173"/>
      <c r="D96" s="173"/>
      <c r="E96" s="173"/>
      <c r="F96" s="173"/>
      <c r="G96" s="173"/>
    </row>
    <row r="97" spans="1:7">
      <c r="A97" s="173"/>
      <c r="B97" s="173"/>
      <c r="C97" s="173"/>
      <c r="D97" s="173"/>
      <c r="E97" s="173"/>
      <c r="F97" s="173"/>
      <c r="G97" s="173"/>
    </row>
    <row r="98" spans="1:7">
      <c r="A98" s="173"/>
      <c r="B98" s="173"/>
      <c r="C98" s="173"/>
      <c r="D98" s="173"/>
      <c r="E98" s="173"/>
      <c r="F98" s="173"/>
      <c r="G98" s="173"/>
    </row>
    <row r="99" spans="1:7">
      <c r="A99" s="173"/>
      <c r="B99" s="173"/>
      <c r="C99" s="173"/>
      <c r="D99" s="173"/>
      <c r="E99" s="173"/>
      <c r="F99" s="173"/>
      <c r="G99" s="173"/>
    </row>
    <row r="100" spans="1:7">
      <c r="A100" s="173"/>
      <c r="B100" s="173"/>
      <c r="C100" s="173"/>
      <c r="D100" s="173"/>
      <c r="E100" s="173"/>
      <c r="F100" s="173"/>
      <c r="G100" s="173"/>
    </row>
    <row r="101" spans="1:7">
      <c r="A101" s="173"/>
      <c r="B101" s="173"/>
      <c r="C101" s="173"/>
      <c r="D101" s="173"/>
      <c r="E101" s="173"/>
      <c r="F101" s="173"/>
      <c r="G101" s="173"/>
    </row>
    <row r="102" spans="1:7">
      <c r="A102" s="173"/>
      <c r="B102" s="173"/>
      <c r="C102" s="173"/>
      <c r="D102" s="173"/>
      <c r="E102" s="173"/>
      <c r="F102" s="173"/>
      <c r="G102" s="173"/>
    </row>
    <row r="103" spans="1:7">
      <c r="A103" s="173"/>
      <c r="B103" s="173"/>
      <c r="C103" s="173"/>
      <c r="D103" s="173"/>
      <c r="E103" s="173"/>
      <c r="F103" s="173"/>
      <c r="G103" s="173"/>
    </row>
    <row r="104" spans="1:7">
      <c r="A104" s="173"/>
      <c r="B104" s="173"/>
      <c r="C104" s="173"/>
      <c r="D104" s="173"/>
      <c r="E104" s="173"/>
      <c r="F104" s="173"/>
      <c r="G104" s="173"/>
    </row>
    <row r="105" spans="1:7">
      <c r="A105" s="173"/>
      <c r="B105" s="173"/>
      <c r="C105" s="173"/>
      <c r="D105" s="173"/>
      <c r="E105" s="173"/>
      <c r="F105" s="173"/>
      <c r="G105" s="173"/>
    </row>
    <row r="106" spans="1:7">
      <c r="A106" s="173"/>
      <c r="B106" s="173"/>
      <c r="C106" s="173"/>
      <c r="D106" s="173"/>
      <c r="E106" s="173"/>
      <c r="F106" s="173"/>
      <c r="G106" s="173"/>
    </row>
    <row r="107" spans="1:7">
      <c r="A107" s="173"/>
      <c r="B107" s="173"/>
      <c r="C107" s="173"/>
      <c r="D107" s="173"/>
      <c r="E107" s="173"/>
      <c r="F107" s="173"/>
      <c r="G107" s="173"/>
    </row>
    <row r="108" spans="1:7">
      <c r="A108" s="173"/>
      <c r="B108" s="173"/>
      <c r="C108" s="173"/>
      <c r="D108" s="173"/>
      <c r="E108" s="173"/>
      <c r="F108" s="173"/>
      <c r="G108" s="173"/>
    </row>
    <row r="109" spans="1:7">
      <c r="A109" s="173"/>
      <c r="B109" s="173"/>
      <c r="C109" s="173"/>
      <c r="D109" s="173"/>
      <c r="E109" s="173"/>
      <c r="F109" s="173"/>
      <c r="G109" s="173"/>
    </row>
    <row r="110" spans="1:7">
      <c r="A110" s="173"/>
      <c r="B110" s="173"/>
      <c r="C110" s="173"/>
      <c r="D110" s="173"/>
      <c r="E110" s="173"/>
      <c r="F110" s="173"/>
      <c r="G110" s="173"/>
    </row>
    <row r="111" spans="1:7">
      <c r="A111" s="173"/>
      <c r="B111" s="173"/>
      <c r="C111" s="173"/>
      <c r="D111" s="173"/>
      <c r="E111" s="173"/>
      <c r="F111" s="173"/>
      <c r="G111" s="173"/>
    </row>
    <row r="112" spans="1:7">
      <c r="A112" s="173"/>
      <c r="B112" s="173"/>
      <c r="C112" s="173"/>
      <c r="D112" s="173"/>
      <c r="E112" s="173"/>
      <c r="F112" s="173"/>
      <c r="G112" s="173"/>
    </row>
    <row r="113" spans="1:7">
      <c r="A113" s="173"/>
      <c r="B113" s="173"/>
      <c r="C113" s="173"/>
      <c r="D113" s="173"/>
      <c r="E113" s="173"/>
      <c r="F113" s="173"/>
      <c r="G113" s="173"/>
    </row>
    <row r="114" spans="1:7">
      <c r="A114" s="173"/>
      <c r="B114" s="173"/>
      <c r="C114" s="173"/>
      <c r="D114" s="173"/>
      <c r="E114" s="173"/>
      <c r="F114" s="173"/>
      <c r="G114" s="173"/>
    </row>
    <row r="115" spans="1:7">
      <c r="A115" s="173"/>
      <c r="B115" s="173"/>
      <c r="C115" s="173"/>
      <c r="D115" s="173"/>
      <c r="E115" s="173"/>
      <c r="F115" s="173"/>
      <c r="G115" s="173"/>
    </row>
    <row r="116" spans="1:7">
      <c r="A116" s="173"/>
      <c r="B116" s="173"/>
      <c r="C116" s="173"/>
      <c r="D116" s="173"/>
      <c r="E116" s="173"/>
      <c r="F116" s="173"/>
      <c r="G116" s="173"/>
    </row>
    <row r="117" spans="1:7">
      <c r="A117" s="173"/>
      <c r="B117" s="173"/>
      <c r="C117" s="173"/>
      <c r="D117" s="173"/>
      <c r="E117" s="173"/>
      <c r="F117" s="173"/>
      <c r="G117" s="173"/>
    </row>
    <row r="118" spans="1:7">
      <c r="A118" s="173"/>
      <c r="B118" s="173"/>
      <c r="C118" s="173"/>
      <c r="D118" s="173"/>
      <c r="E118" s="173"/>
      <c r="F118" s="173"/>
      <c r="G118" s="173"/>
    </row>
    <row r="119" spans="1:7">
      <c r="A119" s="173"/>
      <c r="B119" s="173"/>
      <c r="C119" s="173"/>
      <c r="D119" s="173"/>
      <c r="E119" s="173"/>
      <c r="F119" s="173"/>
      <c r="G119" s="173"/>
    </row>
    <row r="120" spans="1:7">
      <c r="A120" s="173"/>
      <c r="B120" s="173"/>
      <c r="C120" s="173"/>
      <c r="D120" s="173"/>
      <c r="E120" s="173"/>
      <c r="F120" s="173"/>
      <c r="G120" s="173"/>
    </row>
    <row r="121" spans="1:7">
      <c r="A121" s="173"/>
      <c r="B121" s="173"/>
      <c r="C121" s="173"/>
      <c r="D121" s="173"/>
      <c r="E121" s="173"/>
      <c r="F121" s="173"/>
      <c r="G121" s="173"/>
    </row>
    <row r="122" spans="1:7">
      <c r="A122" s="173"/>
      <c r="B122" s="173"/>
      <c r="C122" s="173"/>
      <c r="D122" s="173"/>
      <c r="E122" s="173"/>
      <c r="F122" s="173"/>
      <c r="G122" s="173"/>
    </row>
    <row r="123" spans="1:7">
      <c r="A123" s="173"/>
      <c r="B123" s="173"/>
      <c r="C123" s="173"/>
      <c r="D123" s="173"/>
      <c r="E123" s="173"/>
      <c r="F123" s="173"/>
      <c r="G123" s="173"/>
    </row>
  </sheetData>
  <pageMargins left="0.47244094488188981" right="0.51181102362204722" top="0.74803149606299213" bottom="0.47244094488188981" header="0.47244094488188981" footer="0.51181102362204722"/>
  <pageSetup paperSize="9" scale="65" orientation="portrait" horizontalDpi="1200" verticalDpi="1200"/>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76B6-0BF9-BA49-B092-2715A1D42330}">
  <sheetPr>
    <pageSetUpPr fitToPage="1"/>
  </sheetPr>
  <dimension ref="A1:L41"/>
  <sheetViews>
    <sheetView topLeftCell="A11" zoomScaleNormal="100" workbookViewId="0">
      <selection activeCell="K22" sqref="K22"/>
    </sheetView>
  </sheetViews>
  <sheetFormatPr baseColWidth="10" defaultColWidth="11.3984375" defaultRowHeight="13"/>
  <cols>
    <col min="1" max="1" width="13.19921875" style="3" customWidth="1"/>
    <col min="2" max="9" width="13.3984375" style="396" customWidth="1"/>
    <col min="10" max="10" width="8.59765625" style="3" customWidth="1"/>
    <col min="11" max="16384" width="11.3984375" style="3"/>
  </cols>
  <sheetData>
    <row r="1" spans="1:9" s="2" customFormat="1" ht="14" customHeight="1">
      <c r="A1" s="121"/>
      <c r="B1" s="1286"/>
      <c r="C1" s="1286"/>
      <c r="D1" s="1286"/>
      <c r="E1" s="1286"/>
      <c r="F1" s="1286"/>
      <c r="G1" s="1286"/>
      <c r="H1" s="1286"/>
      <c r="I1" s="1286"/>
    </row>
    <row r="2" spans="1:9" s="2" customFormat="1" ht="25.75" customHeight="1">
      <c r="A2" s="123" t="s">
        <v>2326</v>
      </c>
      <c r="B2" s="436"/>
      <c r="C2" s="436"/>
      <c r="D2" s="436"/>
      <c r="E2" s="436"/>
      <c r="F2" s="436"/>
      <c r="G2" s="436"/>
      <c r="H2" s="436"/>
      <c r="I2" s="207"/>
    </row>
    <row r="3" spans="1:9" ht="27" customHeight="1">
      <c r="A3" s="92" t="s">
        <v>345</v>
      </c>
      <c r="B3" s="182" t="s">
        <v>2327</v>
      </c>
      <c r="C3" s="183" t="s">
        <v>2328</v>
      </c>
      <c r="D3" s="182" t="s">
        <v>646</v>
      </c>
      <c r="E3" s="183" t="s">
        <v>2329</v>
      </c>
      <c r="F3" s="182" t="s">
        <v>2330</v>
      </c>
      <c r="G3" s="183" t="s">
        <v>841</v>
      </c>
      <c r="H3" s="182" t="s">
        <v>2331</v>
      </c>
      <c r="I3" s="183" t="s">
        <v>2332</v>
      </c>
    </row>
    <row r="4" spans="1:9" ht="18.75" customHeight="1">
      <c r="A4" s="184"/>
      <c r="B4" s="321" t="s">
        <v>2333</v>
      </c>
      <c r="C4" s="919" t="s">
        <v>2334</v>
      </c>
      <c r="D4" s="185" t="s">
        <v>2335</v>
      </c>
      <c r="E4" s="186" t="s">
        <v>2336</v>
      </c>
      <c r="F4" s="185"/>
      <c r="G4" s="186"/>
      <c r="H4" s="185" t="s">
        <v>2337</v>
      </c>
      <c r="I4" s="186"/>
    </row>
    <row r="5" spans="1:9" ht="16.5" customHeight="1">
      <c r="A5" s="184"/>
      <c r="B5" s="185"/>
      <c r="C5" s="186" t="s">
        <v>2338</v>
      </c>
      <c r="D5" s="185"/>
      <c r="E5" s="919"/>
      <c r="F5" s="321"/>
      <c r="G5" s="919"/>
      <c r="H5" s="321" t="s">
        <v>2339</v>
      </c>
      <c r="I5" s="186"/>
    </row>
    <row r="6" spans="1:9" ht="23.25" customHeight="1">
      <c r="A6" s="408"/>
      <c r="B6" s="135"/>
      <c r="C6" s="190"/>
      <c r="D6" s="189"/>
      <c r="E6" s="190"/>
      <c r="F6" s="189"/>
      <c r="G6" s="190"/>
      <c r="H6" s="189" t="s">
        <v>2340</v>
      </c>
      <c r="I6" s="190"/>
    </row>
    <row r="7" spans="1:9" ht="19.75" customHeight="1" thickBot="1">
      <c r="A7" s="1614">
        <v>1996</v>
      </c>
      <c r="B7" s="311">
        <v>13184.001550929997</v>
      </c>
      <c r="C7" s="312">
        <v>5983.4068869585872</v>
      </c>
      <c r="D7" s="311">
        <v>11678.598705823826</v>
      </c>
      <c r="E7" s="312">
        <v>3544.7</v>
      </c>
      <c r="F7" s="311">
        <v>869.07117945000005</v>
      </c>
      <c r="G7" s="312">
        <v>1796.8786666666667</v>
      </c>
      <c r="H7" s="311">
        <v>411.9645950709093</v>
      </c>
      <c r="I7" s="312">
        <v>37468.621584899985</v>
      </c>
    </row>
    <row r="8" spans="1:9" ht="18" customHeight="1" thickBot="1">
      <c r="A8" s="1615">
        <v>1997</v>
      </c>
      <c r="B8" s="313">
        <v>13300.503586459999</v>
      </c>
      <c r="C8" s="314">
        <v>6218.5068752889456</v>
      </c>
      <c r="D8" s="313">
        <v>11898.794609684615</v>
      </c>
      <c r="E8" s="314">
        <v>3699.7217000000001</v>
      </c>
      <c r="F8" s="313">
        <v>820.08564491999994</v>
      </c>
      <c r="G8" s="314">
        <v>1853.7959999999998</v>
      </c>
      <c r="H8" s="313">
        <v>418.5</v>
      </c>
      <c r="I8" s="314">
        <v>38209.908416353566</v>
      </c>
    </row>
    <row r="9" spans="1:9" ht="19.25" customHeight="1" thickBot="1">
      <c r="A9" s="1615">
        <v>1998</v>
      </c>
      <c r="B9" s="313">
        <v>13726.93413743</v>
      </c>
      <c r="C9" s="314">
        <v>6517.6187697704527</v>
      </c>
      <c r="D9" s="313">
        <v>12534.698426142464</v>
      </c>
      <c r="E9" s="314">
        <v>3814.7841952999997</v>
      </c>
      <c r="F9" s="313">
        <v>825.83928717999993</v>
      </c>
      <c r="G9" s="314">
        <v>1952.6</v>
      </c>
      <c r="H9" s="313">
        <v>442.53826293428619</v>
      </c>
      <c r="I9" s="314">
        <v>39815.013078757205</v>
      </c>
    </row>
    <row r="10" spans="1:9" ht="21.5" customHeight="1" thickBot="1">
      <c r="A10" s="1615">
        <v>1999</v>
      </c>
      <c r="B10" s="313">
        <v>14269.859986000003</v>
      </c>
      <c r="C10" s="314">
        <v>6635.9923296822863</v>
      </c>
      <c r="D10" s="313">
        <v>12923.16416135502</v>
      </c>
      <c r="E10" s="314">
        <v>3984.9651892603001</v>
      </c>
      <c r="F10" s="313">
        <v>869.39271499999995</v>
      </c>
      <c r="G10" s="314">
        <v>1951.2</v>
      </c>
      <c r="H10" s="313">
        <v>469.87738272220713</v>
      </c>
      <c r="I10" s="314">
        <v>41104.451764019817</v>
      </c>
    </row>
    <row r="11" spans="1:9" ht="21.5" customHeight="1" thickBot="1">
      <c r="A11" s="1615">
        <v>2000</v>
      </c>
      <c r="B11" s="313">
        <v>14895.513251</v>
      </c>
      <c r="C11" s="314">
        <v>7041.5148394749094</v>
      </c>
      <c r="D11" s="313">
        <v>13440.733995653636</v>
      </c>
      <c r="E11" s="314">
        <v>4130.4973544495606</v>
      </c>
      <c r="F11" s="313">
        <v>886.60889900000006</v>
      </c>
      <c r="G11" s="314">
        <v>1968</v>
      </c>
      <c r="H11" s="313">
        <v>480.06561225603991</v>
      </c>
      <c r="I11" s="314">
        <v>42842.933951834144</v>
      </c>
    </row>
    <row r="12" spans="1:9" ht="21.5" customHeight="1" thickBot="1">
      <c r="A12" s="1615">
        <v>2001</v>
      </c>
      <c r="B12" s="313">
        <v>16132.139821000001</v>
      </c>
      <c r="C12" s="314">
        <v>7546.7492306168624</v>
      </c>
      <c r="D12" s="313">
        <v>14118.389210237772</v>
      </c>
      <c r="E12" s="314">
        <v>4333.6230316924066</v>
      </c>
      <c r="F12" s="313">
        <v>926.76387199999999</v>
      </c>
      <c r="G12" s="314">
        <v>2014.6</v>
      </c>
      <c r="H12" s="313">
        <v>500.57588337914626</v>
      </c>
      <c r="I12" s="314">
        <v>45572.841048926188</v>
      </c>
    </row>
    <row r="13" spans="1:9" ht="21.5" customHeight="1" thickBot="1">
      <c r="A13" s="1615">
        <v>2002</v>
      </c>
      <c r="B13" s="313">
        <v>16982.807524247681</v>
      </c>
      <c r="C13" s="314">
        <v>8067.6588042943567</v>
      </c>
      <c r="D13" s="313">
        <v>14430.539223398549</v>
      </c>
      <c r="E13" s="314">
        <v>4415.9295005981339</v>
      </c>
      <c r="F13" s="313">
        <v>981.40087700000004</v>
      </c>
      <c r="G13" s="314">
        <v>2000.8014692328545</v>
      </c>
      <c r="H13" s="313">
        <v>509.49608786656427</v>
      </c>
      <c r="I13" s="314">
        <v>47388.633486638144</v>
      </c>
    </row>
    <row r="14" spans="1:9" ht="21.5" customHeight="1" thickBot="1">
      <c r="A14" s="1615">
        <v>2003</v>
      </c>
      <c r="B14" s="313">
        <v>17712.226343618662</v>
      </c>
      <c r="C14" s="314">
        <v>8374.8829930130487</v>
      </c>
      <c r="D14" s="313">
        <v>14813.56384014453</v>
      </c>
      <c r="E14" s="314">
        <v>4720.9651053618945</v>
      </c>
      <c r="F14" s="313">
        <v>1036.8831319999999</v>
      </c>
      <c r="G14" s="314">
        <v>2076.4031583018532</v>
      </c>
      <c r="H14" s="313">
        <v>530.23678043074028</v>
      </c>
      <c r="I14" s="314">
        <v>49265.161352870731</v>
      </c>
    </row>
    <row r="15" spans="1:9" ht="21.5" customHeight="1" thickBot="1">
      <c r="A15" s="1615">
        <v>2004</v>
      </c>
      <c r="B15" s="313">
        <v>18211.927869253603</v>
      </c>
      <c r="C15" s="314">
        <v>8629.9334146129404</v>
      </c>
      <c r="D15" s="313">
        <v>15519.799657335181</v>
      </c>
      <c r="E15" s="314">
        <v>4885.7901600000005</v>
      </c>
      <c r="F15" s="313">
        <v>1016.403946</v>
      </c>
      <c r="G15" s="314">
        <v>2188.6177220936333</v>
      </c>
      <c r="H15" s="313">
        <v>555.24390154379591</v>
      </c>
      <c r="I15" s="314">
        <v>51007.71667083916</v>
      </c>
    </row>
    <row r="16" spans="1:9" ht="21.5" customHeight="1" thickBot="1">
      <c r="A16" s="1615">
        <v>2005</v>
      </c>
      <c r="B16" s="313">
        <v>18296.451625528491</v>
      </c>
      <c r="C16" s="314">
        <v>8899.1731697869727</v>
      </c>
      <c r="D16" s="313">
        <v>16110.083387414588</v>
      </c>
      <c r="E16" s="314">
        <v>4948.2082112506641</v>
      </c>
      <c r="F16" s="313">
        <v>1023.603069</v>
      </c>
      <c r="G16" s="314">
        <v>2193.6107966786522</v>
      </c>
      <c r="H16" s="313">
        <v>571.91062102459728</v>
      </c>
      <c r="I16" s="314">
        <v>52043.040880683955</v>
      </c>
    </row>
    <row r="17" spans="1:9" ht="21.5" customHeight="1" thickBot="1">
      <c r="A17" s="1615">
        <v>2006</v>
      </c>
      <c r="B17" s="313">
        <v>18526.116825067013</v>
      </c>
      <c r="C17" s="314">
        <v>9005.2253979999987</v>
      </c>
      <c r="D17" s="313">
        <v>16448.330289598387</v>
      </c>
      <c r="E17" s="314">
        <v>4888.0334472825143</v>
      </c>
      <c r="F17" s="313">
        <v>1015.4241959999999</v>
      </c>
      <c r="G17" s="314">
        <v>2305.0175260594792</v>
      </c>
      <c r="H17" s="313">
        <v>585.19916967563006</v>
      </c>
      <c r="I17" s="314">
        <v>52773.346851683018</v>
      </c>
    </row>
    <row r="18" spans="1:9" ht="21.5" customHeight="1" thickBot="1">
      <c r="A18" s="1615">
        <v>2007</v>
      </c>
      <c r="B18" s="313">
        <v>19366.801673140202</v>
      </c>
      <c r="C18" s="314">
        <v>9516.8529053703569</v>
      </c>
      <c r="D18" s="313">
        <v>17123.532189955371</v>
      </c>
      <c r="E18" s="314">
        <v>5027.4809360453346</v>
      </c>
      <c r="F18" s="313">
        <v>1191.786634</v>
      </c>
      <c r="G18" s="314">
        <v>2380.5511198549602</v>
      </c>
      <c r="H18" s="313">
        <v>607.93965186885453</v>
      </c>
      <c r="I18" s="314">
        <v>55214.945110235072</v>
      </c>
    </row>
    <row r="19" spans="1:9" ht="21.5" customHeight="1" thickBot="1">
      <c r="A19" s="1615">
        <v>2008</v>
      </c>
      <c r="B19" s="313">
        <v>20699.263899999994</v>
      </c>
      <c r="C19" s="314">
        <v>9971.4403629999997</v>
      </c>
      <c r="D19" s="313">
        <v>18056.183910300602</v>
      </c>
      <c r="E19" s="314">
        <v>5215.226104815898</v>
      </c>
      <c r="F19" s="313">
        <v>1288.9000000000001</v>
      </c>
      <c r="G19" s="314">
        <v>2554.1634569586486</v>
      </c>
      <c r="H19" s="313">
        <v>640.87512878892312</v>
      </c>
      <c r="I19" s="314">
        <v>58426.052863864068</v>
      </c>
    </row>
    <row r="20" spans="1:9" ht="21.5" customHeight="1" thickBot="1">
      <c r="A20" s="1615">
        <v>2009</v>
      </c>
      <c r="B20" s="1607">
        <v>21704.875779859671</v>
      </c>
      <c r="C20" s="314">
        <v>10487.968794</v>
      </c>
      <c r="D20" s="313">
        <v>18594.971024409548</v>
      </c>
      <c r="E20" s="314">
        <v>5486.6797231634073</v>
      </c>
      <c r="F20" s="313">
        <v>1439.5729999999999</v>
      </c>
      <c r="G20" s="314">
        <v>2608.5913211051711</v>
      </c>
      <c r="H20" s="313">
        <v>658.09516204663328</v>
      </c>
      <c r="I20" s="1616">
        <v>60980.754804584431</v>
      </c>
    </row>
    <row r="21" spans="1:9" s="110" customFormat="1" ht="21.5" customHeight="1" thickBot="1">
      <c r="A21" s="1617">
        <v>2010</v>
      </c>
      <c r="B21" s="928">
        <v>22447.70915905638</v>
      </c>
      <c r="C21" s="1609">
        <v>10768.790763000001</v>
      </c>
      <c r="D21" s="928">
        <v>19232.203602873262</v>
      </c>
      <c r="E21" s="1609">
        <v>5456.2000775739052</v>
      </c>
      <c r="F21" s="928">
        <v>1211.384</v>
      </c>
      <c r="G21" s="1609">
        <v>2712.8314180124112</v>
      </c>
      <c r="H21" s="928">
        <v>665.79740840309989</v>
      </c>
      <c r="I21" s="1609">
        <v>62494.916428919059</v>
      </c>
    </row>
    <row r="22" spans="1:9" s="110" customFormat="1" ht="30" customHeight="1" thickBot="1">
      <c r="A22" s="1610">
        <v>2011</v>
      </c>
      <c r="B22" s="991" t="s">
        <v>30</v>
      </c>
      <c r="C22" s="992" t="s">
        <v>30</v>
      </c>
      <c r="D22" s="991" t="s">
        <v>30</v>
      </c>
      <c r="E22" s="992" t="s">
        <v>30</v>
      </c>
      <c r="F22" s="991" t="s">
        <v>30</v>
      </c>
      <c r="G22" s="992" t="s">
        <v>30</v>
      </c>
      <c r="H22" s="991" t="s">
        <v>30</v>
      </c>
      <c r="I22" s="992" t="s">
        <v>30</v>
      </c>
    </row>
    <row r="23" spans="1:9" ht="17.5" customHeight="1">
      <c r="A23" s="1344" t="s">
        <v>2402</v>
      </c>
      <c r="B23" s="1345"/>
      <c r="C23" s="1345"/>
      <c r="D23" s="1345"/>
      <c r="E23" s="1345"/>
      <c r="F23" s="1345"/>
      <c r="G23" s="1345"/>
      <c r="H23" s="1345"/>
      <c r="I23" s="1345"/>
    </row>
    <row r="24" spans="1:9" ht="12.75" customHeight="1">
      <c r="A24" s="1346"/>
      <c r="B24" s="1302"/>
      <c r="C24" s="1302"/>
      <c r="D24" s="1302"/>
      <c r="E24" s="1302"/>
      <c r="F24" s="1302"/>
      <c r="G24" s="1302"/>
      <c r="H24" s="1302"/>
      <c r="I24" s="1302"/>
    </row>
    <row r="25" spans="1:9" ht="12.75" customHeight="1">
      <c r="A25" s="1346" t="s">
        <v>2324</v>
      </c>
      <c r="B25" s="1302"/>
      <c r="C25" s="1302"/>
      <c r="D25" s="1302"/>
      <c r="E25" s="1302"/>
      <c r="F25" s="1302"/>
      <c r="G25" s="1302"/>
      <c r="H25" s="1302"/>
      <c r="I25" s="1302"/>
    </row>
    <row r="26" spans="1:9" ht="12.75" customHeight="1">
      <c r="A26" s="1346" t="s">
        <v>2298</v>
      </c>
      <c r="B26" s="1302"/>
      <c r="C26" s="1302"/>
      <c r="D26" s="1302"/>
      <c r="E26" s="1302"/>
      <c r="F26" s="1302"/>
      <c r="G26" s="1302"/>
      <c r="H26" s="1302"/>
      <c r="I26" s="1302"/>
    </row>
    <row r="27" spans="1:9" ht="12.75" customHeight="1">
      <c r="A27" s="1346" t="s">
        <v>2299</v>
      </c>
      <c r="B27" s="1302"/>
      <c r="C27" s="1302"/>
      <c r="D27" s="1302"/>
      <c r="E27" s="1302"/>
      <c r="F27" s="1302"/>
      <c r="G27" s="1302"/>
      <c r="H27" s="1302"/>
      <c r="I27" s="1302"/>
    </row>
    <row r="28" spans="1:9" ht="12.75" customHeight="1">
      <c r="A28" s="1346"/>
      <c r="B28" s="1302"/>
      <c r="C28" s="1302"/>
      <c r="D28" s="1302"/>
      <c r="E28" s="1302"/>
      <c r="F28" s="1302"/>
      <c r="G28" s="1302"/>
      <c r="H28" s="1302"/>
      <c r="I28" s="1302"/>
    </row>
    <row r="29" spans="1:9" ht="12.75" customHeight="1">
      <c r="A29" s="1346" t="s">
        <v>2341</v>
      </c>
      <c r="B29" s="1302"/>
      <c r="C29" s="1302"/>
      <c r="D29" s="1302"/>
      <c r="E29" s="1302"/>
      <c r="F29" s="1302"/>
      <c r="G29" s="1302"/>
      <c r="H29" s="1302"/>
      <c r="I29" s="1302"/>
    </row>
    <row r="30" spans="1:9" ht="15" customHeight="1">
      <c r="A30" s="561"/>
      <c r="B30" s="1348"/>
      <c r="C30" s="1348"/>
      <c r="D30" s="1348"/>
      <c r="E30" s="1348"/>
      <c r="F30" s="1348"/>
      <c r="G30" s="1348"/>
      <c r="H30" s="1348"/>
      <c r="I30" s="1348"/>
    </row>
    <row r="31" spans="1:9" ht="15" customHeight="1">
      <c r="A31" s="1400"/>
      <c r="B31" s="1348"/>
      <c r="C31" s="1348"/>
      <c r="D31" s="1348"/>
      <c r="E31" s="1348"/>
      <c r="F31" s="1348"/>
      <c r="G31" s="1348"/>
      <c r="H31" s="1348"/>
      <c r="I31" s="1348"/>
    </row>
    <row r="32" spans="1:9" ht="18" customHeight="1">
      <c r="A32" s="4" t="s">
        <v>719</v>
      </c>
      <c r="B32" s="1348"/>
      <c r="C32" s="1348"/>
      <c r="D32" s="1348"/>
      <c r="E32" s="1348"/>
      <c r="F32" s="1348"/>
      <c r="G32" s="1348"/>
      <c r="H32" s="1348"/>
      <c r="I32" s="1348"/>
    </row>
    <row r="33" spans="1:12" ht="31" customHeight="1">
      <c r="A33" s="4"/>
      <c r="B33" s="1348"/>
      <c r="C33" s="1348"/>
      <c r="D33" s="1348"/>
      <c r="E33" s="1348"/>
      <c r="F33" s="1348"/>
      <c r="G33" s="1348"/>
      <c r="H33" s="1348"/>
      <c r="I33" s="1348"/>
    </row>
    <row r="34" spans="1:12" ht="31" customHeight="1">
      <c r="A34" s="61"/>
      <c r="B34" s="1290"/>
      <c r="C34" s="1290"/>
      <c r="D34" s="1290"/>
      <c r="E34" s="1290"/>
      <c r="F34" s="1290"/>
      <c r="G34" s="1290"/>
      <c r="H34" s="1290"/>
      <c r="I34" s="1290"/>
      <c r="L34" s="120"/>
    </row>
    <row r="35" spans="1:12" ht="31" customHeight="1">
      <c r="A35" s="61"/>
      <c r="B35" s="1290"/>
      <c r="C35" s="1290"/>
      <c r="D35" s="1290"/>
      <c r="E35" s="1290"/>
      <c r="F35" s="1290"/>
      <c r="G35" s="1290"/>
      <c r="H35" s="1290"/>
      <c r="I35" s="1290"/>
    </row>
    <row r="36" spans="1:12" ht="31" customHeight="1">
      <c r="A36" s="61"/>
      <c r="B36" s="1290"/>
      <c r="C36" s="1290"/>
      <c r="D36" s="1290"/>
      <c r="E36" s="1290"/>
      <c r="F36" s="1290"/>
      <c r="G36" s="1290"/>
      <c r="H36" s="1290"/>
      <c r="I36" s="1290"/>
    </row>
    <row r="37" spans="1:12" ht="31" customHeight="1">
      <c r="A37" s="61"/>
      <c r="B37" s="1290"/>
      <c r="C37" s="1290"/>
      <c r="D37" s="1290"/>
      <c r="E37" s="1290"/>
      <c r="F37" s="1290"/>
      <c r="G37" s="1290"/>
      <c r="H37" s="1290"/>
      <c r="I37" s="1290"/>
    </row>
    <row r="38" spans="1:12" ht="31" customHeight="1">
      <c r="A38" s="61"/>
      <c r="B38" s="1290"/>
      <c r="C38" s="1290"/>
      <c r="D38" s="1290"/>
      <c r="E38" s="1290"/>
      <c r="F38" s="1290"/>
      <c r="G38" s="1290"/>
      <c r="H38" s="1290"/>
      <c r="I38" s="1290"/>
    </row>
    <row r="39" spans="1:12" ht="31" customHeight="1">
      <c r="A39" s="61"/>
      <c r="B39" s="1290"/>
      <c r="C39" s="1290"/>
      <c r="D39" s="1290"/>
      <c r="E39" s="1290"/>
      <c r="F39" s="1290"/>
      <c r="G39" s="1290"/>
      <c r="H39" s="1290"/>
      <c r="I39" s="1290"/>
    </row>
    <row r="40" spans="1:12">
      <c r="A40" s="61"/>
      <c r="B40" s="1290"/>
      <c r="C40" s="1290"/>
      <c r="D40" s="1290"/>
      <c r="E40" s="1290"/>
      <c r="F40" s="1290"/>
      <c r="G40" s="1290"/>
      <c r="H40" s="1290"/>
      <c r="I40" s="1290"/>
    </row>
    <row r="41" spans="1:12">
      <c r="A41" s="61"/>
      <c r="B41" s="1290"/>
      <c r="C41" s="1290"/>
      <c r="D41" s="1290"/>
      <c r="E41" s="1290"/>
      <c r="F41" s="1290"/>
      <c r="G41" s="1290"/>
      <c r="H41" s="1290"/>
      <c r="I41" s="1290"/>
    </row>
  </sheetData>
  <pageMargins left="0.59" right="0.51" top="0.97" bottom="0.49" header="0.56999999999999995" footer="0.4921259845"/>
  <pageSetup paperSize="9" scale="76" orientation="portrait"/>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50D2-CAD8-2149-825D-0C3D4D10DCB1}">
  <sheetPr>
    <pageSetUpPr fitToPage="1"/>
  </sheetPr>
  <dimension ref="A1:K41"/>
  <sheetViews>
    <sheetView zoomScaleNormal="100" workbookViewId="0">
      <selection activeCell="J11" sqref="J11"/>
    </sheetView>
  </sheetViews>
  <sheetFormatPr baseColWidth="10" defaultColWidth="11.3984375" defaultRowHeight="13"/>
  <cols>
    <col min="1" max="1" width="13" style="3" customWidth="1"/>
    <col min="2" max="8" width="14.3984375" style="396" customWidth="1"/>
    <col min="9" max="9" width="8.59765625" style="3" customWidth="1"/>
    <col min="10" max="16384" width="11.3984375" style="3"/>
  </cols>
  <sheetData>
    <row r="1" spans="1:10" s="2" customFormat="1" ht="14" customHeight="1">
      <c r="A1" s="121"/>
      <c r="B1" s="1286"/>
      <c r="C1" s="1286"/>
      <c r="D1" s="1286"/>
      <c r="E1" s="1286"/>
      <c r="F1" s="1286"/>
      <c r="G1" s="1286"/>
      <c r="H1" s="1286"/>
    </row>
    <row r="2" spans="1:10" s="2" customFormat="1" ht="27.5" customHeight="1">
      <c r="A2" s="123" t="s">
        <v>2316</v>
      </c>
      <c r="B2" s="436"/>
      <c r="C2" s="436"/>
      <c r="D2" s="436"/>
      <c r="E2" s="436"/>
      <c r="F2" s="436"/>
      <c r="G2" s="436"/>
      <c r="H2" s="207"/>
    </row>
    <row r="3" spans="1:10" ht="27" customHeight="1">
      <c r="A3" s="92" t="s">
        <v>345</v>
      </c>
      <c r="B3" s="182" t="s">
        <v>2317</v>
      </c>
      <c r="C3" s="183" t="s">
        <v>646</v>
      </c>
      <c r="D3" s="182" t="s">
        <v>2318</v>
      </c>
      <c r="E3" s="183" t="s">
        <v>2319</v>
      </c>
      <c r="F3" s="182" t="s">
        <v>2320</v>
      </c>
      <c r="G3" s="183" t="s">
        <v>2321</v>
      </c>
      <c r="H3" s="182" t="s">
        <v>278</v>
      </c>
    </row>
    <row r="4" spans="1:10" ht="15" customHeight="1">
      <c r="A4" s="184"/>
      <c r="B4" s="321" t="s">
        <v>647</v>
      </c>
      <c r="C4" s="919" t="s">
        <v>647</v>
      </c>
      <c r="D4" s="185" t="s">
        <v>574</v>
      </c>
      <c r="E4" s="186" t="s">
        <v>2322</v>
      </c>
      <c r="F4" s="185"/>
      <c r="G4" s="186"/>
      <c r="H4" s="185"/>
    </row>
    <row r="5" spans="1:10" ht="18.75" customHeight="1">
      <c r="A5" s="184"/>
      <c r="B5" s="321"/>
      <c r="C5" s="186"/>
      <c r="D5" s="185"/>
      <c r="E5" s="919" t="s">
        <v>2323</v>
      </c>
      <c r="F5" s="321"/>
      <c r="G5" s="919"/>
      <c r="H5" s="321"/>
      <c r="J5" s="935"/>
    </row>
    <row r="6" spans="1:10" ht="21.75" customHeight="1">
      <c r="A6" s="408"/>
      <c r="B6" s="189"/>
      <c r="C6" s="190"/>
      <c r="D6" s="189"/>
      <c r="E6" s="190"/>
      <c r="F6" s="189"/>
      <c r="G6" s="190"/>
      <c r="H6" s="189"/>
    </row>
    <row r="7" spans="1:10" ht="20.5" customHeight="1" thickBot="1">
      <c r="A7" s="322">
        <v>1996</v>
      </c>
      <c r="B7" s="311">
        <v>17744.372332422729</v>
      </c>
      <c r="C7" s="312">
        <v>10932.716294797674</v>
      </c>
      <c r="D7" s="311">
        <v>1268.9714576684796</v>
      </c>
      <c r="E7" s="312">
        <v>4540.3470588235296</v>
      </c>
      <c r="F7" s="311">
        <v>966.86547804090924</v>
      </c>
      <c r="G7" s="312">
        <v>2015.3489631466664</v>
      </c>
      <c r="H7" s="311">
        <v>37468.621584899985</v>
      </c>
    </row>
    <row r="8" spans="1:10" ht="18.5" customHeight="1" thickBot="1">
      <c r="A8" s="324">
        <v>1997</v>
      </c>
      <c r="B8" s="313">
        <v>18024.21990591228</v>
      </c>
      <c r="C8" s="314">
        <v>11172.859777209607</v>
      </c>
      <c r="D8" s="313">
        <v>1237.2489177234406</v>
      </c>
      <c r="E8" s="314">
        <v>4778.8981705882352</v>
      </c>
      <c r="F8" s="313">
        <v>938.77448458000003</v>
      </c>
      <c r="G8" s="314">
        <v>2057.9071603399998</v>
      </c>
      <c r="H8" s="313">
        <v>38209.908416353559</v>
      </c>
    </row>
    <row r="9" spans="1:10" ht="19.75" customHeight="1" thickBot="1">
      <c r="A9" s="324">
        <v>1998</v>
      </c>
      <c r="B9" s="313">
        <v>18551.937219844131</v>
      </c>
      <c r="C9" s="314">
        <v>11874.35810787395</v>
      </c>
      <c r="D9" s="313">
        <v>1356.5677703307178</v>
      </c>
      <c r="E9" s="314">
        <v>4913.3724305941168</v>
      </c>
      <c r="F9" s="313">
        <v>983.21470195428628</v>
      </c>
      <c r="G9" s="314">
        <v>2135.5628481599997</v>
      </c>
      <c r="H9" s="313">
        <v>39815.013078757198</v>
      </c>
    </row>
    <row r="10" spans="1:10" ht="20.25" customHeight="1" thickBot="1">
      <c r="A10" s="324">
        <v>1999</v>
      </c>
      <c r="B10" s="313">
        <v>18978.566637981137</v>
      </c>
      <c r="C10" s="314">
        <v>12357.690062899601</v>
      </c>
      <c r="D10" s="313">
        <v>1393.9774232153918</v>
      </c>
      <c r="E10" s="314">
        <v>5198.8475422014762</v>
      </c>
      <c r="F10" s="313">
        <v>1015.086034722207</v>
      </c>
      <c r="G10" s="314">
        <v>2160.2840630000001</v>
      </c>
      <c r="H10" s="313">
        <v>41104.45176401981</v>
      </c>
    </row>
    <row r="11" spans="1:10" ht="20.25" customHeight="1" thickBot="1">
      <c r="A11" s="324">
        <v>2000</v>
      </c>
      <c r="B11" s="313">
        <v>19786.725959440424</v>
      </c>
      <c r="C11" s="314">
        <v>12926.336575347925</v>
      </c>
      <c r="D11" s="313">
        <v>1430.1583748696057</v>
      </c>
      <c r="E11" s="314">
        <v>5475.438530920148</v>
      </c>
      <c r="F11" s="313">
        <v>1014.11623525604</v>
      </c>
      <c r="G11" s="314">
        <v>2210.1582759999997</v>
      </c>
      <c r="H11" s="313">
        <v>42842.933951834144</v>
      </c>
    </row>
    <row r="12" spans="1:10" ht="20.25" customHeight="1" thickBot="1">
      <c r="A12" s="324">
        <v>2001</v>
      </c>
      <c r="B12" s="313">
        <v>21248.403601616865</v>
      </c>
      <c r="C12" s="314">
        <v>13690.949264204983</v>
      </c>
      <c r="D12" s="313">
        <v>1471.1430430916139</v>
      </c>
      <c r="E12" s="314">
        <v>5829.5053846335832</v>
      </c>
      <c r="F12" s="313">
        <v>1062.7870063791461</v>
      </c>
      <c r="G12" s="314">
        <v>2270.0527489999999</v>
      </c>
      <c r="H12" s="313">
        <v>45572.841048926195</v>
      </c>
    </row>
    <row r="13" spans="1:10" ht="20.25" customHeight="1" thickBot="1">
      <c r="A13" s="324">
        <v>2002</v>
      </c>
      <c r="B13" s="313">
        <v>22418.819866723858</v>
      </c>
      <c r="C13" s="314">
        <v>14164.252550727681</v>
      </c>
      <c r="D13" s="313">
        <v>1526.2390168419893</v>
      </c>
      <c r="E13" s="314">
        <v>5899.2236182451925</v>
      </c>
      <c r="F13" s="313">
        <v>1052.5616069842113</v>
      </c>
      <c r="G13" s="314">
        <v>2327.5368271152074</v>
      </c>
      <c r="H13" s="313">
        <v>47388.633486638137</v>
      </c>
    </row>
    <row r="14" spans="1:10" ht="20.25" customHeight="1" thickBot="1">
      <c r="A14" s="324">
        <v>2003</v>
      </c>
      <c r="B14" s="313">
        <v>23242.374321177165</v>
      </c>
      <c r="C14" s="314">
        <v>14647.207027090521</v>
      </c>
      <c r="D14" s="313">
        <v>1546.5271226262025</v>
      </c>
      <c r="E14" s="314">
        <v>6306.7298112442477</v>
      </c>
      <c r="F14" s="313">
        <v>1122.7699346072109</v>
      </c>
      <c r="G14" s="314">
        <v>2399.5531361253825</v>
      </c>
      <c r="H14" s="313">
        <v>49265.161352870731</v>
      </c>
    </row>
    <row r="15" spans="1:10" ht="20.25" customHeight="1" thickBot="1">
      <c r="A15" s="324">
        <v>2004</v>
      </c>
      <c r="B15" s="313">
        <v>23945.205223129917</v>
      </c>
      <c r="C15" s="314">
        <v>15193.377809727141</v>
      </c>
      <c r="D15" s="313">
        <v>1704.7484965799663</v>
      </c>
      <c r="E15" s="314">
        <v>6531.3195717647059</v>
      </c>
      <c r="F15" s="313">
        <v>1122.7977613085018</v>
      </c>
      <c r="G15" s="314">
        <v>2510.2678083289275</v>
      </c>
      <c r="H15" s="313">
        <v>51007.71667083916</v>
      </c>
    </row>
    <row r="16" spans="1:10" ht="20.25" customHeight="1" thickBot="1">
      <c r="A16" s="324">
        <v>2005</v>
      </c>
      <c r="B16" s="313">
        <v>23688.403109193729</v>
      </c>
      <c r="C16" s="314">
        <v>16202.451402570587</v>
      </c>
      <c r="D16" s="313">
        <v>1809.9095250833793</v>
      </c>
      <c r="E16" s="314">
        <v>6680.5273571330181</v>
      </c>
      <c r="F16" s="313">
        <v>1133.4662400245973</v>
      </c>
      <c r="G16" s="314">
        <v>2528.2832466786526</v>
      </c>
      <c r="H16" s="313">
        <v>52043.040880683955</v>
      </c>
    </row>
    <row r="17" spans="1:8" ht="20.25" customHeight="1" thickBot="1">
      <c r="A17" s="324">
        <v>2006</v>
      </c>
      <c r="B17" s="313">
        <v>24062.85220852038</v>
      </c>
      <c r="C17" s="314">
        <v>16588.221996927445</v>
      </c>
      <c r="D17" s="313">
        <v>1788.3078435812113</v>
      </c>
      <c r="E17" s="314">
        <v>6561.1769109188781</v>
      </c>
      <c r="F17" s="313">
        <v>1141.3716146756301</v>
      </c>
      <c r="G17" s="314">
        <v>2631.4162770594794</v>
      </c>
      <c r="H17" s="313">
        <v>52773.346851683018</v>
      </c>
    </row>
    <row r="18" spans="1:8" ht="20.25" customHeight="1" thickBot="1">
      <c r="A18" s="324">
        <v>2007</v>
      </c>
      <c r="B18" s="313">
        <v>25173.299610545928</v>
      </c>
      <c r="C18" s="314">
        <v>17405.941656934221</v>
      </c>
      <c r="D18" s="313">
        <v>1831.3062019557781</v>
      </c>
      <c r="E18" s="314">
        <v>6761.1122350753349</v>
      </c>
      <c r="F18" s="313">
        <v>1281.1703952217956</v>
      </c>
      <c r="G18" s="314">
        <v>2762.1150105020197</v>
      </c>
      <c r="H18" s="313">
        <v>55214.945110235072</v>
      </c>
    </row>
    <row r="19" spans="1:8" ht="20.25" customHeight="1" thickBot="1">
      <c r="A19" s="324">
        <v>2008</v>
      </c>
      <c r="B19" s="313">
        <v>26500.705282160561</v>
      </c>
      <c r="C19" s="314">
        <v>18519.296893594856</v>
      </c>
      <c r="D19" s="313">
        <v>2001.4310327792</v>
      </c>
      <c r="E19" s="314">
        <v>7063.2770695818781</v>
      </c>
      <c r="F19" s="313">
        <v>1417.633317671276</v>
      </c>
      <c r="G19" s="314">
        <v>2923.7092680762953</v>
      </c>
      <c r="H19" s="313">
        <v>58426.052863864061</v>
      </c>
    </row>
    <row r="20" spans="1:8" ht="20.25" customHeight="1" thickBot="1">
      <c r="A20" s="324">
        <v>2009</v>
      </c>
      <c r="B20" s="1607">
        <v>27761.274376677087</v>
      </c>
      <c r="C20" s="314">
        <v>19185.468383850635</v>
      </c>
      <c r="D20" s="313">
        <v>2046.0944266667559</v>
      </c>
      <c r="E20" s="314">
        <v>7423.4371342381546</v>
      </c>
      <c r="F20" s="313">
        <v>1521.7588981642803</v>
      </c>
      <c r="G20" s="314">
        <v>3042.7215849875238</v>
      </c>
      <c r="H20" s="1607">
        <v>60980.754804584431</v>
      </c>
    </row>
    <row r="21" spans="1:8" s="110" customFormat="1" ht="20.25" customHeight="1" thickBot="1">
      <c r="A21" s="1608">
        <v>2010</v>
      </c>
      <c r="B21" s="928">
        <v>28364.000638328456</v>
      </c>
      <c r="C21" s="1609">
        <v>20334.921376685299</v>
      </c>
      <c r="D21" s="928">
        <v>2042.0522699365197</v>
      </c>
      <c r="E21" s="1609">
        <v>7304.2943175532691</v>
      </c>
      <c r="F21" s="928">
        <v>1470.7077535207468</v>
      </c>
      <c r="G21" s="1609">
        <v>2978.9400728947644</v>
      </c>
      <c r="H21" s="928">
        <v>62494.916428919059</v>
      </c>
    </row>
    <row r="22" spans="1:8" s="1613" customFormat="1" ht="25.25" customHeight="1" thickBot="1">
      <c r="A22" s="1610">
        <v>2011</v>
      </c>
      <c r="B22" s="1611" t="s">
        <v>30</v>
      </c>
      <c r="C22" s="1612" t="s">
        <v>30</v>
      </c>
      <c r="D22" s="1611" t="s">
        <v>30</v>
      </c>
      <c r="E22" s="1612" t="s">
        <v>30</v>
      </c>
      <c r="F22" s="1611" t="s">
        <v>30</v>
      </c>
      <c r="G22" s="1612" t="s">
        <v>30</v>
      </c>
      <c r="H22" s="1611" t="s">
        <v>30</v>
      </c>
    </row>
    <row r="23" spans="1:8" ht="18" customHeight="1">
      <c r="A23" s="1287" t="s">
        <v>2402</v>
      </c>
      <c r="B23" s="1288"/>
      <c r="C23" s="1288"/>
      <c r="D23" s="1288"/>
      <c r="E23" s="1288"/>
      <c r="F23" s="1288"/>
      <c r="G23" s="1288"/>
      <c r="H23" s="1288"/>
    </row>
    <row r="24" spans="1:8" ht="12.75" customHeight="1">
      <c r="A24" s="1289"/>
      <c r="B24" s="1152"/>
      <c r="C24" s="1152"/>
      <c r="D24" s="1152"/>
      <c r="E24" s="1152"/>
      <c r="F24" s="1152"/>
      <c r="G24" s="1152"/>
      <c r="H24" s="1152"/>
    </row>
    <row r="25" spans="1:8" ht="12.75" customHeight="1">
      <c r="A25" s="1346" t="s">
        <v>2324</v>
      </c>
      <c r="B25" s="1152"/>
      <c r="C25" s="1152"/>
      <c r="D25" s="1152"/>
      <c r="E25" s="1152"/>
      <c r="F25" s="1152"/>
      <c r="G25" s="1152"/>
      <c r="H25" s="1152"/>
    </row>
    <row r="26" spans="1:8" ht="12.75" customHeight="1">
      <c r="A26" s="1346" t="s">
        <v>2298</v>
      </c>
      <c r="B26" s="1152"/>
      <c r="C26" s="1152"/>
      <c r="D26" s="1152"/>
      <c r="E26" s="1152"/>
      <c r="F26" s="1152"/>
      <c r="G26" s="1152"/>
      <c r="H26" s="1152"/>
    </row>
    <row r="27" spans="1:8" ht="12.75" customHeight="1">
      <c r="A27" s="1346" t="s">
        <v>2299</v>
      </c>
      <c r="B27" s="1152"/>
      <c r="C27" s="1152"/>
      <c r="D27" s="1152"/>
      <c r="E27" s="1152"/>
      <c r="F27" s="1152"/>
      <c r="G27" s="1152"/>
      <c r="H27" s="1152"/>
    </row>
    <row r="28" spans="1:8" ht="12.75" customHeight="1">
      <c r="A28" s="1289"/>
      <c r="B28" s="1152"/>
      <c r="C28" s="1152"/>
      <c r="D28" s="1152"/>
      <c r="E28" s="1152"/>
      <c r="F28" s="1152"/>
      <c r="G28" s="1152"/>
      <c r="H28" s="1152"/>
    </row>
    <row r="29" spans="1:8" ht="12.75" customHeight="1">
      <c r="A29" s="1289" t="s">
        <v>2325</v>
      </c>
      <c r="B29" s="1152"/>
      <c r="C29" s="1152"/>
      <c r="D29" s="1152"/>
      <c r="E29" s="1152"/>
      <c r="F29" s="1152"/>
      <c r="G29" s="1152"/>
      <c r="H29" s="1152"/>
    </row>
    <row r="30" spans="1:8" ht="14.25" customHeight="1">
      <c r="A30" s="121"/>
      <c r="B30" s="1290"/>
      <c r="C30" s="1290"/>
      <c r="D30" s="1290"/>
      <c r="E30" s="1290"/>
      <c r="F30" s="1290"/>
      <c r="G30" s="1290"/>
      <c r="H30" s="1290"/>
    </row>
    <row r="31" spans="1:8" ht="14.25" customHeight="1">
      <c r="A31" s="120"/>
      <c r="B31" s="1290"/>
      <c r="C31" s="1290"/>
      <c r="D31" s="1290"/>
      <c r="E31" s="1290"/>
      <c r="F31" s="1290"/>
      <c r="G31" s="1290"/>
      <c r="H31" s="1290"/>
    </row>
    <row r="32" spans="1:8" ht="14.25" customHeight="1">
      <c r="A32" s="61" t="s">
        <v>719</v>
      </c>
      <c r="B32" s="1290"/>
      <c r="C32" s="1290"/>
      <c r="D32" s="1290"/>
      <c r="E32" s="1290"/>
      <c r="F32" s="1290"/>
      <c r="G32" s="1290"/>
      <c r="H32" s="1290"/>
    </row>
    <row r="33" spans="1:11" ht="18" customHeight="1">
      <c r="A33" s="61"/>
      <c r="B33" s="1290"/>
      <c r="C33" s="1290"/>
      <c r="D33" s="1290"/>
      <c r="E33" s="1290"/>
      <c r="F33" s="1290"/>
      <c r="G33" s="1290"/>
      <c r="H33" s="1290"/>
    </row>
    <row r="34" spans="1:11" ht="18" customHeight="1">
      <c r="A34" s="61"/>
      <c r="B34" s="1290"/>
      <c r="C34" s="1290"/>
      <c r="D34" s="1290"/>
      <c r="E34" s="1290"/>
      <c r="F34" s="1290"/>
      <c r="G34" s="1290"/>
      <c r="H34" s="1290"/>
      <c r="K34" s="120"/>
    </row>
    <row r="35" spans="1:11" ht="31" customHeight="1">
      <c r="A35" s="61"/>
      <c r="B35" s="1290"/>
      <c r="C35" s="1290"/>
      <c r="D35" s="1290"/>
      <c r="E35" s="1290"/>
      <c r="F35" s="1290"/>
      <c r="G35" s="1290"/>
      <c r="H35" s="1290"/>
    </row>
    <row r="36" spans="1:11" ht="31" customHeight="1">
      <c r="A36" s="61"/>
      <c r="B36" s="1290"/>
      <c r="C36" s="1290"/>
      <c r="D36" s="1290"/>
      <c r="E36" s="1290"/>
      <c r="F36" s="1290"/>
      <c r="G36" s="1290"/>
      <c r="H36" s="1290"/>
    </row>
    <row r="37" spans="1:11" ht="31" customHeight="1">
      <c r="A37" s="61"/>
      <c r="B37" s="1290"/>
      <c r="C37" s="1290"/>
      <c r="D37" s="1290"/>
      <c r="E37" s="1290"/>
      <c r="F37" s="1290"/>
      <c r="G37" s="1290"/>
      <c r="H37" s="1290"/>
    </row>
    <row r="38" spans="1:11" ht="31" customHeight="1">
      <c r="A38" s="61"/>
      <c r="B38" s="1290"/>
      <c r="C38" s="1290"/>
      <c r="D38" s="1290"/>
      <c r="E38" s="1290"/>
      <c r="F38" s="1290"/>
      <c r="G38" s="1290"/>
      <c r="H38" s="1290"/>
    </row>
    <row r="39" spans="1:11" ht="31" customHeight="1">
      <c r="A39" s="61"/>
      <c r="B39" s="1290"/>
      <c r="C39" s="1290"/>
      <c r="D39" s="1290"/>
      <c r="E39" s="1290"/>
      <c r="F39" s="1290"/>
      <c r="G39" s="1290"/>
      <c r="H39" s="1290"/>
    </row>
    <row r="40" spans="1:11">
      <c r="A40" s="61"/>
      <c r="B40" s="1290"/>
      <c r="C40" s="1290"/>
      <c r="D40" s="1290"/>
      <c r="E40" s="1290"/>
      <c r="F40" s="1290"/>
      <c r="G40" s="1290"/>
      <c r="H40" s="1290"/>
    </row>
    <row r="41" spans="1:11">
      <c r="A41" s="61"/>
      <c r="B41" s="1290"/>
      <c r="C41" s="1290"/>
      <c r="D41" s="1290"/>
      <c r="E41" s="1290"/>
      <c r="F41" s="1290"/>
      <c r="G41" s="1290"/>
      <c r="H41" s="1290"/>
    </row>
  </sheetData>
  <pageMargins left="0.59055118110236227" right="0.51181102362204722" top="1.0629921259842521" bottom="0.47244094488188981" header="0.59055118110236227" footer="0.51181102362204722"/>
  <pageSetup paperSize="9" scale="75" orientation="portrait" horizontalDpi="4294967292" verticalDpi="4294967292"/>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3279-57C5-0145-B919-513C89974F67}">
  <dimension ref="A1:AD183"/>
  <sheetViews>
    <sheetView topLeftCell="A81" zoomScaleNormal="100" workbookViewId="0">
      <selection activeCell="B91" sqref="B91:T102"/>
    </sheetView>
  </sheetViews>
  <sheetFormatPr baseColWidth="10" defaultColWidth="11.59765625" defaultRowHeight="13"/>
  <cols>
    <col min="1" max="1" width="3.796875" style="1452" customWidth="1"/>
    <col min="2" max="2" width="48.796875" style="1452" customWidth="1"/>
    <col min="3" max="3" width="10" style="1452" customWidth="1"/>
    <col min="4" max="4" width="9.3984375" style="1452" customWidth="1"/>
    <col min="5" max="5" width="9.796875" style="1452" customWidth="1"/>
    <col min="6" max="6" width="11.59765625" style="1452"/>
    <col min="7" max="7" width="11" style="1452" customWidth="1"/>
    <col min="8" max="10" width="11.59765625" style="1452"/>
    <col min="11" max="11" width="10.796875" style="1452" customWidth="1"/>
    <col min="12" max="12" width="11.59765625" style="1452" customWidth="1"/>
    <col min="13" max="13" width="10.796875" style="1452" customWidth="1"/>
    <col min="14" max="14" width="11.3984375" style="1452" customWidth="1"/>
    <col min="15" max="15" width="10.796875" style="1452" customWidth="1"/>
    <col min="16" max="16" width="11.19921875" style="1452" customWidth="1"/>
    <col min="17" max="17" width="11" style="1452" customWidth="1"/>
    <col min="18" max="18" width="11.19921875" style="1452" customWidth="1"/>
    <col min="19" max="22" width="11.59765625" style="1452"/>
    <col min="23" max="23" width="13.796875" style="1452" customWidth="1"/>
    <col min="24" max="24" width="10.59765625" style="1456" customWidth="1"/>
    <col min="25" max="25" width="10.59765625" style="1452" customWidth="1"/>
    <col min="26" max="26" width="11.59765625" style="1452"/>
    <col min="27" max="27" width="11.3984375" style="1452" bestFit="1" customWidth="1"/>
    <col min="28" max="16384" width="11.59765625" style="1452"/>
  </cols>
  <sheetData>
    <row r="1" spans="1:28" ht="18">
      <c r="A1" s="1451" t="s">
        <v>2265</v>
      </c>
      <c r="Q1" s="1453"/>
      <c r="R1" s="1453"/>
      <c r="T1" s="1454"/>
      <c r="W1" s="1455"/>
      <c r="X1" s="1452"/>
      <c r="Y1" s="1456"/>
    </row>
    <row r="2" spans="1:28" ht="14" thickBot="1">
      <c r="A2" s="1457"/>
      <c r="B2" s="1457"/>
      <c r="C2" s="1457"/>
      <c r="D2" s="1457"/>
      <c r="E2" s="1457"/>
      <c r="F2" s="1457"/>
      <c r="G2" s="1457"/>
      <c r="H2" s="1457"/>
      <c r="I2" s="1457"/>
      <c r="J2" s="1457"/>
      <c r="K2" s="1457"/>
      <c r="L2" s="1457"/>
      <c r="M2" s="1457"/>
      <c r="N2" s="1457"/>
      <c r="O2" s="1457"/>
      <c r="P2" s="1457"/>
      <c r="Q2" s="1457"/>
      <c r="R2" s="1457"/>
      <c r="S2" s="1458"/>
      <c r="T2" s="1459"/>
      <c r="U2" s="1459"/>
      <c r="V2" s="1459"/>
      <c r="W2" s="1459"/>
      <c r="X2" s="1459"/>
      <c r="Y2" s="1460"/>
      <c r="Z2" s="1461"/>
      <c r="AA2" s="1459"/>
    </row>
    <row r="3" spans="1:28" s="1466" customFormat="1" ht="10.5" customHeight="1">
      <c r="A3" s="1462"/>
      <c r="B3" s="1462"/>
      <c r="C3" s="1463"/>
      <c r="D3" s="1462"/>
      <c r="E3" s="1463"/>
      <c r="F3" s="1462"/>
      <c r="G3" s="1463"/>
      <c r="H3" s="1462"/>
      <c r="I3" s="1463"/>
      <c r="J3" s="1462"/>
      <c r="K3" s="1463"/>
      <c r="L3" s="1462"/>
      <c r="M3" s="1463"/>
      <c r="N3" s="1462"/>
      <c r="O3" s="1463"/>
      <c r="P3" s="1462"/>
      <c r="Q3" s="1464"/>
      <c r="R3" s="1465"/>
      <c r="T3" s="1459"/>
      <c r="U3" s="1467"/>
      <c r="V3" s="1467"/>
      <c r="W3" s="1467"/>
      <c r="X3" s="1467"/>
      <c r="Y3" s="1468"/>
      <c r="Z3" s="1469"/>
      <c r="AA3" s="1470"/>
      <c r="AB3" s="1471"/>
    </row>
    <row r="4" spans="1:28" ht="15.75" customHeight="1">
      <c r="A4" s="1472"/>
      <c r="B4" s="1473"/>
      <c r="C4" s="1474">
        <v>1996</v>
      </c>
      <c r="D4" s="1475">
        <v>1997</v>
      </c>
      <c r="E4" s="1474">
        <v>1998</v>
      </c>
      <c r="F4" s="1475">
        <v>1999</v>
      </c>
      <c r="G4" s="1474">
        <v>2000</v>
      </c>
      <c r="H4" s="1475">
        <v>2001</v>
      </c>
      <c r="I4" s="1474">
        <v>2002</v>
      </c>
      <c r="J4" s="1475">
        <v>2003</v>
      </c>
      <c r="K4" s="1474">
        <v>2004</v>
      </c>
      <c r="L4" s="1475">
        <v>2005</v>
      </c>
      <c r="M4" s="1474">
        <v>2006</v>
      </c>
      <c r="N4" s="1475">
        <v>2007</v>
      </c>
      <c r="O4" s="1474">
        <v>2008</v>
      </c>
      <c r="P4" s="1475">
        <v>2009</v>
      </c>
      <c r="Q4" s="1474">
        <v>2010</v>
      </c>
      <c r="R4" s="1475" t="s">
        <v>2266</v>
      </c>
      <c r="T4" s="1459"/>
      <c r="U4" s="1467"/>
      <c r="V4" s="1467"/>
      <c r="W4" s="1467"/>
      <c r="X4" s="1467"/>
      <c r="Y4" s="1476"/>
      <c r="Z4" s="1477"/>
      <c r="AA4" s="1470"/>
      <c r="AB4" s="1471"/>
    </row>
    <row r="5" spans="1:28" ht="14.25" customHeight="1">
      <c r="A5" s="1478"/>
      <c r="B5" s="1478"/>
      <c r="C5" s="1479"/>
      <c r="D5" s="1480"/>
      <c r="E5" s="1479"/>
      <c r="F5" s="1480"/>
      <c r="G5" s="1479"/>
      <c r="H5" s="1480"/>
      <c r="I5" s="1479"/>
      <c r="J5" s="1480"/>
      <c r="K5" s="1479"/>
      <c r="L5" s="1480"/>
      <c r="M5" s="1479"/>
      <c r="N5" s="1480"/>
      <c r="O5" s="1479"/>
      <c r="P5" s="1480"/>
      <c r="Q5" s="1481"/>
      <c r="R5" s="1482"/>
      <c r="T5" s="1459"/>
      <c r="U5" s="1467"/>
      <c r="V5" s="1483"/>
      <c r="W5" s="1467"/>
      <c r="X5" s="1467"/>
      <c r="Y5" s="1484"/>
      <c r="Z5" s="1485"/>
      <c r="AA5" s="1484"/>
      <c r="AB5" s="1486"/>
    </row>
    <row r="6" spans="1:28">
      <c r="A6" s="1487"/>
      <c r="B6" s="1488"/>
      <c r="C6" s="1489"/>
      <c r="D6" s="1488"/>
      <c r="E6" s="1489"/>
      <c r="F6" s="1488"/>
      <c r="G6" s="1489"/>
      <c r="H6" s="1488"/>
      <c r="I6" s="1489"/>
      <c r="J6" s="1488"/>
      <c r="K6" s="1489"/>
      <c r="L6" s="1488"/>
      <c r="M6" s="1489"/>
      <c r="N6" s="1488"/>
      <c r="O6" s="1489"/>
      <c r="P6" s="1488"/>
      <c r="Q6" s="1489"/>
      <c r="R6" s="1488"/>
      <c r="T6" s="1459"/>
      <c r="U6" s="1467"/>
      <c r="V6" s="1467"/>
      <c r="W6" s="1467"/>
      <c r="X6" s="1467"/>
      <c r="Y6" s="1476"/>
      <c r="Z6" s="1490"/>
      <c r="AA6" s="1470"/>
      <c r="AB6" s="1471"/>
    </row>
    <row r="7" spans="1:28" ht="13.25" customHeight="1" thickBot="1">
      <c r="A7" s="1491"/>
      <c r="B7" s="1492"/>
      <c r="C7" s="1493"/>
      <c r="D7" s="1493"/>
      <c r="E7" s="1493"/>
      <c r="F7" s="1493"/>
      <c r="G7" s="1493"/>
      <c r="H7" s="1493"/>
      <c r="I7" s="1493"/>
      <c r="J7" s="1493"/>
      <c r="K7" s="1493"/>
      <c r="L7" s="1493"/>
      <c r="M7" s="1493"/>
      <c r="N7" s="1493"/>
      <c r="O7" s="1494"/>
      <c r="P7" s="1493"/>
      <c r="Q7" s="1495"/>
      <c r="R7" s="1495"/>
      <c r="T7" s="1496"/>
      <c r="U7" s="1467"/>
      <c r="V7" s="1497"/>
      <c r="W7" s="1467"/>
      <c r="X7" s="1467"/>
      <c r="Y7" s="1459"/>
      <c r="Z7" s="1498"/>
      <c r="AA7" s="1470"/>
      <c r="AB7" s="1471"/>
    </row>
    <row r="8" spans="1:28" ht="18" customHeight="1" thickBot="1">
      <c r="A8" s="1499" t="s">
        <v>2267</v>
      </c>
      <c r="B8" s="1500"/>
      <c r="C8" s="1493"/>
      <c r="D8" s="1493"/>
      <c r="E8" s="1493"/>
      <c r="F8" s="1493"/>
      <c r="G8" s="1493"/>
      <c r="H8" s="1493"/>
      <c r="I8" s="1493"/>
      <c r="J8" s="1493"/>
      <c r="K8" s="1493"/>
      <c r="L8" s="1493"/>
      <c r="M8" s="1493"/>
      <c r="N8" s="1493"/>
      <c r="O8" s="1494"/>
      <c r="P8" s="1493"/>
      <c r="Q8" s="1495"/>
      <c r="R8" s="1495"/>
      <c r="T8" s="1496"/>
      <c r="U8" s="1467"/>
      <c r="V8" s="1497"/>
      <c r="W8" s="1467"/>
      <c r="X8" s="1467"/>
      <c r="Y8" s="1459"/>
      <c r="Z8" s="1498"/>
      <c r="AA8" s="1470"/>
      <c r="AB8" s="1471"/>
    </row>
    <row r="9" spans="1:28" ht="9" customHeight="1" thickBot="1">
      <c r="A9" s="1491"/>
      <c r="B9" s="1492"/>
      <c r="C9" s="1493"/>
      <c r="D9" s="1493"/>
      <c r="E9" s="1493"/>
      <c r="F9" s="1493"/>
      <c r="G9" s="1493"/>
      <c r="H9" s="1493"/>
      <c r="I9" s="1493"/>
      <c r="J9" s="1493"/>
      <c r="K9" s="1493"/>
      <c r="L9" s="1493"/>
      <c r="M9" s="1493"/>
      <c r="N9" s="1493"/>
      <c r="O9" s="1494"/>
      <c r="P9" s="1493"/>
      <c r="Q9" s="1495"/>
      <c r="R9" s="1495"/>
      <c r="T9" s="1496"/>
      <c r="U9" s="1467"/>
      <c r="V9" s="1497"/>
      <c r="W9" s="1467"/>
      <c r="X9" s="1467"/>
      <c r="Y9" s="1459"/>
      <c r="Z9" s="1498"/>
      <c r="AA9" s="1470"/>
      <c r="AB9" s="1471"/>
    </row>
    <row r="10" spans="1:28" s="1510" customFormat="1" ht="16.75" customHeight="1" thickBot="1">
      <c r="A10" s="1501" t="s">
        <v>2268</v>
      </c>
      <c r="B10" s="1502"/>
      <c r="C10" s="1503">
        <v>37468.621584899993</v>
      </c>
      <c r="D10" s="1504">
        <v>38209.908416353559</v>
      </c>
      <c r="E10" s="1503">
        <v>39815.013078757198</v>
      </c>
      <c r="F10" s="1504">
        <v>41104.451764019817</v>
      </c>
      <c r="G10" s="1503">
        <v>42842.933951834144</v>
      </c>
      <c r="H10" s="1504">
        <v>45572.841048926202</v>
      </c>
      <c r="I10" s="1503">
        <v>47388.633486638137</v>
      </c>
      <c r="J10" s="1504">
        <v>49265.161352870738</v>
      </c>
      <c r="K10" s="1503">
        <v>51007.71667083916</v>
      </c>
      <c r="L10" s="1504">
        <v>52043.04088068397</v>
      </c>
      <c r="M10" s="1503">
        <v>52773.346851683025</v>
      </c>
      <c r="N10" s="1504">
        <v>55214.945110235072</v>
      </c>
      <c r="O10" s="1503">
        <v>58426.052863864068</v>
      </c>
      <c r="P10" s="1505">
        <v>60980.754804584423</v>
      </c>
      <c r="Q10" s="1503">
        <v>62494.916428919067</v>
      </c>
      <c r="R10" s="1506" t="s">
        <v>30</v>
      </c>
      <c r="S10" s="1507"/>
      <c r="T10" s="1458"/>
      <c r="U10" s="1508"/>
      <c r="V10" s="1508"/>
      <c r="W10" s="1508"/>
      <c r="X10" s="1467"/>
      <c r="Y10" s="1496"/>
      <c r="Z10" s="1509"/>
      <c r="AA10" s="1496"/>
    </row>
    <row r="11" spans="1:28" ht="17.25" customHeight="1" thickBot="1">
      <c r="A11" s="1511"/>
      <c r="B11" s="1512"/>
      <c r="C11" s="1513"/>
      <c r="D11" s="1514"/>
      <c r="E11" s="1513"/>
      <c r="F11" s="1514"/>
      <c r="G11" s="1513"/>
      <c r="H11" s="1514"/>
      <c r="I11" s="1513"/>
      <c r="J11" s="1514"/>
      <c r="K11" s="1513"/>
      <c r="L11" s="1514"/>
      <c r="M11" s="1513"/>
      <c r="N11" s="1514"/>
      <c r="O11" s="1513"/>
      <c r="P11" s="1514"/>
      <c r="Q11" s="1513"/>
      <c r="R11" s="1514"/>
      <c r="T11" s="1515"/>
      <c r="U11" s="1515"/>
      <c r="V11" s="1516"/>
      <c r="W11" s="1515"/>
      <c r="X11" s="1459"/>
      <c r="Y11" s="1459"/>
      <c r="Z11" s="1498"/>
      <c r="AA11" s="1459"/>
    </row>
    <row r="12" spans="1:28" ht="18" customHeight="1" thickBot="1">
      <c r="A12" s="1517" t="s">
        <v>2269</v>
      </c>
      <c r="B12" s="1500"/>
      <c r="C12" s="1518">
        <v>5976.68608119694</v>
      </c>
      <c r="D12" s="1519">
        <v>5920.5324887865727</v>
      </c>
      <c r="E12" s="1518">
        <v>5989.0401962979158</v>
      </c>
      <c r="F12" s="1519">
        <v>6272.8466257392192</v>
      </c>
      <c r="G12" s="1518">
        <v>6460.9578237170608</v>
      </c>
      <c r="H12" s="1519">
        <v>7635.1420777467765</v>
      </c>
      <c r="I12" s="1518">
        <v>8429.5101560943567</v>
      </c>
      <c r="J12" s="1519">
        <v>8778.10319716105</v>
      </c>
      <c r="K12" s="1518">
        <v>8632.7243530636424</v>
      </c>
      <c r="L12" s="1519">
        <v>8704.8174529394601</v>
      </c>
      <c r="M12" s="1518">
        <v>8536.5423231378227</v>
      </c>
      <c r="N12" s="1519">
        <v>8960.8447878915576</v>
      </c>
      <c r="O12" s="1520">
        <v>10892.863194019999</v>
      </c>
      <c r="P12" s="1519">
        <v>11812.531518999062</v>
      </c>
      <c r="Q12" s="1520">
        <v>11842.966931600004</v>
      </c>
      <c r="R12" s="1519" t="s">
        <v>30</v>
      </c>
      <c r="T12" s="1521"/>
      <c r="U12" s="1508"/>
      <c r="V12" s="1516"/>
      <c r="W12" s="1508"/>
      <c r="X12" s="1467"/>
      <c r="Y12" s="1459"/>
      <c r="Z12" s="1498"/>
      <c r="AA12" s="1470"/>
      <c r="AB12" s="1471"/>
    </row>
    <row r="13" spans="1:28" ht="14" thickBot="1">
      <c r="A13" s="1522" t="s">
        <v>2270</v>
      </c>
      <c r="B13" s="1512"/>
      <c r="C13" s="1523">
        <v>129.23078991</v>
      </c>
      <c r="D13" s="1524">
        <v>117.49672024</v>
      </c>
      <c r="E13" s="1523">
        <v>116.89201141000001</v>
      </c>
      <c r="F13" s="1524">
        <v>126.031144</v>
      </c>
      <c r="G13" s="1523">
        <v>145.00575000000001</v>
      </c>
      <c r="H13" s="1524">
        <v>164.3904</v>
      </c>
      <c r="I13" s="1523">
        <v>177.72408200000001</v>
      </c>
      <c r="J13" s="1524">
        <v>155.57770199999999</v>
      </c>
      <c r="K13" s="1523">
        <v>137.73953900000001</v>
      </c>
      <c r="L13" s="1524">
        <v>126.93680499999999</v>
      </c>
      <c r="M13" s="1523">
        <v>121.25849500000001</v>
      </c>
      <c r="N13" s="1524">
        <v>180.203757</v>
      </c>
      <c r="O13" s="1523">
        <v>190.7</v>
      </c>
      <c r="P13" s="1524">
        <v>235.31799999999996</v>
      </c>
      <c r="Q13" s="1523">
        <v>194.01</v>
      </c>
      <c r="R13" s="1524" t="s">
        <v>30</v>
      </c>
      <c r="T13" s="1458"/>
      <c r="U13" s="1508"/>
      <c r="V13" s="1516"/>
      <c r="W13" s="1508"/>
      <c r="X13" s="1467"/>
      <c r="Y13" s="1476"/>
      <c r="Z13" s="1525"/>
      <c r="AA13" s="1470"/>
      <c r="AB13" s="1471"/>
    </row>
    <row r="14" spans="1:28" ht="14" thickBot="1">
      <c r="A14" s="1522" t="s">
        <v>2271</v>
      </c>
      <c r="B14" s="1512"/>
      <c r="C14" s="1523">
        <v>4784.5780118902267</v>
      </c>
      <c r="D14" s="1524">
        <v>4715.2771265677929</v>
      </c>
      <c r="E14" s="1523">
        <v>4705.6176243116033</v>
      </c>
      <c r="F14" s="1524">
        <v>4970.909962638395</v>
      </c>
      <c r="G14" s="1523">
        <v>5115.6656802381985</v>
      </c>
      <c r="H14" s="1524">
        <v>6059.2656324562704</v>
      </c>
      <c r="I14" s="1523">
        <v>6823.5309806680871</v>
      </c>
      <c r="J14" s="1524">
        <v>7254.6764879217662</v>
      </c>
      <c r="K14" s="1523">
        <v>7117.8318535254821</v>
      </c>
      <c r="L14" s="1524">
        <v>7397.3768416285438</v>
      </c>
      <c r="M14" s="1523">
        <v>7523.1773202740087</v>
      </c>
      <c r="N14" s="1524">
        <v>7771.8251720893604</v>
      </c>
      <c r="O14" s="1526">
        <v>9143.9026519999989</v>
      </c>
      <c r="P14" s="1524">
        <v>9940.3914481753054</v>
      </c>
      <c r="Q14" s="1526">
        <v>10018.500700000002</v>
      </c>
      <c r="R14" s="1524" t="s">
        <v>30</v>
      </c>
      <c r="T14" s="1458"/>
      <c r="U14" s="1508"/>
      <c r="V14" s="1516"/>
      <c r="W14" s="1508"/>
      <c r="X14" s="1467"/>
      <c r="Y14" s="1476"/>
      <c r="Z14" s="1525"/>
      <c r="AA14" s="1470"/>
      <c r="AB14" s="1471"/>
    </row>
    <row r="15" spans="1:28" ht="14" thickBot="1">
      <c r="A15" s="1522" t="s">
        <v>2272</v>
      </c>
      <c r="B15" s="1512"/>
      <c r="C15" s="1523">
        <v>1062.8772793967141</v>
      </c>
      <c r="D15" s="1524">
        <v>1087.7586419787795</v>
      </c>
      <c r="E15" s="1523">
        <v>1166.5305605763128</v>
      </c>
      <c r="F15" s="1524">
        <v>1175.9055191008242</v>
      </c>
      <c r="G15" s="1523">
        <v>1200.286393478862</v>
      </c>
      <c r="H15" s="1524">
        <v>1411.4860452905059</v>
      </c>
      <c r="I15" s="1523">
        <v>1428.2550934262702</v>
      </c>
      <c r="J15" s="1524">
        <v>1367.8490072392833</v>
      </c>
      <c r="K15" s="1523">
        <v>1377.1529605381609</v>
      </c>
      <c r="L15" s="1524">
        <v>1180.5038063109164</v>
      </c>
      <c r="M15" s="1523">
        <v>892.10650786381348</v>
      </c>
      <c r="N15" s="1524">
        <v>1008.8158588021977</v>
      </c>
      <c r="O15" s="1526">
        <v>1558.2605420199998</v>
      </c>
      <c r="P15" s="1524">
        <v>1636.8220708237566</v>
      </c>
      <c r="Q15" s="1526">
        <v>1630.4562316000001</v>
      </c>
      <c r="R15" s="1524" t="s">
        <v>30</v>
      </c>
      <c r="T15" s="1458"/>
      <c r="U15" s="1508"/>
      <c r="V15" s="1516"/>
      <c r="W15" s="1508"/>
      <c r="X15" s="1467"/>
      <c r="Y15" s="1476"/>
      <c r="Z15" s="1525"/>
      <c r="AA15" s="1470"/>
      <c r="AB15" s="1471"/>
    </row>
    <row r="16" spans="1:28" ht="15.75" customHeight="1" thickBot="1">
      <c r="A16" s="1522"/>
      <c r="B16" s="1512"/>
      <c r="C16" s="1527"/>
      <c r="D16" s="1528"/>
      <c r="E16" s="1527"/>
      <c r="F16" s="1528"/>
      <c r="G16" s="1527"/>
      <c r="H16" s="1528"/>
      <c r="I16" s="1527"/>
      <c r="J16" s="1528"/>
      <c r="K16" s="1527"/>
      <c r="L16" s="1528"/>
      <c r="M16" s="1527"/>
      <c r="N16" s="1528"/>
      <c r="O16" s="1527"/>
      <c r="P16" s="1528"/>
      <c r="Q16" s="1527"/>
      <c r="R16" s="1528"/>
      <c r="T16" s="1515"/>
      <c r="U16" s="1515"/>
      <c r="V16" s="1516"/>
      <c r="W16" s="1515"/>
      <c r="X16" s="1459"/>
      <c r="Y16" s="1459"/>
      <c r="Z16" s="1525"/>
      <c r="AA16" s="1459"/>
    </row>
    <row r="17" spans="1:28" s="1510" customFormat="1" ht="17.25" customHeight="1" thickBot="1">
      <c r="A17" s="1511" t="s">
        <v>2273</v>
      </c>
      <c r="B17" s="1512"/>
      <c r="C17" s="1513"/>
      <c r="D17" s="1514"/>
      <c r="E17" s="1513"/>
      <c r="F17" s="1514"/>
      <c r="G17" s="1513"/>
      <c r="H17" s="1514"/>
      <c r="I17" s="1513"/>
      <c r="J17" s="1514"/>
      <c r="K17" s="1513"/>
      <c r="L17" s="1514"/>
      <c r="M17" s="1513"/>
      <c r="N17" s="1514"/>
      <c r="O17" s="1513"/>
      <c r="P17" s="1514"/>
      <c r="Q17" s="1513"/>
      <c r="R17" s="1514"/>
      <c r="T17" s="1529"/>
      <c r="U17" s="1515"/>
      <c r="V17" s="1516"/>
      <c r="W17" s="1515"/>
      <c r="X17" s="1459"/>
      <c r="Y17" s="1496"/>
      <c r="Z17" s="1498"/>
      <c r="AA17" s="1496"/>
    </row>
    <row r="18" spans="1:28" ht="14" thickBot="1">
      <c r="A18" s="1522" t="s">
        <v>2274</v>
      </c>
      <c r="B18" s="1512"/>
      <c r="C18" s="1523">
        <v>11739.7</v>
      </c>
      <c r="D18" s="1524">
        <v>12260.3</v>
      </c>
      <c r="E18" s="1523">
        <v>12798.7</v>
      </c>
      <c r="F18" s="1524">
        <v>13282.2</v>
      </c>
      <c r="G18" s="1523">
        <v>14059.1</v>
      </c>
      <c r="H18" s="1524">
        <v>14886.7</v>
      </c>
      <c r="I18" s="1523">
        <v>15483.3</v>
      </c>
      <c r="J18" s="1524">
        <v>16304.208000000002</v>
      </c>
      <c r="K18" s="1523">
        <v>17379.804</v>
      </c>
      <c r="L18" s="1524">
        <v>18272.676915579999</v>
      </c>
      <c r="M18" s="1523">
        <v>18616.168259350641</v>
      </c>
      <c r="N18" s="1524">
        <v>19476.572300669999</v>
      </c>
      <c r="O18" s="1523">
        <v>20552.327783749999</v>
      </c>
      <c r="P18" s="1524">
        <v>21382.792581599992</v>
      </c>
      <c r="Q18" s="1523">
        <v>22025.051492989991</v>
      </c>
      <c r="R18" s="1524" t="s">
        <v>30</v>
      </c>
      <c r="T18" s="1521"/>
      <c r="U18" s="1530"/>
      <c r="V18" s="1516"/>
      <c r="W18" s="1530"/>
      <c r="X18" s="1476"/>
      <c r="Y18" s="1459"/>
      <c r="Z18" s="1525"/>
      <c r="AA18" s="1459"/>
    </row>
    <row r="19" spans="1:28" ht="15.75" customHeight="1" thickBot="1">
      <c r="A19" s="1522"/>
      <c r="B19" s="1512"/>
      <c r="C19" s="1527"/>
      <c r="D19" s="1528"/>
      <c r="E19" s="1527"/>
      <c r="F19" s="1528"/>
      <c r="G19" s="1527"/>
      <c r="H19" s="1528"/>
      <c r="I19" s="1527"/>
      <c r="J19" s="1528"/>
      <c r="K19" s="1527"/>
      <c r="L19" s="1528"/>
      <c r="M19" s="1527"/>
      <c r="N19" s="1528"/>
      <c r="O19" s="1527"/>
      <c r="P19" s="1528"/>
      <c r="Q19" s="1527"/>
      <c r="R19" s="1528"/>
      <c r="T19" s="1515"/>
      <c r="U19" s="1515"/>
      <c r="V19" s="1516"/>
      <c r="W19" s="1515"/>
      <c r="X19" s="1459"/>
      <c r="Y19" s="1459"/>
      <c r="Z19" s="1525"/>
      <c r="AA19" s="1459"/>
    </row>
    <row r="20" spans="1:28" s="1510" customFormat="1" ht="14" thickBot="1">
      <c r="A20" s="1511" t="s">
        <v>2275</v>
      </c>
      <c r="B20" s="1512"/>
      <c r="C20" s="1531">
        <v>4896.5</v>
      </c>
      <c r="D20" s="1532">
        <v>4463.4000000000005</v>
      </c>
      <c r="E20" s="1531">
        <v>4590.2</v>
      </c>
      <c r="F20" s="1532">
        <v>4331.8999999999996</v>
      </c>
      <c r="G20" s="1531">
        <v>4546.7</v>
      </c>
      <c r="H20" s="1532">
        <v>4699.8999999999996</v>
      </c>
      <c r="I20" s="1531">
        <v>4615.5</v>
      </c>
      <c r="J20" s="1532">
        <v>4477.9040000000005</v>
      </c>
      <c r="K20" s="1531">
        <v>4511.7479999999996</v>
      </c>
      <c r="L20" s="1532">
        <v>4674.7509002500001</v>
      </c>
      <c r="M20" s="1531">
        <v>4820.2721687900003</v>
      </c>
      <c r="N20" s="1532">
        <v>5090.8464520100015</v>
      </c>
      <c r="O20" s="1531">
        <v>5247.4394720000009</v>
      </c>
      <c r="P20" s="1532">
        <v>5384.151709929999</v>
      </c>
      <c r="Q20" s="1531">
        <v>5404.6559707300012</v>
      </c>
      <c r="R20" s="1532" t="s">
        <v>30</v>
      </c>
      <c r="T20" s="1521"/>
      <c r="U20" s="1529"/>
      <c r="V20" s="1529"/>
      <c r="W20" s="1529"/>
      <c r="X20" s="1496"/>
      <c r="Y20" s="1496"/>
      <c r="Z20" s="1498"/>
      <c r="AA20" s="1496"/>
    </row>
    <row r="21" spans="1:28" s="1510" customFormat="1" ht="16.5" customHeight="1" thickBot="1">
      <c r="A21" s="1522" t="s">
        <v>2276</v>
      </c>
      <c r="B21" s="1512"/>
      <c r="C21" s="1523">
        <v>4375.2</v>
      </c>
      <c r="D21" s="1524">
        <v>3892.3</v>
      </c>
      <c r="E21" s="1523">
        <v>4038.2</v>
      </c>
      <c r="F21" s="1524">
        <v>3415.2</v>
      </c>
      <c r="G21" s="1523">
        <v>2646.1</v>
      </c>
      <c r="H21" s="1524">
        <v>1875.9</v>
      </c>
      <c r="I21" s="1523">
        <v>1740.9</v>
      </c>
      <c r="J21" s="1524">
        <v>1645.404</v>
      </c>
      <c r="K21" s="1523">
        <v>1205.748</v>
      </c>
      <c r="L21" s="1524">
        <v>1392.2470854699995</v>
      </c>
      <c r="M21" s="1523">
        <v>1351.0005863899996</v>
      </c>
      <c r="N21" s="1524">
        <v>1445.5131748099991</v>
      </c>
      <c r="O21" s="1523">
        <v>1567.1814719999993</v>
      </c>
      <c r="P21" s="1524">
        <v>1593.5517099299991</v>
      </c>
      <c r="Q21" s="1523">
        <v>1559.7453327099993</v>
      </c>
      <c r="R21" s="1524" t="s">
        <v>30</v>
      </c>
      <c r="T21" s="1521"/>
      <c r="U21" s="1529"/>
      <c r="V21" s="1529"/>
      <c r="W21" s="1516"/>
      <c r="X21" s="1496"/>
      <c r="Y21" s="1496"/>
      <c r="Z21" s="1533"/>
      <c r="AA21" s="1496"/>
    </row>
    <row r="22" spans="1:28" s="1510" customFormat="1" ht="15.75" customHeight="1" thickBot="1">
      <c r="A22" s="1522" t="s">
        <v>2277</v>
      </c>
      <c r="B22" s="1512"/>
      <c r="C22" s="1523">
        <v>521.29999999999995</v>
      </c>
      <c r="D22" s="1524">
        <v>571.1</v>
      </c>
      <c r="E22" s="1523">
        <v>552</v>
      </c>
      <c r="F22" s="1524">
        <v>916.7</v>
      </c>
      <c r="G22" s="1523">
        <v>1900.6</v>
      </c>
      <c r="H22" s="1524">
        <v>2824</v>
      </c>
      <c r="I22" s="1523">
        <v>2874.6</v>
      </c>
      <c r="J22" s="1524">
        <v>2832.5</v>
      </c>
      <c r="K22" s="1523">
        <v>3306</v>
      </c>
      <c r="L22" s="1524">
        <v>3282.5038147800005</v>
      </c>
      <c r="M22" s="1523">
        <v>3469.2715824000006</v>
      </c>
      <c r="N22" s="1524">
        <v>3645.3332772000026</v>
      </c>
      <c r="O22" s="1523">
        <v>3680.2580000000016</v>
      </c>
      <c r="P22" s="1524">
        <v>3790.6</v>
      </c>
      <c r="Q22" s="1523">
        <v>3844.9106380200019</v>
      </c>
      <c r="R22" s="1524" t="s">
        <v>30</v>
      </c>
      <c r="T22" s="1521"/>
      <c r="U22" s="1529"/>
      <c r="V22" s="1516"/>
      <c r="W22" s="1529"/>
      <c r="X22" s="1496"/>
      <c r="Y22" s="1496"/>
      <c r="Z22" s="1533"/>
      <c r="AA22" s="1496"/>
    </row>
    <row r="23" spans="1:28" ht="14" thickBot="1">
      <c r="A23" s="1522"/>
      <c r="B23" s="1472"/>
      <c r="C23" s="1527"/>
      <c r="D23" s="1528"/>
      <c r="E23" s="1527"/>
      <c r="F23" s="1528"/>
      <c r="G23" s="1527"/>
      <c r="H23" s="1528"/>
      <c r="I23" s="1527"/>
      <c r="J23" s="1528"/>
      <c r="K23" s="1527"/>
      <c r="L23" s="1528"/>
      <c r="M23" s="1527"/>
      <c r="N23" s="1528"/>
      <c r="O23" s="1527"/>
      <c r="P23" s="1528"/>
      <c r="Q23" s="1527"/>
      <c r="R23" s="1528"/>
      <c r="T23" s="1515"/>
      <c r="U23" s="1515"/>
      <c r="V23" s="1516"/>
      <c r="W23" s="1515"/>
      <c r="X23" s="1459"/>
      <c r="Y23" s="1459"/>
      <c r="Z23" s="1525"/>
      <c r="AA23" s="1459"/>
    </row>
    <row r="24" spans="1:28" s="1510" customFormat="1" ht="14" thickBot="1">
      <c r="A24" s="1511" t="s">
        <v>2278</v>
      </c>
      <c r="B24" s="1512"/>
      <c r="C24" s="1534"/>
      <c r="D24" s="1506"/>
      <c r="E24" s="1534"/>
      <c r="F24" s="1506"/>
      <c r="G24" s="1534"/>
      <c r="H24" s="1506"/>
      <c r="I24" s="1534"/>
      <c r="J24" s="1506"/>
      <c r="K24" s="1534"/>
      <c r="L24" s="1506"/>
      <c r="M24" s="1534"/>
      <c r="N24" s="1506"/>
      <c r="O24" s="1534"/>
      <c r="P24" s="1506"/>
      <c r="Q24" s="1534"/>
      <c r="R24" s="1506"/>
      <c r="T24" s="1521"/>
      <c r="U24" s="1529"/>
      <c r="V24" s="1529"/>
      <c r="W24" s="1529"/>
      <c r="X24" s="1496"/>
      <c r="Y24" s="1496"/>
      <c r="Z24" s="1498"/>
      <c r="AA24" s="1496"/>
    </row>
    <row r="25" spans="1:28" ht="14" thickBot="1">
      <c r="A25" s="1522" t="s">
        <v>2279</v>
      </c>
      <c r="B25" s="1512"/>
      <c r="C25" s="1523">
        <v>1678.5</v>
      </c>
      <c r="D25" s="1524">
        <v>1778</v>
      </c>
      <c r="E25" s="1523">
        <v>2097.1999999999998</v>
      </c>
      <c r="F25" s="1524">
        <v>2189.9</v>
      </c>
      <c r="G25" s="1523">
        <v>2288</v>
      </c>
      <c r="H25" s="1524">
        <v>2400.1889999999999</v>
      </c>
      <c r="I25" s="1523">
        <v>2502.83</v>
      </c>
      <c r="J25" s="1524">
        <v>2588.5</v>
      </c>
      <c r="K25" s="1523">
        <v>2832.3</v>
      </c>
      <c r="L25" s="1524">
        <v>2994.9866096700002</v>
      </c>
      <c r="M25" s="1523">
        <v>3038.7113187199998</v>
      </c>
      <c r="N25" s="1524">
        <v>3155.0668707</v>
      </c>
      <c r="O25" s="1523">
        <v>3290.4542289599999</v>
      </c>
      <c r="P25" s="1524">
        <v>3382.4718481499999</v>
      </c>
      <c r="Q25" s="1523">
        <v>3408.7146446100001</v>
      </c>
      <c r="R25" s="1524" t="s">
        <v>30</v>
      </c>
      <c r="T25" s="1458"/>
      <c r="U25" s="1515"/>
      <c r="V25" s="1516"/>
      <c r="W25" s="1515"/>
      <c r="X25" s="1459"/>
      <c r="Y25" s="1459"/>
      <c r="Z25" s="1525"/>
      <c r="AA25" s="1459"/>
    </row>
    <row r="26" spans="1:28" ht="14" thickBot="1">
      <c r="A26" s="1522" t="s">
        <v>2280</v>
      </c>
      <c r="B26" s="1512"/>
      <c r="C26" s="1523">
        <v>92.3</v>
      </c>
      <c r="D26" s="1524">
        <v>106.4</v>
      </c>
      <c r="E26" s="1523">
        <v>57.8</v>
      </c>
      <c r="F26" s="1524">
        <v>59.7</v>
      </c>
      <c r="G26" s="1523">
        <v>55.1</v>
      </c>
      <c r="H26" s="1524">
        <v>28.06</v>
      </c>
      <c r="I26" s="1523">
        <v>38.17</v>
      </c>
      <c r="J26" s="1524">
        <v>39</v>
      </c>
      <c r="K26" s="1523">
        <v>35.9</v>
      </c>
      <c r="L26" s="1524">
        <v>36.691305870000001</v>
      </c>
      <c r="M26" s="1523">
        <v>42.792587509999997</v>
      </c>
      <c r="N26" s="1524">
        <v>45.914382520000004</v>
      </c>
      <c r="O26" s="1523">
        <v>47.179055349999999</v>
      </c>
      <c r="P26" s="1524">
        <v>43.52313178</v>
      </c>
      <c r="Q26" s="1523">
        <v>41.799594509999999</v>
      </c>
      <c r="R26" s="1524" t="s">
        <v>30</v>
      </c>
      <c r="T26" s="1458"/>
      <c r="U26" s="1515"/>
      <c r="V26" s="1516"/>
      <c r="W26" s="1515"/>
      <c r="X26" s="1459"/>
      <c r="Y26" s="1459"/>
      <c r="Z26" s="1525"/>
      <c r="AA26" s="1459"/>
    </row>
    <row r="27" spans="1:28" ht="14" thickBot="1">
      <c r="A27" s="1522"/>
      <c r="B27" s="1472"/>
      <c r="C27" s="1523"/>
      <c r="D27" s="1524"/>
      <c r="E27" s="1523"/>
      <c r="F27" s="1524"/>
      <c r="G27" s="1523"/>
      <c r="H27" s="1524"/>
      <c r="I27" s="1523"/>
      <c r="J27" s="1524"/>
      <c r="K27" s="1523"/>
      <c r="L27" s="1524"/>
      <c r="M27" s="1523"/>
      <c r="N27" s="1524"/>
      <c r="O27" s="1523"/>
      <c r="P27" s="1524"/>
      <c r="Q27" s="1523"/>
      <c r="R27" s="1524"/>
      <c r="T27" s="1515"/>
      <c r="U27" s="1515"/>
      <c r="V27" s="1516"/>
      <c r="W27" s="1515"/>
      <c r="X27" s="1459"/>
      <c r="Y27" s="1459"/>
      <c r="Z27" s="1525"/>
      <c r="AA27" s="1459"/>
    </row>
    <row r="28" spans="1:28" ht="17.25" customHeight="1" thickBot="1">
      <c r="A28" s="1511" t="s">
        <v>2281</v>
      </c>
      <c r="B28" s="1512"/>
      <c r="C28" s="1534">
        <v>360.34572496402706</v>
      </c>
      <c r="D28" s="1506">
        <v>367.4485025408178</v>
      </c>
      <c r="E28" s="1534">
        <v>375.28251008174271</v>
      </c>
      <c r="F28" s="1506">
        <v>388.70889016736163</v>
      </c>
      <c r="G28" s="1534">
        <v>420.16510495683008</v>
      </c>
      <c r="H28" s="1506">
        <v>442.73533222173643</v>
      </c>
      <c r="I28" s="1534">
        <v>456.31192849787288</v>
      </c>
      <c r="J28" s="1506">
        <v>462.16066224325613</v>
      </c>
      <c r="K28" s="1534">
        <v>460.54510480676197</v>
      </c>
      <c r="L28" s="1506">
        <v>480.96670935903251</v>
      </c>
      <c r="M28" s="1534">
        <v>500.28122327763629</v>
      </c>
      <c r="N28" s="1506">
        <v>535.48298288401816</v>
      </c>
      <c r="O28" s="1534">
        <v>600.9</v>
      </c>
      <c r="P28" s="1506">
        <v>589.40634856941779</v>
      </c>
      <c r="Q28" s="1534">
        <v>619.9388180696119</v>
      </c>
      <c r="R28" s="1506" t="s">
        <v>30</v>
      </c>
      <c r="T28" s="1458"/>
      <c r="U28" s="1515"/>
      <c r="V28" s="1516"/>
      <c r="W28" s="1515"/>
      <c r="X28" s="1459"/>
      <c r="Y28" s="1459"/>
      <c r="Z28" s="1498"/>
      <c r="AA28" s="1459"/>
    </row>
    <row r="29" spans="1:28" ht="12.75" customHeight="1" thickBot="1">
      <c r="A29" s="1511"/>
      <c r="B29" s="1535"/>
      <c r="C29" s="1503"/>
      <c r="D29" s="1504"/>
      <c r="E29" s="1536"/>
      <c r="F29" s="1537"/>
      <c r="G29" s="1536"/>
      <c r="H29" s="1537"/>
      <c r="I29" s="1536"/>
      <c r="J29" s="1537"/>
      <c r="K29" s="1536"/>
      <c r="L29" s="1537"/>
      <c r="M29" s="1536"/>
      <c r="N29" s="1537"/>
      <c r="O29" s="1536"/>
      <c r="P29" s="1537"/>
      <c r="Q29" s="1536"/>
      <c r="R29" s="1537"/>
      <c r="T29" s="1515"/>
      <c r="U29" s="1515"/>
      <c r="V29" s="1515"/>
      <c r="W29" s="1515"/>
      <c r="X29" s="1459"/>
      <c r="Y29" s="1459"/>
      <c r="Z29" s="1509"/>
      <c r="AA29" s="1459"/>
    </row>
    <row r="30" spans="1:28" s="1510" customFormat="1" ht="16" thickBot="1">
      <c r="A30" s="1499" t="s">
        <v>2282</v>
      </c>
      <c r="B30" s="1512"/>
      <c r="C30" s="1538">
        <v>12724.589778739028</v>
      </c>
      <c r="D30" s="1539">
        <v>13313.827425026169</v>
      </c>
      <c r="E30" s="1538">
        <v>13906.790372377538</v>
      </c>
      <c r="F30" s="1539">
        <v>14579.196248113234</v>
      </c>
      <c r="G30" s="1538">
        <v>15012.911023160248</v>
      </c>
      <c r="H30" s="1539">
        <v>15480.114638957686</v>
      </c>
      <c r="I30" s="1538">
        <v>15863.011402045904</v>
      </c>
      <c r="J30" s="1539">
        <v>16615.285493466428</v>
      </c>
      <c r="K30" s="1538">
        <v>17154.695212968756</v>
      </c>
      <c r="L30" s="1539">
        <v>16878.150987015477</v>
      </c>
      <c r="M30" s="1538">
        <v>17218.578970896924</v>
      </c>
      <c r="N30" s="1539">
        <v>17950.217333559493</v>
      </c>
      <c r="O30" s="1538">
        <v>17794.889129784067</v>
      </c>
      <c r="P30" s="1539">
        <v>18385.877665555956</v>
      </c>
      <c r="Q30" s="1538">
        <v>19151.788976409454</v>
      </c>
      <c r="R30" s="1539" t="s">
        <v>30</v>
      </c>
      <c r="T30" s="1521"/>
      <c r="U30" s="1529"/>
      <c r="V30" s="1529"/>
      <c r="W30" s="1529"/>
      <c r="X30" s="1496"/>
      <c r="Y30" s="1496"/>
      <c r="Z30" s="1498"/>
      <c r="AA30" s="1496"/>
    </row>
    <row r="31" spans="1:28" ht="13.25" customHeight="1" thickBot="1">
      <c r="A31" s="1491"/>
      <c r="B31" s="1492"/>
      <c r="C31" s="1493"/>
      <c r="D31" s="1493"/>
      <c r="E31" s="1493"/>
      <c r="F31" s="1493"/>
      <c r="G31" s="1493"/>
      <c r="H31" s="1493"/>
      <c r="I31" s="1493"/>
      <c r="J31" s="1493"/>
      <c r="K31" s="1493"/>
      <c r="L31" s="1493"/>
      <c r="M31" s="1493"/>
      <c r="N31" s="1493"/>
      <c r="O31" s="1494"/>
      <c r="P31" s="1493"/>
      <c r="Q31" s="1494"/>
      <c r="R31" s="1493"/>
      <c r="T31" s="1529"/>
      <c r="U31" s="1508"/>
      <c r="V31" s="1516"/>
      <c r="W31" s="1508"/>
      <c r="X31" s="1467"/>
      <c r="Y31" s="1459"/>
      <c r="Z31" s="1498"/>
      <c r="AA31" s="1470"/>
      <c r="AB31" s="1471"/>
    </row>
    <row r="32" spans="1:28" ht="18" customHeight="1" thickBot="1">
      <c r="A32" s="1499" t="s">
        <v>2283</v>
      </c>
      <c r="B32" s="1500"/>
      <c r="C32" s="1493"/>
      <c r="D32" s="1493"/>
      <c r="E32" s="1493"/>
      <c r="F32" s="1493"/>
      <c r="G32" s="1493"/>
      <c r="H32" s="1493"/>
      <c r="I32" s="1493"/>
      <c r="J32" s="1493"/>
      <c r="K32" s="1493"/>
      <c r="L32" s="1493"/>
      <c r="M32" s="1493"/>
      <c r="N32" s="1493"/>
      <c r="O32" s="1494"/>
      <c r="P32" s="1493"/>
      <c r="Q32" s="1494"/>
      <c r="R32" s="1493"/>
      <c r="T32" s="1529"/>
      <c r="U32" s="1508"/>
      <c r="V32" s="1516"/>
      <c r="W32" s="1508"/>
      <c r="X32" s="1467"/>
      <c r="Y32" s="1459"/>
      <c r="Z32" s="1498"/>
      <c r="AA32" s="1470"/>
      <c r="AB32" s="1471"/>
    </row>
    <row r="33" spans="1:29" ht="9" customHeight="1" thickBot="1">
      <c r="A33" s="1491"/>
      <c r="B33" s="1492"/>
      <c r="C33" s="1493"/>
      <c r="D33" s="1493"/>
      <c r="E33" s="1493"/>
      <c r="F33" s="1493"/>
      <c r="G33" s="1493"/>
      <c r="H33" s="1493"/>
      <c r="I33" s="1493"/>
      <c r="J33" s="1493"/>
      <c r="K33" s="1493"/>
      <c r="L33" s="1493"/>
      <c r="M33" s="1493"/>
      <c r="N33" s="1493"/>
      <c r="O33" s="1494"/>
      <c r="P33" s="1493"/>
      <c r="Q33" s="1494"/>
      <c r="R33" s="1493"/>
      <c r="T33" s="1529"/>
      <c r="U33" s="1508"/>
      <c r="V33" s="1516"/>
      <c r="W33" s="1508"/>
      <c r="X33" s="1467"/>
      <c r="Y33" s="1459"/>
      <c r="Z33" s="1498"/>
      <c r="AA33" s="1470"/>
      <c r="AB33" s="1471"/>
    </row>
    <row r="34" spans="1:29" ht="18" customHeight="1" thickBot="1">
      <c r="A34" s="1522" t="s">
        <v>2284</v>
      </c>
      <c r="B34" s="1512"/>
      <c r="C34" s="1540">
        <v>16013.063153744108</v>
      </c>
      <c r="D34" s="1541">
        <v>16937.3</v>
      </c>
      <c r="E34" s="1540">
        <v>17695.3</v>
      </c>
      <c r="F34" s="1528">
        <v>17814.400000000001</v>
      </c>
      <c r="G34" s="1527">
        <v>18507</v>
      </c>
      <c r="H34" s="1528">
        <v>19132.150000000001</v>
      </c>
      <c r="I34" s="1527">
        <v>20686.975043999999</v>
      </c>
      <c r="J34" s="1528">
        <v>22048.513701</v>
      </c>
      <c r="K34" s="1527">
        <v>23360.39678399</v>
      </c>
      <c r="L34" s="1528">
        <v>23865.649597220003</v>
      </c>
      <c r="M34" s="1527">
        <v>24817.983544449999</v>
      </c>
      <c r="N34" s="1528">
        <v>25247.301839669999</v>
      </c>
      <c r="O34" s="1527">
        <v>25543.38584368</v>
      </c>
      <c r="P34" s="1528">
        <v>25752.822451619999</v>
      </c>
      <c r="Q34" s="1527">
        <v>27979.759926830004</v>
      </c>
      <c r="R34" s="1528">
        <v>29826.624212180002</v>
      </c>
      <c r="T34" s="1521"/>
      <c r="U34" s="1515"/>
      <c r="V34" s="1529"/>
      <c r="W34" s="1515"/>
      <c r="X34" s="1459"/>
      <c r="Y34" s="1459"/>
      <c r="Z34" s="1533"/>
      <c r="AA34" s="1459"/>
    </row>
    <row r="35" spans="1:29" ht="15" customHeight="1" thickBot="1">
      <c r="A35" s="1512"/>
      <c r="B35" s="1535" t="s">
        <v>2285</v>
      </c>
      <c r="C35" s="1542">
        <v>11035.2</v>
      </c>
      <c r="D35" s="1543">
        <v>11924.8</v>
      </c>
      <c r="E35" s="1542">
        <v>12604.2</v>
      </c>
      <c r="F35" s="1543">
        <v>12949.5</v>
      </c>
      <c r="G35" s="1542">
        <v>13346.7</v>
      </c>
      <c r="H35" s="1543">
        <v>13954.7</v>
      </c>
      <c r="I35" s="1542">
        <v>15296.16</v>
      </c>
      <c r="J35" s="1543">
        <v>16759.707467</v>
      </c>
      <c r="K35" s="1542">
        <v>17979.586842000001</v>
      </c>
      <c r="L35" s="1543">
        <v>18442.676721830001</v>
      </c>
      <c r="M35" s="1542">
        <v>19234.85838514</v>
      </c>
      <c r="N35" s="1543">
        <v>19629.610287169999</v>
      </c>
      <c r="O35" s="1542">
        <v>19621.43996068</v>
      </c>
      <c r="P35" s="1543">
        <v>20057.64279962</v>
      </c>
      <c r="Q35" s="1542">
        <v>21955.717553830003</v>
      </c>
      <c r="R35" s="1543">
        <v>23513.73191518</v>
      </c>
      <c r="T35" s="1458"/>
      <c r="U35" s="1515"/>
      <c r="V35" s="1529"/>
      <c r="W35" s="1515"/>
      <c r="X35" s="1459"/>
      <c r="Y35" s="1459"/>
      <c r="Z35" s="1544"/>
      <c r="AA35" s="1545"/>
    </row>
    <row r="36" spans="1:29" ht="14.25" customHeight="1" thickBot="1">
      <c r="A36" s="1512"/>
      <c r="B36" s="1535" t="s">
        <v>2286</v>
      </c>
      <c r="C36" s="1542">
        <v>4337.5</v>
      </c>
      <c r="D36" s="1543">
        <v>4410.6000000000004</v>
      </c>
      <c r="E36" s="1542">
        <v>4453.3</v>
      </c>
      <c r="F36" s="1543">
        <v>3766.7</v>
      </c>
      <c r="G36" s="1542">
        <v>2917.4</v>
      </c>
      <c r="H36" s="1543">
        <v>1986.99</v>
      </c>
      <c r="I36" s="1542">
        <v>1958.4404729999999</v>
      </c>
      <c r="J36" s="1543">
        <v>1882.6076640000001</v>
      </c>
      <c r="K36" s="1542">
        <v>1358.7895999899999</v>
      </c>
      <c r="L36" s="1543">
        <v>1397.6693543900001</v>
      </c>
      <c r="M36" s="1542">
        <v>1384.0624223099999</v>
      </c>
      <c r="N36" s="1543">
        <v>1410.6232075</v>
      </c>
      <c r="O36" s="1542">
        <v>1412.4505677400002</v>
      </c>
      <c r="P36" s="1546">
        <v>1381.60592514</v>
      </c>
      <c r="Q36" s="1542">
        <v>1442.6310089400001</v>
      </c>
      <c r="R36" s="1546">
        <v>1273.43894946</v>
      </c>
      <c r="T36" s="1458"/>
      <c r="U36" s="1515"/>
      <c r="V36" s="1515"/>
      <c r="W36" s="1515"/>
      <c r="X36" s="1459"/>
      <c r="Y36" s="1459"/>
      <c r="Z36" s="1544"/>
      <c r="AA36" s="1459"/>
    </row>
    <row r="37" spans="1:29" ht="15" customHeight="1" thickBot="1">
      <c r="A37" s="1512"/>
      <c r="B37" s="1535" t="s">
        <v>2287</v>
      </c>
      <c r="C37" s="1542">
        <v>640.36315374410731</v>
      </c>
      <c r="D37" s="1543">
        <v>601.9</v>
      </c>
      <c r="E37" s="1542">
        <v>637.79999999999995</v>
      </c>
      <c r="F37" s="1543">
        <v>1098.2</v>
      </c>
      <c r="G37" s="1542">
        <v>2242.9</v>
      </c>
      <c r="H37" s="1543">
        <v>3190.46</v>
      </c>
      <c r="I37" s="1542">
        <v>3432.3745709999994</v>
      </c>
      <c r="J37" s="1543">
        <v>3406.1985699999996</v>
      </c>
      <c r="K37" s="1542">
        <v>4022.0203419999989</v>
      </c>
      <c r="L37" s="1543">
        <v>4025.3035210000007</v>
      </c>
      <c r="M37" s="1542">
        <v>4199.0627370000002</v>
      </c>
      <c r="N37" s="1543">
        <v>4207.0683449999997</v>
      </c>
      <c r="O37" s="1542">
        <v>4509.4953152600001</v>
      </c>
      <c r="P37" s="1546">
        <v>4313.5737268599996</v>
      </c>
      <c r="Q37" s="1542">
        <v>4581.4113640599999</v>
      </c>
      <c r="R37" s="1546">
        <v>5039.4533475400003</v>
      </c>
      <c r="T37" s="1458"/>
      <c r="U37" s="1515"/>
      <c r="V37" s="1515"/>
      <c r="W37" s="1515"/>
      <c r="X37" s="1459"/>
      <c r="Y37" s="1459"/>
      <c r="Z37" s="1544"/>
      <c r="AA37" s="1459"/>
    </row>
    <row r="38" spans="1:29" ht="11.25" customHeight="1" thickBot="1">
      <c r="A38" s="1512"/>
      <c r="B38" s="1512"/>
      <c r="C38" s="1536"/>
      <c r="D38" s="1537"/>
      <c r="E38" s="1536"/>
      <c r="F38" s="1537"/>
      <c r="G38" s="1536"/>
      <c r="H38" s="1537"/>
      <c r="I38" s="1536"/>
      <c r="J38" s="1537"/>
      <c r="K38" s="1536"/>
      <c r="L38" s="1537"/>
      <c r="M38" s="1536"/>
      <c r="N38" s="1537"/>
      <c r="O38" s="1536"/>
      <c r="P38" s="1537"/>
      <c r="Q38" s="1536"/>
      <c r="R38" s="1537"/>
      <c r="T38" s="1515"/>
      <c r="U38" s="1515"/>
      <c r="V38" s="1515"/>
      <c r="W38" s="1515"/>
      <c r="X38" s="1459"/>
      <c r="Y38" s="1459"/>
      <c r="Z38" s="1509"/>
      <c r="AA38" s="1459"/>
    </row>
    <row r="39" spans="1:29" ht="18" customHeight="1" thickBot="1">
      <c r="A39" s="1522" t="s">
        <v>2288</v>
      </c>
      <c r="B39" s="1512"/>
      <c r="C39" s="1540">
        <v>15102.804354694834</v>
      </c>
      <c r="D39" s="1541">
        <v>15124.699999999999</v>
      </c>
      <c r="E39" s="1540">
        <v>15686.5</v>
      </c>
      <c r="F39" s="1528">
        <v>15981.6</v>
      </c>
      <c r="G39" s="1527">
        <v>16973.2</v>
      </c>
      <c r="H39" s="1528">
        <v>17916.27</v>
      </c>
      <c r="I39" s="1527">
        <v>18410.553496</v>
      </c>
      <c r="J39" s="1528">
        <v>19050.633227000002</v>
      </c>
      <c r="K39" s="1527">
        <v>20102.942228620002</v>
      </c>
      <c r="L39" s="1528">
        <v>21309.873442980002</v>
      </c>
      <c r="M39" s="1527">
        <v>21538.251839210003</v>
      </c>
      <c r="N39" s="1528">
        <v>22631.527031209996</v>
      </c>
      <c r="O39" s="1527">
        <v>23800.904075779996</v>
      </c>
      <c r="P39" s="1528">
        <v>24661.917405919998</v>
      </c>
      <c r="Q39" s="1527">
        <v>25369.419981530002</v>
      </c>
      <c r="R39" s="1528">
        <v>26006.848310950001</v>
      </c>
      <c r="T39" s="1521"/>
      <c r="U39" s="1515"/>
      <c r="V39" s="1529"/>
      <c r="W39" s="1515"/>
      <c r="X39" s="1459"/>
      <c r="Y39" s="1459"/>
      <c r="Z39" s="1533"/>
      <c r="AA39" s="1459"/>
    </row>
    <row r="40" spans="1:29" ht="15" customHeight="1" thickBot="1">
      <c r="A40" s="1512"/>
      <c r="B40" s="1535" t="s">
        <v>2285</v>
      </c>
      <c r="C40" s="1542">
        <v>10780.5</v>
      </c>
      <c r="D40" s="1543">
        <v>11360.5</v>
      </c>
      <c r="E40" s="1542">
        <v>11926.9</v>
      </c>
      <c r="F40" s="1543">
        <v>12430.6</v>
      </c>
      <c r="G40" s="1542">
        <v>13190.3</v>
      </c>
      <c r="H40" s="1543">
        <v>13986.27</v>
      </c>
      <c r="I40" s="1542">
        <v>14592.75</v>
      </c>
      <c r="J40" s="1543">
        <v>15335.619704000001</v>
      </c>
      <c r="K40" s="1542">
        <v>16307.508545000001</v>
      </c>
      <c r="L40" s="1543">
        <v>17352.720037080002</v>
      </c>
      <c r="M40" s="1542">
        <v>17563.915602790003</v>
      </c>
      <c r="N40" s="1543">
        <v>18423.621994609999</v>
      </c>
      <c r="O40" s="1542">
        <v>19431.457254779998</v>
      </c>
      <c r="P40" s="1543">
        <v>20273.850593919997</v>
      </c>
      <c r="Q40" s="1542">
        <v>20883.74693053</v>
      </c>
      <c r="R40" s="1543">
        <v>21356.405837950002</v>
      </c>
      <c r="T40" s="1458"/>
      <c r="U40" s="1515"/>
      <c r="V40" s="1529"/>
      <c r="W40" s="1515"/>
      <c r="X40" s="1459"/>
      <c r="Y40" s="1459"/>
      <c r="Z40" s="1544"/>
      <c r="AA40" s="1545"/>
    </row>
    <row r="41" spans="1:29" ht="14.25" customHeight="1" thickBot="1">
      <c r="A41" s="1512"/>
      <c r="B41" s="1535" t="s">
        <v>2286</v>
      </c>
      <c r="C41" s="1542">
        <v>3809.6285714248806</v>
      </c>
      <c r="D41" s="1543">
        <v>3288.3</v>
      </c>
      <c r="E41" s="1542">
        <v>3299.5</v>
      </c>
      <c r="F41" s="1543">
        <v>2787.1</v>
      </c>
      <c r="G41" s="1542">
        <v>2199.1</v>
      </c>
      <c r="H41" s="1543">
        <v>1576.7</v>
      </c>
      <c r="I41" s="1542">
        <v>1422.34175</v>
      </c>
      <c r="J41" s="1543">
        <v>1354.5729260000001</v>
      </c>
      <c r="K41" s="1542">
        <v>1040.45917962</v>
      </c>
      <c r="L41" s="1543">
        <v>1144.4166189</v>
      </c>
      <c r="M41" s="1542">
        <v>1083.2765844199998</v>
      </c>
      <c r="N41" s="1543">
        <v>1170.1273056000002</v>
      </c>
      <c r="O41" s="1542">
        <v>1241.37670198</v>
      </c>
      <c r="P41" s="1546">
        <v>1229.2542896300001</v>
      </c>
      <c r="Q41" s="1542">
        <v>1281.58085265</v>
      </c>
      <c r="R41" s="1546">
        <v>979.24089520000007</v>
      </c>
      <c r="T41" s="1458"/>
      <c r="U41" s="1515"/>
      <c r="V41" s="1515"/>
      <c r="W41" s="1515"/>
      <c r="X41" s="1459"/>
      <c r="Y41" s="1459"/>
      <c r="Z41" s="1544"/>
      <c r="AA41" s="1459"/>
    </row>
    <row r="42" spans="1:29" ht="15" customHeight="1" thickBot="1">
      <c r="A42" s="1512"/>
      <c r="B42" s="1535" t="s">
        <v>2287</v>
      </c>
      <c r="C42" s="1542">
        <v>512.67578326995283</v>
      </c>
      <c r="D42" s="1543">
        <v>475.9</v>
      </c>
      <c r="E42" s="1542">
        <v>460.1</v>
      </c>
      <c r="F42" s="1543">
        <v>763.9</v>
      </c>
      <c r="G42" s="1542">
        <v>1583.8</v>
      </c>
      <c r="H42" s="1543">
        <v>2353.3000000000002</v>
      </c>
      <c r="I42" s="1542">
        <v>2395.4617459999999</v>
      </c>
      <c r="J42" s="1543">
        <v>2360.4405969999998</v>
      </c>
      <c r="K42" s="1542">
        <v>2754.9745040000003</v>
      </c>
      <c r="L42" s="1543">
        <v>2812.7367870000003</v>
      </c>
      <c r="M42" s="1542">
        <v>2891.0596519999999</v>
      </c>
      <c r="N42" s="1543">
        <v>3037.7777310000001</v>
      </c>
      <c r="O42" s="1542">
        <v>3128.0701190199998</v>
      </c>
      <c r="P42" s="1546">
        <v>3158.8125223699999</v>
      </c>
      <c r="Q42" s="1542">
        <v>3204.0921983499998</v>
      </c>
      <c r="R42" s="1546">
        <v>3671.2015778</v>
      </c>
      <c r="T42" s="1458"/>
      <c r="U42" s="1515"/>
      <c r="V42" s="1515"/>
      <c r="W42" s="1515"/>
      <c r="X42" s="1459"/>
      <c r="Y42" s="1459"/>
      <c r="Z42" s="1544"/>
      <c r="AA42" s="1459"/>
    </row>
    <row r="43" spans="1:29" ht="11.25" customHeight="1" thickBot="1">
      <c r="A43" s="1512"/>
      <c r="B43" s="1512"/>
      <c r="C43" s="1536"/>
      <c r="D43" s="1537"/>
      <c r="E43" s="1536"/>
      <c r="F43" s="1537"/>
      <c r="G43" s="1536"/>
      <c r="H43" s="1537"/>
      <c r="I43" s="1536"/>
      <c r="J43" s="1537"/>
      <c r="K43" s="1536"/>
      <c r="L43" s="1537"/>
      <c r="M43" s="1536"/>
      <c r="N43" s="1537"/>
      <c r="O43" s="1536"/>
      <c r="P43" s="1537"/>
      <c r="Q43" s="1536"/>
      <c r="R43" s="1537"/>
      <c r="T43" s="1515"/>
      <c r="U43" s="1515"/>
      <c r="V43" s="1515"/>
      <c r="W43" s="1515"/>
      <c r="X43" s="1459"/>
      <c r="Y43" s="1459"/>
      <c r="Z43" s="1509"/>
      <c r="AA43" s="1459"/>
    </row>
    <row r="44" spans="1:29" ht="18" customHeight="1" thickBot="1">
      <c r="A44" s="1522" t="s">
        <v>2289</v>
      </c>
      <c r="B44" s="1512"/>
      <c r="C44" s="1540">
        <v>1770.8</v>
      </c>
      <c r="D44" s="1541">
        <v>1884.4</v>
      </c>
      <c r="E44" s="1540">
        <v>2155</v>
      </c>
      <c r="F44" s="1528">
        <v>2249.6</v>
      </c>
      <c r="G44" s="1527">
        <v>2343.1</v>
      </c>
      <c r="H44" s="1528">
        <v>2428.2489999999998</v>
      </c>
      <c r="I44" s="1527">
        <v>2541</v>
      </c>
      <c r="J44" s="1528">
        <v>2627.5</v>
      </c>
      <c r="K44" s="1527">
        <v>2868.2000000000003</v>
      </c>
      <c r="L44" s="1528">
        <v>3031.6779155400004</v>
      </c>
      <c r="M44" s="1527">
        <v>3081.5039062299998</v>
      </c>
      <c r="N44" s="1528">
        <v>3200.9812532199999</v>
      </c>
      <c r="O44" s="1527">
        <v>3337.6332843099999</v>
      </c>
      <c r="P44" s="1528">
        <v>3425.9949799299998</v>
      </c>
      <c r="Q44" s="1527">
        <v>3450.5142391200002</v>
      </c>
      <c r="R44" s="1528">
        <v>3613.0134475700002</v>
      </c>
      <c r="T44" s="1521"/>
      <c r="U44" s="1530"/>
      <c r="V44" s="1529"/>
      <c r="W44" s="1530"/>
      <c r="X44" s="1459"/>
      <c r="Y44" s="1459"/>
      <c r="Z44" s="1533"/>
      <c r="AA44" s="1459"/>
      <c r="AC44" s="1458"/>
    </row>
    <row r="45" spans="1:29" ht="13.5" customHeight="1" thickBot="1">
      <c r="A45" s="1512"/>
      <c r="B45" s="1535" t="s">
        <v>2290</v>
      </c>
      <c r="C45" s="1547">
        <v>1678.5</v>
      </c>
      <c r="D45" s="1548">
        <v>1778</v>
      </c>
      <c r="E45" s="1547">
        <v>2097.1999999999998</v>
      </c>
      <c r="F45" s="1548">
        <v>2189.9</v>
      </c>
      <c r="G45" s="1547">
        <v>2288</v>
      </c>
      <c r="H45" s="1548">
        <v>2400.1889999999999</v>
      </c>
      <c r="I45" s="1547">
        <v>2502.83</v>
      </c>
      <c r="J45" s="1548">
        <v>2588.5</v>
      </c>
      <c r="K45" s="1547">
        <v>2832.3</v>
      </c>
      <c r="L45" s="1548">
        <v>2994.9866096700002</v>
      </c>
      <c r="M45" s="1547">
        <v>3038.7113187199998</v>
      </c>
      <c r="N45" s="1548">
        <v>3155.0668707</v>
      </c>
      <c r="O45" s="1547">
        <v>3290.4542289599999</v>
      </c>
      <c r="P45" s="1549">
        <v>3382.4718481499999</v>
      </c>
      <c r="Q45" s="1547">
        <v>3408.7146446100001</v>
      </c>
      <c r="R45" s="1549">
        <v>3575.1042570200002</v>
      </c>
      <c r="T45" s="1458"/>
      <c r="U45" s="1515"/>
      <c r="V45" s="1515"/>
      <c r="W45" s="1515"/>
      <c r="X45" s="1459"/>
      <c r="Y45" s="1459"/>
      <c r="Z45" s="1550"/>
      <c r="AA45" s="1545"/>
      <c r="AB45" s="1458"/>
      <c r="AC45" s="1551"/>
    </row>
    <row r="46" spans="1:29" ht="13.5" customHeight="1" thickBot="1">
      <c r="A46" s="1512"/>
      <c r="B46" s="1535" t="s">
        <v>2291</v>
      </c>
      <c r="C46" s="1547">
        <v>92.3</v>
      </c>
      <c r="D46" s="1548">
        <v>106.4</v>
      </c>
      <c r="E46" s="1547">
        <v>57.8</v>
      </c>
      <c r="F46" s="1548">
        <v>59.7</v>
      </c>
      <c r="G46" s="1547">
        <v>55.1</v>
      </c>
      <c r="H46" s="1548">
        <v>28.06</v>
      </c>
      <c r="I46" s="1547">
        <v>38.17</v>
      </c>
      <c r="J46" s="1548">
        <v>39</v>
      </c>
      <c r="K46" s="1547">
        <v>35.9</v>
      </c>
      <c r="L46" s="1548">
        <v>36.691305870000001</v>
      </c>
      <c r="M46" s="1547">
        <v>42.792587509999997</v>
      </c>
      <c r="N46" s="1548">
        <v>45.914382520000004</v>
      </c>
      <c r="O46" s="1547">
        <v>47.179055349999999</v>
      </c>
      <c r="P46" s="1549">
        <v>43.52313178</v>
      </c>
      <c r="Q46" s="1547">
        <v>41.799594509999999</v>
      </c>
      <c r="R46" s="1549">
        <v>37.909190549999998</v>
      </c>
      <c r="T46" s="1458"/>
      <c r="U46" s="1515"/>
      <c r="V46" s="1515"/>
      <c r="W46" s="1515"/>
      <c r="X46" s="1459"/>
      <c r="Y46" s="1459"/>
      <c r="Z46" s="1550"/>
      <c r="AA46" s="1545"/>
      <c r="AB46" s="1458"/>
      <c r="AC46" s="1551"/>
    </row>
    <row r="47" spans="1:29" ht="11.25" customHeight="1" thickBot="1">
      <c r="A47" s="1512"/>
      <c r="B47" s="1512"/>
      <c r="C47" s="1536"/>
      <c r="D47" s="1537"/>
      <c r="E47" s="1536"/>
      <c r="F47" s="1537"/>
      <c r="G47" s="1536"/>
      <c r="H47" s="1537"/>
      <c r="I47" s="1536"/>
      <c r="J47" s="1537"/>
      <c r="K47" s="1536"/>
      <c r="L47" s="1537"/>
      <c r="M47" s="1536"/>
      <c r="N47" s="1537"/>
      <c r="O47" s="1536"/>
      <c r="P47" s="1537"/>
      <c r="Q47" s="1536"/>
      <c r="R47" s="1537"/>
      <c r="T47" s="1515"/>
      <c r="U47" s="1515"/>
      <c r="V47" s="1515"/>
      <c r="W47" s="1515"/>
      <c r="X47" s="1459"/>
      <c r="Y47" s="1459"/>
      <c r="Z47" s="1509"/>
      <c r="AA47" s="1459"/>
      <c r="AB47" s="1458"/>
      <c r="AC47" s="1458"/>
    </row>
    <row r="48" spans="1:29" ht="18" customHeight="1" thickBot="1">
      <c r="A48" s="1522" t="s">
        <v>2292</v>
      </c>
      <c r="B48" s="1512"/>
      <c r="C48" s="1540">
        <v>16360.92857142488</v>
      </c>
      <c r="D48" s="1541">
        <v>16533.2</v>
      </c>
      <c r="E48" s="1540">
        <v>17381.399999999998</v>
      </c>
      <c r="F48" s="1528">
        <v>17467.3</v>
      </c>
      <c r="G48" s="1527">
        <v>17732.5</v>
      </c>
      <c r="H48" s="1528">
        <v>17991.218999999997</v>
      </c>
      <c r="I48" s="1527">
        <v>18556.091750000003</v>
      </c>
      <c r="J48" s="1528">
        <v>19317.692630000001</v>
      </c>
      <c r="K48" s="1527">
        <v>20216.167724620002</v>
      </c>
      <c r="L48" s="1528">
        <v>21528.814571520001</v>
      </c>
      <c r="M48" s="1527">
        <v>21728.696093440005</v>
      </c>
      <c r="N48" s="1528">
        <v>22794.730553429999</v>
      </c>
      <c r="O48" s="1527">
        <v>24010.467241069997</v>
      </c>
      <c r="P48" s="1528">
        <v>24929.099863479994</v>
      </c>
      <c r="Q48" s="1527">
        <v>25615.842022300003</v>
      </c>
      <c r="R48" s="1528">
        <v>25948.660180720002</v>
      </c>
      <c r="T48" s="1521"/>
      <c r="U48" s="1515"/>
      <c r="V48" s="1529"/>
      <c r="W48" s="1515"/>
      <c r="X48" s="1459"/>
      <c r="Y48" s="1459"/>
      <c r="Z48" s="1533"/>
      <c r="AA48" s="1459"/>
      <c r="AB48" s="1458"/>
      <c r="AC48" s="1458"/>
    </row>
    <row r="49" spans="1:30" ht="15" customHeight="1" thickBot="1">
      <c r="A49" s="1512"/>
      <c r="B49" s="1535" t="s">
        <v>2285</v>
      </c>
      <c r="C49" s="1547">
        <v>12459</v>
      </c>
      <c r="D49" s="1548">
        <v>13138.5</v>
      </c>
      <c r="E49" s="1547">
        <v>14024.099999999999</v>
      </c>
      <c r="F49" s="1548">
        <v>14620.5</v>
      </c>
      <c r="G49" s="1547">
        <v>15478.3</v>
      </c>
      <c r="H49" s="1548">
        <v>16386.458999999999</v>
      </c>
      <c r="I49" s="1547">
        <v>17095.580000000002</v>
      </c>
      <c r="J49" s="1548">
        <v>17924.119704000001</v>
      </c>
      <c r="K49" s="1547">
        <v>19139.808545</v>
      </c>
      <c r="L49" s="1548">
        <v>20347.706646750001</v>
      </c>
      <c r="M49" s="1547">
        <v>20602.626921510004</v>
      </c>
      <c r="N49" s="1548">
        <v>21578.68886531</v>
      </c>
      <c r="O49" s="1547">
        <v>22721.911483739997</v>
      </c>
      <c r="P49" s="1549">
        <v>23656.322442069995</v>
      </c>
      <c r="Q49" s="1547">
        <v>24292.461575140002</v>
      </c>
      <c r="R49" s="1549">
        <v>24931.510094970003</v>
      </c>
      <c r="T49" s="1521"/>
      <c r="U49" s="1515"/>
      <c r="V49" s="1529"/>
      <c r="W49" s="1515"/>
      <c r="X49" s="1459"/>
      <c r="Y49" s="1459"/>
      <c r="Z49" s="1544"/>
      <c r="AA49" s="1545"/>
      <c r="AB49" s="1458"/>
      <c r="AC49" s="1458"/>
    </row>
    <row r="50" spans="1:30" ht="14.25" customHeight="1" thickBot="1">
      <c r="A50" s="1512"/>
      <c r="B50" s="1535" t="s">
        <v>2286</v>
      </c>
      <c r="C50" s="1547">
        <v>3901.9285714248808</v>
      </c>
      <c r="D50" s="1548">
        <v>3394.7000000000003</v>
      </c>
      <c r="E50" s="1547">
        <v>3357.3</v>
      </c>
      <c r="F50" s="1548">
        <v>2846.7999999999997</v>
      </c>
      <c r="G50" s="1547">
        <v>2254.1999999999998</v>
      </c>
      <c r="H50" s="1548">
        <v>1604.76</v>
      </c>
      <c r="I50" s="1547">
        <v>1460.5117500000001</v>
      </c>
      <c r="J50" s="1548">
        <v>1393.5729260000001</v>
      </c>
      <c r="K50" s="1547">
        <v>1076.3591796200001</v>
      </c>
      <c r="L50" s="1548">
        <v>1181.10792477</v>
      </c>
      <c r="M50" s="1547">
        <v>1126.0691719299998</v>
      </c>
      <c r="N50" s="1548">
        <v>1216.0416881200003</v>
      </c>
      <c r="O50" s="1547">
        <v>1288.55575733</v>
      </c>
      <c r="P50" s="1549">
        <v>1272.7774214100002</v>
      </c>
      <c r="Q50" s="1547">
        <v>1323.3804471599999</v>
      </c>
      <c r="R50" s="1549">
        <v>1017.15008575</v>
      </c>
      <c r="T50" s="1521"/>
      <c r="U50" s="1515"/>
      <c r="V50" s="1515"/>
      <c r="W50" s="1515"/>
      <c r="X50" s="1459"/>
      <c r="Y50" s="1459"/>
      <c r="Z50" s="1544"/>
      <c r="AA50" s="1459"/>
      <c r="AB50" s="1458"/>
      <c r="AC50" s="1458"/>
    </row>
    <row r="51" spans="1:30" ht="15.75" customHeight="1" thickBot="1">
      <c r="A51" s="1522"/>
      <c r="B51" s="1512"/>
      <c r="C51" s="1540"/>
      <c r="D51" s="1541"/>
      <c r="E51" s="1540"/>
      <c r="F51" s="1528"/>
      <c r="G51" s="1527"/>
      <c r="H51" s="1528"/>
      <c r="I51" s="1527"/>
      <c r="J51" s="1528"/>
      <c r="K51" s="1527"/>
      <c r="L51" s="1528"/>
      <c r="M51" s="1527"/>
      <c r="N51" s="1528"/>
      <c r="O51" s="1552"/>
      <c r="P51" s="1528"/>
      <c r="Q51" s="1552"/>
      <c r="R51" s="1528"/>
      <c r="T51" s="1515"/>
      <c r="U51" s="1515"/>
      <c r="V51" s="1515"/>
      <c r="W51" s="1515"/>
      <c r="X51" s="1459"/>
      <c r="Y51" s="1459"/>
      <c r="Z51" s="1533"/>
      <c r="AA51" s="1545"/>
      <c r="AB51" s="1458"/>
      <c r="AC51" s="1454"/>
      <c r="AD51" s="1454"/>
    </row>
    <row r="52" spans="1:30" s="1510" customFormat="1" ht="16.5" customHeight="1" thickBot="1">
      <c r="A52" s="1522" t="s">
        <v>2293</v>
      </c>
      <c r="B52" s="1512"/>
      <c r="C52" s="1523">
        <v>1815.57</v>
      </c>
      <c r="D52" s="1524">
        <v>2087.14</v>
      </c>
      <c r="E52" s="1523">
        <v>2263.1999999999998</v>
      </c>
      <c r="F52" s="1524">
        <v>2476.6</v>
      </c>
      <c r="G52" s="1523">
        <v>2532.8000000000002</v>
      </c>
      <c r="H52" s="1524">
        <v>2671.6</v>
      </c>
      <c r="I52" s="1523">
        <v>2848.4</v>
      </c>
      <c r="J52" s="1524">
        <v>2961.1</v>
      </c>
      <c r="K52" s="1523">
        <v>3025.3</v>
      </c>
      <c r="L52" s="1524">
        <v>3119.6250399999999</v>
      </c>
      <c r="M52" s="1523">
        <v>3230.0145429999998</v>
      </c>
      <c r="N52" s="1524">
        <v>3432.1861340000005</v>
      </c>
      <c r="O52" s="1523">
        <v>3398.253929</v>
      </c>
      <c r="P52" s="1524">
        <v>3542.4140867700003</v>
      </c>
      <c r="Q52" s="1523">
        <v>3979.8429310299998</v>
      </c>
      <c r="R52" s="1524">
        <v>4070.3476851999999</v>
      </c>
      <c r="T52" s="1458"/>
      <c r="U52" s="1529"/>
      <c r="V52" s="1529"/>
      <c r="W52" s="1516"/>
      <c r="X52" s="1496"/>
      <c r="Y52" s="1496"/>
      <c r="Z52" s="1533"/>
      <c r="AA52" s="1496"/>
      <c r="AB52" s="1521"/>
      <c r="AC52" s="1521"/>
    </row>
    <row r="53" spans="1:30" ht="16.5" customHeight="1" thickBot="1">
      <c r="A53" s="1553"/>
      <c r="B53" s="1554"/>
      <c r="C53" s="1555"/>
      <c r="D53" s="1556"/>
      <c r="E53" s="1555"/>
      <c r="F53" s="1556"/>
      <c r="G53" s="1555"/>
      <c r="H53" s="1556"/>
      <c r="I53" s="1555"/>
      <c r="J53" s="1556"/>
      <c r="K53" s="1555"/>
      <c r="L53" s="1556"/>
      <c r="M53" s="1555"/>
      <c r="N53" s="1556"/>
      <c r="O53" s="1557"/>
      <c r="P53" s="1556"/>
      <c r="Q53" s="1557"/>
      <c r="R53" s="1556"/>
      <c r="T53" s="1515"/>
      <c r="U53" s="1515"/>
      <c r="V53" s="1516"/>
      <c r="W53" s="1515"/>
      <c r="X53" s="1459"/>
      <c r="Y53" s="1459"/>
      <c r="Z53" s="1498"/>
      <c r="AA53" s="1459"/>
      <c r="AB53" s="1458"/>
      <c r="AC53" s="1458"/>
    </row>
    <row r="54" spans="1:30" ht="13.25" customHeight="1">
      <c r="A54" s="1461"/>
      <c r="B54" s="1490"/>
      <c r="C54" s="1558"/>
      <c r="D54" s="1558"/>
      <c r="E54" s="1558"/>
      <c r="F54" s="1558"/>
      <c r="G54" s="1558"/>
      <c r="H54" s="1558"/>
      <c r="I54" s="1558"/>
      <c r="J54" s="1558"/>
      <c r="K54" s="1558"/>
      <c r="L54" s="1558"/>
      <c r="M54" s="1558"/>
      <c r="N54" s="1558"/>
      <c r="O54" s="1559"/>
      <c r="P54" s="1558"/>
      <c r="Q54" s="1559"/>
      <c r="R54" s="1558"/>
      <c r="T54" s="1529"/>
      <c r="U54" s="1508"/>
      <c r="V54" s="1516"/>
      <c r="W54" s="1508"/>
      <c r="X54" s="1467"/>
      <c r="Y54" s="1459"/>
      <c r="Z54" s="1498"/>
      <c r="AA54" s="1470"/>
      <c r="AB54" s="1560"/>
      <c r="AC54" s="1458"/>
    </row>
    <row r="55" spans="1:30" ht="11.5" customHeight="1" thickBot="1">
      <c r="A55" s="1561"/>
      <c r="B55" s="1562"/>
      <c r="C55" s="1563"/>
      <c r="D55" s="1564"/>
      <c r="E55" s="1563"/>
      <c r="F55" s="1565"/>
      <c r="G55" s="1566"/>
      <c r="H55" s="1565"/>
      <c r="I55" s="1566"/>
      <c r="J55" s="1565"/>
      <c r="K55" s="1566"/>
      <c r="L55" s="1565"/>
      <c r="M55" s="1566"/>
      <c r="N55" s="1565"/>
      <c r="O55" s="1567"/>
      <c r="P55" s="1565"/>
      <c r="Q55" s="1567"/>
      <c r="R55" s="1565"/>
      <c r="T55" s="1515"/>
      <c r="U55" s="1515"/>
      <c r="V55" s="1515"/>
      <c r="W55" s="1515"/>
      <c r="X55" s="1459"/>
      <c r="Y55" s="1459"/>
      <c r="Z55" s="1533"/>
      <c r="AA55" s="1545"/>
      <c r="AB55" s="1458"/>
      <c r="AC55" s="1454"/>
      <c r="AD55" s="1454"/>
    </row>
    <row r="56" spans="1:30" ht="17.25" customHeight="1" thickBot="1">
      <c r="A56" s="1522" t="s">
        <v>2294</v>
      </c>
      <c r="B56" s="1512"/>
      <c r="C56" s="1523">
        <v>5273.2258587145679</v>
      </c>
      <c r="D56" s="1524">
        <v>5371.4148132973496</v>
      </c>
      <c r="E56" s="1523">
        <v>5582.675033421332</v>
      </c>
      <c r="F56" s="1524">
        <v>5735.4478095920094</v>
      </c>
      <c r="G56" s="1523">
        <v>5942.9441459536711</v>
      </c>
      <c r="H56" s="1524">
        <v>6276.9577355721549</v>
      </c>
      <c r="I56" s="1523">
        <v>6449.3898810983646</v>
      </c>
      <c r="J56" s="1524">
        <v>6652.9131741119318</v>
      </c>
      <c r="K56" s="1523">
        <v>6842.8964671900767</v>
      </c>
      <c r="L56" s="1524">
        <v>6937.9111736214763</v>
      </c>
      <c r="M56" s="1523">
        <v>6982.8098875825708</v>
      </c>
      <c r="N56" s="1524">
        <v>7247.3882809995739</v>
      </c>
      <c r="O56" s="1523">
        <v>7576.9197972189631</v>
      </c>
      <c r="P56" s="1524">
        <v>7816.764740928912</v>
      </c>
      <c r="Q56" s="1523">
        <v>7933.272379127915</v>
      </c>
      <c r="R56" s="1524" t="s">
        <v>30</v>
      </c>
      <c r="T56" s="1515"/>
      <c r="U56" s="1515"/>
      <c r="V56" s="1516"/>
      <c r="W56" s="1515"/>
      <c r="X56" s="1459"/>
      <c r="Y56" s="1459"/>
      <c r="Z56" s="1498"/>
      <c r="AA56" s="1459"/>
      <c r="AB56" s="1458"/>
      <c r="AC56" s="1458"/>
    </row>
    <row r="57" spans="1:30" ht="11.5" customHeight="1" thickBot="1">
      <c r="A57" s="1522"/>
      <c r="B57" s="1512"/>
      <c r="C57" s="1540"/>
      <c r="D57" s="1541"/>
      <c r="E57" s="1540"/>
      <c r="F57" s="1528"/>
      <c r="G57" s="1527"/>
      <c r="H57" s="1528"/>
      <c r="I57" s="1527"/>
      <c r="J57" s="1528"/>
      <c r="K57" s="1527"/>
      <c r="L57" s="1528"/>
      <c r="M57" s="1527"/>
      <c r="N57" s="1528"/>
      <c r="O57" s="1552"/>
      <c r="P57" s="1528"/>
      <c r="Q57" s="1552"/>
      <c r="R57" s="1528"/>
      <c r="T57" s="1515"/>
      <c r="U57" s="1515"/>
      <c r="V57" s="1515"/>
      <c r="W57" s="1515"/>
      <c r="X57" s="1459"/>
      <c r="Y57" s="1459"/>
      <c r="Z57" s="1533"/>
      <c r="AA57" s="1545"/>
      <c r="AB57" s="1458"/>
      <c r="AC57" s="1454"/>
      <c r="AD57" s="1454"/>
    </row>
    <row r="58" spans="1:30" ht="17.25" customHeight="1" thickBot="1">
      <c r="A58" s="1522" t="s">
        <v>2295</v>
      </c>
      <c r="B58" s="1512"/>
      <c r="C58" s="1523">
        <v>1538.9393456106855</v>
      </c>
      <c r="D58" s="1524">
        <v>1663.8889491853145</v>
      </c>
      <c r="E58" s="1523">
        <v>1753.683394842503</v>
      </c>
      <c r="F58" s="1524">
        <v>1792.6969718267821</v>
      </c>
      <c r="G58" s="1523">
        <v>1850.1645719756871</v>
      </c>
      <c r="H58" s="1524">
        <v>1917.1642434992227</v>
      </c>
      <c r="I58" s="1523">
        <v>2090.6486849170938</v>
      </c>
      <c r="J58" s="1524">
        <v>2281.464868725081</v>
      </c>
      <c r="K58" s="1523">
        <v>2441.8668834361247</v>
      </c>
      <c r="L58" s="1524">
        <v>2487.4603849935415</v>
      </c>
      <c r="M58" s="1523">
        <v>2582.7207564451369</v>
      </c>
      <c r="N58" s="1524">
        <v>2612.1277928402606</v>
      </c>
      <c r="O58" s="1523">
        <v>2585.7925929424223</v>
      </c>
      <c r="P58" s="1524">
        <v>2610.6051067988465</v>
      </c>
      <c r="Q58" s="1523">
        <v>2834.4985299573032</v>
      </c>
      <c r="R58" s="1524">
        <v>3005.4532786500799</v>
      </c>
      <c r="T58" s="1515"/>
      <c r="U58" s="1515"/>
      <c r="V58" s="1516"/>
      <c r="W58" s="1515"/>
      <c r="X58" s="1459"/>
      <c r="Y58" s="1459"/>
      <c r="Z58" s="1498"/>
      <c r="AA58" s="1459"/>
      <c r="AB58" s="1458"/>
      <c r="AC58" s="1458"/>
    </row>
    <row r="59" spans="1:30" ht="9.5" customHeight="1" thickBot="1">
      <c r="A59" s="1553"/>
      <c r="B59" s="1554"/>
      <c r="C59" s="1555"/>
      <c r="D59" s="1556"/>
      <c r="E59" s="1555"/>
      <c r="F59" s="1556"/>
      <c r="G59" s="1555"/>
      <c r="H59" s="1556"/>
      <c r="I59" s="1555"/>
      <c r="J59" s="1556"/>
      <c r="K59" s="1555"/>
      <c r="L59" s="1556"/>
      <c r="M59" s="1555"/>
      <c r="N59" s="1556"/>
      <c r="O59" s="1557"/>
      <c r="P59" s="1556"/>
      <c r="Q59" s="1557"/>
      <c r="R59" s="1556"/>
      <c r="T59" s="1515"/>
      <c r="U59" s="1515"/>
      <c r="V59" s="1516"/>
      <c r="W59" s="1515"/>
      <c r="X59" s="1459"/>
      <c r="Y59" s="1459"/>
      <c r="Z59" s="1498"/>
      <c r="AA59" s="1459"/>
    </row>
    <row r="60" spans="1:30" ht="13.5" customHeight="1">
      <c r="A60" s="1568" t="s">
        <v>2399</v>
      </c>
      <c r="B60" s="1568"/>
      <c r="C60" s="1569"/>
      <c r="D60" s="1569"/>
      <c r="E60" s="1569"/>
      <c r="F60" s="1569"/>
      <c r="G60" s="1569"/>
      <c r="H60" s="1569"/>
      <c r="I60" s="1569"/>
      <c r="J60" s="1569"/>
      <c r="K60" s="1569"/>
      <c r="M60" s="1569"/>
      <c r="O60" s="1569"/>
      <c r="Q60" s="1569"/>
      <c r="R60" s="1569"/>
    </row>
    <row r="61" spans="1:30" ht="13.25" customHeight="1">
      <c r="A61" s="1570"/>
      <c r="B61" s="1571"/>
      <c r="S61" s="1572"/>
      <c r="T61" s="1572"/>
      <c r="U61" s="1572"/>
      <c r="X61" s="1573"/>
    </row>
    <row r="62" spans="1:30" ht="14.25" customHeight="1">
      <c r="A62" s="1574" t="s">
        <v>2296</v>
      </c>
      <c r="B62" s="1571"/>
      <c r="Q62" s="1458"/>
      <c r="S62" s="1572"/>
      <c r="T62" s="1572"/>
      <c r="U62" s="1572"/>
      <c r="X62" s="1573"/>
    </row>
    <row r="63" spans="1:30" ht="14.25" customHeight="1">
      <c r="A63" s="1574" t="s">
        <v>2297</v>
      </c>
      <c r="B63" s="1571"/>
      <c r="Q63" s="1458"/>
      <c r="S63" s="1572"/>
      <c r="T63" s="1572"/>
      <c r="U63" s="1572"/>
      <c r="X63" s="1573"/>
    </row>
    <row r="64" spans="1:30" s="1570" customFormat="1" ht="12.75" customHeight="1">
      <c r="A64" s="1575" t="s">
        <v>2298</v>
      </c>
      <c r="B64" s="1576"/>
      <c r="C64" s="1576"/>
      <c r="D64" s="1576"/>
      <c r="E64" s="1576"/>
      <c r="F64" s="1576"/>
      <c r="G64" s="1576"/>
      <c r="H64" s="1576"/>
      <c r="I64" s="1576"/>
    </row>
    <row r="65" spans="1:24" s="1570" customFormat="1" ht="12.75" customHeight="1">
      <c r="A65" s="1575" t="s">
        <v>2299</v>
      </c>
      <c r="B65" s="1576"/>
      <c r="C65" s="1576"/>
      <c r="D65" s="1576"/>
      <c r="E65" s="1576"/>
      <c r="F65" s="1576"/>
      <c r="G65" s="1576"/>
      <c r="H65" s="1576"/>
      <c r="I65" s="1576"/>
    </row>
    <row r="66" spans="1:24" ht="14.25" customHeight="1">
      <c r="A66" s="1574" t="s">
        <v>2300</v>
      </c>
      <c r="B66" s="1571"/>
      <c r="Q66" s="1458"/>
      <c r="S66" s="1572"/>
      <c r="T66" s="1572"/>
      <c r="U66" s="1572"/>
      <c r="X66" s="1573"/>
    </row>
    <row r="67" spans="1:24" s="1570" customFormat="1" ht="12.75" customHeight="1">
      <c r="A67" s="1575" t="s">
        <v>2301</v>
      </c>
      <c r="B67" s="1576"/>
      <c r="C67" s="1576"/>
      <c r="D67" s="1576"/>
      <c r="E67" s="1576"/>
      <c r="F67" s="1576"/>
      <c r="G67" s="1576"/>
      <c r="H67" s="1576"/>
      <c r="I67" s="1576"/>
    </row>
    <row r="68" spans="1:24" s="1570" customFormat="1" ht="12.75" customHeight="1">
      <c r="A68" s="1577" t="s">
        <v>2302</v>
      </c>
      <c r="B68" s="1576"/>
      <c r="C68" s="1576"/>
      <c r="D68" s="1576"/>
      <c r="E68" s="1576"/>
      <c r="F68" s="1576"/>
      <c r="G68" s="1576"/>
      <c r="H68" s="1576"/>
      <c r="I68" s="1576"/>
    </row>
    <row r="69" spans="1:24" s="1570" customFormat="1" ht="12.75" customHeight="1">
      <c r="A69" s="1577" t="s">
        <v>2303</v>
      </c>
      <c r="B69" s="1576"/>
      <c r="C69" s="1576"/>
      <c r="D69" s="1576"/>
      <c r="E69" s="1576"/>
      <c r="F69" s="1576"/>
      <c r="G69" s="1576"/>
      <c r="H69" s="1576"/>
      <c r="I69" s="1576"/>
    </row>
    <row r="70" spans="1:24" ht="14.25" customHeight="1">
      <c r="A70" s="1574" t="s">
        <v>2304</v>
      </c>
      <c r="B70" s="1571"/>
      <c r="Q70" s="1458"/>
      <c r="S70" s="1572"/>
      <c r="T70" s="1572"/>
      <c r="U70" s="1572"/>
      <c r="X70" s="1573"/>
    </row>
    <row r="71" spans="1:24" ht="13.25" customHeight="1">
      <c r="A71" s="1574" t="s">
        <v>2305</v>
      </c>
      <c r="B71" s="1571"/>
      <c r="S71" s="1572"/>
      <c r="T71" s="1572"/>
      <c r="U71" s="1572"/>
      <c r="X71" s="1573"/>
    </row>
    <row r="72" spans="1:24" ht="13.25" customHeight="1">
      <c r="A72" s="1574" t="s">
        <v>2306</v>
      </c>
      <c r="B72" s="1571"/>
      <c r="S72" s="1572"/>
      <c r="T72" s="1572"/>
      <c r="U72" s="1572"/>
      <c r="X72" s="1573"/>
    </row>
    <row r="73" spans="1:24" ht="13.25" customHeight="1">
      <c r="A73" s="1574" t="s">
        <v>2307</v>
      </c>
      <c r="B73" s="1571"/>
      <c r="S73" s="1572"/>
      <c r="T73" s="1572"/>
      <c r="U73" s="1572"/>
      <c r="X73" s="1573"/>
    </row>
    <row r="74" spans="1:24" ht="13.25" customHeight="1">
      <c r="A74" s="1574" t="s">
        <v>2308</v>
      </c>
      <c r="B74" s="1571"/>
      <c r="S74" s="1572"/>
      <c r="T74" s="1572"/>
      <c r="U74" s="1572"/>
      <c r="X74" s="1573"/>
    </row>
    <row r="75" spans="1:24" ht="14.25" customHeight="1">
      <c r="A75" s="1574" t="s">
        <v>2309</v>
      </c>
      <c r="B75" s="1571"/>
      <c r="Q75" s="1458"/>
      <c r="S75" s="1572"/>
      <c r="T75" s="1572"/>
      <c r="U75" s="1572"/>
      <c r="X75" s="1573"/>
    </row>
    <row r="76" spans="1:24" ht="14.25" customHeight="1">
      <c r="A76" s="1574" t="s">
        <v>2310</v>
      </c>
      <c r="B76" s="1571"/>
      <c r="Q76" s="1458"/>
      <c r="S76" s="1572"/>
      <c r="T76" s="1572"/>
      <c r="U76" s="1572"/>
      <c r="X76" s="1573"/>
    </row>
    <row r="77" spans="1:24" ht="14.25" customHeight="1">
      <c r="A77" s="1574" t="s">
        <v>2311</v>
      </c>
      <c r="B77" s="1571"/>
      <c r="Q77" s="1458"/>
      <c r="S77" s="1572"/>
      <c r="T77" s="1572"/>
      <c r="U77" s="1572"/>
      <c r="X77" s="1573"/>
    </row>
    <row r="78" spans="1:24" ht="14.25" customHeight="1">
      <c r="A78" s="1575" t="s">
        <v>2312</v>
      </c>
      <c r="B78" s="1571"/>
      <c r="Q78" s="1458"/>
      <c r="S78" s="1572"/>
      <c r="T78" s="1572"/>
      <c r="U78" s="1572"/>
      <c r="X78" s="1573"/>
    </row>
    <row r="79" spans="1:24" ht="14.25" customHeight="1">
      <c r="A79" s="1578" t="s">
        <v>2313</v>
      </c>
      <c r="B79" s="1571"/>
      <c r="Q79" s="1458"/>
      <c r="S79" s="1572"/>
      <c r="T79" s="1572"/>
      <c r="U79" s="1572"/>
      <c r="X79" s="1573"/>
    </row>
    <row r="80" spans="1:24" ht="14.25" customHeight="1">
      <c r="A80" s="1578" t="s">
        <v>2314</v>
      </c>
      <c r="B80" s="1571"/>
      <c r="Q80" s="1458"/>
      <c r="S80" s="1572"/>
      <c r="T80" s="1572"/>
      <c r="U80" s="1572"/>
      <c r="X80" s="1573"/>
    </row>
    <row r="81" spans="1:24" ht="14.25" customHeight="1">
      <c r="A81" s="1570"/>
      <c r="B81" s="1571"/>
      <c r="Q81" s="1458"/>
      <c r="S81" s="1572"/>
      <c r="T81" s="1572"/>
      <c r="U81" s="1572"/>
      <c r="X81" s="1573"/>
    </row>
    <row r="82" spans="1:24">
      <c r="A82" s="1569"/>
      <c r="B82" s="1569"/>
    </row>
    <row r="83" spans="1:24">
      <c r="A83" s="1571" t="s">
        <v>719</v>
      </c>
      <c r="B83" s="1569"/>
      <c r="C83" s="1572"/>
      <c r="D83" s="1572"/>
      <c r="E83" s="1572"/>
      <c r="F83" s="1572"/>
      <c r="G83" s="1572"/>
    </row>
    <row r="84" spans="1:24">
      <c r="A84" s="1569"/>
      <c r="B84" s="1579"/>
      <c r="C84" s="1572"/>
      <c r="D84" s="1572"/>
      <c r="E84" s="1572"/>
      <c r="F84" s="1572"/>
      <c r="G84" s="1572"/>
    </row>
    <row r="85" spans="1:24">
      <c r="A85" s="1578" t="s">
        <v>2315</v>
      </c>
      <c r="B85" s="1580"/>
      <c r="C85" s="1572"/>
      <c r="D85" s="1572"/>
      <c r="E85" s="1572"/>
      <c r="F85" s="1572"/>
      <c r="G85" s="1572"/>
    </row>
    <row r="86" spans="1:24">
      <c r="A86" s="1569"/>
      <c r="B86" s="1581"/>
      <c r="P86" s="1458"/>
      <c r="Q86" s="1458"/>
      <c r="R86" s="1458"/>
      <c r="S86" s="1458"/>
      <c r="T86" s="1458"/>
      <c r="U86" s="1458"/>
      <c r="V86" s="1458"/>
      <c r="W86" s="1458"/>
      <c r="X86" s="1582"/>
    </row>
    <row r="87" spans="1:24">
      <c r="A87" s="1515"/>
      <c r="B87" s="1583"/>
      <c r="C87" s="1458"/>
      <c r="D87" s="1578"/>
      <c r="E87" s="1458"/>
      <c r="F87" s="1458"/>
      <c r="G87" s="1458"/>
      <c r="H87" s="1458"/>
      <c r="I87" s="1458"/>
      <c r="J87" s="1458"/>
      <c r="K87" s="1458"/>
      <c r="L87" s="1458"/>
      <c r="M87" s="1458"/>
      <c r="N87" s="1458"/>
      <c r="O87" s="1458"/>
      <c r="P87" s="1458"/>
      <c r="Q87" s="1458"/>
      <c r="R87" s="1458"/>
      <c r="S87" s="1458"/>
      <c r="T87" s="1458"/>
      <c r="U87" s="1458"/>
      <c r="V87" s="1458"/>
      <c r="W87" s="1458"/>
      <c r="X87" s="1582"/>
    </row>
    <row r="88" spans="1:24" ht="14">
      <c r="A88" s="1584"/>
      <c r="B88" s="1585"/>
      <c r="C88" s="1585"/>
      <c r="D88" s="1585"/>
      <c r="E88" s="1585"/>
      <c r="F88" s="1585"/>
      <c r="G88" s="1585"/>
      <c r="H88" s="1574"/>
      <c r="I88" s="1574"/>
      <c r="J88" s="1574"/>
      <c r="K88" s="1458"/>
      <c r="L88" s="1458"/>
      <c r="M88" s="1458"/>
      <c r="N88" s="1586"/>
      <c r="O88" s="1458"/>
      <c r="P88" s="1458"/>
      <c r="Q88" s="1458"/>
      <c r="R88" s="1458"/>
      <c r="S88" s="1458"/>
      <c r="T88" s="1458"/>
      <c r="U88" s="1458"/>
      <c r="V88" s="1458"/>
      <c r="W88" s="1458"/>
      <c r="X88" s="1458"/>
    </row>
    <row r="89" spans="1:24">
      <c r="A89" s="1458"/>
      <c r="B89" s="1458"/>
      <c r="C89" s="1458"/>
      <c r="D89" s="1458"/>
      <c r="E89" s="1458"/>
      <c r="F89" s="1458"/>
      <c r="G89" s="1458"/>
      <c r="H89" s="1458"/>
      <c r="I89" s="1458"/>
      <c r="J89" s="1458"/>
      <c r="K89" s="1458"/>
      <c r="L89" s="1458"/>
      <c r="M89" s="1458"/>
      <c r="N89" s="1458"/>
      <c r="O89" s="1458"/>
      <c r="P89" s="1458"/>
      <c r="Q89" s="1458"/>
      <c r="R89" s="1458"/>
      <c r="S89" s="1458"/>
      <c r="T89" s="1458"/>
      <c r="U89" s="1458"/>
      <c r="V89" s="1458"/>
      <c r="W89" s="1458"/>
      <c r="X89" s="1582"/>
    </row>
    <row r="90" spans="1:24">
      <c r="A90" s="1458"/>
      <c r="B90" s="1587"/>
      <c r="C90" s="1458"/>
      <c r="D90" s="1458"/>
      <c r="E90" s="1458"/>
      <c r="F90" s="1458"/>
      <c r="G90" s="1588"/>
      <c r="H90" s="1458"/>
      <c r="I90" s="1458"/>
      <c r="J90" s="1458"/>
      <c r="K90" s="1458"/>
      <c r="L90" s="1458"/>
      <c r="M90" s="1458"/>
      <c r="N90" s="1458"/>
      <c r="O90" s="1458"/>
    </row>
    <row r="91" spans="1:24" ht="16">
      <c r="A91" s="1458"/>
      <c r="B91" s="1458"/>
      <c r="C91" s="1458"/>
      <c r="D91" s="1458"/>
      <c r="E91" s="1458"/>
      <c r="F91" s="1458"/>
      <c r="G91" s="1588"/>
      <c r="H91" s="1458"/>
      <c r="I91" s="1589"/>
      <c r="J91" s="1590"/>
      <c r="K91" s="1458"/>
      <c r="L91" s="1458"/>
      <c r="M91" s="1458"/>
      <c r="N91" s="1458"/>
      <c r="O91" s="1458"/>
      <c r="P91" s="1458"/>
      <c r="Q91" s="1458"/>
      <c r="R91" s="1458"/>
      <c r="S91" s="1458"/>
      <c r="T91" s="1458"/>
      <c r="X91" s="1452"/>
    </row>
    <row r="92" spans="1:24" ht="16">
      <c r="A92" s="1458"/>
      <c r="B92" s="1515"/>
      <c r="C92" s="1458"/>
      <c r="D92" s="1458"/>
      <c r="E92" s="1458"/>
      <c r="F92" s="1458"/>
      <c r="G92" s="1591"/>
      <c r="H92" s="1592"/>
      <c r="I92" s="1593"/>
      <c r="J92" s="1590"/>
      <c r="K92" s="1458"/>
      <c r="L92" s="1458"/>
      <c r="M92" s="1458"/>
      <c r="N92" s="1458"/>
      <c r="O92" s="1458"/>
      <c r="P92" s="1458"/>
      <c r="Q92" s="1458"/>
      <c r="R92" s="1458"/>
      <c r="S92" s="1458"/>
      <c r="T92" s="1601"/>
      <c r="X92" s="1452"/>
    </row>
    <row r="93" spans="1:24" ht="14">
      <c r="A93" s="1458"/>
      <c r="B93" s="1515"/>
      <c r="C93" s="1458"/>
      <c r="D93" s="1458"/>
      <c r="E93" s="1458"/>
      <c r="F93" s="1458"/>
      <c r="G93" s="1591"/>
      <c r="H93" s="1592"/>
      <c r="I93" s="1593"/>
      <c r="J93" s="1458"/>
      <c r="K93" s="1458"/>
      <c r="L93" s="1458"/>
      <c r="M93" s="1458"/>
      <c r="N93" s="1458"/>
      <c r="O93" s="1458"/>
      <c r="P93" s="1458"/>
      <c r="Q93" s="1458"/>
      <c r="R93" s="1458"/>
      <c r="S93" s="1458"/>
      <c r="T93" s="1458"/>
      <c r="X93" s="1452"/>
    </row>
    <row r="94" spans="1:24">
      <c r="A94" s="1458"/>
      <c r="B94" s="1515"/>
      <c r="C94" s="1454"/>
      <c r="D94" s="1454"/>
      <c r="E94" s="1454"/>
      <c r="F94" s="1454"/>
      <c r="G94" s="1454"/>
      <c r="H94" s="1454"/>
      <c r="I94" s="1454"/>
      <c r="J94" s="1594"/>
      <c r="K94" s="1454"/>
      <c r="L94" s="1454"/>
      <c r="M94" s="1454"/>
      <c r="N94" s="1454"/>
      <c r="O94" s="1454"/>
      <c r="P94" s="1454"/>
      <c r="Q94" s="1454"/>
      <c r="R94" s="1454"/>
      <c r="S94" s="1458"/>
      <c r="T94" s="1458"/>
      <c r="X94" s="1452"/>
    </row>
    <row r="95" spans="1:24" ht="14">
      <c r="A95" s="1458"/>
      <c r="B95" s="1823"/>
      <c r="C95" s="1458"/>
      <c r="D95" s="1458"/>
      <c r="E95" s="1458"/>
      <c r="F95" s="1595"/>
      <c r="G95" s="1591"/>
      <c r="H95" s="1596"/>
      <c r="I95" s="1597"/>
      <c r="J95" s="1458"/>
      <c r="K95" s="1458"/>
      <c r="L95" s="1458"/>
      <c r="M95" s="1458"/>
      <c r="N95" s="1458"/>
      <c r="O95" s="1458"/>
      <c r="P95" s="1458"/>
      <c r="Q95" s="1458"/>
      <c r="R95" s="1458"/>
      <c r="S95" s="1458"/>
      <c r="T95" s="1458"/>
      <c r="X95" s="1452"/>
    </row>
    <row r="96" spans="1:24">
      <c r="A96" s="1458"/>
      <c r="B96" s="1824"/>
      <c r="C96" s="1595"/>
      <c r="D96" s="1595"/>
      <c r="E96" s="1595"/>
      <c r="F96" s="1595"/>
      <c r="G96" s="1595"/>
      <c r="H96" s="1595"/>
      <c r="I96" s="1595"/>
      <c r="J96" s="1595"/>
      <c r="K96" s="1595"/>
      <c r="L96" s="1595"/>
      <c r="M96" s="1595"/>
      <c r="N96" s="1595"/>
      <c r="O96" s="1595"/>
      <c r="P96" s="1595"/>
      <c r="Q96" s="1595"/>
      <c r="R96" s="1598"/>
      <c r="S96" s="1458"/>
      <c r="T96" s="1458"/>
      <c r="U96" s="1599"/>
      <c r="X96" s="1452"/>
    </row>
    <row r="97" spans="1:24">
      <c r="A97" s="1458"/>
      <c r="B97" s="1515"/>
      <c r="C97" s="1600"/>
      <c r="D97" s="1600"/>
      <c r="E97" s="1600"/>
      <c r="F97" s="1600"/>
      <c r="G97" s="1600"/>
      <c r="H97" s="1600"/>
      <c r="I97" s="1600"/>
      <c r="J97" s="1600"/>
      <c r="K97" s="1600"/>
      <c r="L97" s="1600"/>
      <c r="M97" s="1600"/>
      <c r="N97" s="1600"/>
      <c r="O97" s="1600"/>
      <c r="P97" s="1600"/>
      <c r="Q97" s="1600"/>
      <c r="R97" s="1560"/>
      <c r="S97" s="1458"/>
      <c r="T97" s="1458"/>
      <c r="X97" s="1452"/>
    </row>
    <row r="98" spans="1:24" ht="14">
      <c r="A98" s="1458"/>
      <c r="B98" s="1515"/>
      <c r="C98" s="1458"/>
      <c r="D98" s="1458"/>
      <c r="E98" s="1458"/>
      <c r="F98" s="1458"/>
      <c r="G98" s="1591"/>
      <c r="H98" s="1592"/>
      <c r="I98" s="1593"/>
      <c r="J98" s="1458"/>
      <c r="K98" s="1458"/>
      <c r="L98" s="1454"/>
      <c r="M98" s="1454"/>
      <c r="N98" s="1454"/>
      <c r="O98" s="1454"/>
      <c r="P98" s="1454"/>
      <c r="Q98" s="1454"/>
      <c r="R98" s="1454"/>
      <c r="S98" s="1458"/>
      <c r="T98" s="1458"/>
      <c r="X98" s="1452"/>
    </row>
    <row r="99" spans="1:24">
      <c r="A99" s="1458"/>
      <c r="B99" s="1515"/>
      <c r="C99" s="1454"/>
      <c r="D99" s="1454"/>
      <c r="E99" s="1454"/>
      <c r="F99" s="1454"/>
      <c r="G99" s="1454"/>
      <c r="H99" s="1454"/>
      <c r="I99" s="1454"/>
      <c r="J99" s="1594"/>
      <c r="K99" s="1454"/>
      <c r="L99" s="1454"/>
      <c r="M99" s="1454"/>
      <c r="N99" s="1454"/>
      <c r="O99" s="1454"/>
      <c r="P99" s="1454"/>
      <c r="Q99" s="1454"/>
      <c r="R99" s="1454"/>
      <c r="S99" s="1458"/>
      <c r="T99" s="1458"/>
      <c r="X99" s="1452"/>
    </row>
    <row r="100" spans="1:24" ht="14">
      <c r="A100" s="1458"/>
      <c r="B100" s="1515"/>
      <c r="C100" s="1601"/>
      <c r="D100" s="1601"/>
      <c r="E100" s="1601"/>
      <c r="F100" s="1601"/>
      <c r="G100" s="1601"/>
      <c r="H100" s="1602"/>
      <c r="I100" s="1601"/>
      <c r="J100" s="1601"/>
      <c r="K100" s="1601"/>
      <c r="L100" s="1601"/>
      <c r="M100" s="1601"/>
      <c r="N100" s="1601"/>
      <c r="O100" s="1601"/>
      <c r="P100" s="1601"/>
      <c r="Q100" s="1601"/>
      <c r="R100" s="1601"/>
      <c r="S100" s="1458"/>
      <c r="T100" s="1458"/>
      <c r="X100" s="1452"/>
    </row>
    <row r="101" spans="1:24">
      <c r="A101" s="1458"/>
      <c r="B101" s="1515"/>
      <c r="C101" s="1458"/>
      <c r="D101" s="1458"/>
      <c r="E101" s="1458"/>
      <c r="F101" s="1458"/>
      <c r="G101" s="1591"/>
      <c r="H101" s="1574"/>
      <c r="I101" s="1454"/>
      <c r="J101" s="1458"/>
      <c r="K101" s="1458"/>
      <c r="L101" s="1458"/>
      <c r="M101" s="1458"/>
      <c r="N101" s="1458"/>
      <c r="O101" s="1458"/>
      <c r="P101" s="1458"/>
      <c r="Q101" s="1458"/>
      <c r="R101" s="1458"/>
      <c r="S101" s="1458"/>
      <c r="T101" s="1458"/>
      <c r="X101" s="1452"/>
    </row>
    <row r="102" spans="1:24">
      <c r="A102" s="1458"/>
      <c r="B102" s="1515"/>
      <c r="C102" s="1458"/>
      <c r="D102" s="1458"/>
      <c r="E102" s="1458"/>
      <c r="F102" s="1458"/>
      <c r="G102" s="1458"/>
      <c r="H102" s="1458"/>
      <c r="I102" s="1458"/>
      <c r="J102" s="1458"/>
      <c r="K102" s="1458"/>
      <c r="L102" s="1458"/>
      <c r="M102" s="1458"/>
      <c r="N102" s="1458"/>
      <c r="O102" s="1458"/>
      <c r="P102" s="1458"/>
      <c r="Q102" s="1458"/>
      <c r="R102" s="1458"/>
      <c r="S102" s="1458"/>
      <c r="T102" s="1458"/>
    </row>
    <row r="103" spans="1:24" ht="16">
      <c r="A103" s="1603"/>
      <c r="B103" s="1515"/>
      <c r="C103" s="1458"/>
      <c r="D103" s="1458"/>
      <c r="E103" s="1458"/>
      <c r="F103" s="1458"/>
      <c r="G103" s="1604"/>
      <c r="H103" s="1605"/>
      <c r="I103" s="1458"/>
      <c r="J103" s="1458"/>
      <c r="K103" s="1458"/>
      <c r="L103" s="1458"/>
      <c r="M103" s="1458"/>
      <c r="N103" s="1458"/>
      <c r="O103" s="1458"/>
    </row>
    <row r="104" spans="1:24">
      <c r="A104" s="1515"/>
      <c r="B104" s="1515"/>
      <c r="C104" s="1458"/>
      <c r="D104" s="1458"/>
      <c r="E104" s="1458"/>
      <c r="F104" s="1458"/>
      <c r="G104" s="1458"/>
      <c r="H104" s="1458"/>
      <c r="I104" s="1458"/>
      <c r="J104" s="1458"/>
      <c r="K104" s="1458"/>
      <c r="L104" s="1458"/>
      <c r="M104" s="1458"/>
      <c r="N104" s="1458"/>
      <c r="O104" s="1458"/>
    </row>
    <row r="105" spans="1:24">
      <c r="A105" s="1515"/>
      <c r="B105" s="1515"/>
      <c r="C105" s="1458"/>
      <c r="D105" s="1458"/>
      <c r="E105" s="1458"/>
      <c r="F105" s="1458"/>
      <c r="G105" s="1458"/>
      <c r="H105" s="1458"/>
      <c r="I105" s="1458"/>
      <c r="J105" s="1458"/>
      <c r="K105" s="1458"/>
      <c r="L105" s="1458"/>
      <c r="M105" s="1458"/>
      <c r="N105" s="1458"/>
      <c r="O105" s="1458"/>
    </row>
    <row r="106" spans="1:24">
      <c r="A106" s="1515"/>
      <c r="B106" s="1515"/>
      <c r="C106" s="1458"/>
      <c r="D106" s="1458"/>
      <c r="E106" s="1458"/>
      <c r="F106" s="1458"/>
      <c r="G106" s="1458"/>
      <c r="H106" s="1458"/>
      <c r="I106" s="1458"/>
      <c r="J106" s="1458"/>
      <c r="K106" s="1458"/>
      <c r="L106" s="1458"/>
      <c r="M106" s="1458"/>
      <c r="N106" s="1458"/>
      <c r="O106" s="1458"/>
    </row>
    <row r="107" spans="1:24">
      <c r="A107" s="1515"/>
      <c r="B107" s="1515"/>
      <c r="C107" s="1458"/>
      <c r="D107" s="1458"/>
      <c r="E107" s="1458"/>
      <c r="F107" s="1458"/>
      <c r="G107" s="1458"/>
      <c r="H107" s="1458"/>
      <c r="I107" s="1458"/>
      <c r="J107" s="1458"/>
      <c r="K107" s="1458"/>
      <c r="L107" s="1458"/>
      <c r="M107" s="1458"/>
      <c r="N107" s="1458"/>
      <c r="O107" s="1458"/>
    </row>
    <row r="108" spans="1:24">
      <c r="A108" s="1515"/>
      <c r="B108" s="1577"/>
      <c r="C108" s="1458"/>
      <c r="D108" s="1458"/>
      <c r="E108" s="1458"/>
      <c r="F108" s="1458"/>
      <c r="G108" s="1458"/>
      <c r="H108" s="1458"/>
      <c r="I108" s="1458"/>
      <c r="J108" s="1458"/>
      <c r="K108" s="1458"/>
      <c r="L108" s="1458"/>
      <c r="M108" s="1458"/>
      <c r="N108" s="1458"/>
      <c r="O108" s="1458"/>
    </row>
    <row r="109" spans="1:24">
      <c r="A109" s="1515"/>
      <c r="B109" s="1577"/>
      <c r="C109" s="1458"/>
      <c r="D109" s="1458"/>
      <c r="E109" s="1458"/>
      <c r="F109" s="1458"/>
      <c r="G109" s="1458"/>
      <c r="H109" s="1458"/>
      <c r="I109" s="1458"/>
      <c r="J109" s="1458"/>
      <c r="K109" s="1458"/>
      <c r="L109" s="1458"/>
      <c r="M109" s="1458"/>
      <c r="N109" s="1458"/>
      <c r="O109" s="1458"/>
    </row>
    <row r="110" spans="1:24">
      <c r="A110" s="1515"/>
      <c r="B110" s="1577"/>
      <c r="C110" s="1458"/>
      <c r="D110" s="1458"/>
      <c r="E110" s="1458"/>
      <c r="F110" s="1458"/>
      <c r="G110" s="1458"/>
      <c r="H110" s="1458"/>
      <c r="I110" s="1458"/>
      <c r="J110" s="1458"/>
      <c r="K110" s="1458"/>
      <c r="L110" s="1458"/>
      <c r="M110" s="1458"/>
      <c r="N110" s="1458"/>
      <c r="O110" s="1458"/>
    </row>
    <row r="111" spans="1:24">
      <c r="A111" s="1515"/>
      <c r="B111" s="1515"/>
      <c r="C111" s="1458"/>
      <c r="D111" s="1458"/>
      <c r="E111" s="1458"/>
      <c r="F111" s="1458"/>
      <c r="G111" s="1458"/>
      <c r="H111" s="1458"/>
      <c r="I111" s="1458"/>
      <c r="J111" s="1458"/>
      <c r="K111" s="1458"/>
      <c r="L111" s="1458"/>
      <c r="M111" s="1458"/>
      <c r="N111" s="1458"/>
      <c r="O111" s="1458"/>
    </row>
    <row r="112" spans="1:24">
      <c r="A112" s="1515"/>
      <c r="B112" s="1515"/>
      <c r="C112" s="1458"/>
      <c r="D112" s="1458"/>
      <c r="E112" s="1458"/>
      <c r="F112" s="1458"/>
      <c r="G112" s="1458"/>
      <c r="H112" s="1458"/>
      <c r="I112" s="1458"/>
      <c r="J112" s="1458"/>
      <c r="K112" s="1458"/>
      <c r="L112" s="1458"/>
      <c r="M112" s="1458"/>
      <c r="N112" s="1458"/>
      <c r="O112" s="1458"/>
    </row>
    <row r="113" spans="1:15">
      <c r="A113" s="1458"/>
      <c r="B113" s="1515"/>
      <c r="C113" s="1458"/>
      <c r="D113" s="1458"/>
      <c r="E113" s="1458"/>
      <c r="F113" s="1458"/>
      <c r="G113" s="1458"/>
      <c r="H113" s="1458"/>
      <c r="I113" s="1458"/>
      <c r="J113" s="1458"/>
      <c r="K113" s="1458"/>
      <c r="L113" s="1458"/>
      <c r="M113" s="1458"/>
      <c r="N113" s="1458"/>
      <c r="O113" s="1458"/>
    </row>
    <row r="114" spans="1:15">
      <c r="A114" s="1515"/>
      <c r="B114" s="1515"/>
      <c r="C114" s="1458"/>
      <c r="D114" s="1458"/>
      <c r="E114" s="1458"/>
      <c r="F114" s="1458"/>
      <c r="G114" s="1458"/>
      <c r="H114" s="1458"/>
      <c r="I114" s="1458"/>
      <c r="J114" s="1458"/>
      <c r="K114" s="1458"/>
      <c r="L114" s="1458"/>
      <c r="M114" s="1458"/>
      <c r="N114" s="1458"/>
      <c r="O114" s="1458"/>
    </row>
    <row r="115" spans="1:15">
      <c r="A115" s="1515"/>
      <c r="B115" s="1515"/>
      <c r="C115" s="1458"/>
      <c r="D115" s="1458"/>
      <c r="E115" s="1458"/>
      <c r="F115" s="1458"/>
      <c r="G115" s="1458"/>
      <c r="H115" s="1458"/>
      <c r="I115" s="1458"/>
      <c r="J115" s="1458"/>
      <c r="K115" s="1458"/>
      <c r="L115" s="1458"/>
      <c r="M115" s="1458"/>
      <c r="N115" s="1458"/>
      <c r="O115" s="1458"/>
    </row>
    <row r="116" spans="1:15">
      <c r="A116" s="1515"/>
      <c r="B116" s="1515"/>
      <c r="C116" s="1458"/>
      <c r="D116" s="1458"/>
      <c r="E116" s="1458"/>
      <c r="F116" s="1458"/>
      <c r="G116" s="1458"/>
      <c r="H116" s="1458"/>
      <c r="I116" s="1458"/>
      <c r="J116" s="1458"/>
      <c r="K116" s="1458"/>
      <c r="L116" s="1458"/>
      <c r="M116" s="1458"/>
      <c r="N116" s="1458"/>
      <c r="O116" s="1458"/>
    </row>
    <row r="117" spans="1:15">
      <c r="A117" s="1515"/>
      <c r="B117" s="1515"/>
      <c r="C117" s="1458"/>
      <c r="D117" s="1458"/>
      <c r="E117" s="1458"/>
      <c r="F117" s="1458"/>
      <c r="G117" s="1458"/>
      <c r="H117" s="1458"/>
      <c r="I117" s="1458"/>
      <c r="J117" s="1458"/>
      <c r="K117" s="1458"/>
      <c r="L117" s="1458"/>
      <c r="M117" s="1458"/>
      <c r="N117" s="1458"/>
      <c r="O117" s="1458"/>
    </row>
    <row r="118" spans="1:15">
      <c r="A118" s="1515"/>
      <c r="B118" s="1515"/>
      <c r="C118" s="1458"/>
      <c r="D118" s="1458"/>
      <c r="E118" s="1458"/>
      <c r="F118" s="1458"/>
      <c r="G118" s="1458"/>
      <c r="H118" s="1458"/>
      <c r="I118" s="1458"/>
      <c r="J118" s="1458"/>
      <c r="K118" s="1458"/>
      <c r="L118" s="1458"/>
      <c r="M118" s="1458"/>
      <c r="N118" s="1458"/>
      <c r="O118" s="1458"/>
    </row>
    <row r="119" spans="1:15">
      <c r="A119" s="1569"/>
      <c r="B119" s="1569"/>
    </row>
    <row r="120" spans="1:15">
      <c r="A120" s="1569"/>
      <c r="B120" s="1569"/>
    </row>
    <row r="125" spans="1:15">
      <c r="B125" s="1569"/>
    </row>
    <row r="126" spans="1:15">
      <c r="B126" s="1569"/>
    </row>
    <row r="127" spans="1:15">
      <c r="A127" s="1569"/>
      <c r="B127" s="1569"/>
    </row>
    <row r="128" spans="1:15">
      <c r="A128" s="1569"/>
      <c r="B128" s="1569"/>
    </row>
    <row r="129" spans="1:15">
      <c r="A129" s="1569"/>
      <c r="B129" s="1569"/>
    </row>
    <row r="130" spans="1:15">
      <c r="A130" s="1569"/>
      <c r="B130" s="1569"/>
    </row>
    <row r="131" spans="1:15">
      <c r="A131" s="1569"/>
      <c r="B131" s="1569"/>
    </row>
    <row r="132" spans="1:15">
      <c r="A132" s="1569"/>
      <c r="B132" s="1569"/>
    </row>
    <row r="133" spans="1:15" ht="16">
      <c r="A133" s="1606"/>
      <c r="B133" s="1569"/>
    </row>
    <row r="134" spans="1:15">
      <c r="A134" s="1569"/>
      <c r="B134" s="1569"/>
    </row>
    <row r="135" spans="1:15">
      <c r="A135" s="1458"/>
      <c r="B135" s="1515"/>
      <c r="C135" s="1458"/>
      <c r="D135" s="1458"/>
      <c r="E135" s="1458"/>
      <c r="F135" s="1458"/>
      <c r="G135" s="1458"/>
      <c r="H135" s="1458"/>
      <c r="I135" s="1458"/>
      <c r="J135" s="1458"/>
      <c r="K135" s="1458"/>
      <c r="L135" s="1458"/>
      <c r="M135" s="1458"/>
      <c r="N135" s="1458"/>
      <c r="O135" s="1458"/>
    </row>
    <row r="136" spans="1:15">
      <c r="A136" s="1515"/>
      <c r="B136" s="1587"/>
      <c r="C136" s="1458"/>
      <c r="D136" s="1458"/>
      <c r="E136" s="1458"/>
      <c r="F136" s="1458"/>
      <c r="G136" s="1588"/>
      <c r="H136" s="1458"/>
      <c r="I136" s="1458"/>
      <c r="J136" s="1458"/>
      <c r="K136" s="1458"/>
      <c r="L136" s="1458"/>
      <c r="M136" s="1458"/>
      <c r="N136" s="1458"/>
      <c r="O136" s="1458"/>
    </row>
    <row r="137" spans="1:15">
      <c r="A137" s="1458"/>
      <c r="B137" s="1458"/>
      <c r="C137" s="1458"/>
      <c r="D137" s="1458"/>
      <c r="E137" s="1458"/>
      <c r="F137" s="1458"/>
      <c r="G137" s="1588"/>
      <c r="H137" s="1458"/>
      <c r="I137" s="1589"/>
      <c r="J137" s="1458"/>
      <c r="K137" s="1458"/>
      <c r="L137" s="1458"/>
      <c r="M137" s="1458"/>
      <c r="N137" s="1458"/>
      <c r="O137" s="1458"/>
    </row>
    <row r="138" spans="1:15" ht="14">
      <c r="A138" s="1458"/>
      <c r="B138" s="1515"/>
      <c r="C138" s="1458"/>
      <c r="D138" s="1458"/>
      <c r="E138" s="1458"/>
      <c r="F138" s="1458"/>
      <c r="G138" s="1591"/>
      <c r="H138" s="1592"/>
      <c r="I138" s="1593"/>
      <c r="J138" s="1458"/>
      <c r="K138" s="1458"/>
      <c r="L138" s="1458"/>
      <c r="M138" s="1458"/>
      <c r="N138" s="1458"/>
      <c r="O138" s="1458"/>
    </row>
    <row r="139" spans="1:15" ht="16">
      <c r="A139" s="1458"/>
      <c r="B139" s="1515"/>
      <c r="C139" s="1458"/>
      <c r="D139" s="1458"/>
      <c r="E139" s="1458"/>
      <c r="F139" s="1458"/>
      <c r="G139" s="1591"/>
      <c r="H139" s="1592"/>
      <c r="I139" s="1593"/>
      <c r="J139" s="1458"/>
      <c r="K139" s="1458"/>
      <c r="L139" s="1590"/>
      <c r="M139" s="1458"/>
      <c r="N139" s="1458"/>
      <c r="O139" s="1458"/>
    </row>
    <row r="140" spans="1:15" ht="16">
      <c r="A140" s="1458"/>
      <c r="B140" s="1515"/>
      <c r="C140" s="1458"/>
      <c r="D140" s="1458"/>
      <c r="E140" s="1458"/>
      <c r="F140" s="1458"/>
      <c r="G140" s="1591"/>
      <c r="H140" s="1592"/>
      <c r="I140" s="1593"/>
      <c r="J140" s="1458"/>
      <c r="K140" s="1458"/>
      <c r="L140" s="1590"/>
      <c r="M140" s="1458"/>
      <c r="N140" s="1458"/>
      <c r="O140" s="1458"/>
    </row>
    <row r="141" spans="1:15" ht="14">
      <c r="A141" s="1458"/>
      <c r="B141" s="1515"/>
      <c r="C141" s="1458"/>
      <c r="D141" s="1458"/>
      <c r="E141" s="1458"/>
      <c r="F141" s="1458"/>
      <c r="G141" s="1591"/>
      <c r="H141" s="1592"/>
      <c r="I141" s="1593"/>
      <c r="J141" s="1458"/>
      <c r="K141" s="1458"/>
      <c r="L141" s="1458"/>
      <c r="M141" s="1458"/>
      <c r="N141" s="1458"/>
      <c r="O141" s="1458"/>
    </row>
    <row r="142" spans="1:15" ht="14">
      <c r="A142" s="1458"/>
      <c r="B142" s="1515"/>
      <c r="C142" s="1458"/>
      <c r="D142" s="1458"/>
      <c r="E142" s="1458"/>
      <c r="F142" s="1458"/>
      <c r="G142" s="1591"/>
      <c r="H142" s="1592"/>
      <c r="I142" s="1593"/>
      <c r="J142" s="1458"/>
      <c r="K142" s="1458"/>
      <c r="L142" s="1458"/>
      <c r="M142" s="1458"/>
      <c r="N142" s="1458"/>
      <c r="O142" s="1458"/>
    </row>
    <row r="143" spans="1:15" ht="14">
      <c r="A143" s="1458"/>
      <c r="B143" s="1515"/>
      <c r="C143" s="1458"/>
      <c r="D143" s="1458"/>
      <c r="E143" s="1458"/>
      <c r="F143" s="1458"/>
      <c r="G143" s="1591"/>
      <c r="H143" s="1592"/>
      <c r="I143" s="1593"/>
      <c r="J143" s="1458"/>
      <c r="K143" s="1458"/>
      <c r="L143" s="1458"/>
      <c r="M143" s="1458"/>
      <c r="N143" s="1458"/>
      <c r="O143" s="1458"/>
    </row>
    <row r="144" spans="1:15" ht="14">
      <c r="A144" s="1458"/>
      <c r="B144" s="1515"/>
      <c r="C144" s="1458"/>
      <c r="D144" s="1458"/>
      <c r="E144" s="1458"/>
      <c r="F144" s="1458"/>
      <c r="G144" s="1591"/>
      <c r="H144" s="1592"/>
      <c r="I144" s="1593"/>
      <c r="J144" s="1458"/>
      <c r="K144" s="1458"/>
      <c r="L144" s="1458"/>
      <c r="M144" s="1458"/>
      <c r="N144" s="1458"/>
      <c r="O144" s="1458"/>
    </row>
    <row r="145" spans="1:15" ht="14">
      <c r="A145" s="1458"/>
      <c r="B145" s="1515"/>
      <c r="C145" s="1458"/>
      <c r="D145" s="1458"/>
      <c r="E145" s="1458"/>
      <c r="F145" s="1458"/>
      <c r="G145" s="1591"/>
      <c r="H145" s="1592"/>
      <c r="I145" s="1593"/>
      <c r="J145" s="1458"/>
      <c r="K145" s="1458"/>
      <c r="L145" s="1458"/>
      <c r="M145" s="1458"/>
      <c r="N145" s="1458"/>
      <c r="O145" s="1458"/>
    </row>
    <row r="146" spans="1:15" ht="14">
      <c r="A146" s="1458"/>
      <c r="B146" s="1515"/>
      <c r="C146" s="1458"/>
      <c r="D146" s="1458"/>
      <c r="E146" s="1458"/>
      <c r="F146" s="1458"/>
      <c r="G146" s="1591"/>
      <c r="H146" s="1592"/>
      <c r="I146" s="1593"/>
      <c r="J146" s="1458"/>
      <c r="K146" s="1458"/>
      <c r="L146" s="1458"/>
      <c r="M146" s="1458"/>
      <c r="N146" s="1458"/>
      <c r="O146" s="1458"/>
    </row>
    <row r="147" spans="1:15" ht="14">
      <c r="A147" s="1458"/>
      <c r="B147" s="1515"/>
      <c r="C147" s="1458"/>
      <c r="D147" s="1458"/>
      <c r="E147" s="1458"/>
      <c r="F147" s="1458"/>
      <c r="G147" s="1591"/>
      <c r="H147" s="1592"/>
      <c r="I147" s="1593"/>
      <c r="J147" s="1458"/>
      <c r="K147" s="1458"/>
      <c r="L147" s="1458"/>
      <c r="M147" s="1458"/>
      <c r="N147" s="1458"/>
      <c r="O147" s="1458"/>
    </row>
    <row r="148" spans="1:15">
      <c r="A148" s="1458"/>
      <c r="B148" s="1515"/>
      <c r="C148" s="1458"/>
      <c r="D148" s="1458"/>
      <c r="E148" s="1458"/>
      <c r="F148" s="1458"/>
      <c r="G148" s="1591"/>
      <c r="H148" s="1574"/>
      <c r="I148" s="1454"/>
      <c r="J148" s="1458"/>
      <c r="K148" s="1458"/>
      <c r="L148" s="1458"/>
      <c r="M148" s="1458"/>
      <c r="N148" s="1458"/>
      <c r="O148" s="1458"/>
    </row>
    <row r="149" spans="1:15" ht="14">
      <c r="A149" s="1458"/>
      <c r="B149" s="1515"/>
      <c r="C149" s="1458"/>
      <c r="D149" s="1458"/>
      <c r="E149" s="1458"/>
      <c r="F149" s="1458"/>
      <c r="G149" s="1595"/>
      <c r="H149" s="1592"/>
      <c r="I149" s="1458"/>
      <c r="J149" s="1458"/>
      <c r="K149" s="1458"/>
      <c r="L149" s="1458"/>
      <c r="M149" s="1458"/>
      <c r="N149" s="1458"/>
      <c r="O149" s="1458"/>
    </row>
    <row r="150" spans="1:15" ht="16">
      <c r="A150" s="1603"/>
      <c r="B150" s="1515"/>
      <c r="C150" s="1458"/>
      <c r="D150" s="1458"/>
      <c r="E150" s="1458"/>
      <c r="F150" s="1458"/>
      <c r="G150" s="1604"/>
      <c r="H150" s="1605"/>
      <c r="I150" s="1458"/>
      <c r="J150" s="1458"/>
      <c r="K150" s="1458"/>
      <c r="L150" s="1458"/>
      <c r="M150" s="1458"/>
      <c r="N150" s="1458"/>
      <c r="O150" s="1458"/>
    </row>
    <row r="151" spans="1:15">
      <c r="A151" s="1458"/>
      <c r="B151" s="1458"/>
      <c r="C151" s="1458"/>
      <c r="D151" s="1458"/>
      <c r="E151" s="1458"/>
      <c r="F151" s="1458"/>
      <c r="G151" s="1458"/>
      <c r="H151" s="1458"/>
      <c r="I151" s="1458"/>
      <c r="J151" s="1458"/>
      <c r="K151" s="1458"/>
      <c r="L151" s="1458"/>
      <c r="M151" s="1458"/>
      <c r="N151" s="1458"/>
      <c r="O151" s="1458"/>
    </row>
    <row r="154" spans="1:15">
      <c r="B154" s="1599"/>
    </row>
    <row r="155" spans="1:15">
      <c r="B155" s="1599"/>
    </row>
    <row r="156" spans="1:15">
      <c r="B156" s="1599"/>
    </row>
    <row r="157" spans="1:15">
      <c r="B157" s="1599"/>
    </row>
    <row r="158" spans="1:15">
      <c r="B158" s="1599"/>
    </row>
    <row r="159" spans="1:15">
      <c r="B159" s="1599"/>
    </row>
    <row r="160" spans="1:15">
      <c r="B160" s="1599"/>
    </row>
    <row r="161" spans="2:2">
      <c r="B161" s="1599"/>
    </row>
    <row r="162" spans="2:2">
      <c r="B162" s="1599"/>
    </row>
    <row r="163" spans="2:2">
      <c r="B163" s="1599"/>
    </row>
    <row r="164" spans="2:2">
      <c r="B164" s="1599"/>
    </row>
    <row r="165" spans="2:2">
      <c r="B165" s="1599"/>
    </row>
    <row r="166" spans="2:2">
      <c r="B166" s="1599"/>
    </row>
    <row r="167" spans="2:2">
      <c r="B167" s="1599"/>
    </row>
    <row r="168" spans="2:2">
      <c r="B168" s="1599"/>
    </row>
    <row r="169" spans="2:2">
      <c r="B169" s="1599"/>
    </row>
    <row r="170" spans="2:2">
      <c r="B170" s="1599"/>
    </row>
    <row r="171" spans="2:2">
      <c r="B171" s="1599"/>
    </row>
    <row r="172" spans="2:2">
      <c r="B172" s="1599"/>
    </row>
    <row r="173" spans="2:2">
      <c r="B173" s="1599"/>
    </row>
    <row r="174" spans="2:2">
      <c r="B174" s="1599"/>
    </row>
    <row r="175" spans="2:2">
      <c r="B175" s="1599"/>
    </row>
    <row r="176" spans="2:2">
      <c r="B176" s="1599"/>
    </row>
    <row r="177" spans="2:2">
      <c r="B177" s="1599"/>
    </row>
    <row r="178" spans="2:2">
      <c r="B178" s="1599"/>
    </row>
    <row r="179" spans="2:2">
      <c r="B179" s="1599"/>
    </row>
    <row r="180" spans="2:2">
      <c r="B180" s="1599"/>
    </row>
    <row r="181" spans="2:2">
      <c r="B181" s="1599"/>
    </row>
    <row r="182" spans="2:2">
      <c r="B182" s="1599"/>
    </row>
    <row r="183" spans="2:2">
      <c r="B183" s="1599"/>
    </row>
  </sheetData>
  <pageMargins left="0.51181102362204722" right="0.39370078740157483" top="0.23" bottom="0.28000000000000003" header="0.19" footer="0.15"/>
  <pageSetup paperSize="9" scale="57" fitToHeight="2" orientation="landscape" cellComments="asDisplayed"/>
  <headerFooter alignWithMargins="0">
    <oddFooter>&amp;R&amp;P/&amp;N</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75F3-D3F5-7549-9BA3-E5696F72259B}">
  <sheetPr>
    <pageSetUpPr fitToPage="1"/>
  </sheetPr>
  <dimension ref="A1:B10"/>
  <sheetViews>
    <sheetView zoomScale="115" zoomScaleNormal="115" workbookViewId="0">
      <selection activeCell="B6" sqref="B6"/>
    </sheetView>
  </sheetViews>
  <sheetFormatPr baseColWidth="10" defaultColWidth="11.59765625" defaultRowHeight="13"/>
  <cols>
    <col min="1" max="1" width="5.59765625" style="774" customWidth="1"/>
    <col min="2" max="16384" width="11.59765625" style="774"/>
  </cols>
  <sheetData>
    <row r="1" spans="1:2" ht="16">
      <c r="A1" s="775" t="s">
        <v>1755</v>
      </c>
    </row>
    <row r="2" spans="1:2" ht="16">
      <c r="A2" s="775"/>
    </row>
    <row r="3" spans="1:2" s="1061" customFormat="1">
      <c r="A3" s="1060" t="s">
        <v>33</v>
      </c>
      <c r="B3" s="553" t="s">
        <v>1756</v>
      </c>
    </row>
    <row r="4" spans="1:2" s="1061" customFormat="1">
      <c r="A4" s="1060" t="s">
        <v>34</v>
      </c>
      <c r="B4" s="553" t="s">
        <v>1757</v>
      </c>
    </row>
    <row r="5" spans="1:2">
      <c r="A5" s="1060" t="s">
        <v>35</v>
      </c>
      <c r="B5" s="553" t="s">
        <v>1758</v>
      </c>
    </row>
    <row r="6" spans="1:2">
      <c r="A6" s="1060" t="s">
        <v>1759</v>
      </c>
      <c r="B6" s="553" t="s">
        <v>1760</v>
      </c>
    </row>
    <row r="7" spans="1:2" s="1061" customFormat="1">
      <c r="A7" s="1060" t="s">
        <v>1761</v>
      </c>
      <c r="B7" s="553" t="s">
        <v>1762</v>
      </c>
    </row>
    <row r="8" spans="1:2" ht="18.75" customHeight="1"/>
    <row r="10" spans="1:2">
      <c r="A10" s="1017" t="s">
        <v>719</v>
      </c>
    </row>
  </sheetData>
  <pageMargins left="0.46" right="0.35" top="0.88" bottom="0.984251969" header="0.4921259845" footer="0.4921259845"/>
  <pageSetup paperSize="9" orientation="portrait"/>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52AF-DC04-2D4A-AD9C-C7C413B07762}">
  <dimension ref="A1:K31"/>
  <sheetViews>
    <sheetView topLeftCell="A8" zoomScaleNormal="100" workbookViewId="0">
      <selection activeCell="L20" sqref="L20"/>
    </sheetView>
  </sheetViews>
  <sheetFormatPr baseColWidth="10" defaultColWidth="11.3984375" defaultRowHeight="13"/>
  <cols>
    <col min="1" max="1" width="21.796875" style="3" customWidth="1"/>
    <col min="2" max="3" width="13.3984375" style="3" customWidth="1"/>
    <col min="4" max="4" width="13.59765625" style="3" customWidth="1"/>
    <col min="5" max="6" width="13.3984375" style="3" customWidth="1"/>
    <col min="7" max="7" width="13.59765625" style="3" customWidth="1"/>
    <col min="8" max="16384" width="11.3984375" style="3"/>
  </cols>
  <sheetData>
    <row r="1" spans="1:11" s="2" customFormat="1" ht="14" customHeight="1"/>
    <row r="2" spans="1:11" s="2" customFormat="1" ht="21.5" customHeight="1">
      <c r="A2" s="246" t="s">
        <v>1763</v>
      </c>
      <c r="G2" s="515"/>
    </row>
    <row r="3" spans="1:11" ht="24" customHeight="1">
      <c r="A3" s="92" t="s">
        <v>1764</v>
      </c>
      <c r="B3" s="182" t="s">
        <v>1023</v>
      </c>
      <c r="C3" s="183" t="s">
        <v>1289</v>
      </c>
      <c r="D3" s="182" t="s">
        <v>1023</v>
      </c>
      <c r="E3" s="183" t="s">
        <v>1289</v>
      </c>
      <c r="F3" s="182" t="s">
        <v>278</v>
      </c>
      <c r="G3" s="94" t="s">
        <v>279</v>
      </c>
    </row>
    <row r="4" spans="1:11" ht="15" customHeight="1">
      <c r="A4" s="184" t="s">
        <v>1765</v>
      </c>
      <c r="B4" s="185" t="s">
        <v>1766</v>
      </c>
      <c r="C4" s="186" t="s">
        <v>1681</v>
      </c>
      <c r="D4" s="185" t="s">
        <v>1767</v>
      </c>
      <c r="E4" s="186" t="s">
        <v>1681</v>
      </c>
      <c r="F4" s="185"/>
      <c r="G4" s="95" t="s">
        <v>282</v>
      </c>
    </row>
    <row r="5" spans="1:11" ht="15" customHeight="1">
      <c r="A5" s="184"/>
      <c r="B5" s="185"/>
      <c r="C5" s="186" t="s">
        <v>617</v>
      </c>
      <c r="D5" s="185"/>
      <c r="E5" s="186" t="s">
        <v>617</v>
      </c>
      <c r="F5" s="185"/>
      <c r="G5" s="95" t="s">
        <v>283</v>
      </c>
    </row>
    <row r="6" spans="1:11" ht="14.25" customHeight="1">
      <c r="A6" s="188"/>
      <c r="B6" s="189"/>
      <c r="C6" s="190"/>
      <c r="D6" s="189"/>
      <c r="E6" s="190"/>
      <c r="F6" s="189"/>
      <c r="G6" s="97"/>
    </row>
    <row r="7" spans="1:11" ht="21.5" customHeight="1" thickBot="1">
      <c r="A7" s="192">
        <v>1996</v>
      </c>
      <c r="B7" s="230">
        <v>82</v>
      </c>
      <c r="C7" s="248">
        <v>0.56551724137931036</v>
      </c>
      <c r="D7" s="100">
        <v>63</v>
      </c>
      <c r="E7" s="248">
        <v>0.43448275862068964</v>
      </c>
      <c r="F7" s="100">
        <v>145</v>
      </c>
      <c r="G7" s="101" t="s">
        <v>30</v>
      </c>
      <c r="I7" s="9"/>
      <c r="J7" s="9"/>
      <c r="K7" s="9"/>
    </row>
    <row r="8" spans="1:11" ht="18.5" customHeight="1" thickBot="1">
      <c r="A8" s="194">
        <v>1997</v>
      </c>
      <c r="B8" s="218">
        <v>60</v>
      </c>
      <c r="C8" s="250">
        <v>0.46511627906976744</v>
      </c>
      <c r="D8" s="195">
        <v>69</v>
      </c>
      <c r="E8" s="250">
        <v>0.53488372093023251</v>
      </c>
      <c r="F8" s="195">
        <v>129</v>
      </c>
      <c r="G8" s="1062">
        <v>-0.1103448275862069</v>
      </c>
    </row>
    <row r="9" spans="1:11" ht="18.5" customHeight="1" thickBot="1">
      <c r="A9" s="194">
        <v>1998</v>
      </c>
      <c r="B9" s="218">
        <v>62</v>
      </c>
      <c r="C9" s="250">
        <v>0.52542372881355937</v>
      </c>
      <c r="D9" s="195">
        <v>56</v>
      </c>
      <c r="E9" s="250">
        <v>0.47457627118644069</v>
      </c>
      <c r="F9" s="195">
        <v>118</v>
      </c>
      <c r="G9" s="1062">
        <v>-8.5271317829457363E-2</v>
      </c>
    </row>
    <row r="10" spans="1:11" ht="20" customHeight="1" thickBot="1">
      <c r="A10" s="194">
        <v>1999</v>
      </c>
      <c r="B10" s="218">
        <v>59</v>
      </c>
      <c r="C10" s="250">
        <v>0.54128440366972475</v>
      </c>
      <c r="D10" s="195">
        <v>50</v>
      </c>
      <c r="E10" s="250">
        <v>0.45871559633027525</v>
      </c>
      <c r="F10" s="195">
        <v>109</v>
      </c>
      <c r="G10" s="1062">
        <v>-7.6271186440677971E-2</v>
      </c>
    </row>
    <row r="11" spans="1:11" ht="19.5" customHeight="1" thickBot="1">
      <c r="A11" s="194">
        <v>2000</v>
      </c>
      <c r="B11" s="218">
        <v>59</v>
      </c>
      <c r="C11" s="250">
        <v>0.58415841584158412</v>
      </c>
      <c r="D11" s="195">
        <v>42</v>
      </c>
      <c r="E11" s="250">
        <v>0.41584158415841582</v>
      </c>
      <c r="F11" s="195">
        <v>101</v>
      </c>
      <c r="G11" s="1062">
        <v>-7.3394495412844041E-2</v>
      </c>
    </row>
    <row r="12" spans="1:11" ht="20" customHeight="1" thickBot="1">
      <c r="A12" s="194">
        <v>2001</v>
      </c>
      <c r="B12" s="218">
        <v>64</v>
      </c>
      <c r="C12" s="250">
        <v>0.64646464646464652</v>
      </c>
      <c r="D12" s="195">
        <v>35</v>
      </c>
      <c r="E12" s="250">
        <v>0.35353535353535354</v>
      </c>
      <c r="F12" s="195">
        <v>99</v>
      </c>
      <c r="G12" s="1062">
        <v>-1.9801980198019802E-2</v>
      </c>
    </row>
    <row r="13" spans="1:11" ht="20" customHeight="1" thickBot="1">
      <c r="A13" s="194">
        <v>2002</v>
      </c>
      <c r="B13" s="218">
        <v>68</v>
      </c>
      <c r="C13" s="250">
        <v>0.73118279569892475</v>
      </c>
      <c r="D13" s="195">
        <v>25</v>
      </c>
      <c r="E13" s="250">
        <v>0.26881720430107525</v>
      </c>
      <c r="F13" s="195">
        <v>93</v>
      </c>
      <c r="G13" s="1062">
        <v>-6.0606060606060608E-2</v>
      </c>
    </row>
    <row r="14" spans="1:11" ht="20" customHeight="1" thickBot="1">
      <c r="A14" s="194">
        <v>2003</v>
      </c>
      <c r="B14" s="218">
        <v>70</v>
      </c>
      <c r="C14" s="250">
        <v>0.75268817204301075</v>
      </c>
      <c r="D14" s="195">
        <v>23</v>
      </c>
      <c r="E14" s="250">
        <v>0.24731182795698925</v>
      </c>
      <c r="F14" s="195">
        <v>93</v>
      </c>
      <c r="G14" s="1062">
        <v>0</v>
      </c>
    </row>
    <row r="15" spans="1:11" ht="20" customHeight="1" thickBot="1">
      <c r="A15" s="194">
        <v>2004</v>
      </c>
      <c r="B15" s="218">
        <v>72</v>
      </c>
      <c r="C15" s="250">
        <v>0.77419354838709675</v>
      </c>
      <c r="D15" s="195">
        <v>21</v>
      </c>
      <c r="E15" s="250">
        <v>0.22580645161290322</v>
      </c>
      <c r="F15" s="195">
        <v>93</v>
      </c>
      <c r="G15" s="1062">
        <v>0</v>
      </c>
    </row>
    <row r="16" spans="1:11" ht="20" customHeight="1" thickBot="1">
      <c r="A16" s="194">
        <v>2005</v>
      </c>
      <c r="B16" s="218">
        <v>65</v>
      </c>
      <c r="C16" s="250">
        <v>0.76470588235294112</v>
      </c>
      <c r="D16" s="195">
        <v>20</v>
      </c>
      <c r="E16" s="250">
        <v>0.23529411764705882</v>
      </c>
      <c r="F16" s="195">
        <v>85</v>
      </c>
      <c r="G16" s="1062">
        <v>-8.6021505376344093E-2</v>
      </c>
    </row>
    <row r="17" spans="1:7" ht="20" customHeight="1" thickBot="1">
      <c r="A17" s="194">
        <v>2006</v>
      </c>
      <c r="B17" s="218">
        <v>66</v>
      </c>
      <c r="C17" s="250">
        <v>0.75862068965517238</v>
      </c>
      <c r="D17" s="195">
        <v>21</v>
      </c>
      <c r="E17" s="250">
        <v>0.2413793103448276</v>
      </c>
      <c r="F17" s="195">
        <v>87</v>
      </c>
      <c r="G17" s="1062">
        <v>2.3529411764705882E-2</v>
      </c>
    </row>
    <row r="18" spans="1:7" ht="20" customHeight="1" thickBot="1">
      <c r="A18" s="194">
        <v>2007</v>
      </c>
      <c r="B18" s="218">
        <v>66</v>
      </c>
      <c r="C18" s="250">
        <v>0.75862068965517238</v>
      </c>
      <c r="D18" s="195">
        <v>21</v>
      </c>
      <c r="E18" s="250">
        <v>0.2413793103448276</v>
      </c>
      <c r="F18" s="195">
        <v>87</v>
      </c>
      <c r="G18" s="1062">
        <v>0</v>
      </c>
    </row>
    <row r="19" spans="1:7" ht="20" customHeight="1" thickBot="1">
      <c r="A19" s="194">
        <v>2008</v>
      </c>
      <c r="B19" s="218">
        <v>63</v>
      </c>
      <c r="C19" s="250">
        <v>0.73255813953488369</v>
      </c>
      <c r="D19" s="195">
        <v>23</v>
      </c>
      <c r="E19" s="250">
        <v>0.26744186046511625</v>
      </c>
      <c r="F19" s="195">
        <v>86</v>
      </c>
      <c r="G19" s="1062">
        <v>-1.1494252873563204E-2</v>
      </c>
    </row>
    <row r="20" spans="1:7" ht="20" customHeight="1" thickBot="1">
      <c r="A20" s="194">
        <v>2009</v>
      </c>
      <c r="B20" s="218">
        <v>59</v>
      </c>
      <c r="C20" s="250">
        <v>0.71951219512195119</v>
      </c>
      <c r="D20" s="195">
        <v>23</v>
      </c>
      <c r="E20" s="250">
        <v>0.28048780487804881</v>
      </c>
      <c r="F20" s="195">
        <v>82</v>
      </c>
      <c r="G20" s="1062">
        <v>-4.6511627906976716E-2</v>
      </c>
    </row>
    <row r="21" spans="1:7" ht="20" customHeight="1" thickBot="1">
      <c r="A21" s="194">
        <v>2010</v>
      </c>
      <c r="B21" s="218">
        <v>55</v>
      </c>
      <c r="C21" s="250">
        <v>0.67901234567901236</v>
      </c>
      <c r="D21" s="195">
        <v>26</v>
      </c>
      <c r="E21" s="250">
        <v>0.32098765432098764</v>
      </c>
      <c r="F21" s="195">
        <v>81</v>
      </c>
      <c r="G21" s="1062">
        <v>-1.2195121951219523E-2</v>
      </c>
    </row>
    <row r="22" spans="1:7" ht="24.75" customHeight="1" thickBot="1">
      <c r="A22" s="499">
        <v>2011</v>
      </c>
      <c r="B22" s="518">
        <v>38</v>
      </c>
      <c r="C22" s="940">
        <v>0.60317460317460314</v>
      </c>
      <c r="D22" s="108">
        <v>25</v>
      </c>
      <c r="E22" s="940">
        <v>0.3968253968253968</v>
      </c>
      <c r="F22" s="108">
        <v>63</v>
      </c>
      <c r="G22" s="109">
        <v>-0.22222222222222221</v>
      </c>
    </row>
    <row r="23" spans="1:7" ht="17" customHeight="1">
      <c r="A23" s="112" t="s">
        <v>1829</v>
      </c>
      <c r="B23" s="112"/>
      <c r="C23" s="112"/>
      <c r="D23" s="112"/>
      <c r="E23" s="112"/>
      <c r="F23" s="112"/>
      <c r="G23" s="112"/>
    </row>
    <row r="24" spans="1:7">
      <c r="A24" s="115"/>
      <c r="B24" s="115"/>
      <c r="C24" s="115"/>
      <c r="D24" s="115"/>
      <c r="E24" s="115"/>
      <c r="F24" s="115"/>
      <c r="G24" s="115"/>
    </row>
    <row r="25" spans="1:7">
      <c r="A25" s="115" t="s">
        <v>1768</v>
      </c>
      <c r="B25" s="115"/>
      <c r="C25" s="115"/>
      <c r="D25" s="115"/>
      <c r="E25" s="115"/>
      <c r="F25" s="115"/>
      <c r="G25" s="115"/>
    </row>
    <row r="26" spans="1:7">
      <c r="A26" s="115"/>
      <c r="B26" s="115"/>
      <c r="C26" s="115"/>
      <c r="D26" s="115"/>
      <c r="E26" s="115"/>
      <c r="F26" s="115"/>
      <c r="G26" s="115"/>
    </row>
    <row r="27" spans="1:7">
      <c r="A27" s="3" t="s">
        <v>1769</v>
      </c>
    </row>
    <row r="28" spans="1:7">
      <c r="A28" s="3" t="s">
        <v>1770</v>
      </c>
    </row>
    <row r="31" spans="1:7">
      <c r="A31" s="115" t="s">
        <v>719</v>
      </c>
    </row>
  </sheetData>
  <pageMargins left="0.55118110236220474" right="0.55118110236220474" top="0.82677165354330717" bottom="0.47244094488188981" header="0.47244094488188981" footer="0.51181102362204722"/>
  <pageSetup paperSize="9" scale="80" orientation="portrait" horizontalDpi="1200" verticalDpi="1200"/>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E51E-181C-704F-91F0-7864D6430D4C}">
  <dimension ref="A1:K32"/>
  <sheetViews>
    <sheetView topLeftCell="A8" zoomScaleNormal="100" workbookViewId="0">
      <selection activeCell="I23" sqref="I23"/>
    </sheetView>
  </sheetViews>
  <sheetFormatPr baseColWidth="10" defaultColWidth="11.3984375" defaultRowHeight="13"/>
  <cols>
    <col min="1" max="1" width="21.796875" style="3" customWidth="1"/>
    <col min="2" max="2" width="16.3984375" style="3" customWidth="1"/>
    <col min="3" max="3" width="14.19921875" style="3" customWidth="1"/>
    <col min="4" max="4" width="15.59765625" style="3" customWidth="1"/>
    <col min="5" max="5" width="14.3984375" style="3" customWidth="1"/>
    <col min="6" max="6" width="16.3984375" style="3" customWidth="1"/>
    <col min="7" max="7" width="14.59765625" style="3" customWidth="1"/>
    <col min="8" max="16384" width="11.3984375" style="3"/>
  </cols>
  <sheetData>
    <row r="1" spans="1:11" s="2" customFormat="1" ht="14" customHeight="1"/>
    <row r="2" spans="1:11" s="2" customFormat="1" ht="24" customHeight="1">
      <c r="A2" s="181" t="s">
        <v>1771</v>
      </c>
      <c r="B2" s="436"/>
      <c r="C2" s="436"/>
      <c r="D2" s="436"/>
      <c r="E2" s="436"/>
      <c r="F2" s="436"/>
      <c r="G2" s="515"/>
    </row>
    <row r="3" spans="1:11" ht="27" customHeight="1">
      <c r="A3" s="92" t="s">
        <v>1764</v>
      </c>
      <c r="B3" s="1063" t="s">
        <v>1772</v>
      </c>
      <c r="C3" s="1064"/>
      <c r="D3" s="1064"/>
      <c r="E3" s="1064"/>
      <c r="F3" s="1065" t="s">
        <v>1773</v>
      </c>
      <c r="G3" s="1066"/>
    </row>
    <row r="4" spans="1:11" ht="20" customHeight="1">
      <c r="A4" s="184" t="s">
        <v>1765</v>
      </c>
      <c r="B4" s="185" t="s">
        <v>1774</v>
      </c>
      <c r="C4" s="95" t="s">
        <v>279</v>
      </c>
      <c r="D4" s="185" t="s">
        <v>1774</v>
      </c>
      <c r="E4" s="95" t="s">
        <v>279</v>
      </c>
      <c r="F4" s="185" t="s">
        <v>1775</v>
      </c>
      <c r="G4" s="95" t="s">
        <v>279</v>
      </c>
    </row>
    <row r="5" spans="1:11" ht="18" customHeight="1">
      <c r="A5" s="184"/>
      <c r="B5" s="1067" t="s">
        <v>1776</v>
      </c>
      <c r="C5" s="921" t="s">
        <v>282</v>
      </c>
      <c r="D5" s="1067" t="s">
        <v>1678</v>
      </c>
      <c r="E5" s="921" t="s">
        <v>282</v>
      </c>
      <c r="F5" s="1067" t="s">
        <v>1777</v>
      </c>
      <c r="G5" s="921" t="s">
        <v>282</v>
      </c>
    </row>
    <row r="6" spans="1:11" ht="24" customHeight="1">
      <c r="A6" s="188"/>
      <c r="B6" s="189"/>
      <c r="C6" s="97" t="s">
        <v>283</v>
      </c>
      <c r="D6" s="189"/>
      <c r="E6" s="97" t="s">
        <v>1778</v>
      </c>
      <c r="F6" s="189"/>
      <c r="G6" s="97" t="s">
        <v>1778</v>
      </c>
    </row>
    <row r="7" spans="1:11" ht="23" customHeight="1" thickBot="1">
      <c r="A7" s="192">
        <v>1996</v>
      </c>
      <c r="B7" s="100">
        <v>913.21658500000001</v>
      </c>
      <c r="C7" s="101" t="s">
        <v>30</v>
      </c>
      <c r="D7" s="100">
        <v>2674.048675</v>
      </c>
      <c r="E7" s="1068" t="s">
        <v>30</v>
      </c>
      <c r="F7" s="100">
        <v>530</v>
      </c>
      <c r="G7" s="101" t="s">
        <v>30</v>
      </c>
      <c r="I7" s="9"/>
      <c r="J7" s="9"/>
      <c r="K7" s="9"/>
    </row>
    <row r="8" spans="1:11" ht="17.5" customHeight="1" thickBot="1">
      <c r="A8" s="194">
        <v>1997</v>
      </c>
      <c r="B8" s="195">
        <v>951.20448216581099</v>
      </c>
      <c r="C8" s="197">
        <v>4.1597905458332182E-2</v>
      </c>
      <c r="D8" s="195">
        <v>2894.7924399622598</v>
      </c>
      <c r="E8" s="197">
        <v>8.2550391481658339E-2</v>
      </c>
      <c r="F8" s="195">
        <v>532</v>
      </c>
      <c r="G8" s="197">
        <v>3.7735849056603774E-3</v>
      </c>
    </row>
    <row r="9" spans="1:11" ht="19.25" customHeight="1" thickBot="1">
      <c r="A9" s="194">
        <v>1998</v>
      </c>
      <c r="B9" s="195">
        <v>1005.42211</v>
      </c>
      <c r="C9" s="197">
        <v>5.6998919633704945E-2</v>
      </c>
      <c r="D9" s="195">
        <v>3172.9022279999999</v>
      </c>
      <c r="E9" s="197">
        <v>9.6072445194504488E-2</v>
      </c>
      <c r="F9" s="195">
        <v>609.28660000000002</v>
      </c>
      <c r="G9" s="197">
        <v>0.14527556390977447</v>
      </c>
    </row>
    <row r="10" spans="1:11" ht="20" customHeight="1" thickBot="1">
      <c r="A10" s="194">
        <v>1999</v>
      </c>
      <c r="B10" s="195">
        <v>1043.283537</v>
      </c>
      <c r="C10" s="197">
        <v>3.7657245273828376E-2</v>
      </c>
      <c r="D10" s="195">
        <v>3340.3853559999998</v>
      </c>
      <c r="E10" s="197">
        <v>5.2785467677512014E-2</v>
      </c>
      <c r="F10" s="195">
        <v>659.60795700000006</v>
      </c>
      <c r="G10" s="197">
        <v>8.2590618273896119E-2</v>
      </c>
    </row>
    <row r="11" spans="1:11" ht="20.25" customHeight="1" thickBot="1">
      <c r="A11" s="194">
        <v>2000</v>
      </c>
      <c r="B11" s="195">
        <v>1090.4996369999999</v>
      </c>
      <c r="C11" s="197">
        <v>4.5257207964549594E-2</v>
      </c>
      <c r="D11" s="195">
        <v>3554.1311930000002</v>
      </c>
      <c r="E11" s="197">
        <v>6.3988376854805129E-2</v>
      </c>
      <c r="F11" s="195">
        <v>732.09943699999997</v>
      </c>
      <c r="G11" s="197">
        <v>0.10990085736640061</v>
      </c>
    </row>
    <row r="12" spans="1:11" ht="20" customHeight="1" thickBot="1">
      <c r="A12" s="194">
        <v>2001</v>
      </c>
      <c r="B12" s="195">
        <v>1148.4065562125586</v>
      </c>
      <c r="C12" s="197">
        <v>5.3101273258432738E-2</v>
      </c>
      <c r="D12" s="195">
        <v>3804.1073437743612</v>
      </c>
      <c r="E12" s="197">
        <v>7.0333968331472624E-2</v>
      </c>
      <c r="F12" s="195">
        <v>844.73803099999998</v>
      </c>
      <c r="G12" s="197">
        <v>0.15385696028065654</v>
      </c>
    </row>
    <row r="13" spans="1:11" ht="20" customHeight="1" thickBot="1">
      <c r="A13" s="194">
        <v>2002</v>
      </c>
      <c r="B13" s="195">
        <v>1176.9857406315903</v>
      </c>
      <c r="C13" s="197">
        <v>2.4885946761994921E-2</v>
      </c>
      <c r="D13" s="195">
        <v>3992.1493332093432</v>
      </c>
      <c r="E13" s="197">
        <v>4.9431304756087785E-2</v>
      </c>
      <c r="F13" s="195">
        <v>928.34341900000004</v>
      </c>
      <c r="G13" s="197">
        <v>9.8971971110414073E-2</v>
      </c>
    </row>
    <row r="14" spans="1:11" ht="20" customHeight="1" thickBot="1">
      <c r="A14" s="194">
        <v>2003</v>
      </c>
      <c r="B14" s="195">
        <v>1165.5985248499421</v>
      </c>
      <c r="C14" s="197">
        <v>-9.6748969749944191E-3</v>
      </c>
      <c r="D14" s="195">
        <v>4231.4747261964076</v>
      </c>
      <c r="E14" s="197">
        <v>5.9949008168656705E-2</v>
      </c>
      <c r="F14" s="195">
        <v>1008.669965</v>
      </c>
      <c r="G14" s="197">
        <v>8.652675761576116E-2</v>
      </c>
    </row>
    <row r="15" spans="1:11" ht="20" customHeight="1" thickBot="1">
      <c r="A15" s="194">
        <v>2004</v>
      </c>
      <c r="B15" s="195">
        <v>1233.4256947047143</v>
      </c>
      <c r="C15" s="197">
        <v>5.8190850802169757E-2</v>
      </c>
      <c r="D15" s="195">
        <v>4554.5751523643485</v>
      </c>
      <c r="E15" s="197">
        <v>7.6356458935622609E-2</v>
      </c>
      <c r="F15" s="195">
        <v>1102.909758</v>
      </c>
      <c r="G15" s="197">
        <v>9.3429760248685462E-2</v>
      </c>
    </row>
    <row r="16" spans="1:11" ht="20" customHeight="1" thickBot="1">
      <c r="A16" s="194">
        <v>2005</v>
      </c>
      <c r="B16" s="195">
        <v>1249.2878390447622</v>
      </c>
      <c r="C16" s="197">
        <v>1.286023504143507E-2</v>
      </c>
      <c r="D16" s="195">
        <v>4844.6728040822618</v>
      </c>
      <c r="E16" s="197">
        <v>6.3693679874251119E-2</v>
      </c>
      <c r="F16" s="195">
        <v>1201.552809</v>
      </c>
      <c r="G16" s="197">
        <v>8.9438914004059442E-2</v>
      </c>
    </row>
    <row r="17" spans="1:7" ht="20" customHeight="1" thickBot="1">
      <c r="A17" s="194">
        <v>2006</v>
      </c>
      <c r="B17" s="195">
        <v>1280.5357003449858</v>
      </c>
      <c r="C17" s="197">
        <v>2.5012539403342388E-2</v>
      </c>
      <c r="D17" s="195">
        <v>4994.7882609152675</v>
      </c>
      <c r="E17" s="197">
        <v>3.0985674967876901E-2</v>
      </c>
      <c r="F17" s="195">
        <v>1236.2073047456083</v>
      </c>
      <c r="G17" s="197">
        <v>2.884142543385149E-2</v>
      </c>
    </row>
    <row r="18" spans="1:7" ht="20" customHeight="1" thickBot="1">
      <c r="A18" s="194">
        <v>2007</v>
      </c>
      <c r="B18" s="195">
        <v>1328.2484532036312</v>
      </c>
      <c r="C18" s="197">
        <v>3.7259994270984614E-2</v>
      </c>
      <c r="D18" s="195">
        <v>5286.2111265764588</v>
      </c>
      <c r="E18" s="197">
        <v>5.8345389321426341E-2</v>
      </c>
      <c r="F18" s="195">
        <v>1323.229456</v>
      </c>
      <c r="G18" s="197">
        <v>7.0394464520899647E-2</v>
      </c>
    </row>
    <row r="19" spans="1:7" ht="20" customHeight="1" thickBot="1">
      <c r="A19" s="194">
        <v>2008</v>
      </c>
      <c r="B19" s="195">
        <v>1413.6658153593723</v>
      </c>
      <c r="C19" s="197">
        <v>6.4308271505772119E-2</v>
      </c>
      <c r="D19" s="195">
        <v>5584.9685713290592</v>
      </c>
      <c r="E19" s="197">
        <v>5.6516366372617144E-2</v>
      </c>
      <c r="F19" s="195">
        <v>1444.5191400000001</v>
      </c>
      <c r="G19" s="197">
        <v>9.1661868204360841E-2</v>
      </c>
    </row>
    <row r="20" spans="1:7" ht="20" customHeight="1" thickBot="1">
      <c r="A20" s="194">
        <v>2009</v>
      </c>
      <c r="B20" s="195">
        <v>1466.6020914374751</v>
      </c>
      <c r="C20" s="197">
        <v>3.744610324657649E-2</v>
      </c>
      <c r="D20" s="195">
        <v>5832.6763857591932</v>
      </c>
      <c r="E20" s="197">
        <v>4.4352588786580549E-2</v>
      </c>
      <c r="F20" s="195">
        <v>1561.012176</v>
      </c>
      <c r="G20" s="197">
        <v>8.0644854591542359E-2</v>
      </c>
    </row>
    <row r="21" spans="1:7" ht="20" customHeight="1" thickBot="1">
      <c r="A21" s="1245">
        <v>2010</v>
      </c>
      <c r="B21" s="195">
        <v>1484.1461971649883</v>
      </c>
      <c r="C21" s="197">
        <v>1.1962416956815769E-2</v>
      </c>
      <c r="D21" s="195">
        <v>5995.9585199097392</v>
      </c>
      <c r="E21" s="197">
        <v>2.7994375712187436E-2</v>
      </c>
      <c r="F21" s="195">
        <v>1545.7138600000001</v>
      </c>
      <c r="G21" s="197">
        <v>-9.8002541140972399E-3</v>
      </c>
    </row>
    <row r="22" spans="1:7" ht="24" customHeight="1" thickBot="1">
      <c r="A22" s="499">
        <v>2011</v>
      </c>
      <c r="B22" s="1256">
        <v>1497.262430776653</v>
      </c>
      <c r="C22" s="1257">
        <v>8.8375617150919794E-3</v>
      </c>
      <c r="D22" s="1256">
        <v>6104.6428431117456</v>
      </c>
      <c r="E22" s="1257">
        <v>1.8126263355744854E-2</v>
      </c>
      <c r="F22" s="108">
        <v>1497.322009</v>
      </c>
      <c r="G22" s="109">
        <v>-3.1307121099373503E-2</v>
      </c>
    </row>
    <row r="23" spans="1:7" ht="15.5" customHeight="1">
      <c r="A23" s="112" t="s">
        <v>1829</v>
      </c>
      <c r="B23" s="112"/>
      <c r="C23" s="112"/>
      <c r="D23" s="112"/>
      <c r="E23" s="112"/>
      <c r="F23" s="112"/>
      <c r="G23" s="112"/>
    </row>
    <row r="24" spans="1:7">
      <c r="A24" s="115"/>
      <c r="B24" s="115"/>
      <c r="C24" s="115"/>
      <c r="D24" s="115"/>
      <c r="E24" s="115"/>
      <c r="F24" s="115"/>
      <c r="G24" s="115"/>
    </row>
    <row r="25" spans="1:7">
      <c r="A25" s="115" t="s">
        <v>1768</v>
      </c>
      <c r="B25" s="115"/>
      <c r="C25" s="115"/>
      <c r="D25" s="115"/>
      <c r="E25" s="115"/>
      <c r="F25" s="115"/>
      <c r="G25" s="115"/>
    </row>
    <row r="26" spans="1:7">
      <c r="A26" s="115"/>
      <c r="B26" s="115"/>
      <c r="C26" s="115"/>
      <c r="D26" s="115"/>
      <c r="E26" s="115"/>
      <c r="F26" s="115"/>
      <c r="G26" s="115"/>
    </row>
    <row r="27" spans="1:7">
      <c r="A27" s="115" t="s">
        <v>1779</v>
      </c>
    </row>
    <row r="28" spans="1:7">
      <c r="A28" s="609" t="s">
        <v>1780</v>
      </c>
    </row>
    <row r="29" spans="1:7">
      <c r="A29" s="609" t="s">
        <v>1781</v>
      </c>
    </row>
    <row r="32" spans="1:7">
      <c r="A32" s="115" t="s">
        <v>719</v>
      </c>
    </row>
  </sheetData>
  <pageMargins left="0.52" right="0.6692913385826772" top="0.9055118110236221" bottom="0.47244094488188981" header="0.51181102362204722" footer="0.51181102362204722"/>
  <pageSetup paperSize="9" scale="80" orientation="portrait" horizontalDpi="1200" verticalDpi="12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6F45-AB8E-AE40-825C-D66057F63F69}">
  <sheetPr>
    <pageSetUpPr fitToPage="1"/>
  </sheetPr>
  <dimension ref="A1:J35"/>
  <sheetViews>
    <sheetView zoomScaleNormal="100" workbookViewId="0">
      <selection activeCell="E15" sqref="E15"/>
    </sheetView>
  </sheetViews>
  <sheetFormatPr baseColWidth="10" defaultColWidth="11.3984375" defaultRowHeight="13"/>
  <cols>
    <col min="1" max="1" width="14.796875" style="3" customWidth="1"/>
    <col min="2" max="2" width="16.59765625" style="118" customWidth="1"/>
    <col min="3" max="3" width="16.3984375" style="396" customWidth="1"/>
    <col min="4" max="4" width="16.19921875" style="118" customWidth="1"/>
    <col min="5" max="5" width="16.19921875" style="396" customWidth="1"/>
    <col min="6" max="6" width="16.3984375" style="118" customWidth="1"/>
    <col min="7" max="7" width="16.19921875" style="396" customWidth="1"/>
    <col min="8" max="8" width="7.59765625" style="3" customWidth="1"/>
    <col min="9" max="9" width="6.3984375" style="3" customWidth="1"/>
    <col min="10" max="10" width="8.59765625" style="3" customWidth="1"/>
    <col min="11" max="16384" width="11.3984375" style="3"/>
  </cols>
  <sheetData>
    <row r="1" spans="1:10" s="2" customFormat="1" ht="18.75" customHeight="1">
      <c r="A1" s="86"/>
      <c r="B1" s="87"/>
      <c r="C1" s="1069"/>
      <c r="D1" s="1070"/>
      <c r="E1" s="1069"/>
      <c r="F1" s="1070"/>
      <c r="G1" s="1069"/>
    </row>
    <row r="2" spans="1:10" s="2" customFormat="1" ht="40.5" customHeight="1">
      <c r="A2" s="1868" t="s">
        <v>1782</v>
      </c>
      <c r="B2" s="1847"/>
      <c r="C2" s="1847"/>
      <c r="D2" s="1847"/>
      <c r="E2" s="1847"/>
      <c r="F2" s="1847"/>
      <c r="G2" s="515">
        <v>2011</v>
      </c>
    </row>
    <row r="3" spans="1:10" ht="27" customHeight="1">
      <c r="A3" s="92" t="s">
        <v>275</v>
      </c>
      <c r="B3" s="93" t="s">
        <v>276</v>
      </c>
      <c r="C3" s="183" t="s">
        <v>1783</v>
      </c>
      <c r="D3" s="93" t="s">
        <v>277</v>
      </c>
      <c r="E3" s="183" t="s">
        <v>1783</v>
      </c>
      <c r="F3" s="93" t="s">
        <v>701</v>
      </c>
      <c r="G3" s="183" t="s">
        <v>1783</v>
      </c>
    </row>
    <row r="4" spans="1:10" ht="15" customHeight="1">
      <c r="A4" s="95"/>
      <c r="B4" s="96"/>
      <c r="C4" s="186" t="s">
        <v>1784</v>
      </c>
      <c r="D4" s="96"/>
      <c r="E4" s="186" t="s">
        <v>1784</v>
      </c>
      <c r="F4" s="96" t="s">
        <v>702</v>
      </c>
      <c r="G4" s="186" t="s">
        <v>1784</v>
      </c>
    </row>
    <row r="5" spans="1:10" ht="15" customHeight="1">
      <c r="A5" s="95"/>
      <c r="B5" s="96"/>
      <c r="C5" s="186" t="s">
        <v>283</v>
      </c>
      <c r="D5" s="96"/>
      <c r="E5" s="186" t="s">
        <v>283</v>
      </c>
      <c r="F5" s="96"/>
      <c r="G5" s="186" t="s">
        <v>283</v>
      </c>
    </row>
    <row r="6" spans="1:10" ht="23" customHeight="1">
      <c r="A6" s="97"/>
      <c r="B6" s="98"/>
      <c r="C6" s="190"/>
      <c r="D6" s="98"/>
      <c r="E6" s="190"/>
      <c r="F6" s="98"/>
      <c r="G6" s="190"/>
    </row>
    <row r="7" spans="1:10" ht="30" customHeight="1" thickBot="1">
      <c r="A7" s="99" t="s">
        <v>1785</v>
      </c>
      <c r="B7" s="100">
        <v>0</v>
      </c>
      <c r="C7" s="248" t="s">
        <v>30</v>
      </c>
      <c r="D7" s="100">
        <v>0</v>
      </c>
      <c r="E7" s="248" t="s">
        <v>30</v>
      </c>
      <c r="F7" s="100">
        <v>0</v>
      </c>
      <c r="G7" s="248" t="s">
        <v>30</v>
      </c>
      <c r="H7" s="1071"/>
      <c r="I7" s="1071"/>
      <c r="J7" s="1071"/>
    </row>
    <row r="8" spans="1:10" ht="20" customHeight="1" thickBot="1">
      <c r="A8" s="103" t="s">
        <v>1786</v>
      </c>
      <c r="B8" s="1072">
        <v>-203.82666269353004</v>
      </c>
      <c r="C8" s="1073">
        <v>-1.146925359234757</v>
      </c>
      <c r="D8" s="93">
        <v>-159.67081783165389</v>
      </c>
      <c r="E8" s="1073">
        <v>-2.6499470012334996</v>
      </c>
      <c r="F8" s="93">
        <v>-181.70153410588452</v>
      </c>
      <c r="G8" s="1073">
        <v>-1.9263263777840791</v>
      </c>
      <c r="H8" s="1071"/>
      <c r="I8" s="1071"/>
      <c r="J8" s="1071"/>
    </row>
    <row r="9" spans="1:10" ht="20" customHeight="1" thickBot="1">
      <c r="A9" s="103" t="s">
        <v>1787</v>
      </c>
      <c r="B9" s="1074">
        <v>-198.8194450419164</v>
      </c>
      <c r="C9" s="1075">
        <v>-0.28300280079659501</v>
      </c>
      <c r="D9" s="1074">
        <v>-109.32717985294974</v>
      </c>
      <c r="E9" s="1075">
        <v>-0.36327730446873829</v>
      </c>
      <c r="F9" s="1074">
        <v>-154.39871321093682</v>
      </c>
      <c r="G9" s="1075">
        <v>-0.31645487790598281</v>
      </c>
      <c r="H9" s="1071"/>
      <c r="I9" s="1071"/>
      <c r="J9" s="1071"/>
    </row>
    <row r="10" spans="1:10" ht="20" customHeight="1" thickBot="1">
      <c r="A10" s="103" t="s">
        <v>1788</v>
      </c>
      <c r="B10" s="1074">
        <v>-188.91554903039912</v>
      </c>
      <c r="C10" s="1075">
        <v>-2.7474117796195401</v>
      </c>
      <c r="D10" s="1074">
        <v>-77.5733144609259</v>
      </c>
      <c r="E10" s="1075">
        <v>0.38098277645383405</v>
      </c>
      <c r="F10" s="1074">
        <v>-133.48351271654704</v>
      </c>
      <c r="G10" s="1075">
        <v>-1.3659776920725335</v>
      </c>
      <c r="H10" s="1071"/>
      <c r="I10" s="1071"/>
      <c r="J10" s="1071"/>
    </row>
    <row r="11" spans="1:10" ht="20" customHeight="1" thickBot="1">
      <c r="A11" s="103" t="s">
        <v>1789</v>
      </c>
      <c r="B11" s="1074">
        <v>-169.58152770740983</v>
      </c>
      <c r="C11" s="1075">
        <v>-1.943980365347528</v>
      </c>
      <c r="D11" s="1074">
        <v>-85.585546092387091</v>
      </c>
      <c r="E11" s="1075">
        <v>1.6755910753279295</v>
      </c>
      <c r="F11" s="1074">
        <v>-127.79415706191008</v>
      </c>
      <c r="G11" s="1075">
        <v>-0.18842282963635171</v>
      </c>
      <c r="H11" s="1071"/>
      <c r="I11" s="1071"/>
      <c r="J11" s="1071"/>
    </row>
    <row r="12" spans="1:10" ht="20" customHeight="1" thickBot="1">
      <c r="A12" s="103" t="s">
        <v>1790</v>
      </c>
      <c r="B12" s="1074">
        <v>-149.29095127773945</v>
      </c>
      <c r="C12" s="1075">
        <v>-2.6729873656713039</v>
      </c>
      <c r="D12" s="1074">
        <v>-93.974057942594186</v>
      </c>
      <c r="E12" s="1075">
        <v>-0.90408679660049529</v>
      </c>
      <c r="F12" s="1074">
        <v>-121.80743689182263</v>
      </c>
      <c r="G12" s="1075">
        <v>-1.7638596111151799</v>
      </c>
      <c r="H12" s="1071"/>
      <c r="I12" s="1071"/>
      <c r="J12" s="1071"/>
    </row>
    <row r="13" spans="1:10" ht="20" customHeight="1" thickBot="1">
      <c r="A13" s="103" t="s">
        <v>1791</v>
      </c>
      <c r="B13" s="1074">
        <v>-119.74124094316366</v>
      </c>
      <c r="C13" s="1075">
        <v>-1.854134088758201</v>
      </c>
      <c r="D13" s="1074">
        <v>-68.66064324029719</v>
      </c>
      <c r="E13" s="1075">
        <v>-0.36690596229880157</v>
      </c>
      <c r="F13" s="1074">
        <v>-94.587025374558209</v>
      </c>
      <c r="G13" s="1075">
        <v>-1.1726688264401162</v>
      </c>
      <c r="H13" s="1071"/>
      <c r="I13" s="1071"/>
      <c r="J13" s="1071"/>
    </row>
    <row r="14" spans="1:10" ht="20" customHeight="1" thickBot="1">
      <c r="A14" s="103" t="s">
        <v>1792</v>
      </c>
      <c r="B14" s="1074">
        <v>-75.196935135505157</v>
      </c>
      <c r="C14" s="1075">
        <v>-1.8454492723314218</v>
      </c>
      <c r="D14" s="1074">
        <v>-32.030481176626353</v>
      </c>
      <c r="E14" s="1075">
        <v>-3.2392260950970808</v>
      </c>
      <c r="F14" s="1074">
        <v>-53.91633967395309</v>
      </c>
      <c r="G14" s="1075">
        <v>-2.5412567782278117</v>
      </c>
      <c r="H14" s="1071"/>
      <c r="I14" s="1071"/>
      <c r="J14" s="1071"/>
    </row>
    <row r="15" spans="1:10" ht="20" customHeight="1" thickBot="1">
      <c r="A15" s="103" t="s">
        <v>1793</v>
      </c>
      <c r="B15" s="1074">
        <v>-11.934229127250291</v>
      </c>
      <c r="C15" s="1075">
        <v>-0.4987091518692921</v>
      </c>
      <c r="D15" s="1074">
        <v>7.9057884666079872</v>
      </c>
      <c r="E15" s="1075">
        <v>-3.8084882388605479</v>
      </c>
      <c r="F15" s="1074">
        <v>-2.0227996287539076</v>
      </c>
      <c r="G15" s="1075">
        <v>-2.1734813212074569</v>
      </c>
      <c r="H15" s="1071"/>
      <c r="I15" s="1071"/>
      <c r="J15" s="1071"/>
    </row>
    <row r="16" spans="1:10" ht="20" customHeight="1" thickBot="1">
      <c r="A16" s="103" t="s">
        <v>1794</v>
      </c>
      <c r="B16" s="1074">
        <v>65.925843333856676</v>
      </c>
      <c r="C16" s="1075">
        <v>-2.8360048252465049</v>
      </c>
      <c r="D16" s="1074">
        <v>65.405513395067146</v>
      </c>
      <c r="E16" s="1075">
        <v>-1.3818749833934589</v>
      </c>
      <c r="F16" s="1074">
        <v>65.66192409342149</v>
      </c>
      <c r="G16" s="1075">
        <v>-2.0991662781497524</v>
      </c>
      <c r="H16" s="1071"/>
      <c r="I16" s="1071"/>
      <c r="J16" s="1071"/>
    </row>
    <row r="17" spans="1:10" ht="20" customHeight="1" thickBot="1">
      <c r="A17" s="103" t="s">
        <v>1795</v>
      </c>
      <c r="B17" s="1074">
        <v>162.98828693233497</v>
      </c>
      <c r="C17" s="1075">
        <v>-0.26603505504351688</v>
      </c>
      <c r="D17" s="1074">
        <v>148.13789744437651</v>
      </c>
      <c r="E17" s="1075">
        <v>4.2859607439013985</v>
      </c>
      <c r="F17" s="1074">
        <v>155.29326205811799</v>
      </c>
      <c r="G17" s="1075">
        <v>2.1542882743617611</v>
      </c>
      <c r="H17" s="1071"/>
      <c r="I17" s="1071"/>
      <c r="J17" s="1071"/>
    </row>
    <row r="18" spans="1:10" ht="20" customHeight="1" thickBot="1">
      <c r="A18" s="103" t="s">
        <v>1796</v>
      </c>
      <c r="B18" s="1074">
        <v>275.34200187451995</v>
      </c>
      <c r="C18" s="1075">
        <v>4.5240817084983291</v>
      </c>
      <c r="D18" s="1074">
        <v>244.00893901835695</v>
      </c>
      <c r="E18" s="1075">
        <v>-1.0070054746408346</v>
      </c>
      <c r="F18" s="1074">
        <v>258.31730062901454</v>
      </c>
      <c r="G18" s="1075">
        <v>1.5516949752154687</v>
      </c>
      <c r="H18" s="1071"/>
      <c r="I18" s="1071"/>
      <c r="J18" s="1071"/>
    </row>
    <row r="19" spans="1:10" ht="20" customHeight="1" thickBot="1">
      <c r="A19" s="103" t="s">
        <v>1797</v>
      </c>
      <c r="B19" s="1074">
        <v>404.28841072644877</v>
      </c>
      <c r="C19" s="1075">
        <v>-1.1461271629401608</v>
      </c>
      <c r="D19" s="1074">
        <v>375.5257823904152</v>
      </c>
      <c r="E19" s="1075">
        <v>1.8794999657018252</v>
      </c>
      <c r="F19" s="1074">
        <v>387.86402099408349</v>
      </c>
      <c r="G19" s="1075">
        <v>0.7131714562786442</v>
      </c>
      <c r="H19" s="1071"/>
      <c r="I19" s="1071"/>
      <c r="J19" s="1071"/>
    </row>
    <row r="20" spans="1:10" ht="20" customHeight="1" thickBot="1">
      <c r="A20" s="103" t="s">
        <v>1798</v>
      </c>
      <c r="B20" s="100">
        <v>523.28618023466038</v>
      </c>
      <c r="C20" s="1076">
        <v>5.077205573552078</v>
      </c>
      <c r="D20" s="100">
        <v>546.63262311616506</v>
      </c>
      <c r="E20" s="1076">
        <v>-6.9841043915646424</v>
      </c>
      <c r="F20" s="100">
        <v>537.74638391559927</v>
      </c>
      <c r="G20" s="1076">
        <v>-2.5306490566817956</v>
      </c>
      <c r="H20" s="1071"/>
      <c r="I20" s="1071"/>
      <c r="J20" s="1071"/>
    </row>
    <row r="21" spans="1:10" ht="20" customHeight="1" thickBot="1">
      <c r="A21" s="103" t="s">
        <v>1799</v>
      </c>
      <c r="B21" s="195">
        <v>673.62224144867423</v>
      </c>
      <c r="C21" s="1077">
        <v>-10.536204661269835</v>
      </c>
      <c r="D21" s="410">
        <v>804.97515736933724</v>
      </c>
      <c r="E21" s="1077">
        <v>-8.6414623674646691</v>
      </c>
      <c r="F21" s="410">
        <v>762.02303407606928</v>
      </c>
      <c r="G21" s="1077">
        <v>-9.475623273004885</v>
      </c>
      <c r="H21" s="1071"/>
      <c r="I21" s="1071"/>
      <c r="J21" s="1071"/>
    </row>
    <row r="22" spans="1:10" ht="23.5" customHeight="1" thickBot="1">
      <c r="A22" s="145" t="s">
        <v>1800</v>
      </c>
      <c r="B22" s="154">
        <v>937.49739748596926</v>
      </c>
      <c r="C22" s="1078">
        <v>-17.134439741991287</v>
      </c>
      <c r="D22" s="1079">
        <v>1213.8968079854706</v>
      </c>
      <c r="E22" s="1078">
        <v>-29.645578731564683</v>
      </c>
      <c r="F22" s="1079">
        <v>1140.9727932676885</v>
      </c>
      <c r="G22" s="1078">
        <v>-27.467639596444542</v>
      </c>
      <c r="H22" s="1071"/>
      <c r="I22" s="1071"/>
      <c r="J22" s="1071"/>
    </row>
    <row r="23" spans="1:10" ht="18.5" customHeight="1">
      <c r="A23" s="112" t="s">
        <v>1829</v>
      </c>
      <c r="B23" s="113"/>
      <c r="C23" s="528"/>
      <c r="D23" s="113"/>
      <c r="E23" s="528"/>
      <c r="F23" s="113"/>
      <c r="G23" s="528"/>
    </row>
    <row r="24" spans="1:10" ht="11.25" customHeight="1">
      <c r="A24" s="115"/>
      <c r="B24" s="116"/>
      <c r="C24" s="516"/>
      <c r="D24" s="116"/>
      <c r="E24" s="516"/>
      <c r="F24" s="116"/>
      <c r="G24" s="516"/>
    </row>
    <row r="25" spans="1:10" ht="15.75" customHeight="1">
      <c r="A25" s="115" t="s">
        <v>1768</v>
      </c>
      <c r="B25" s="116"/>
      <c r="C25" s="516"/>
      <c r="D25" s="116"/>
      <c r="E25" s="516"/>
      <c r="F25" s="116"/>
      <c r="G25" s="516"/>
    </row>
    <row r="26" spans="1:10">
      <c r="A26" s="1080"/>
      <c r="B26" s="116"/>
      <c r="C26" s="516"/>
      <c r="D26" s="116"/>
      <c r="E26" s="516"/>
      <c r="F26" s="116"/>
      <c r="G26" s="516"/>
    </row>
    <row r="27" spans="1:10">
      <c r="A27" s="1080" t="s">
        <v>1801</v>
      </c>
      <c r="B27" s="116"/>
      <c r="C27" s="516"/>
      <c r="D27" s="116"/>
      <c r="E27" s="516"/>
      <c r="F27" s="116"/>
      <c r="G27" s="516"/>
    </row>
    <row r="28" spans="1:10">
      <c r="A28" s="1080" t="s">
        <v>1802</v>
      </c>
      <c r="B28" s="116"/>
      <c r="C28" s="516"/>
      <c r="D28" s="116"/>
      <c r="E28" s="516"/>
      <c r="F28" s="116"/>
      <c r="G28" s="516"/>
    </row>
    <row r="29" spans="1:10">
      <c r="A29" s="1080" t="s">
        <v>1803</v>
      </c>
      <c r="B29" s="116"/>
      <c r="C29" s="516"/>
      <c r="D29" s="116"/>
      <c r="E29" s="516"/>
      <c r="F29" s="116"/>
      <c r="G29" s="516"/>
    </row>
    <row r="30" spans="1:10">
      <c r="A30" s="1080" t="s">
        <v>1804</v>
      </c>
      <c r="B30" s="116"/>
      <c r="C30" s="516"/>
      <c r="D30" s="116"/>
      <c r="E30" s="516"/>
      <c r="F30" s="116"/>
      <c r="G30" s="516"/>
    </row>
    <row r="31" spans="1:10">
      <c r="A31" s="1080" t="s">
        <v>1805</v>
      </c>
      <c r="B31" s="116"/>
      <c r="C31" s="516"/>
      <c r="D31" s="116"/>
      <c r="E31" s="516"/>
      <c r="F31" s="116"/>
      <c r="G31" s="516"/>
    </row>
    <row r="32" spans="1:10">
      <c r="A32" s="1080" t="s">
        <v>1806</v>
      </c>
      <c r="B32" s="116"/>
      <c r="C32" s="516"/>
      <c r="D32" s="116"/>
      <c r="E32" s="516"/>
      <c r="F32" s="116"/>
      <c r="G32" s="516"/>
    </row>
    <row r="33" spans="1:7">
      <c r="A33" s="1080"/>
      <c r="B33" s="116"/>
      <c r="C33" s="516"/>
      <c r="D33" s="116"/>
      <c r="E33" s="516"/>
      <c r="F33" s="116"/>
      <c r="G33" s="516"/>
    </row>
    <row r="34" spans="1:7">
      <c r="A34" s="1080"/>
      <c r="B34" s="116"/>
      <c r="C34" s="516"/>
      <c r="D34" s="116"/>
      <c r="E34" s="516"/>
      <c r="F34" s="116"/>
      <c r="G34" s="516"/>
    </row>
    <row r="35" spans="1:7">
      <c r="A35" s="115" t="s">
        <v>719</v>
      </c>
    </row>
  </sheetData>
  <mergeCells count="1">
    <mergeCell ref="A2:F2"/>
  </mergeCells>
  <pageMargins left="0.47244094488188981" right="0.32" top="0.74803149606299213" bottom="0.86614173228346458" header="0.39370078740157483" footer="0.51181102362204722"/>
  <pageSetup paperSize="9" scale="80" orientation="portrait" horizontalDpi="1200" verticalDpi="12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1C139-B374-F541-AF2B-836EF2FDF148}">
  <sheetPr>
    <pageSetUpPr fitToPage="1"/>
  </sheetPr>
  <dimension ref="A1:H55"/>
  <sheetViews>
    <sheetView topLeftCell="A4" zoomScaleNormal="100" workbookViewId="0">
      <selection activeCell="A3" sqref="A3"/>
    </sheetView>
  </sheetViews>
  <sheetFormatPr baseColWidth="10" defaultColWidth="11.3984375" defaultRowHeight="13"/>
  <cols>
    <col min="1" max="5" width="14.796875" style="3" customWidth="1"/>
    <col min="6" max="6" width="15.59765625" style="3" customWidth="1"/>
    <col min="7" max="7" width="15" style="44" customWidth="1"/>
    <col min="8" max="8" width="12.19921875" style="3" customWidth="1"/>
    <col min="9" max="16384" width="11.3984375" style="3"/>
  </cols>
  <sheetData>
    <row r="1" spans="1:8" s="2" customFormat="1" ht="14" customHeight="1">
      <c r="G1" s="497"/>
    </row>
    <row r="2" spans="1:8" s="2" customFormat="1" ht="46.25" customHeight="1">
      <c r="A2" s="1843" t="s">
        <v>1807</v>
      </c>
      <c r="B2" s="1844"/>
      <c r="C2" s="1844"/>
      <c r="D2" s="1844"/>
      <c r="E2" s="1844"/>
      <c r="F2" s="1844"/>
      <c r="G2" s="180">
        <v>2011</v>
      </c>
    </row>
    <row r="3" spans="1:8" ht="27" customHeight="1">
      <c r="A3" s="92" t="s">
        <v>191</v>
      </c>
      <c r="B3" s="182" t="s">
        <v>349</v>
      </c>
      <c r="C3" s="183" t="s">
        <v>346</v>
      </c>
      <c r="D3" s="182" t="s">
        <v>347</v>
      </c>
      <c r="E3" s="183" t="s">
        <v>278</v>
      </c>
      <c r="F3" s="182" t="s">
        <v>278</v>
      </c>
      <c r="G3" s="1081" t="s">
        <v>648</v>
      </c>
    </row>
    <row r="4" spans="1:8" ht="15" customHeight="1">
      <c r="A4" s="95"/>
      <c r="B4" s="185"/>
      <c r="C4" s="95"/>
      <c r="D4" s="211"/>
      <c r="E4" s="186" t="s">
        <v>348</v>
      </c>
      <c r="F4" s="185" t="s">
        <v>1808</v>
      </c>
      <c r="G4" s="1012" t="s">
        <v>349</v>
      </c>
    </row>
    <row r="5" spans="1:8" ht="15" customHeight="1">
      <c r="A5" s="95"/>
      <c r="B5" s="185"/>
      <c r="C5" s="95"/>
      <c r="D5" s="211"/>
      <c r="E5" s="186"/>
      <c r="F5" s="185" t="s">
        <v>348</v>
      </c>
      <c r="G5" s="1012" t="s">
        <v>1679</v>
      </c>
    </row>
    <row r="6" spans="1:8" ht="24" customHeight="1">
      <c r="A6" s="97"/>
      <c r="B6" s="213"/>
      <c r="C6" s="97"/>
      <c r="D6" s="213"/>
      <c r="E6" s="190"/>
      <c r="F6" s="189"/>
      <c r="G6" s="1082"/>
      <c r="H6" s="305"/>
    </row>
    <row r="7" spans="1:8" ht="30" customHeight="1" thickBot="1">
      <c r="A7" s="99" t="s">
        <v>362</v>
      </c>
      <c r="B7" s="215">
        <v>250336</v>
      </c>
      <c r="C7" s="216">
        <v>546798</v>
      </c>
      <c r="D7" s="215">
        <v>572311</v>
      </c>
      <c r="E7" s="216">
        <v>1119110</v>
      </c>
      <c r="F7" s="215">
        <v>1369446</v>
      </c>
      <c r="G7" s="1083">
        <v>128532</v>
      </c>
      <c r="H7" s="306"/>
    </row>
    <row r="8" spans="1:8" ht="20" customHeight="1" thickBot="1">
      <c r="A8" s="103" t="s">
        <v>363</v>
      </c>
      <c r="B8" s="215">
        <v>176161</v>
      </c>
      <c r="C8" s="216">
        <v>384205</v>
      </c>
      <c r="D8" s="215">
        <v>415757</v>
      </c>
      <c r="E8" s="216">
        <v>799961</v>
      </c>
      <c r="F8" s="215">
        <v>976122</v>
      </c>
      <c r="G8" s="1083">
        <v>90042</v>
      </c>
      <c r="H8" s="306"/>
    </row>
    <row r="9" spans="1:8" ht="20" customHeight="1" thickBot="1">
      <c r="A9" s="103" t="s">
        <v>364</v>
      </c>
      <c r="B9" s="215">
        <v>75109</v>
      </c>
      <c r="C9" s="216">
        <v>148895</v>
      </c>
      <c r="D9" s="215">
        <v>155217</v>
      </c>
      <c r="E9" s="216">
        <v>304112</v>
      </c>
      <c r="F9" s="215">
        <v>379221</v>
      </c>
      <c r="G9" s="1083">
        <v>38510</v>
      </c>
      <c r="H9" s="306"/>
    </row>
    <row r="10" spans="1:8" ht="20" customHeight="1" thickBot="1">
      <c r="A10" s="103" t="s">
        <v>365</v>
      </c>
      <c r="B10" s="215">
        <v>6998</v>
      </c>
      <c r="C10" s="216">
        <v>14160</v>
      </c>
      <c r="D10" s="215">
        <v>14214</v>
      </c>
      <c r="E10" s="216">
        <v>28375</v>
      </c>
      <c r="F10" s="215">
        <v>35373</v>
      </c>
      <c r="G10" s="1083">
        <v>3622</v>
      </c>
      <c r="H10" s="306"/>
    </row>
    <row r="11" spans="1:8" ht="20" customHeight="1" thickBot="1">
      <c r="A11" s="103" t="s">
        <v>366</v>
      </c>
      <c r="B11" s="215">
        <v>28829</v>
      </c>
      <c r="C11" s="216">
        <v>59939</v>
      </c>
      <c r="D11" s="215">
        <v>57999</v>
      </c>
      <c r="E11" s="216">
        <v>117939</v>
      </c>
      <c r="F11" s="215">
        <v>146768</v>
      </c>
      <c r="G11" s="1083">
        <v>14737</v>
      </c>
      <c r="H11" s="306"/>
    </row>
    <row r="12" spans="1:8" ht="20" customHeight="1" thickBot="1">
      <c r="A12" s="103" t="s">
        <v>367</v>
      </c>
      <c r="B12" s="215">
        <v>7185</v>
      </c>
      <c r="C12" s="216">
        <v>14474</v>
      </c>
      <c r="D12" s="215">
        <v>14317</v>
      </c>
      <c r="E12" s="216">
        <v>28790</v>
      </c>
      <c r="F12" s="215">
        <v>35975</v>
      </c>
      <c r="G12" s="1083">
        <v>3652</v>
      </c>
      <c r="H12" s="306"/>
    </row>
    <row r="13" spans="1:8" ht="20" customHeight="1" thickBot="1">
      <c r="A13" s="103" t="s">
        <v>368</v>
      </c>
      <c r="B13" s="215">
        <v>7434</v>
      </c>
      <c r="C13" s="216">
        <v>16729</v>
      </c>
      <c r="D13" s="215">
        <v>16520</v>
      </c>
      <c r="E13" s="216">
        <v>33248</v>
      </c>
      <c r="F13" s="215">
        <v>40682</v>
      </c>
      <c r="G13" s="1083">
        <v>3843</v>
      </c>
      <c r="H13" s="306"/>
    </row>
    <row r="14" spans="1:8" ht="20" customHeight="1" thickBot="1">
      <c r="A14" s="103" t="s">
        <v>369</v>
      </c>
      <c r="B14" s="215">
        <v>7220</v>
      </c>
      <c r="C14" s="216">
        <v>15832</v>
      </c>
      <c r="D14" s="215">
        <v>15900</v>
      </c>
      <c r="E14" s="216">
        <v>31732</v>
      </c>
      <c r="F14" s="215">
        <v>38952</v>
      </c>
      <c r="G14" s="1083">
        <v>3728</v>
      </c>
      <c r="H14" s="306"/>
    </row>
    <row r="15" spans="1:8" ht="20" customHeight="1" thickBot="1">
      <c r="A15" s="103" t="s">
        <v>370</v>
      </c>
      <c r="B15" s="215">
        <v>21678</v>
      </c>
      <c r="C15" s="216">
        <v>45972</v>
      </c>
      <c r="D15" s="215">
        <v>45717</v>
      </c>
      <c r="E15" s="216">
        <v>91689</v>
      </c>
      <c r="F15" s="215">
        <v>113367</v>
      </c>
      <c r="G15" s="1083">
        <v>11070</v>
      </c>
      <c r="H15" s="306"/>
    </row>
    <row r="16" spans="1:8" ht="20" customHeight="1" thickBot="1">
      <c r="A16" s="103" t="s">
        <v>371</v>
      </c>
      <c r="B16" s="215">
        <v>61896</v>
      </c>
      <c r="C16" s="216">
        <v>107618</v>
      </c>
      <c r="D16" s="215">
        <v>110683</v>
      </c>
      <c r="E16" s="216">
        <v>218305</v>
      </c>
      <c r="F16" s="215">
        <v>280201</v>
      </c>
      <c r="G16" s="1083">
        <v>31629</v>
      </c>
      <c r="H16" s="306"/>
    </row>
    <row r="17" spans="1:8" ht="20" customHeight="1" thickBot="1">
      <c r="A17" s="103" t="s">
        <v>372</v>
      </c>
      <c r="B17" s="215">
        <v>46853</v>
      </c>
      <c r="C17" s="216">
        <v>102604</v>
      </c>
      <c r="D17" s="215">
        <v>106972</v>
      </c>
      <c r="E17" s="216">
        <v>209575</v>
      </c>
      <c r="F17" s="215">
        <v>256428</v>
      </c>
      <c r="G17" s="1083">
        <v>24062</v>
      </c>
      <c r="H17" s="306"/>
    </row>
    <row r="18" spans="1:8" ht="20" customHeight="1" thickBot="1">
      <c r="A18" s="103" t="s">
        <v>373</v>
      </c>
      <c r="B18" s="215">
        <v>28461</v>
      </c>
      <c r="C18" s="216">
        <v>75524</v>
      </c>
      <c r="D18" s="215">
        <v>82934</v>
      </c>
      <c r="E18" s="216">
        <v>158456</v>
      </c>
      <c r="F18" s="215">
        <v>186917</v>
      </c>
      <c r="G18" s="1083">
        <v>14615</v>
      </c>
      <c r="H18" s="306"/>
    </row>
    <row r="19" spans="1:8" ht="20" customHeight="1" thickBot="1">
      <c r="A19" s="103" t="s">
        <v>374</v>
      </c>
      <c r="B19" s="215">
        <v>48998</v>
      </c>
      <c r="C19" s="216">
        <v>108537</v>
      </c>
      <c r="D19" s="215">
        <v>115673</v>
      </c>
      <c r="E19" s="216">
        <v>224210</v>
      </c>
      <c r="F19" s="215">
        <v>273209</v>
      </c>
      <c r="G19" s="1083">
        <v>25093</v>
      </c>
      <c r="H19" s="306"/>
    </row>
    <row r="20" spans="1:8" ht="20" customHeight="1" thickBot="1">
      <c r="A20" s="103" t="s">
        <v>375</v>
      </c>
      <c r="B20" s="215">
        <v>13661</v>
      </c>
      <c r="C20" s="216">
        <v>31410</v>
      </c>
      <c r="D20" s="215">
        <v>32874</v>
      </c>
      <c r="E20" s="216">
        <v>64287</v>
      </c>
      <c r="F20" s="215">
        <v>77948</v>
      </c>
      <c r="G20" s="1083">
        <v>7080</v>
      </c>
      <c r="H20" s="306"/>
    </row>
    <row r="21" spans="1:8" ht="20" customHeight="1" thickBot="1">
      <c r="A21" s="103" t="s">
        <v>376</v>
      </c>
      <c r="B21" s="215">
        <v>10410</v>
      </c>
      <c r="C21" s="216">
        <v>21430</v>
      </c>
      <c r="D21" s="215">
        <v>21768</v>
      </c>
      <c r="E21" s="216">
        <v>43198</v>
      </c>
      <c r="F21" s="215">
        <v>53607</v>
      </c>
      <c r="G21" s="1083">
        <v>5462</v>
      </c>
      <c r="H21" s="306"/>
    </row>
    <row r="22" spans="1:8" ht="20" customHeight="1" thickBot="1">
      <c r="A22" s="103" t="s">
        <v>377</v>
      </c>
      <c r="B22" s="215">
        <v>3393</v>
      </c>
      <c r="C22" s="216">
        <v>6260</v>
      </c>
      <c r="D22" s="215">
        <v>6018</v>
      </c>
      <c r="E22" s="216">
        <v>12278</v>
      </c>
      <c r="F22" s="215">
        <v>15670</v>
      </c>
      <c r="G22" s="1083">
        <v>1747</v>
      </c>
      <c r="H22" s="306"/>
    </row>
    <row r="23" spans="1:8" ht="20" customHeight="1" thickBot="1">
      <c r="A23" s="103" t="s">
        <v>378</v>
      </c>
      <c r="B23" s="215">
        <v>95478</v>
      </c>
      <c r="C23" s="216">
        <v>189202</v>
      </c>
      <c r="D23" s="215">
        <v>195042</v>
      </c>
      <c r="E23" s="216">
        <v>384245</v>
      </c>
      <c r="F23" s="215">
        <v>479723</v>
      </c>
      <c r="G23" s="1083">
        <v>48655</v>
      </c>
      <c r="H23" s="306"/>
    </row>
    <row r="24" spans="1:8" ht="20" customHeight="1" thickBot="1">
      <c r="A24" s="103" t="s">
        <v>379</v>
      </c>
      <c r="B24" s="215">
        <v>33832</v>
      </c>
      <c r="C24" s="216">
        <v>80832</v>
      </c>
      <c r="D24" s="215">
        <v>81849</v>
      </c>
      <c r="E24" s="216">
        <v>162680</v>
      </c>
      <c r="F24" s="215">
        <v>196512</v>
      </c>
      <c r="G24" s="1083">
        <v>17297</v>
      </c>
      <c r="H24" s="306"/>
    </row>
    <row r="25" spans="1:8" ht="20" customHeight="1" thickBot="1">
      <c r="A25" s="103" t="s">
        <v>380</v>
      </c>
      <c r="B25" s="215">
        <v>118836</v>
      </c>
      <c r="C25" s="216">
        <v>247563</v>
      </c>
      <c r="D25" s="215">
        <v>251382</v>
      </c>
      <c r="E25" s="216">
        <v>498947</v>
      </c>
      <c r="F25" s="215">
        <v>617782</v>
      </c>
      <c r="G25" s="1083">
        <v>61270</v>
      </c>
      <c r="H25" s="306"/>
    </row>
    <row r="26" spans="1:8" ht="20" customHeight="1" thickBot="1">
      <c r="A26" s="103" t="s">
        <v>381</v>
      </c>
      <c r="B26" s="215">
        <v>49950</v>
      </c>
      <c r="C26" s="216">
        <v>100467</v>
      </c>
      <c r="D26" s="215">
        <v>100870</v>
      </c>
      <c r="E26" s="216">
        <v>201337</v>
      </c>
      <c r="F26" s="215">
        <v>251287</v>
      </c>
      <c r="G26" s="1083">
        <v>25691</v>
      </c>
      <c r="H26" s="306"/>
    </row>
    <row r="27" spans="1:8" ht="20" customHeight="1" thickBot="1">
      <c r="A27" s="103" t="s">
        <v>382</v>
      </c>
      <c r="B27" s="215">
        <v>58666</v>
      </c>
      <c r="C27" s="216">
        <v>130797</v>
      </c>
      <c r="D27" s="215">
        <v>143698</v>
      </c>
      <c r="E27" s="216">
        <v>274494</v>
      </c>
      <c r="F27" s="215">
        <v>333160</v>
      </c>
      <c r="G27" s="1083">
        <v>30030</v>
      </c>
      <c r="H27" s="306"/>
    </row>
    <row r="28" spans="1:8" ht="20" customHeight="1" thickBot="1">
      <c r="A28" s="103" t="s">
        <v>383</v>
      </c>
      <c r="B28" s="215">
        <v>146402</v>
      </c>
      <c r="C28" s="216">
        <v>265015</v>
      </c>
      <c r="D28" s="215">
        <v>288158</v>
      </c>
      <c r="E28" s="216">
        <v>553171</v>
      </c>
      <c r="F28" s="215">
        <v>699573</v>
      </c>
      <c r="G28" s="1083">
        <v>75095</v>
      </c>
      <c r="H28" s="306"/>
    </row>
    <row r="29" spans="1:8" ht="20" customHeight="1" thickBot="1">
      <c r="A29" s="103" t="s">
        <v>384</v>
      </c>
      <c r="B29" s="215">
        <v>60298</v>
      </c>
      <c r="C29" s="216">
        <v>126051</v>
      </c>
      <c r="D29" s="215">
        <v>130301</v>
      </c>
      <c r="E29" s="216">
        <v>256353</v>
      </c>
      <c r="F29" s="215">
        <v>316651</v>
      </c>
      <c r="G29" s="1083">
        <v>30902</v>
      </c>
      <c r="H29" s="306"/>
    </row>
    <row r="30" spans="1:8" ht="20" customHeight="1" thickBot="1">
      <c r="A30" s="103" t="s">
        <v>385</v>
      </c>
      <c r="B30" s="215">
        <v>35011</v>
      </c>
      <c r="C30" s="216">
        <v>65468</v>
      </c>
      <c r="D30" s="215">
        <v>71535</v>
      </c>
      <c r="E30" s="216">
        <v>137004</v>
      </c>
      <c r="F30" s="215">
        <v>172016</v>
      </c>
      <c r="G30" s="1083">
        <v>18013</v>
      </c>
      <c r="H30" s="306"/>
    </row>
    <row r="31" spans="1:8" ht="20" customHeight="1" thickBot="1">
      <c r="A31" s="103" t="s">
        <v>386</v>
      </c>
      <c r="B31" s="215">
        <v>88140</v>
      </c>
      <c r="C31" s="216">
        <v>158827</v>
      </c>
      <c r="D31" s="215">
        <v>176487</v>
      </c>
      <c r="E31" s="216">
        <v>335313</v>
      </c>
      <c r="F31" s="215">
        <v>423454</v>
      </c>
      <c r="G31" s="1083">
        <v>45107</v>
      </c>
      <c r="H31" s="306"/>
    </row>
    <row r="32" spans="1:8" ht="20" customHeight="1" thickBot="1">
      <c r="A32" s="145" t="s">
        <v>387</v>
      </c>
      <c r="B32" s="215">
        <v>14726</v>
      </c>
      <c r="C32" s="216">
        <v>27023</v>
      </c>
      <c r="D32" s="215">
        <v>28648</v>
      </c>
      <c r="E32" s="216">
        <v>55670</v>
      </c>
      <c r="F32" s="215">
        <v>70397</v>
      </c>
      <c r="G32" s="1083">
        <v>7635</v>
      </c>
      <c r="H32" s="306"/>
    </row>
    <row r="33" spans="1:8" ht="30" customHeight="1" thickBot="1">
      <c r="A33" s="107" t="s">
        <v>444</v>
      </c>
      <c r="B33" s="307">
        <v>1495961</v>
      </c>
      <c r="C33" s="308">
        <v>3091632</v>
      </c>
      <c r="D33" s="307">
        <v>3252844</v>
      </c>
      <c r="E33" s="308">
        <v>6344479</v>
      </c>
      <c r="F33" s="307">
        <v>7840441</v>
      </c>
      <c r="G33" s="170">
        <v>767119</v>
      </c>
      <c r="H33" s="306"/>
    </row>
    <row r="34" spans="1:8" ht="20" customHeight="1">
      <c r="A34" s="112" t="s">
        <v>1829</v>
      </c>
      <c r="B34" s="112"/>
      <c r="C34" s="112"/>
      <c r="D34" s="112"/>
      <c r="E34" s="112"/>
      <c r="F34" s="112"/>
      <c r="H34" s="305"/>
    </row>
    <row r="35" spans="1:8" ht="11.25" customHeight="1">
      <c r="A35" s="115"/>
      <c r="B35" s="115"/>
      <c r="C35" s="115"/>
      <c r="D35" s="115"/>
      <c r="E35" s="115"/>
      <c r="F35" s="115"/>
      <c r="H35" s="305"/>
    </row>
    <row r="36" spans="1:8" ht="14.25" customHeight="1">
      <c r="A36" s="115" t="s">
        <v>1768</v>
      </c>
      <c r="B36" s="115"/>
      <c r="C36" s="115"/>
      <c r="D36" s="115"/>
      <c r="E36" s="115"/>
      <c r="F36" s="115"/>
      <c r="H36" s="305"/>
    </row>
    <row r="37" spans="1:8" ht="13.5" customHeight="1">
      <c r="A37" s="115"/>
      <c r="B37" s="115"/>
      <c r="C37" s="115"/>
      <c r="D37" s="115"/>
      <c r="E37" s="115"/>
      <c r="F37" s="115"/>
      <c r="H37" s="305"/>
    </row>
    <row r="38" spans="1:8" ht="12" customHeight="1">
      <c r="A38" s="115" t="s">
        <v>1809</v>
      </c>
    </row>
    <row r="39" spans="1:8" ht="12.75" customHeight="1">
      <c r="A39" s="1084" t="s">
        <v>1810</v>
      </c>
      <c r="G39" s="3"/>
    </row>
    <row r="40" spans="1:8" ht="12" customHeight="1">
      <c r="A40" s="228" t="s">
        <v>1811</v>
      </c>
      <c r="G40" s="3"/>
    </row>
    <row r="41" spans="1:8" ht="12" customHeight="1">
      <c r="A41" s="115" t="s">
        <v>1812</v>
      </c>
      <c r="G41" s="3"/>
    </row>
    <row r="42" spans="1:8" ht="12" customHeight="1">
      <c r="A42" s="3" t="s">
        <v>1813</v>
      </c>
      <c r="G42" s="3"/>
    </row>
    <row r="43" spans="1:8" ht="12" customHeight="1">
      <c r="A43" s="3" t="s">
        <v>1814</v>
      </c>
      <c r="G43" s="3"/>
    </row>
    <row r="44" spans="1:8" ht="12" customHeight="1">
      <c r="A44" s="3" t="s">
        <v>1815</v>
      </c>
      <c r="G44" s="3"/>
    </row>
    <row r="45" spans="1:8" ht="12" customHeight="1">
      <c r="A45" s="3" t="s">
        <v>1816</v>
      </c>
      <c r="G45" s="3"/>
    </row>
    <row r="46" spans="1:8" ht="12" customHeight="1">
      <c r="A46" s="1085" t="s">
        <v>1817</v>
      </c>
      <c r="G46" s="3"/>
    </row>
    <row r="47" spans="1:8" ht="12" customHeight="1">
      <c r="A47" s="3" t="s">
        <v>1818</v>
      </c>
      <c r="G47" s="3"/>
    </row>
    <row r="48" spans="1:8" ht="12" customHeight="1">
      <c r="A48" s="1085" t="s">
        <v>1819</v>
      </c>
      <c r="G48" s="3"/>
    </row>
    <row r="49" spans="1:7" ht="12" customHeight="1">
      <c r="A49" s="1085" t="s">
        <v>1820</v>
      </c>
      <c r="G49" s="3"/>
    </row>
    <row r="50" spans="1:7" ht="12" customHeight="1">
      <c r="A50" s="1085" t="s">
        <v>1821</v>
      </c>
      <c r="G50" s="3"/>
    </row>
    <row r="51" spans="1:7" ht="12" customHeight="1">
      <c r="A51" s="1084" t="s">
        <v>1822</v>
      </c>
      <c r="G51" s="3"/>
    </row>
    <row r="52" spans="1:7" ht="12" customHeight="1">
      <c r="A52" s="1086" t="s">
        <v>1823</v>
      </c>
      <c r="G52" s="3"/>
    </row>
    <row r="53" spans="1:7" ht="12" customHeight="1"/>
    <row r="54" spans="1:7" ht="12" customHeight="1"/>
    <row r="55" spans="1:7" ht="12" customHeight="1">
      <c r="A55" s="115" t="s">
        <v>719</v>
      </c>
    </row>
  </sheetData>
  <mergeCells count="1">
    <mergeCell ref="A2:F2"/>
  </mergeCells>
  <pageMargins left="0.51181102362204722" right="0.28999999999999998" top="0.43307086614173229" bottom="0.47244094488188981" header="0.31496062992125984" footer="0.51181102362204722"/>
  <pageSetup paperSize="9" scale="83" orientation="portrait"/>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DC92-D301-B444-B10B-1555E95DA0FA}">
  <sheetPr>
    <pageSetUpPr fitToPage="1"/>
  </sheetPr>
  <dimension ref="A1:H42"/>
  <sheetViews>
    <sheetView topLeftCell="A19" zoomScaleNormal="100" workbookViewId="0">
      <selection activeCell="F27" sqref="F27"/>
    </sheetView>
  </sheetViews>
  <sheetFormatPr baseColWidth="10" defaultColWidth="11.3984375" defaultRowHeight="13"/>
  <cols>
    <col min="1" max="3" width="14.796875" style="3" customWidth="1"/>
    <col min="4" max="4" width="15.796875" style="3" customWidth="1"/>
    <col min="5" max="5" width="15.59765625" style="3" customWidth="1"/>
    <col min="6" max="6" width="16.19921875" style="3" customWidth="1"/>
    <col min="7" max="7" width="13.59765625" style="3" customWidth="1"/>
    <col min="8" max="8" width="15.19921875" style="3" hidden="1" customWidth="1"/>
    <col min="9" max="9" width="8.59765625" style="3" customWidth="1"/>
    <col min="10" max="16384" width="11.3984375" style="3"/>
  </cols>
  <sheetData>
    <row r="1" spans="1:8" s="2" customFormat="1" ht="14" customHeight="1"/>
    <row r="2" spans="1:8" s="2" customFormat="1" ht="45" customHeight="1">
      <c r="A2" s="1843" t="s">
        <v>1824</v>
      </c>
      <c r="B2" s="1847"/>
      <c r="C2" s="1847"/>
      <c r="D2" s="1847"/>
      <c r="E2" s="1847"/>
      <c r="F2" s="180">
        <v>2011</v>
      </c>
    </row>
    <row r="3" spans="1:8" ht="27" customHeight="1">
      <c r="A3" s="92" t="s">
        <v>191</v>
      </c>
      <c r="B3" s="182" t="s">
        <v>349</v>
      </c>
      <c r="C3" s="183" t="s">
        <v>346</v>
      </c>
      <c r="D3" s="182" t="s">
        <v>347</v>
      </c>
      <c r="E3" s="183" t="s">
        <v>278</v>
      </c>
      <c r="F3" s="182" t="s">
        <v>278</v>
      </c>
    </row>
    <row r="4" spans="1:8" ht="15" customHeight="1">
      <c r="A4" s="95"/>
      <c r="B4" s="185"/>
      <c r="C4" s="95"/>
      <c r="D4" s="211"/>
      <c r="E4" s="186" t="s">
        <v>1825</v>
      </c>
      <c r="F4" s="185" t="s">
        <v>1808</v>
      </c>
    </row>
    <row r="5" spans="1:8" ht="15" customHeight="1">
      <c r="A5" s="95"/>
      <c r="B5" s="185"/>
      <c r="C5" s="95"/>
      <c r="D5" s="211"/>
      <c r="E5" s="186" t="s">
        <v>1826</v>
      </c>
      <c r="F5" s="185" t="s">
        <v>348</v>
      </c>
    </row>
    <row r="6" spans="1:8" ht="24" customHeight="1">
      <c r="A6" s="97"/>
      <c r="B6" s="213"/>
      <c r="C6" s="97"/>
      <c r="D6" s="213"/>
      <c r="E6" s="190"/>
      <c r="F6" s="189"/>
    </row>
    <row r="7" spans="1:8" ht="30" customHeight="1" thickBot="1">
      <c r="A7" s="99" t="s">
        <v>362</v>
      </c>
      <c r="B7" s="230">
        <v>229044621</v>
      </c>
      <c r="C7" s="233">
        <v>1404574049</v>
      </c>
      <c r="D7" s="1258">
        <v>2004729690</v>
      </c>
      <c r="E7" s="1259">
        <v>3409303739</v>
      </c>
      <c r="F7" s="1258">
        <v>3638348360</v>
      </c>
      <c r="H7" s="8">
        <v>2156035045</v>
      </c>
    </row>
    <row r="8" spans="1:8" ht="20" customHeight="1" thickBot="1">
      <c r="A8" s="103" t="s">
        <v>363</v>
      </c>
      <c r="B8" s="218">
        <v>136701708</v>
      </c>
      <c r="C8" s="219">
        <v>1138010881</v>
      </c>
      <c r="D8" s="1260">
        <v>1643572416</v>
      </c>
      <c r="E8" s="1261">
        <v>2781583297</v>
      </c>
      <c r="F8" s="1260">
        <v>2918285005</v>
      </c>
      <c r="H8" s="8">
        <v>1563935884</v>
      </c>
    </row>
    <row r="9" spans="1:8" ht="20" customHeight="1" thickBot="1">
      <c r="A9" s="103" t="s">
        <v>364</v>
      </c>
      <c r="B9" s="218">
        <v>53325369</v>
      </c>
      <c r="C9" s="219">
        <v>338361635</v>
      </c>
      <c r="D9" s="1260">
        <v>483001065</v>
      </c>
      <c r="E9" s="1261">
        <v>821362700</v>
      </c>
      <c r="F9" s="1260">
        <v>874688069</v>
      </c>
      <c r="H9" s="8">
        <v>464604355</v>
      </c>
    </row>
    <row r="10" spans="1:8" ht="20" customHeight="1" thickBot="1">
      <c r="A10" s="103" t="s">
        <v>365</v>
      </c>
      <c r="B10" s="218">
        <v>4650589</v>
      </c>
      <c r="C10" s="219">
        <v>30592851</v>
      </c>
      <c r="D10" s="1260">
        <v>41209589</v>
      </c>
      <c r="E10" s="1261">
        <v>71802440</v>
      </c>
      <c r="F10" s="1260">
        <v>76453029</v>
      </c>
      <c r="H10" s="8">
        <v>45901795</v>
      </c>
    </row>
    <row r="11" spans="1:8" ht="20" customHeight="1" thickBot="1">
      <c r="A11" s="103" t="s">
        <v>366</v>
      </c>
      <c r="B11" s="218">
        <v>23575962</v>
      </c>
      <c r="C11" s="219">
        <v>133342648</v>
      </c>
      <c r="D11" s="1260">
        <v>175919759</v>
      </c>
      <c r="E11" s="1261">
        <v>309262407</v>
      </c>
      <c r="F11" s="1260">
        <v>332838369</v>
      </c>
      <c r="H11" s="8">
        <v>171549320</v>
      </c>
    </row>
    <row r="12" spans="1:8" ht="20" customHeight="1" thickBot="1">
      <c r="A12" s="103" t="s">
        <v>367</v>
      </c>
      <c r="B12" s="218">
        <v>4963229</v>
      </c>
      <c r="C12" s="219">
        <v>30149936</v>
      </c>
      <c r="D12" s="1260">
        <v>40475449</v>
      </c>
      <c r="E12" s="1261">
        <v>70625385</v>
      </c>
      <c r="F12" s="1260">
        <v>75588614</v>
      </c>
      <c r="H12" s="8">
        <v>41764939</v>
      </c>
    </row>
    <row r="13" spans="1:8" ht="20" customHeight="1" thickBot="1">
      <c r="A13" s="103" t="s">
        <v>368</v>
      </c>
      <c r="B13" s="218">
        <v>4591022</v>
      </c>
      <c r="C13" s="219">
        <v>32870691</v>
      </c>
      <c r="D13" s="1260">
        <v>45252907</v>
      </c>
      <c r="E13" s="1261">
        <v>78123598</v>
      </c>
      <c r="F13" s="1260">
        <v>82714620</v>
      </c>
      <c r="H13" s="8">
        <v>44323506</v>
      </c>
    </row>
    <row r="14" spans="1:8" ht="20" customHeight="1" thickBot="1">
      <c r="A14" s="103" t="s">
        <v>369</v>
      </c>
      <c r="B14" s="218">
        <v>5360858</v>
      </c>
      <c r="C14" s="219">
        <v>36032186</v>
      </c>
      <c r="D14" s="1260">
        <v>49467836</v>
      </c>
      <c r="E14" s="1261">
        <v>85500022</v>
      </c>
      <c r="F14" s="1260">
        <v>90860880</v>
      </c>
      <c r="H14" s="8">
        <v>55927154</v>
      </c>
    </row>
    <row r="15" spans="1:8" ht="20" customHeight="1" thickBot="1">
      <c r="A15" s="103" t="s">
        <v>370</v>
      </c>
      <c r="B15" s="218">
        <v>15930456</v>
      </c>
      <c r="C15" s="219">
        <v>96297112</v>
      </c>
      <c r="D15" s="1260">
        <v>136923889</v>
      </c>
      <c r="E15" s="1261">
        <v>233221001</v>
      </c>
      <c r="F15" s="1260">
        <v>249151457</v>
      </c>
      <c r="H15" s="8">
        <v>128772453</v>
      </c>
    </row>
    <row r="16" spans="1:8" ht="20" customHeight="1" thickBot="1">
      <c r="A16" s="103" t="s">
        <v>371</v>
      </c>
      <c r="B16" s="218">
        <v>48789687</v>
      </c>
      <c r="C16" s="219">
        <v>273630001</v>
      </c>
      <c r="D16" s="1260">
        <v>386123113</v>
      </c>
      <c r="E16" s="1261">
        <v>659753114</v>
      </c>
      <c r="F16" s="1260">
        <v>708542801</v>
      </c>
      <c r="H16" s="8">
        <v>391250033</v>
      </c>
    </row>
    <row r="17" spans="1:8" ht="20" customHeight="1" thickBot="1">
      <c r="A17" s="103" t="s">
        <v>372</v>
      </c>
      <c r="B17" s="218">
        <v>39227667</v>
      </c>
      <c r="C17" s="219">
        <v>259762019</v>
      </c>
      <c r="D17" s="1260">
        <v>358381832</v>
      </c>
      <c r="E17" s="1261">
        <v>618143851</v>
      </c>
      <c r="F17" s="1260">
        <v>657371518</v>
      </c>
      <c r="H17" s="8">
        <v>393696828</v>
      </c>
    </row>
    <row r="18" spans="1:8" ht="20" customHeight="1" thickBot="1">
      <c r="A18" s="103" t="s">
        <v>373</v>
      </c>
      <c r="B18" s="218">
        <v>34717613</v>
      </c>
      <c r="C18" s="219">
        <v>258647286</v>
      </c>
      <c r="D18" s="1260">
        <v>394932114</v>
      </c>
      <c r="E18" s="1261">
        <v>653579400</v>
      </c>
      <c r="F18" s="1260">
        <v>688297013</v>
      </c>
      <c r="H18" s="8">
        <v>473520714</v>
      </c>
    </row>
    <row r="19" spans="1:8" ht="20" customHeight="1" thickBot="1">
      <c r="A19" s="103" t="s">
        <v>374</v>
      </c>
      <c r="B19" s="218">
        <v>49021333</v>
      </c>
      <c r="C19" s="219">
        <v>306251595</v>
      </c>
      <c r="D19" s="1260">
        <v>440065661</v>
      </c>
      <c r="E19" s="1261">
        <v>746317256</v>
      </c>
      <c r="F19" s="1260">
        <v>795338589</v>
      </c>
      <c r="H19" s="8">
        <v>469771093</v>
      </c>
    </row>
    <row r="20" spans="1:8" ht="20" customHeight="1" thickBot="1">
      <c r="A20" s="103" t="s">
        <v>375</v>
      </c>
      <c r="B20" s="218">
        <v>10020887</v>
      </c>
      <c r="C20" s="219">
        <v>75114321</v>
      </c>
      <c r="D20" s="1260">
        <v>112757241</v>
      </c>
      <c r="E20" s="1261">
        <v>187871562</v>
      </c>
      <c r="F20" s="1260">
        <v>197892449</v>
      </c>
      <c r="H20" s="8">
        <v>127694959</v>
      </c>
    </row>
    <row r="21" spans="1:8" ht="20" customHeight="1" thickBot="1">
      <c r="A21" s="103" t="s">
        <v>376</v>
      </c>
      <c r="B21" s="218">
        <v>7320692</v>
      </c>
      <c r="C21" s="219">
        <v>45960506</v>
      </c>
      <c r="D21" s="1260">
        <v>62319895</v>
      </c>
      <c r="E21" s="1261">
        <v>108280401</v>
      </c>
      <c r="F21" s="1260">
        <v>115601093</v>
      </c>
      <c r="H21" s="8">
        <v>69489100</v>
      </c>
    </row>
    <row r="22" spans="1:8" ht="20" customHeight="1" thickBot="1">
      <c r="A22" s="103" t="s">
        <v>377</v>
      </c>
      <c r="B22" s="218">
        <v>2009814</v>
      </c>
      <c r="C22" s="219">
        <v>12550433</v>
      </c>
      <c r="D22" s="1260">
        <v>15179569</v>
      </c>
      <c r="E22" s="1261">
        <v>27730002</v>
      </c>
      <c r="F22" s="1260">
        <v>29739816</v>
      </c>
      <c r="H22" s="8">
        <v>16712649</v>
      </c>
    </row>
    <row r="23" spans="1:8" ht="20" customHeight="1" thickBot="1">
      <c r="A23" s="103" t="s">
        <v>378</v>
      </c>
      <c r="B23" s="218">
        <v>71595560</v>
      </c>
      <c r="C23" s="219">
        <v>419247119</v>
      </c>
      <c r="D23" s="1260">
        <v>587191724</v>
      </c>
      <c r="E23" s="1261">
        <v>1006438843</v>
      </c>
      <c r="F23" s="1260">
        <v>1078034403</v>
      </c>
      <c r="H23" s="8">
        <v>615853738</v>
      </c>
    </row>
    <row r="24" spans="1:8" ht="20" customHeight="1" thickBot="1">
      <c r="A24" s="103" t="s">
        <v>379</v>
      </c>
      <c r="B24" s="218">
        <v>27515204</v>
      </c>
      <c r="C24" s="219">
        <v>177850411</v>
      </c>
      <c r="D24" s="1260">
        <v>253475117</v>
      </c>
      <c r="E24" s="1261">
        <v>431325528</v>
      </c>
      <c r="F24" s="1260">
        <v>458840732</v>
      </c>
      <c r="H24" s="8">
        <v>264690646</v>
      </c>
    </row>
    <row r="25" spans="1:8" ht="20" customHeight="1" thickBot="1">
      <c r="A25" s="103" t="s">
        <v>380</v>
      </c>
      <c r="B25" s="218">
        <v>104327224</v>
      </c>
      <c r="C25" s="219">
        <v>596959948</v>
      </c>
      <c r="D25" s="1260">
        <v>813020464</v>
      </c>
      <c r="E25" s="1261">
        <v>1409980412</v>
      </c>
      <c r="F25" s="1260">
        <v>1514307636</v>
      </c>
      <c r="H25" s="8">
        <v>819222625</v>
      </c>
    </row>
    <row r="26" spans="1:8" ht="20" customHeight="1" thickBot="1">
      <c r="A26" s="103" t="s">
        <v>381</v>
      </c>
      <c r="B26" s="218">
        <v>39781380</v>
      </c>
      <c r="C26" s="219">
        <v>227910678</v>
      </c>
      <c r="D26" s="1260">
        <v>307927014</v>
      </c>
      <c r="E26" s="1261">
        <v>535837692</v>
      </c>
      <c r="F26" s="1260">
        <v>575619072</v>
      </c>
      <c r="H26" s="8">
        <v>344655658</v>
      </c>
    </row>
    <row r="27" spans="1:8" ht="20" customHeight="1" thickBot="1">
      <c r="A27" s="103" t="s">
        <v>382</v>
      </c>
      <c r="B27" s="218">
        <v>52002274</v>
      </c>
      <c r="C27" s="219">
        <v>410116997</v>
      </c>
      <c r="D27" s="1260">
        <v>572234675</v>
      </c>
      <c r="E27" s="1261">
        <v>982351672</v>
      </c>
      <c r="F27" s="1260">
        <v>1034353946</v>
      </c>
      <c r="H27" s="8">
        <v>627641817</v>
      </c>
    </row>
    <row r="28" spans="1:8" ht="20" customHeight="1" thickBot="1">
      <c r="A28" s="103" t="s">
        <v>383</v>
      </c>
      <c r="B28" s="218">
        <v>149788608</v>
      </c>
      <c r="C28" s="219">
        <v>794634899</v>
      </c>
      <c r="D28" s="1260">
        <v>1168937456</v>
      </c>
      <c r="E28" s="1261">
        <v>1963572355</v>
      </c>
      <c r="F28" s="1260">
        <v>2113360963</v>
      </c>
      <c r="H28" s="8">
        <v>1280335377</v>
      </c>
    </row>
    <row r="29" spans="1:8" ht="20" customHeight="1" thickBot="1">
      <c r="A29" s="103" t="s">
        <v>384</v>
      </c>
      <c r="B29" s="218">
        <v>49117141</v>
      </c>
      <c r="C29" s="219">
        <v>309020003</v>
      </c>
      <c r="D29" s="1260">
        <v>422721649</v>
      </c>
      <c r="E29" s="1261">
        <v>731741652</v>
      </c>
      <c r="F29" s="1260">
        <v>780858793</v>
      </c>
      <c r="H29" s="8">
        <v>410743307</v>
      </c>
    </row>
    <row r="30" spans="1:8" ht="20" customHeight="1" thickBot="1">
      <c r="A30" s="103" t="s">
        <v>385</v>
      </c>
      <c r="B30" s="218">
        <v>30497177</v>
      </c>
      <c r="C30" s="219">
        <v>179637386</v>
      </c>
      <c r="D30" s="1260">
        <v>274111614</v>
      </c>
      <c r="E30" s="1261">
        <v>453749000</v>
      </c>
      <c r="F30" s="1260">
        <v>484246177</v>
      </c>
      <c r="H30" s="8">
        <v>318756043</v>
      </c>
    </row>
    <row r="31" spans="1:8" ht="20" customHeight="1" thickBot="1">
      <c r="A31" s="103" t="s">
        <v>386</v>
      </c>
      <c r="B31" s="218">
        <v>107872663</v>
      </c>
      <c r="C31" s="219">
        <v>540071456</v>
      </c>
      <c r="D31" s="1260">
        <v>848555940</v>
      </c>
      <c r="E31" s="1261">
        <v>1388627396</v>
      </c>
      <c r="F31" s="1260">
        <v>1496500059</v>
      </c>
      <c r="H31" s="8">
        <v>966736347</v>
      </c>
    </row>
    <row r="32" spans="1:8" ht="20" customHeight="1" thickBot="1">
      <c r="A32" s="145" t="s">
        <v>387</v>
      </c>
      <c r="B32" s="218">
        <v>12466373</v>
      </c>
      <c r="C32" s="219">
        <v>78235102</v>
      </c>
      <c r="D32" s="1260">
        <v>110169437</v>
      </c>
      <c r="E32" s="1261">
        <v>188404539</v>
      </c>
      <c r="F32" s="1260">
        <v>200870912</v>
      </c>
      <c r="H32" s="8">
        <v>146808815</v>
      </c>
    </row>
    <row r="33" spans="1:8" ht="30" customHeight="1" thickBot="1">
      <c r="A33" s="107" t="s">
        <v>444</v>
      </c>
      <c r="B33" s="518">
        <v>1314215111</v>
      </c>
      <c r="C33" s="519">
        <v>8205832149</v>
      </c>
      <c r="D33" s="1262">
        <v>11748657115</v>
      </c>
      <c r="E33" s="1263">
        <v>19954489264</v>
      </c>
      <c r="F33" s="1262">
        <v>21268704375</v>
      </c>
      <c r="H33" s="8">
        <v>12410394200</v>
      </c>
    </row>
    <row r="34" spans="1:8" ht="20" customHeight="1">
      <c r="A34" s="112" t="s">
        <v>1829</v>
      </c>
      <c r="B34" s="112"/>
      <c r="C34" s="112"/>
      <c r="D34" s="112"/>
      <c r="E34" s="112"/>
      <c r="F34" s="112"/>
    </row>
    <row r="35" spans="1:8" ht="12.75" customHeight="1">
      <c r="A35" s="115"/>
      <c r="B35" s="115"/>
      <c r="C35" s="115"/>
      <c r="D35" s="115"/>
      <c r="E35" s="115"/>
      <c r="F35" s="115"/>
    </row>
    <row r="36" spans="1:8" ht="14.25" customHeight="1">
      <c r="A36" s="115" t="s">
        <v>1768</v>
      </c>
      <c r="B36" s="115"/>
      <c r="C36" s="115"/>
      <c r="D36" s="115"/>
      <c r="E36" s="115"/>
      <c r="F36" s="115"/>
    </row>
    <row r="37" spans="1:8" ht="10.5" customHeight="1">
      <c r="A37" s="115"/>
      <c r="B37" s="115"/>
      <c r="C37" s="115"/>
      <c r="D37" s="115"/>
      <c r="E37" s="115"/>
      <c r="F37" s="115"/>
    </row>
    <row r="38" spans="1:8" ht="15" customHeight="1">
      <c r="A38" s="115" t="s">
        <v>1827</v>
      </c>
      <c r="B38" s="115"/>
      <c r="C38" s="115"/>
      <c r="D38" s="115"/>
      <c r="E38" s="115"/>
      <c r="F38" s="115"/>
    </row>
    <row r="39" spans="1:8" ht="15" customHeight="1">
      <c r="A39" s="206" t="s">
        <v>1828</v>
      </c>
    </row>
    <row r="40" spans="1:8" ht="12" customHeight="1"/>
    <row r="41" spans="1:8" ht="12" customHeight="1"/>
    <row r="42" spans="1:8" ht="12" customHeight="1">
      <c r="A42" s="115" t="s">
        <v>719</v>
      </c>
    </row>
  </sheetData>
  <mergeCells count="1">
    <mergeCell ref="A2:E2"/>
  </mergeCells>
  <pageMargins left="0.59055118110236227" right="0.41" top="0.74803149606299213" bottom="0.47244094488188981" header="0.35433070866141736" footer="0.51181102362204722"/>
  <pageSetup paperSize="9" scale="89" orientation="portrait" horizontalDpi="4294967292" verticalDpi="4294967292"/>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52FA-ABFC-094C-A562-269D0C538E3C}">
  <sheetPr>
    <pageSetUpPr fitToPage="1"/>
  </sheetPr>
  <dimension ref="A1:H23"/>
  <sheetViews>
    <sheetView zoomScale="115" zoomScaleNormal="115" workbookViewId="0">
      <selection activeCell="G20" sqref="G20"/>
    </sheetView>
  </sheetViews>
  <sheetFormatPr baseColWidth="10" defaultColWidth="11.59765625" defaultRowHeight="13"/>
  <cols>
    <col min="1" max="1" width="5.59765625" style="541" customWidth="1"/>
    <col min="2" max="16384" width="11.59765625" style="541"/>
  </cols>
  <sheetData>
    <row r="1" spans="1:3" ht="16">
      <c r="A1" s="540" t="s">
        <v>723</v>
      </c>
    </row>
    <row r="3" spans="1:3">
      <c r="A3" s="542">
        <v>11.01</v>
      </c>
      <c r="B3" s="543" t="s">
        <v>724</v>
      </c>
      <c r="C3" s="544"/>
    </row>
    <row r="4" spans="1:3">
      <c r="A4" s="542">
        <v>11.02</v>
      </c>
      <c r="B4" s="543" t="s">
        <v>725</v>
      </c>
      <c r="C4" s="544"/>
    </row>
    <row r="5" spans="1:3">
      <c r="A5" s="542">
        <v>11.03</v>
      </c>
      <c r="B5" s="543" t="s">
        <v>726</v>
      </c>
      <c r="C5" s="544"/>
    </row>
    <row r="6" spans="1:3">
      <c r="A6" s="542">
        <v>11.04</v>
      </c>
      <c r="B6" s="545" t="s">
        <v>727</v>
      </c>
      <c r="C6" s="544"/>
    </row>
    <row r="7" spans="1:3">
      <c r="A7" s="542">
        <v>11.05</v>
      </c>
      <c r="B7" s="543" t="s">
        <v>728</v>
      </c>
      <c r="C7" s="544"/>
    </row>
    <row r="8" spans="1:3">
      <c r="A8" s="542">
        <v>11.06</v>
      </c>
      <c r="B8" s="543" t="s">
        <v>729</v>
      </c>
      <c r="C8" s="544"/>
    </row>
    <row r="9" spans="1:3">
      <c r="A9" s="542">
        <v>11.07</v>
      </c>
      <c r="B9" s="543" t="s">
        <v>730</v>
      </c>
      <c r="C9" s="544"/>
    </row>
    <row r="10" spans="1:3">
      <c r="A10" s="542">
        <v>11.08</v>
      </c>
      <c r="B10" s="543" t="s">
        <v>731</v>
      </c>
      <c r="C10" s="544"/>
    </row>
    <row r="11" spans="1:3">
      <c r="A11" s="542">
        <v>11.09</v>
      </c>
      <c r="B11" s="543" t="s">
        <v>732</v>
      </c>
      <c r="C11" s="544"/>
    </row>
    <row r="12" spans="1:3">
      <c r="A12" s="542">
        <v>11.1</v>
      </c>
      <c r="B12" s="543" t="s">
        <v>733</v>
      </c>
      <c r="C12" s="544"/>
    </row>
    <row r="13" spans="1:3">
      <c r="A13" s="542">
        <v>11.11</v>
      </c>
      <c r="B13" s="546" t="s">
        <v>734</v>
      </c>
      <c r="C13" s="544"/>
    </row>
    <row r="14" spans="1:3">
      <c r="A14" s="542">
        <v>11.12</v>
      </c>
      <c r="B14" s="543" t="s">
        <v>735</v>
      </c>
      <c r="C14" s="544"/>
    </row>
    <row r="15" spans="1:3">
      <c r="A15" s="542">
        <v>11.13</v>
      </c>
      <c r="B15" s="543" t="s">
        <v>736</v>
      </c>
      <c r="C15" s="544"/>
    </row>
    <row r="16" spans="1:3">
      <c r="A16" s="542">
        <v>11.14</v>
      </c>
      <c r="B16" s="546" t="s">
        <v>737</v>
      </c>
      <c r="C16" s="544"/>
    </row>
    <row r="17" spans="1:8">
      <c r="A17" s="542">
        <v>11.15</v>
      </c>
      <c r="B17" s="546" t="s">
        <v>738</v>
      </c>
      <c r="C17" s="544"/>
    </row>
    <row r="18" spans="1:8">
      <c r="A18" s="542">
        <v>11.16</v>
      </c>
      <c r="B18" s="546" t="s">
        <v>739</v>
      </c>
      <c r="C18" s="544"/>
    </row>
    <row r="19" spans="1:8">
      <c r="A19" s="542">
        <v>11.17</v>
      </c>
      <c r="B19" s="546" t="s">
        <v>1149</v>
      </c>
      <c r="C19" s="544"/>
    </row>
    <row r="20" spans="1:8">
      <c r="A20" s="542">
        <v>11.18</v>
      </c>
      <c r="B20" s="546" t="s">
        <v>740</v>
      </c>
      <c r="C20" s="544"/>
      <c r="G20" s="895"/>
      <c r="H20" s="895" t="s">
        <v>1487</v>
      </c>
    </row>
    <row r="21" spans="1:8">
      <c r="A21" s="542"/>
      <c r="B21" s="547"/>
    </row>
    <row r="23" spans="1:8">
      <c r="A23" s="548" t="s">
        <v>719</v>
      </c>
    </row>
  </sheetData>
  <pageMargins left="0.46" right="0.46" top="0.63" bottom="0.984251969" header="0.38" footer="0.4921259845"/>
  <pageSetup paperSize="9" orientation="portrait"/>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0D6C-342B-4540-81BC-C7571F627881}">
  <sheetPr>
    <pageSetUpPr fitToPage="1"/>
  </sheetPr>
  <dimension ref="A1:K31"/>
  <sheetViews>
    <sheetView zoomScaleNormal="100" workbookViewId="0">
      <selection activeCell="I22" sqref="I22"/>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2" customFormat="1" ht="14" customHeight="1"/>
    <row r="2" spans="1:11" s="2" customFormat="1" ht="28" customHeight="1">
      <c r="A2" s="180" t="s">
        <v>344</v>
      </c>
      <c r="G2" s="181"/>
    </row>
    <row r="3" spans="1:11" ht="24" customHeight="1">
      <c r="A3" s="92" t="s">
        <v>345</v>
      </c>
      <c r="B3" s="182" t="s">
        <v>346</v>
      </c>
      <c r="C3" s="183" t="s">
        <v>347</v>
      </c>
      <c r="D3" s="182" t="s">
        <v>348</v>
      </c>
      <c r="E3" s="183" t="s">
        <v>349</v>
      </c>
      <c r="F3" s="182" t="s">
        <v>278</v>
      </c>
      <c r="G3" s="94" t="s">
        <v>279</v>
      </c>
    </row>
    <row r="4" spans="1:11" ht="15" customHeight="1">
      <c r="A4" s="184"/>
      <c r="B4" s="185"/>
      <c r="C4" s="186"/>
      <c r="D4" s="185"/>
      <c r="E4" s="187"/>
      <c r="F4" s="185"/>
      <c r="G4" s="95" t="s">
        <v>282</v>
      </c>
    </row>
    <row r="5" spans="1:11" ht="15" customHeight="1">
      <c r="A5" s="184"/>
      <c r="B5" s="185"/>
      <c r="C5" s="186"/>
      <c r="D5" s="185"/>
      <c r="E5" s="187"/>
      <c r="F5" s="185"/>
      <c r="G5" s="95" t="s">
        <v>283</v>
      </c>
    </row>
    <row r="6" spans="1:11" ht="24" customHeight="1">
      <c r="A6" s="188"/>
      <c r="B6" s="189"/>
      <c r="C6" s="190"/>
      <c r="D6" s="189"/>
      <c r="E6" s="191"/>
      <c r="F6" s="189"/>
      <c r="G6" s="97"/>
    </row>
    <row r="7" spans="1:11" ht="1.5" customHeight="1" thickBot="1">
      <c r="A7" s="192">
        <v>1996</v>
      </c>
      <c r="B7" s="100">
        <v>2792349</v>
      </c>
      <c r="C7" s="193">
        <v>2968829</v>
      </c>
      <c r="D7" s="100">
        <v>5761178</v>
      </c>
      <c r="E7" s="193">
        <v>1471489</v>
      </c>
      <c r="F7" s="100">
        <v>7232667</v>
      </c>
      <c r="G7" s="101">
        <v>1.8350297937143788E-2</v>
      </c>
    </row>
    <row r="8" spans="1:11" ht="0.75" hidden="1" customHeight="1" thickBot="1">
      <c r="A8" s="194">
        <v>1997</v>
      </c>
      <c r="B8" s="195">
        <v>2750986</v>
      </c>
      <c r="C8" s="196">
        <v>2929423</v>
      </c>
      <c r="D8" s="195">
        <v>5680409</v>
      </c>
      <c r="E8" s="196">
        <v>1556062</v>
      </c>
      <c r="F8" s="195">
        <v>7236471</v>
      </c>
      <c r="G8" s="197">
        <v>5.2594706765844463E-4</v>
      </c>
      <c r="I8" s="9"/>
      <c r="J8" s="9"/>
      <c r="K8" s="9"/>
    </row>
    <row r="9" spans="1:11" ht="19.5" hidden="1" customHeight="1" thickBot="1">
      <c r="A9" s="194">
        <v>1998</v>
      </c>
      <c r="B9" s="195">
        <v>2746839</v>
      </c>
      <c r="C9" s="196">
        <v>2927739</v>
      </c>
      <c r="D9" s="195">
        <v>5674578</v>
      </c>
      <c r="E9" s="196">
        <v>1572038</v>
      </c>
      <c r="F9" s="195">
        <v>7246616</v>
      </c>
      <c r="G9" s="197">
        <v>1.401926436242196E-3</v>
      </c>
    </row>
    <row r="10" spans="1:11" ht="0.5" hidden="1" customHeight="1" thickBot="1">
      <c r="A10" s="194">
        <v>1999</v>
      </c>
      <c r="B10" s="195">
        <v>2760031</v>
      </c>
      <c r="C10" s="196">
        <v>2940891</v>
      </c>
      <c r="D10" s="195">
        <v>5700922</v>
      </c>
      <c r="E10" s="196">
        <v>1569600</v>
      </c>
      <c r="F10" s="195">
        <v>7270522</v>
      </c>
      <c r="G10" s="197">
        <v>3.298919109278041E-3</v>
      </c>
    </row>
    <row r="11" spans="1:11" ht="20" hidden="1" customHeight="1" thickBot="1">
      <c r="A11" s="194">
        <v>2000</v>
      </c>
      <c r="B11" s="195">
        <v>2758998</v>
      </c>
      <c r="C11" s="196">
        <v>2947662</v>
      </c>
      <c r="D11" s="195">
        <v>5706660</v>
      </c>
      <c r="E11" s="196">
        <v>1558453</v>
      </c>
      <c r="F11" s="195">
        <v>7265113</v>
      </c>
      <c r="G11" s="197">
        <v>-7.4396308820742166E-4</v>
      </c>
    </row>
    <row r="12" spans="1:11" ht="20" customHeight="1" thickBot="1">
      <c r="A12" s="194">
        <v>2001</v>
      </c>
      <c r="B12" s="195">
        <v>2778660</v>
      </c>
      <c r="C12" s="196">
        <v>2968477</v>
      </c>
      <c r="D12" s="195">
        <v>5747137</v>
      </c>
      <c r="E12" s="196">
        <v>1553913</v>
      </c>
      <c r="F12" s="195">
        <v>7301050</v>
      </c>
      <c r="G12" s="197">
        <v>4.9465163170896312E-3</v>
      </c>
    </row>
    <row r="13" spans="1:11" ht="20" customHeight="1" thickBot="1">
      <c r="A13" s="194">
        <v>2002</v>
      </c>
      <c r="B13" s="195">
        <v>2803463</v>
      </c>
      <c r="C13" s="196">
        <v>2992002</v>
      </c>
      <c r="D13" s="195">
        <v>5795465</v>
      </c>
      <c r="E13" s="196">
        <v>1549167</v>
      </c>
      <c r="F13" s="195">
        <v>7344632</v>
      </c>
      <c r="G13" s="197">
        <v>5.9692783914642418E-3</v>
      </c>
    </row>
    <row r="14" spans="1:11" ht="20" customHeight="1" thickBot="1">
      <c r="A14" s="194">
        <v>2003</v>
      </c>
      <c r="B14" s="195">
        <v>2880411</v>
      </c>
      <c r="C14" s="196">
        <v>2950352</v>
      </c>
      <c r="D14" s="195">
        <v>5830763</v>
      </c>
      <c r="E14" s="196">
        <v>1541742</v>
      </c>
      <c r="F14" s="195">
        <v>7372505</v>
      </c>
      <c r="G14" s="197">
        <v>3.7950165508632699E-3</v>
      </c>
    </row>
    <row r="15" spans="1:11" ht="20" customHeight="1" thickBot="1">
      <c r="A15" s="194">
        <v>2004</v>
      </c>
      <c r="B15" s="195">
        <v>2832331</v>
      </c>
      <c r="C15" s="196">
        <v>3021580</v>
      </c>
      <c r="D15" s="195">
        <v>5853911</v>
      </c>
      <c r="E15" s="196">
        <v>1529663</v>
      </c>
      <c r="F15" s="195">
        <v>7383574</v>
      </c>
      <c r="G15" s="197">
        <v>1.5013892835610148E-3</v>
      </c>
    </row>
    <row r="16" spans="1:11" ht="20" customHeight="1" thickBot="1">
      <c r="A16" s="194">
        <v>2005</v>
      </c>
      <c r="B16" s="195">
        <v>2861206</v>
      </c>
      <c r="C16" s="196">
        <v>3049366</v>
      </c>
      <c r="D16" s="195">
        <v>5910572</v>
      </c>
      <c r="E16" s="196">
        <v>1525293</v>
      </c>
      <c r="F16" s="195">
        <v>7435865</v>
      </c>
      <c r="G16" s="197">
        <v>7.0820716363104719E-3</v>
      </c>
    </row>
    <row r="17" spans="1:7" ht="20" customHeight="1" thickBot="1">
      <c r="A17" s="194">
        <v>2006</v>
      </c>
      <c r="B17" s="195">
        <v>2886537.34</v>
      </c>
      <c r="C17" s="196">
        <v>3073653.46</v>
      </c>
      <c r="D17" s="195">
        <v>5960190.7999999998</v>
      </c>
      <c r="E17" s="196">
        <v>1518236.03</v>
      </c>
      <c r="F17" s="195">
        <v>7478426.8300000001</v>
      </c>
      <c r="G17" s="197">
        <v>5.7238572782050134E-3</v>
      </c>
    </row>
    <row r="18" spans="1:7" ht="20" customHeight="1" thickBot="1">
      <c r="A18" s="194">
        <v>2007</v>
      </c>
      <c r="B18" s="195">
        <v>2922195.75</v>
      </c>
      <c r="C18" s="196">
        <v>3104949.1</v>
      </c>
      <c r="D18" s="195">
        <v>6027144.8499999996</v>
      </c>
      <c r="E18" s="196">
        <v>1510442.56</v>
      </c>
      <c r="F18" s="195">
        <v>7537587.4100000001</v>
      </c>
      <c r="G18" s="197">
        <v>7.9108322304732859E-3</v>
      </c>
    </row>
    <row r="19" spans="1:7" ht="20" customHeight="1" thickBot="1">
      <c r="A19" s="194">
        <v>2008</v>
      </c>
      <c r="B19" s="195">
        <v>2966175.79</v>
      </c>
      <c r="C19" s="196">
        <v>3141735.96</v>
      </c>
      <c r="D19" s="195">
        <v>6107911.75</v>
      </c>
      <c r="E19" s="196">
        <v>1507651.61</v>
      </c>
      <c r="F19" s="195">
        <v>7615563.3600000003</v>
      </c>
      <c r="G19" s="197">
        <v>1.0344948026280942E-2</v>
      </c>
    </row>
    <row r="20" spans="1:7" ht="20" customHeight="1" thickBot="1">
      <c r="A20" s="194">
        <v>2009</v>
      </c>
      <c r="B20" s="195">
        <v>3018366.51</v>
      </c>
      <c r="C20" s="196">
        <v>3183510.14</v>
      </c>
      <c r="D20" s="195">
        <v>6201876.6500000004</v>
      </c>
      <c r="E20" s="196">
        <v>1506974.9</v>
      </c>
      <c r="F20" s="195">
        <v>7708851.5500000007</v>
      </c>
      <c r="G20" s="197">
        <v>1.2249676824959144E-2</v>
      </c>
    </row>
    <row r="21" spans="1:7" ht="20" customHeight="1" thickBot="1">
      <c r="A21" s="194">
        <v>2010</v>
      </c>
      <c r="B21" s="195">
        <v>3056460.47</v>
      </c>
      <c r="C21" s="196">
        <v>3218553.79</v>
      </c>
      <c r="D21" s="195">
        <v>6275014.2599999998</v>
      </c>
      <c r="E21" s="196">
        <v>1504647.58</v>
      </c>
      <c r="F21" s="195">
        <v>7779661.8399999999</v>
      </c>
      <c r="G21" s="197">
        <v>9.1855822544668619E-3</v>
      </c>
    </row>
    <row r="22" spans="1:7" ht="30" customHeight="1" thickBot="1">
      <c r="A22" s="198">
        <v>2011</v>
      </c>
      <c r="B22" s="199">
        <v>3103820.45</v>
      </c>
      <c r="C22" s="200">
        <v>3255003.5</v>
      </c>
      <c r="D22" s="199">
        <v>6358823.9500000002</v>
      </c>
      <c r="E22" s="200">
        <v>1503946.51</v>
      </c>
      <c r="F22" s="199">
        <v>7862770.46</v>
      </c>
      <c r="G22" s="109">
        <v>1.0682806233644815E-2</v>
      </c>
    </row>
    <row r="23" spans="1:7" ht="20" customHeight="1">
      <c r="A23" s="112" t="s">
        <v>720</v>
      </c>
      <c r="B23" s="201"/>
      <c r="C23" s="201"/>
      <c r="D23" s="201"/>
      <c r="E23" s="201"/>
      <c r="F23" s="201"/>
      <c r="G23" s="202"/>
    </row>
    <row r="24" spans="1:7" ht="20" customHeight="1">
      <c r="A24" s="115"/>
      <c r="B24" s="203"/>
      <c r="C24" s="203"/>
      <c r="D24" s="203"/>
      <c r="E24" s="203"/>
      <c r="F24" s="203"/>
      <c r="G24" s="204"/>
    </row>
    <row r="25" spans="1:7" ht="12.75" customHeight="1">
      <c r="A25" s="205" t="s">
        <v>350</v>
      </c>
      <c r="B25" s="203"/>
      <c r="C25" s="203"/>
      <c r="D25" s="203"/>
      <c r="E25" s="203"/>
      <c r="F25" s="203"/>
      <c r="G25" s="204"/>
    </row>
    <row r="26" spans="1:7" ht="12.75" customHeight="1">
      <c r="A26" s="206" t="s">
        <v>351</v>
      </c>
    </row>
    <row r="28" spans="1:7">
      <c r="A28" s="3" t="s">
        <v>352</v>
      </c>
    </row>
    <row r="31" spans="1:7">
      <c r="A31" s="3" t="s">
        <v>719</v>
      </c>
    </row>
  </sheetData>
  <pageMargins left="0.5" right="0.49" top="1.03" bottom="0.49" header="0.56000000000000005" footer="0.4921259845"/>
  <pageSetup paperSize="9" scale="89" orientation="portrait" horizontalDpi="1200" verticalDpi="12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1EB3-360F-8248-90D3-8E5AB2FA9EEE}">
  <sheetPr>
    <pageSetUpPr fitToPage="1"/>
  </sheetPr>
  <dimension ref="A1:K32"/>
  <sheetViews>
    <sheetView zoomScaleNormal="100" workbookViewId="0">
      <selection activeCell="B22" sqref="B22:F22"/>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8" width="8.59765625" style="3" customWidth="1"/>
    <col min="9" max="16384" width="11.3984375" style="3"/>
  </cols>
  <sheetData>
    <row r="1" spans="1:11" s="2" customFormat="1" ht="14" customHeight="1"/>
    <row r="2" spans="1:11" s="2" customFormat="1" ht="24" customHeight="1">
      <c r="A2" s="180" t="s">
        <v>353</v>
      </c>
      <c r="G2" s="207"/>
    </row>
    <row r="3" spans="1:11" ht="24" customHeight="1">
      <c r="A3" s="92" t="s">
        <v>345</v>
      </c>
      <c r="B3" s="182" t="s">
        <v>346</v>
      </c>
      <c r="C3" s="183" t="s">
        <v>347</v>
      </c>
      <c r="D3" s="182" t="s">
        <v>348</v>
      </c>
      <c r="E3" s="183" t="s">
        <v>354</v>
      </c>
      <c r="F3" s="182" t="s">
        <v>278</v>
      </c>
      <c r="G3" s="94" t="s">
        <v>279</v>
      </c>
    </row>
    <row r="4" spans="1:11" ht="15" customHeight="1">
      <c r="A4" s="184"/>
      <c r="B4" s="185"/>
      <c r="C4" s="186"/>
      <c r="D4" s="185"/>
      <c r="E4" s="187"/>
      <c r="F4" s="185"/>
      <c r="G4" s="95" t="s">
        <v>282</v>
      </c>
    </row>
    <row r="5" spans="1:11" ht="15" customHeight="1">
      <c r="A5" s="184"/>
      <c r="B5" s="185"/>
      <c r="C5" s="186"/>
      <c r="D5" s="185"/>
      <c r="E5" s="187"/>
      <c r="F5" s="185"/>
      <c r="G5" s="95" t="s">
        <v>283</v>
      </c>
    </row>
    <row r="6" spans="1:11" ht="24" customHeight="1">
      <c r="A6" s="188"/>
      <c r="B6" s="189"/>
      <c r="C6" s="190"/>
      <c r="D6" s="189"/>
      <c r="E6" s="191"/>
      <c r="F6" s="189"/>
      <c r="G6" s="97"/>
    </row>
    <row r="7" spans="1:11" ht="2" customHeight="1" thickBot="1">
      <c r="A7" s="192">
        <v>1996</v>
      </c>
      <c r="B7" s="100">
        <v>2760146</v>
      </c>
      <c r="C7" s="193">
        <v>2938608</v>
      </c>
      <c r="D7" s="100">
        <v>5698754</v>
      </c>
      <c r="E7" s="193">
        <v>1496000</v>
      </c>
      <c r="F7" s="100">
        <v>7194754</v>
      </c>
      <c r="G7" s="101">
        <v>4.3855246833913626E-3</v>
      </c>
    </row>
    <row r="8" spans="1:11" ht="0.75" hidden="1" customHeight="1" thickBot="1">
      <c r="A8" s="194">
        <v>1997</v>
      </c>
      <c r="B8" s="195">
        <v>2725064</v>
      </c>
      <c r="C8" s="196">
        <v>2902973</v>
      </c>
      <c r="D8" s="195">
        <v>5628037</v>
      </c>
      <c r="E8" s="196">
        <v>1586768</v>
      </c>
      <c r="F8" s="195">
        <v>7214805</v>
      </c>
      <c r="G8" s="197">
        <v>2.7868916713483186E-3</v>
      </c>
      <c r="I8" s="9"/>
      <c r="J8" s="9"/>
      <c r="K8" s="9"/>
    </row>
    <row r="9" spans="1:11" ht="19.5" hidden="1" customHeight="1" thickBot="1">
      <c r="A9" s="194">
        <v>1998</v>
      </c>
      <c r="B9" s="195">
        <v>2736949</v>
      </c>
      <c r="C9" s="196">
        <v>2915969</v>
      </c>
      <c r="D9" s="195">
        <v>5652918</v>
      </c>
      <c r="E9" s="196">
        <v>1595685</v>
      </c>
      <c r="F9" s="195">
        <v>7248603</v>
      </c>
      <c r="G9" s="197">
        <v>4.6845340934370365E-3</v>
      </c>
    </row>
    <row r="10" spans="1:11" ht="20" hidden="1" customHeight="1" thickBot="1">
      <c r="A10" s="194">
        <v>1999</v>
      </c>
      <c r="B10" s="195">
        <v>2741177</v>
      </c>
      <c r="C10" s="196">
        <v>2926032</v>
      </c>
      <c r="D10" s="195">
        <v>5667209</v>
      </c>
      <c r="E10" s="196">
        <v>1599325</v>
      </c>
      <c r="F10" s="195">
        <v>7266534</v>
      </c>
      <c r="G10" s="197">
        <v>2.4737180391863093E-3</v>
      </c>
    </row>
    <row r="11" spans="1:11" ht="0.5" customHeight="1" thickBot="1">
      <c r="A11" s="194">
        <v>2000</v>
      </c>
      <c r="B11" s="195">
        <v>2746615</v>
      </c>
      <c r="C11" s="196">
        <v>2936748</v>
      </c>
      <c r="D11" s="195">
        <v>5683363</v>
      </c>
      <c r="E11" s="196">
        <v>1584748</v>
      </c>
      <c r="F11" s="195">
        <v>7268111</v>
      </c>
      <c r="G11" s="197">
        <v>2.1702231077429761E-4</v>
      </c>
    </row>
    <row r="12" spans="1:11" ht="20" customHeight="1" thickBot="1">
      <c r="A12" s="194">
        <v>2001</v>
      </c>
      <c r="B12" s="195">
        <v>2775829</v>
      </c>
      <c r="C12" s="196">
        <v>2962533</v>
      </c>
      <c r="D12" s="195">
        <v>5738362</v>
      </c>
      <c r="E12" s="196">
        <v>1582925</v>
      </c>
      <c r="F12" s="195">
        <v>7321287</v>
      </c>
      <c r="G12" s="197">
        <v>7.3163439578729601E-3</v>
      </c>
    </row>
    <row r="13" spans="1:11" ht="20" customHeight="1" thickBot="1">
      <c r="A13" s="194">
        <v>2002</v>
      </c>
      <c r="B13" s="195">
        <v>2798041</v>
      </c>
      <c r="C13" s="196">
        <v>2982916</v>
      </c>
      <c r="D13" s="195">
        <v>5780957</v>
      </c>
      <c r="E13" s="196">
        <v>1578408</v>
      </c>
      <c r="F13" s="195">
        <v>7359365</v>
      </c>
      <c r="G13" s="197">
        <v>5.2009981305199482E-3</v>
      </c>
    </row>
    <row r="14" spans="1:11" ht="19.5" customHeight="1" thickBot="1">
      <c r="A14" s="194">
        <v>2003</v>
      </c>
      <c r="B14" s="195">
        <v>2818135</v>
      </c>
      <c r="C14" s="196">
        <v>3002978</v>
      </c>
      <c r="D14" s="195">
        <v>5821113</v>
      </c>
      <c r="E14" s="196">
        <v>1572075</v>
      </c>
      <c r="F14" s="195">
        <v>7393188</v>
      </c>
      <c r="G14" s="197">
        <v>4.5959128267180661E-3</v>
      </c>
    </row>
    <row r="15" spans="1:11" ht="19.5" customHeight="1" thickBot="1">
      <c r="A15" s="194">
        <v>2004</v>
      </c>
      <c r="B15" s="195">
        <v>2834642</v>
      </c>
      <c r="C15" s="196">
        <v>3021025</v>
      </c>
      <c r="D15" s="195">
        <v>5855667</v>
      </c>
      <c r="E15" s="196">
        <v>1564307</v>
      </c>
      <c r="F15" s="195">
        <v>7419974</v>
      </c>
      <c r="G15" s="197">
        <v>3.623064907858423E-3</v>
      </c>
    </row>
    <row r="16" spans="1:11" ht="19.5" customHeight="1" thickBot="1">
      <c r="A16" s="194">
        <v>2005</v>
      </c>
      <c r="B16" s="195">
        <v>2858735</v>
      </c>
      <c r="C16" s="196">
        <v>3042765</v>
      </c>
      <c r="D16" s="195">
        <v>5901500</v>
      </c>
      <c r="E16" s="196">
        <v>1556975</v>
      </c>
      <c r="F16" s="195">
        <v>7458475</v>
      </c>
      <c r="G16" s="197">
        <v>5.1888321980642083E-3</v>
      </c>
    </row>
    <row r="17" spans="1:7" ht="19.5" customHeight="1" thickBot="1">
      <c r="A17" s="194">
        <v>2006</v>
      </c>
      <c r="B17" s="195">
        <v>2887156</v>
      </c>
      <c r="C17" s="196">
        <v>3068025</v>
      </c>
      <c r="D17" s="195">
        <v>5955181</v>
      </c>
      <c r="E17" s="196">
        <v>1552364</v>
      </c>
      <c r="F17" s="195">
        <v>7507545</v>
      </c>
      <c r="G17" s="197">
        <v>6.5790929110842722E-3</v>
      </c>
    </row>
    <row r="18" spans="1:7" ht="19.5" customHeight="1" thickBot="1">
      <c r="A18" s="194">
        <v>2007</v>
      </c>
      <c r="B18" s="195">
        <v>2927022</v>
      </c>
      <c r="C18" s="196">
        <v>3102846</v>
      </c>
      <c r="D18" s="195">
        <v>6029868</v>
      </c>
      <c r="E18" s="196">
        <v>1547264</v>
      </c>
      <c r="F18" s="195">
        <v>7577132</v>
      </c>
      <c r="G18" s="197">
        <v>9.2689421109031223E-3</v>
      </c>
    </row>
    <row r="19" spans="1:7" ht="19.5" customHeight="1" thickBot="1">
      <c r="A19" s="194">
        <v>2008</v>
      </c>
      <c r="B19" s="195">
        <v>2977802</v>
      </c>
      <c r="C19" s="196">
        <v>3143748</v>
      </c>
      <c r="D19" s="195">
        <v>6121550</v>
      </c>
      <c r="E19" s="196">
        <v>1548061</v>
      </c>
      <c r="F19" s="195">
        <v>7669611</v>
      </c>
      <c r="G19" s="197">
        <v>1.2205013717591306E-2</v>
      </c>
    </row>
    <row r="20" spans="1:7" ht="19.5" customHeight="1" thickBot="1">
      <c r="A20" s="194">
        <v>2009</v>
      </c>
      <c r="B20" s="195">
        <v>3021437</v>
      </c>
      <c r="C20" s="196">
        <v>3181817</v>
      </c>
      <c r="D20" s="195">
        <v>6203254</v>
      </c>
      <c r="E20" s="196">
        <v>1545668</v>
      </c>
      <c r="F20" s="195">
        <v>7748922</v>
      </c>
      <c r="G20" s="197">
        <v>1.0340941672269954E-2</v>
      </c>
    </row>
    <row r="21" spans="1:7" ht="19.5" customHeight="1" thickBot="1">
      <c r="A21" s="194">
        <v>2010</v>
      </c>
      <c r="B21" s="195">
        <v>3060091</v>
      </c>
      <c r="C21" s="196">
        <v>3216359</v>
      </c>
      <c r="D21" s="195">
        <v>6276450</v>
      </c>
      <c r="E21" s="196">
        <v>1546183</v>
      </c>
      <c r="F21" s="195">
        <v>7822633</v>
      </c>
      <c r="G21" s="197">
        <v>9.5124199211193972E-3</v>
      </c>
    </row>
    <row r="22" spans="1:7" ht="23.25" customHeight="1" thickBot="1">
      <c r="A22" s="198">
        <v>2011</v>
      </c>
      <c r="B22" s="199">
        <v>3107638</v>
      </c>
      <c r="C22" s="200">
        <v>3253232</v>
      </c>
      <c r="D22" s="199">
        <v>6360870</v>
      </c>
      <c r="E22" s="200">
        <v>1546149</v>
      </c>
      <c r="F22" s="199">
        <v>7907019</v>
      </c>
      <c r="G22" s="109">
        <v>1.0787416461950805E-2</v>
      </c>
    </row>
    <row r="23" spans="1:7" ht="20" customHeight="1">
      <c r="A23" s="112" t="s">
        <v>720</v>
      </c>
      <c r="B23" s="201"/>
      <c r="C23" s="201"/>
      <c r="D23" s="201"/>
      <c r="E23" s="201"/>
      <c r="F23" s="201"/>
      <c r="G23" s="202"/>
    </row>
    <row r="24" spans="1:7" ht="13.5" customHeight="1">
      <c r="A24" s="115"/>
      <c r="B24" s="203"/>
      <c r="C24" s="203"/>
      <c r="D24" s="203"/>
      <c r="E24" s="203"/>
      <c r="F24" s="203"/>
      <c r="G24" s="204"/>
    </row>
    <row r="25" spans="1:7" ht="12.75" customHeight="1">
      <c r="A25" s="3" t="s">
        <v>355</v>
      </c>
    </row>
    <row r="26" spans="1:7" ht="12.75" customHeight="1">
      <c r="A26" s="206" t="s">
        <v>356</v>
      </c>
    </row>
    <row r="27" spans="1:7" ht="12.75" customHeight="1">
      <c r="A27" s="172" t="s">
        <v>357</v>
      </c>
    </row>
    <row r="28" spans="1:7">
      <c r="A28" s="208"/>
    </row>
    <row r="29" spans="1:7">
      <c r="A29" s="3" t="s">
        <v>358</v>
      </c>
    </row>
    <row r="32" spans="1:7">
      <c r="A32" s="3" t="s">
        <v>719</v>
      </c>
    </row>
  </sheetData>
  <pageMargins left="0.37" right="0.31" top="0.94488188976377963" bottom="0.47244094488188981" header="0.51181102362204722" footer="0.51181102362204722"/>
  <pageSetup paperSize="9" scale="84" orientation="portrait" horizontalDpi="1200" verticalDpi="12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0C60-CF22-3C43-B824-D6AD44496C7C}">
  <sheetPr>
    <pageSetUpPr fitToPage="1"/>
  </sheetPr>
  <dimension ref="A1:F46"/>
  <sheetViews>
    <sheetView zoomScaleNormal="100" workbookViewId="0">
      <selection activeCell="A41" sqref="A41"/>
    </sheetView>
  </sheetViews>
  <sheetFormatPr baseColWidth="10" defaultColWidth="11.3984375" defaultRowHeight="13"/>
  <cols>
    <col min="1" max="1" width="16.3984375" style="3" customWidth="1"/>
    <col min="2" max="5" width="17.3984375" style="3" customWidth="1"/>
    <col min="6" max="6" width="17.3984375" style="227" customWidth="1"/>
    <col min="7" max="8" width="11.3984375" style="3"/>
    <col min="9" max="9" width="14.59765625" style="3" customWidth="1"/>
    <col min="10" max="16384" width="11.3984375" style="3"/>
  </cols>
  <sheetData>
    <row r="1" spans="1:6" s="2" customFormat="1" ht="14" customHeight="1">
      <c r="F1" s="209"/>
    </row>
    <row r="2" spans="1:6" s="2" customFormat="1" ht="26" customHeight="1">
      <c r="A2" s="180" t="s">
        <v>359</v>
      </c>
      <c r="F2" s="207">
        <v>2011</v>
      </c>
    </row>
    <row r="3" spans="1:6" ht="27" customHeight="1">
      <c r="A3" s="92" t="s">
        <v>191</v>
      </c>
      <c r="B3" s="182" t="s">
        <v>346</v>
      </c>
      <c r="C3" s="183" t="s">
        <v>347</v>
      </c>
      <c r="D3" s="182" t="s">
        <v>349</v>
      </c>
      <c r="E3" s="183" t="s">
        <v>278</v>
      </c>
      <c r="F3" s="210" t="s">
        <v>360</v>
      </c>
    </row>
    <row r="4" spans="1:6" ht="12" customHeight="1">
      <c r="A4" s="95"/>
      <c r="B4" s="211"/>
      <c r="C4" s="95"/>
      <c r="D4" s="211"/>
      <c r="E4" s="95"/>
      <c r="F4" s="212" t="s">
        <v>361</v>
      </c>
    </row>
    <row r="5" spans="1:6" ht="30.75" customHeight="1">
      <c r="A5" s="97"/>
      <c r="B5" s="213"/>
      <c r="C5" s="97"/>
      <c r="D5" s="213"/>
      <c r="E5" s="97"/>
      <c r="F5" s="214" t="s">
        <v>283</v>
      </c>
    </row>
    <row r="6" spans="1:6" ht="30" customHeight="1" thickBot="1">
      <c r="A6" s="99" t="s">
        <v>362</v>
      </c>
      <c r="B6" s="215">
        <v>549838</v>
      </c>
      <c r="C6" s="216">
        <v>573254</v>
      </c>
      <c r="D6" s="215">
        <v>259563</v>
      </c>
      <c r="E6" s="216">
        <v>1382655</v>
      </c>
      <c r="F6" s="217">
        <v>1.4028325071670844E-2</v>
      </c>
    </row>
    <row r="7" spans="1:6" ht="20" customHeight="1" thickBot="1">
      <c r="A7" s="103" t="s">
        <v>363</v>
      </c>
      <c r="B7" s="218">
        <v>386911</v>
      </c>
      <c r="C7" s="219">
        <v>415475</v>
      </c>
      <c r="D7" s="218">
        <v>181961</v>
      </c>
      <c r="E7" s="219">
        <v>984347</v>
      </c>
      <c r="F7" s="220">
        <v>4.3824205246252301E-3</v>
      </c>
    </row>
    <row r="8" spans="1:6" ht="20" customHeight="1" thickBot="1">
      <c r="A8" s="103" t="s">
        <v>364</v>
      </c>
      <c r="B8" s="218">
        <v>149946</v>
      </c>
      <c r="C8" s="219">
        <v>155120</v>
      </c>
      <c r="D8" s="218">
        <v>77314</v>
      </c>
      <c r="E8" s="219">
        <v>382380</v>
      </c>
      <c r="F8" s="220">
        <v>1.2136211437419719E-2</v>
      </c>
    </row>
    <row r="9" spans="1:6" ht="20" customHeight="1" thickBot="1">
      <c r="A9" s="103" t="s">
        <v>365</v>
      </c>
      <c r="B9" s="218">
        <v>14259</v>
      </c>
      <c r="C9" s="219">
        <v>14180</v>
      </c>
      <c r="D9" s="218">
        <v>7172</v>
      </c>
      <c r="E9" s="219">
        <v>35611</v>
      </c>
      <c r="F9" s="220">
        <v>1.9695562871049344E-3</v>
      </c>
    </row>
    <row r="10" spans="1:6" ht="20" customHeight="1" thickBot="1">
      <c r="A10" s="103" t="s">
        <v>366</v>
      </c>
      <c r="B10" s="218">
        <v>60485</v>
      </c>
      <c r="C10" s="219">
        <v>58093</v>
      </c>
      <c r="D10" s="218">
        <v>29655</v>
      </c>
      <c r="E10" s="219">
        <v>148233</v>
      </c>
      <c r="F10" s="220">
        <v>8.5181077826386176E-3</v>
      </c>
    </row>
    <row r="11" spans="1:6" ht="20" customHeight="1" thickBot="1">
      <c r="A11" s="103" t="s">
        <v>367</v>
      </c>
      <c r="B11" s="218">
        <v>14631</v>
      </c>
      <c r="C11" s="219">
        <v>14325</v>
      </c>
      <c r="D11" s="218">
        <v>7394</v>
      </c>
      <c r="E11" s="219">
        <v>36350</v>
      </c>
      <c r="F11" s="220">
        <v>7.1204942786688985E-3</v>
      </c>
    </row>
    <row r="12" spans="1:6" ht="20" customHeight="1" thickBot="1">
      <c r="A12" s="103" t="s">
        <v>368</v>
      </c>
      <c r="B12" s="218">
        <v>16900</v>
      </c>
      <c r="C12" s="219">
        <v>16544</v>
      </c>
      <c r="D12" s="218">
        <v>7632</v>
      </c>
      <c r="E12" s="219">
        <v>41076</v>
      </c>
      <c r="F12" s="220">
        <v>7.4313884188066393E-3</v>
      </c>
    </row>
    <row r="13" spans="1:6" ht="20" customHeight="1" thickBot="1">
      <c r="A13" s="103" t="s">
        <v>369</v>
      </c>
      <c r="B13" s="218">
        <v>16047</v>
      </c>
      <c r="C13" s="219">
        <v>15887</v>
      </c>
      <c r="D13" s="218">
        <v>7433</v>
      </c>
      <c r="E13" s="219">
        <v>39367</v>
      </c>
      <c r="F13" s="220">
        <v>9.3843747596216165E-3</v>
      </c>
    </row>
    <row r="14" spans="1:6" ht="20" customHeight="1" thickBot="1">
      <c r="A14" s="103" t="s">
        <v>370</v>
      </c>
      <c r="B14" s="218">
        <v>46698</v>
      </c>
      <c r="C14" s="219">
        <v>45915</v>
      </c>
      <c r="D14" s="218">
        <v>22534</v>
      </c>
      <c r="E14" s="219">
        <v>115147</v>
      </c>
      <c r="F14" s="220">
        <v>2.0942501219133769E-2</v>
      </c>
    </row>
    <row r="15" spans="1:6" ht="20" customHeight="1" thickBot="1">
      <c r="A15" s="103" t="s">
        <v>371</v>
      </c>
      <c r="B15" s="218">
        <v>109246</v>
      </c>
      <c r="C15" s="219">
        <v>111364</v>
      </c>
      <c r="D15" s="218">
        <v>64305</v>
      </c>
      <c r="E15" s="219">
        <v>284915</v>
      </c>
      <c r="F15" s="220">
        <v>2.2990032745447309E-2</v>
      </c>
    </row>
    <row r="16" spans="1:6" ht="20" customHeight="1" thickBot="1">
      <c r="A16" s="103" t="s">
        <v>372</v>
      </c>
      <c r="B16" s="218">
        <v>103243</v>
      </c>
      <c r="C16" s="219">
        <v>107103</v>
      </c>
      <c r="D16" s="218">
        <v>48495</v>
      </c>
      <c r="E16" s="219">
        <v>258841</v>
      </c>
      <c r="F16" s="220">
        <v>7.0928884358294475E-3</v>
      </c>
    </row>
    <row r="17" spans="1:6" ht="20" customHeight="1" thickBot="1">
      <c r="A17" s="103" t="s">
        <v>373</v>
      </c>
      <c r="B17" s="218">
        <v>70996</v>
      </c>
      <c r="C17" s="219">
        <v>80440</v>
      </c>
      <c r="D17" s="218">
        <v>28736</v>
      </c>
      <c r="E17" s="219">
        <v>180172</v>
      </c>
      <c r="F17" s="220">
        <v>9.5083345006303777E-3</v>
      </c>
    </row>
    <row r="18" spans="1:6" ht="20" customHeight="1" thickBot="1">
      <c r="A18" s="103" t="s">
        <v>374</v>
      </c>
      <c r="B18" s="218">
        <v>107829</v>
      </c>
      <c r="C18" s="219">
        <v>115152</v>
      </c>
      <c r="D18" s="218">
        <v>50583</v>
      </c>
      <c r="E18" s="219">
        <v>273564</v>
      </c>
      <c r="F18" s="220">
        <v>5.9985369422088652E-4</v>
      </c>
    </row>
    <row r="19" spans="1:6" ht="20" customHeight="1" thickBot="1">
      <c r="A19" s="103" t="s">
        <v>375</v>
      </c>
      <c r="B19" s="218">
        <v>30566</v>
      </c>
      <c r="C19" s="219">
        <v>32401</v>
      </c>
      <c r="D19" s="218">
        <v>14046</v>
      </c>
      <c r="E19" s="219">
        <v>77013</v>
      </c>
      <c r="F19" s="220">
        <v>1.2010670311042304E-2</v>
      </c>
    </row>
    <row r="20" spans="1:6" ht="20" customHeight="1" thickBot="1">
      <c r="A20" s="103" t="s">
        <v>376</v>
      </c>
      <c r="B20" s="218">
        <v>21614</v>
      </c>
      <c r="C20" s="219">
        <v>21747</v>
      </c>
      <c r="D20" s="218">
        <v>10709</v>
      </c>
      <c r="E20" s="219">
        <v>54070</v>
      </c>
      <c r="F20" s="220">
        <v>7.6407007081624734E-3</v>
      </c>
    </row>
    <row r="21" spans="1:6" ht="20" customHeight="1" thickBot="1">
      <c r="A21" s="103" t="s">
        <v>377</v>
      </c>
      <c r="B21" s="218">
        <v>6301</v>
      </c>
      <c r="C21" s="219">
        <v>6013</v>
      </c>
      <c r="D21" s="218">
        <v>3501</v>
      </c>
      <c r="E21" s="219">
        <v>15815</v>
      </c>
      <c r="F21" s="220">
        <v>3.0443331007801167E-3</v>
      </c>
    </row>
    <row r="22" spans="1:6" ht="20" customHeight="1" thickBot="1">
      <c r="A22" s="103" t="s">
        <v>378</v>
      </c>
      <c r="B22" s="218">
        <v>190464</v>
      </c>
      <c r="C22" s="219">
        <v>194893</v>
      </c>
      <c r="D22" s="218">
        <v>98539</v>
      </c>
      <c r="E22" s="219">
        <v>483896</v>
      </c>
      <c r="F22" s="220">
        <v>1.0210749365872962E-2</v>
      </c>
    </row>
    <row r="23" spans="1:6" ht="20" customHeight="1" thickBot="1">
      <c r="A23" s="103" t="s">
        <v>379</v>
      </c>
      <c r="B23" s="218">
        <v>81566</v>
      </c>
      <c r="C23" s="219">
        <v>82320</v>
      </c>
      <c r="D23" s="218">
        <v>34788</v>
      </c>
      <c r="E23" s="219">
        <v>198674</v>
      </c>
      <c r="F23" s="220">
        <v>-1.3220265712260426E-3</v>
      </c>
    </row>
    <row r="24" spans="1:6" ht="20" customHeight="1" thickBot="1">
      <c r="A24" s="103" t="s">
        <v>380</v>
      </c>
      <c r="B24" s="218">
        <v>247510</v>
      </c>
      <c r="C24" s="219">
        <v>251367</v>
      </c>
      <c r="D24" s="218">
        <v>122658</v>
      </c>
      <c r="E24" s="219">
        <v>621535</v>
      </c>
      <c r="F24" s="220">
        <v>1.6192769823635489E-2</v>
      </c>
    </row>
    <row r="25" spans="1:6" ht="20" customHeight="1" thickBot="1">
      <c r="A25" s="103" t="s">
        <v>381</v>
      </c>
      <c r="B25" s="218">
        <v>100183</v>
      </c>
      <c r="C25" s="219">
        <v>100379</v>
      </c>
      <c r="D25" s="218">
        <v>51370</v>
      </c>
      <c r="E25" s="219">
        <v>251932</v>
      </c>
      <c r="F25" s="220">
        <v>1.6211332201215845E-2</v>
      </c>
    </row>
    <row r="26" spans="1:6" ht="20" customHeight="1" thickBot="1">
      <c r="A26" s="103" t="s">
        <v>382</v>
      </c>
      <c r="B26" s="218">
        <v>131152</v>
      </c>
      <c r="C26" s="219">
        <v>143447</v>
      </c>
      <c r="D26" s="218">
        <v>60768</v>
      </c>
      <c r="E26" s="219">
        <v>335367</v>
      </c>
      <c r="F26" s="220">
        <v>8.4982002219275987E-3</v>
      </c>
    </row>
    <row r="27" spans="1:6" ht="20" customHeight="1" thickBot="1">
      <c r="A27" s="103" t="s">
        <v>383</v>
      </c>
      <c r="B27" s="218">
        <v>268369</v>
      </c>
      <c r="C27" s="219">
        <v>289786</v>
      </c>
      <c r="D27" s="218">
        <v>152252</v>
      </c>
      <c r="E27" s="219">
        <v>710407</v>
      </c>
      <c r="F27" s="220">
        <v>1.5653548890712576E-2</v>
      </c>
    </row>
    <row r="28" spans="1:6" ht="20" customHeight="1" thickBot="1">
      <c r="A28" s="103" t="s">
        <v>384</v>
      </c>
      <c r="B28" s="218">
        <v>127476</v>
      </c>
      <c r="C28" s="219">
        <v>131192</v>
      </c>
      <c r="D28" s="218">
        <v>62883</v>
      </c>
      <c r="E28" s="219">
        <v>321551</v>
      </c>
      <c r="F28" s="220">
        <v>1.361783684444462E-2</v>
      </c>
    </row>
    <row r="29" spans="1:6" ht="20" customHeight="1" thickBot="1">
      <c r="A29" s="103" t="s">
        <v>385</v>
      </c>
      <c r="B29" s="218">
        <v>66014</v>
      </c>
      <c r="C29" s="219">
        <v>71512</v>
      </c>
      <c r="D29" s="218">
        <v>36214</v>
      </c>
      <c r="E29" s="219">
        <v>173740</v>
      </c>
      <c r="F29" s="220">
        <v>4.887359379970535E-3</v>
      </c>
    </row>
    <row r="30" spans="1:6" ht="20" customHeight="1" thickBot="1">
      <c r="A30" s="103" t="s">
        <v>386</v>
      </c>
      <c r="B30" s="218">
        <v>159857</v>
      </c>
      <c r="C30" s="219">
        <v>175862</v>
      </c>
      <c r="D30" s="218">
        <v>90107</v>
      </c>
      <c r="E30" s="219">
        <v>425826</v>
      </c>
      <c r="F30" s="220">
        <v>8.234915283131361E-3</v>
      </c>
    </row>
    <row r="31" spans="1:6" ht="22" customHeight="1" thickBot="1">
      <c r="A31" s="145" t="s">
        <v>387</v>
      </c>
      <c r="B31" s="148">
        <v>27244</v>
      </c>
      <c r="C31" s="147">
        <v>28662</v>
      </c>
      <c r="D31" s="148">
        <v>15196</v>
      </c>
      <c r="E31" s="147">
        <v>71102</v>
      </c>
      <c r="F31" s="221">
        <v>5.4726719932121082E-3</v>
      </c>
    </row>
    <row r="32" spans="1:6" ht="21.75" customHeight="1" thickBot="1">
      <c r="A32" s="145" t="s">
        <v>388</v>
      </c>
      <c r="B32" s="148">
        <v>3105345</v>
      </c>
      <c r="C32" s="147">
        <v>3252433</v>
      </c>
      <c r="D32" s="148">
        <v>1545808</v>
      </c>
      <c r="E32" s="147">
        <v>7903586</v>
      </c>
      <c r="F32" s="221">
        <v>1.0927517023522126E-2</v>
      </c>
    </row>
    <row r="33" spans="1:6" ht="18.75" customHeight="1" thickBot="1">
      <c r="A33" s="222" t="s">
        <v>389</v>
      </c>
      <c r="B33" s="148">
        <v>2293</v>
      </c>
      <c r="C33" s="147">
        <v>799</v>
      </c>
      <c r="D33" s="148">
        <v>341</v>
      </c>
      <c r="E33" s="147">
        <v>3433</v>
      </c>
      <c r="F33" s="221">
        <v>-0.23370535714285712</v>
      </c>
    </row>
    <row r="34" spans="1:6" ht="0.5" customHeight="1" thickBot="1">
      <c r="A34" s="145" t="s">
        <v>390</v>
      </c>
      <c r="B34" s="148">
        <v>0</v>
      </c>
      <c r="C34" s="147">
        <v>0</v>
      </c>
      <c r="D34" s="148">
        <v>0</v>
      </c>
      <c r="E34" s="147" t="s">
        <v>721</v>
      </c>
      <c r="F34" s="221" t="e">
        <v>#VALUE!</v>
      </c>
    </row>
    <row r="35" spans="1:6" s="110" customFormat="1" ht="30" customHeight="1" thickBot="1">
      <c r="A35" s="223" t="s">
        <v>391</v>
      </c>
      <c r="B35" s="224">
        <v>3107638</v>
      </c>
      <c r="C35" s="225">
        <v>3253232</v>
      </c>
      <c r="D35" s="224">
        <v>1546149</v>
      </c>
      <c r="E35" s="168">
        <v>7907019</v>
      </c>
      <c r="F35" s="226">
        <v>1.0787416461950805E-2</v>
      </c>
    </row>
    <row r="36" spans="1:6" ht="17.5" customHeight="1">
      <c r="A36" s="115" t="s">
        <v>720</v>
      </c>
    </row>
    <row r="38" spans="1:6">
      <c r="A38" s="115" t="s">
        <v>392</v>
      </c>
    </row>
    <row r="39" spans="1:6">
      <c r="A39" s="228" t="s">
        <v>393</v>
      </c>
    </row>
    <row r="40" spans="1:6">
      <c r="A40" s="115" t="s">
        <v>394</v>
      </c>
    </row>
    <row r="41" spans="1:6">
      <c r="A41" s="115" t="s">
        <v>395</v>
      </c>
    </row>
    <row r="43" spans="1:6">
      <c r="A43" s="3" t="s">
        <v>396</v>
      </c>
    </row>
    <row r="46" spans="1:6">
      <c r="A46" s="173" t="s">
        <v>719</v>
      </c>
    </row>
  </sheetData>
  <pageMargins left="0.62" right="0.52" top="0.74803149606299213" bottom="0.47244094488188981" header="0.43307086614173229" footer="0.31496062992125984"/>
  <pageSetup paperSize="9" scale="89" orientation="portrait" horizontalDpi="1200" verticalDpi="12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3BB5-9874-3B4B-B4F1-FC209AC5D919}">
  <sheetPr>
    <pageSetUpPr fitToPage="1"/>
  </sheetPr>
  <dimension ref="A1:J49"/>
  <sheetViews>
    <sheetView topLeftCell="A21" zoomScaleNormal="100" workbookViewId="0">
      <selection activeCell="H36" sqref="H36"/>
    </sheetView>
  </sheetViews>
  <sheetFormatPr baseColWidth="10" defaultColWidth="11.3984375" defaultRowHeight="13"/>
  <cols>
    <col min="1" max="1" width="18.19921875" style="3" customWidth="1"/>
    <col min="2" max="6" width="22.59765625" style="3" customWidth="1"/>
    <col min="7" max="16384" width="11.3984375" style="3"/>
  </cols>
  <sheetData>
    <row r="1" spans="1:10" s="2" customFormat="1" ht="14" customHeight="1"/>
    <row r="2" spans="1:10" s="2" customFormat="1" ht="28" customHeight="1">
      <c r="A2" s="180" t="s">
        <v>2243</v>
      </c>
      <c r="C2" s="565"/>
      <c r="D2" s="565"/>
    </row>
    <row r="3" spans="1:10" ht="24" customHeight="1">
      <c r="A3" s="92" t="s">
        <v>398</v>
      </c>
      <c r="B3" s="1066" t="s">
        <v>2244</v>
      </c>
      <c r="C3" s="1296" t="s">
        <v>2244</v>
      </c>
      <c r="D3" s="1066" t="s">
        <v>221</v>
      </c>
      <c r="E3" s="1392" t="s">
        <v>221</v>
      </c>
      <c r="F3" s="1066" t="s">
        <v>1842</v>
      </c>
    </row>
    <row r="4" spans="1:10" ht="18" customHeight="1">
      <c r="A4" s="184"/>
      <c r="B4" s="1067" t="s">
        <v>221</v>
      </c>
      <c r="C4" s="1296" t="s">
        <v>221</v>
      </c>
      <c r="D4" s="1067" t="s">
        <v>2245</v>
      </c>
      <c r="E4" s="1393" t="s">
        <v>2246</v>
      </c>
      <c r="F4" s="1067" t="s">
        <v>2247</v>
      </c>
    </row>
    <row r="5" spans="1:10" ht="18.75" customHeight="1">
      <c r="A5" s="184"/>
      <c r="B5" s="1067" t="s">
        <v>2248</v>
      </c>
      <c r="C5" s="1296" t="s">
        <v>2249</v>
      </c>
      <c r="D5" s="1067" t="s">
        <v>2250</v>
      </c>
      <c r="E5" s="1393" t="s">
        <v>2250</v>
      </c>
      <c r="F5" s="1067" t="s">
        <v>2251</v>
      </c>
    </row>
    <row r="6" spans="1:10" ht="24" customHeight="1">
      <c r="A6" s="188"/>
      <c r="B6" s="189"/>
      <c r="C6" s="190"/>
      <c r="D6" s="189"/>
      <c r="E6" s="1448"/>
      <c r="F6" s="189"/>
    </row>
    <row r="7" spans="1:10" ht="22.25" customHeight="1" thickBot="1">
      <c r="A7" s="192">
        <v>1996</v>
      </c>
      <c r="B7" s="100">
        <v>7232667</v>
      </c>
      <c r="C7" s="193">
        <v>7170504.333333333</v>
      </c>
      <c r="D7" s="100" t="s">
        <v>30</v>
      </c>
      <c r="E7" s="945">
        <v>7194754</v>
      </c>
      <c r="F7" s="100">
        <v>7105446</v>
      </c>
    </row>
    <row r="8" spans="1:10" ht="20.5" customHeight="1" thickBot="1">
      <c r="A8" s="194">
        <v>1997</v>
      </c>
      <c r="B8" s="195">
        <v>7236471</v>
      </c>
      <c r="C8" s="196">
        <v>7182491.833333334</v>
      </c>
      <c r="D8" s="195" t="s">
        <v>30</v>
      </c>
      <c r="E8" s="1449">
        <v>7214805</v>
      </c>
      <c r="F8" s="195">
        <v>7113565</v>
      </c>
      <c r="H8" s="9"/>
      <c r="I8" s="9"/>
      <c r="J8" s="9"/>
    </row>
    <row r="9" spans="1:10" ht="19.75" customHeight="1" thickBot="1">
      <c r="A9" s="194">
        <v>1998</v>
      </c>
      <c r="B9" s="195">
        <v>7246616</v>
      </c>
      <c r="C9" s="196">
        <v>7211591.916666666</v>
      </c>
      <c r="D9" s="195" t="s">
        <v>30</v>
      </c>
      <c r="E9" s="1449">
        <v>7248603</v>
      </c>
      <c r="F9" s="195">
        <v>7131888</v>
      </c>
    </row>
    <row r="10" spans="1:10" ht="20" customHeight="1" thickBot="1">
      <c r="A10" s="194">
        <v>1999</v>
      </c>
      <c r="B10" s="195">
        <v>7270522</v>
      </c>
      <c r="C10" s="196">
        <v>7248704.333333334</v>
      </c>
      <c r="D10" s="195" t="s">
        <v>30</v>
      </c>
      <c r="E10" s="1449">
        <v>7266534</v>
      </c>
      <c r="F10" s="195">
        <v>7166738</v>
      </c>
    </row>
    <row r="11" spans="1:10" ht="20" customHeight="1" thickBot="1">
      <c r="A11" s="194">
        <v>2000</v>
      </c>
      <c r="B11" s="195">
        <v>7265113</v>
      </c>
      <c r="C11" s="196">
        <v>7262246.833333333</v>
      </c>
      <c r="D11" s="195" t="s">
        <v>30</v>
      </c>
      <c r="E11" s="1449">
        <v>7268111</v>
      </c>
      <c r="F11" s="195">
        <v>7209042</v>
      </c>
    </row>
    <row r="12" spans="1:10" ht="20" customHeight="1" thickBot="1">
      <c r="A12" s="194">
        <v>2001</v>
      </c>
      <c r="B12" s="195">
        <v>7301050</v>
      </c>
      <c r="C12" s="196">
        <v>7296058.5199999996</v>
      </c>
      <c r="D12" s="195" t="s">
        <v>30</v>
      </c>
      <c r="E12" s="1449">
        <v>7321287</v>
      </c>
      <c r="F12" s="195">
        <v>7260339</v>
      </c>
    </row>
    <row r="13" spans="1:10" ht="20" customHeight="1" thickBot="1">
      <c r="A13" s="194">
        <v>2002</v>
      </c>
      <c r="B13" s="195">
        <v>7344632</v>
      </c>
      <c r="C13" s="196">
        <v>7341111.2499999991</v>
      </c>
      <c r="D13" s="195" t="s">
        <v>30</v>
      </c>
      <c r="E13" s="1449">
        <v>7359365</v>
      </c>
      <c r="F13" s="195">
        <v>7347770</v>
      </c>
    </row>
    <row r="14" spans="1:10" ht="20" customHeight="1" thickBot="1">
      <c r="A14" s="194">
        <v>2003</v>
      </c>
      <c r="B14" s="195">
        <v>7372505</v>
      </c>
      <c r="C14" s="196">
        <v>7377771.6699999999</v>
      </c>
      <c r="D14" s="195" t="s">
        <v>30</v>
      </c>
      <c r="E14" s="1449">
        <v>7393188</v>
      </c>
      <c r="F14" s="195">
        <v>7405051</v>
      </c>
    </row>
    <row r="15" spans="1:10" ht="20" customHeight="1" thickBot="1">
      <c r="A15" s="194">
        <v>2004</v>
      </c>
      <c r="B15" s="195">
        <v>7383574</v>
      </c>
      <c r="C15" s="196">
        <v>7411732</v>
      </c>
      <c r="D15" s="195" t="s">
        <v>30</v>
      </c>
      <c r="E15" s="1449">
        <v>7419974</v>
      </c>
      <c r="F15" s="195">
        <v>7454112</v>
      </c>
    </row>
    <row r="16" spans="1:10" ht="20" customHeight="1" thickBot="1">
      <c r="A16" s="194">
        <v>2005</v>
      </c>
      <c r="B16" s="195">
        <v>7435865</v>
      </c>
      <c r="C16" s="196">
        <v>7444739</v>
      </c>
      <c r="D16" s="195">
        <v>7426709</v>
      </c>
      <c r="E16" s="1449">
        <v>7458475</v>
      </c>
      <c r="F16" s="195">
        <v>7501255</v>
      </c>
    </row>
    <row r="17" spans="1:6" ht="20" customHeight="1" thickBot="1">
      <c r="A17" s="194">
        <v>2006</v>
      </c>
      <c r="B17" s="195">
        <v>7478426.8300000001</v>
      </c>
      <c r="C17" s="196">
        <v>7488730</v>
      </c>
      <c r="D17" s="195">
        <v>7470156</v>
      </c>
      <c r="E17" s="1449">
        <v>7507545</v>
      </c>
      <c r="F17" s="195">
        <v>7557609</v>
      </c>
    </row>
    <row r="18" spans="1:6" ht="20" customHeight="1" thickBot="1">
      <c r="A18" s="194">
        <v>2007</v>
      </c>
      <c r="B18" s="195">
        <v>7537587.4100000001</v>
      </c>
      <c r="C18" s="196">
        <v>7517067</v>
      </c>
      <c r="D18" s="195">
        <v>7548213</v>
      </c>
      <c r="E18" s="1449">
        <v>7577132</v>
      </c>
      <c r="F18" s="195">
        <v>7618599</v>
      </c>
    </row>
    <row r="19" spans="1:6" ht="20" customHeight="1" thickBot="1">
      <c r="A19" s="194">
        <v>2008</v>
      </c>
      <c r="B19" s="195">
        <v>7615563.3600000003</v>
      </c>
      <c r="C19" s="196">
        <v>7602868</v>
      </c>
      <c r="D19" s="195">
        <v>7611232</v>
      </c>
      <c r="E19" s="1449">
        <v>7669611</v>
      </c>
      <c r="F19" s="195">
        <v>7711056</v>
      </c>
    </row>
    <row r="20" spans="1:6" ht="20" customHeight="1" thickBot="1">
      <c r="A20" s="194">
        <v>2009</v>
      </c>
      <c r="B20" s="195">
        <v>7708851.5500000007</v>
      </c>
      <c r="C20" s="196">
        <v>7692449</v>
      </c>
      <c r="D20" s="195">
        <v>7717311</v>
      </c>
      <c r="E20" s="1449">
        <v>7748922</v>
      </c>
      <c r="F20" s="195">
        <v>7801278</v>
      </c>
    </row>
    <row r="21" spans="1:6" ht="20" customHeight="1" thickBot="1">
      <c r="A21" s="194">
        <v>2010</v>
      </c>
      <c r="B21" s="195">
        <v>7779661.8399999999</v>
      </c>
      <c r="C21" s="196">
        <v>7764759</v>
      </c>
      <c r="D21" s="195">
        <v>7783558.0800000001</v>
      </c>
      <c r="E21" s="1449">
        <v>7822633</v>
      </c>
      <c r="F21" s="195">
        <v>7877571</v>
      </c>
    </row>
    <row r="22" spans="1:6" ht="30" customHeight="1" thickBot="1">
      <c r="A22" s="198">
        <v>2011</v>
      </c>
      <c r="B22" s="199">
        <v>7862770.46</v>
      </c>
      <c r="C22" s="200">
        <v>7840441</v>
      </c>
      <c r="D22" s="199">
        <v>7932245</v>
      </c>
      <c r="E22" s="1450">
        <v>7907019.0999999996</v>
      </c>
      <c r="F22" s="199">
        <v>7912398</v>
      </c>
    </row>
    <row r="23" spans="1:6" ht="20" customHeight="1">
      <c r="A23" s="112" t="s">
        <v>2399</v>
      </c>
      <c r="B23" s="201"/>
      <c r="C23" s="201"/>
      <c r="D23" s="201"/>
      <c r="E23" s="201"/>
      <c r="F23" s="201"/>
    </row>
    <row r="24" spans="1:6" ht="12.75" customHeight="1">
      <c r="A24" s="115"/>
      <c r="B24" s="203"/>
      <c r="C24" s="203"/>
      <c r="D24" s="203"/>
      <c r="E24" s="203"/>
      <c r="F24" s="203"/>
    </row>
    <row r="25" spans="1:6" ht="12.75" customHeight="1">
      <c r="A25" s="205" t="s">
        <v>2252</v>
      </c>
      <c r="B25" s="203"/>
      <c r="C25" s="203"/>
      <c r="D25" s="203"/>
      <c r="E25" s="203"/>
      <c r="F25" s="203"/>
    </row>
    <row r="26" spans="1:6" ht="12" customHeight="1">
      <c r="A26" s="1084" t="s">
        <v>2253</v>
      </c>
    </row>
    <row r="27" spans="1:6" ht="12" customHeight="1">
      <c r="A27" s="228" t="s">
        <v>1811</v>
      </c>
    </row>
    <row r="28" spans="1:6" ht="12" customHeight="1">
      <c r="A28" s="115" t="s">
        <v>2254</v>
      </c>
    </row>
    <row r="29" spans="1:6" ht="12" customHeight="1">
      <c r="A29" s="3" t="s">
        <v>2255</v>
      </c>
    </row>
    <row r="30" spans="1:6" ht="12" customHeight="1">
      <c r="A30" s="3" t="s">
        <v>1814</v>
      </c>
    </row>
    <row r="31" spans="1:6" ht="12" customHeight="1">
      <c r="A31" s="3" t="s">
        <v>2256</v>
      </c>
    </row>
    <row r="32" spans="1:6" ht="12" customHeight="1">
      <c r="A32" s="3" t="s">
        <v>1816</v>
      </c>
    </row>
    <row r="33" spans="1:1" ht="12" customHeight="1">
      <c r="A33" s="1085" t="s">
        <v>1817</v>
      </c>
    </row>
    <row r="34" spans="1:1" ht="12" customHeight="1">
      <c r="A34" s="3" t="s">
        <v>1818</v>
      </c>
    </row>
    <row r="35" spans="1:1" ht="12" customHeight="1">
      <c r="A35" s="1085" t="s">
        <v>1819</v>
      </c>
    </row>
    <row r="36" spans="1:1" ht="12" customHeight="1">
      <c r="A36" s="1085" t="s">
        <v>1820</v>
      </c>
    </row>
    <row r="37" spans="1:1" ht="12" customHeight="1">
      <c r="A37" s="1085" t="s">
        <v>1821</v>
      </c>
    </row>
    <row r="38" spans="1:1" ht="13.75" customHeight="1">
      <c r="A38" s="1084" t="s">
        <v>2257</v>
      </c>
    </row>
    <row r="39" spans="1:1" ht="13.25" customHeight="1">
      <c r="A39" s="1086" t="s">
        <v>2258</v>
      </c>
    </row>
    <row r="40" spans="1:1" ht="14.5" customHeight="1">
      <c r="A40" s="310" t="s">
        <v>2259</v>
      </c>
    </row>
    <row r="41" spans="1:1" ht="13.75" customHeight="1">
      <c r="A41" s="310" t="s">
        <v>2260</v>
      </c>
    </row>
    <row r="42" spans="1:1" ht="13.25" customHeight="1">
      <c r="A42" s="310" t="s">
        <v>2261</v>
      </c>
    </row>
    <row r="43" spans="1:1" ht="13.75" customHeight="1">
      <c r="A43" s="205" t="s">
        <v>2262</v>
      </c>
    </row>
    <row r="44" spans="1:1" ht="15" customHeight="1">
      <c r="A44" s="115" t="s">
        <v>2263</v>
      </c>
    </row>
    <row r="46" spans="1:1">
      <c r="A46" s="3" t="s">
        <v>2264</v>
      </c>
    </row>
    <row r="49" spans="1:1">
      <c r="A49" s="3" t="s">
        <v>719</v>
      </c>
    </row>
  </sheetData>
  <pageMargins left="0.44" right="0.28000000000000003" top="0.70866141732283472" bottom="0.47244094488188981" header="0.55118110236220474" footer="0.51181102362204722"/>
  <pageSetup paperSize="9" scale="68" orientation="portrait" horizontalDpi="1200" verticalDpi="12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3559-12BB-B84A-831C-B9C3A65A2A3D}">
  <sheetPr>
    <pageSetUpPr fitToPage="1"/>
  </sheetPr>
  <dimension ref="A1:G30"/>
  <sheetViews>
    <sheetView zoomScaleNormal="100" workbookViewId="0">
      <selection activeCell="E23" sqref="E23"/>
    </sheetView>
  </sheetViews>
  <sheetFormatPr baseColWidth="10" defaultColWidth="11.3984375" defaultRowHeight="13"/>
  <cols>
    <col min="1" max="1" width="18.19921875" style="3" customWidth="1"/>
    <col min="2" max="7" width="14.59765625" style="3" customWidth="1"/>
    <col min="8" max="16384" width="11.3984375" style="3"/>
  </cols>
  <sheetData>
    <row r="1" spans="1:7" s="2" customFormat="1" ht="14" customHeight="1"/>
    <row r="2" spans="1:7" s="2" customFormat="1" ht="28" customHeight="1">
      <c r="A2" s="180" t="s">
        <v>397</v>
      </c>
      <c r="G2" s="207"/>
    </row>
    <row r="3" spans="1:7" ht="24" customHeight="1">
      <c r="A3" s="92" t="s">
        <v>398</v>
      </c>
      <c r="B3" s="182" t="s">
        <v>399</v>
      </c>
      <c r="C3" s="183" t="s">
        <v>400</v>
      </c>
      <c r="D3" s="182" t="s">
        <v>401</v>
      </c>
      <c r="E3" s="229" t="s">
        <v>402</v>
      </c>
      <c r="F3" s="182" t="s">
        <v>278</v>
      </c>
      <c r="G3" s="94" t="s">
        <v>279</v>
      </c>
    </row>
    <row r="4" spans="1:7" ht="15" customHeight="1">
      <c r="A4" s="184"/>
      <c r="B4" s="185" t="s">
        <v>403</v>
      </c>
      <c r="C4" s="186" t="s">
        <v>404</v>
      </c>
      <c r="D4" s="185" t="s">
        <v>405</v>
      </c>
      <c r="E4" s="187" t="s">
        <v>406</v>
      </c>
      <c r="F4" s="185"/>
      <c r="G4" s="95" t="s">
        <v>282</v>
      </c>
    </row>
    <row r="5" spans="1:7" ht="15" customHeight="1">
      <c r="A5" s="184"/>
      <c r="B5" s="185" t="s">
        <v>407</v>
      </c>
      <c r="C5" s="186" t="s">
        <v>408</v>
      </c>
      <c r="D5" s="185"/>
      <c r="E5" s="187" t="s">
        <v>409</v>
      </c>
      <c r="F5" s="185"/>
      <c r="G5" s="95" t="s">
        <v>283</v>
      </c>
    </row>
    <row r="6" spans="1:7" ht="24" customHeight="1">
      <c r="A6" s="188"/>
      <c r="B6" s="189"/>
      <c r="C6" s="190"/>
      <c r="D6" s="189"/>
      <c r="E6" s="191" t="s">
        <v>410</v>
      </c>
      <c r="F6" s="189"/>
      <c r="G6" s="97"/>
    </row>
    <row r="7" spans="1:7" ht="1.5" customHeight="1" thickBot="1">
      <c r="A7" s="192">
        <v>1996</v>
      </c>
      <c r="B7" s="100">
        <v>4739640</v>
      </c>
      <c r="C7" s="193">
        <v>2305688</v>
      </c>
      <c r="D7" s="100">
        <v>27828</v>
      </c>
      <c r="E7" s="193">
        <v>121598</v>
      </c>
      <c r="F7" s="230">
        <v>7194754</v>
      </c>
      <c r="G7" s="101">
        <v>3.9681470970374319E-3</v>
      </c>
    </row>
    <row r="8" spans="1:7" ht="0.75" hidden="1" customHeight="1" thickBot="1">
      <c r="A8" s="194">
        <v>1997</v>
      </c>
      <c r="B8" s="195">
        <v>4083854</v>
      </c>
      <c r="C8" s="196">
        <v>2736364</v>
      </c>
      <c r="D8" s="195">
        <v>11494</v>
      </c>
      <c r="E8" s="196">
        <v>383093</v>
      </c>
      <c r="F8" s="195">
        <v>7214805</v>
      </c>
      <c r="G8" s="197">
        <v>2.7868916713483186E-3</v>
      </c>
    </row>
    <row r="9" spans="1:7" ht="19.5" hidden="1" customHeight="1" thickBot="1">
      <c r="A9" s="194">
        <v>1998</v>
      </c>
      <c r="B9" s="195">
        <v>4016267</v>
      </c>
      <c r="C9" s="196">
        <v>2726468</v>
      </c>
      <c r="D9" s="195">
        <v>11828</v>
      </c>
      <c r="E9" s="196">
        <v>494040</v>
      </c>
      <c r="F9" s="195">
        <v>7248603</v>
      </c>
      <c r="G9" s="197">
        <v>4.6845340934370365E-3</v>
      </c>
    </row>
    <row r="10" spans="1:7" ht="20" hidden="1" customHeight="1" thickBot="1">
      <c r="A10" s="194">
        <v>1999</v>
      </c>
      <c r="B10" s="195">
        <v>3998744</v>
      </c>
      <c r="C10" s="196">
        <v>2715642</v>
      </c>
      <c r="D10" s="195">
        <v>10258</v>
      </c>
      <c r="E10" s="196">
        <v>541890</v>
      </c>
      <c r="F10" s="195">
        <v>7266534</v>
      </c>
      <c r="G10" s="197">
        <v>2.4737180391863093E-3</v>
      </c>
    </row>
    <row r="11" spans="1:7" ht="0.5" customHeight="1" thickBot="1">
      <c r="A11" s="194">
        <v>2000</v>
      </c>
      <c r="B11" s="195">
        <v>3921920</v>
      </c>
      <c r="C11" s="196">
        <v>2758539</v>
      </c>
      <c r="D11" s="195">
        <v>9811</v>
      </c>
      <c r="E11" s="196">
        <v>577841</v>
      </c>
      <c r="F11" s="195">
        <v>7268111</v>
      </c>
      <c r="G11" s="197">
        <v>2.1702231077429761E-4</v>
      </c>
    </row>
    <row r="12" spans="1:7" ht="20" customHeight="1" thickBot="1">
      <c r="A12" s="194">
        <v>2001</v>
      </c>
      <c r="B12" s="195">
        <v>3882191</v>
      </c>
      <c r="C12" s="196">
        <v>2833816</v>
      </c>
      <c r="D12" s="195">
        <v>9341</v>
      </c>
      <c r="E12" s="196">
        <v>595939</v>
      </c>
      <c r="F12" s="195">
        <v>7321287</v>
      </c>
      <c r="G12" s="197">
        <v>7.3163439578729601E-3</v>
      </c>
    </row>
    <row r="13" spans="1:7" ht="20" customHeight="1" thickBot="1">
      <c r="A13" s="194">
        <v>2002</v>
      </c>
      <c r="B13" s="195">
        <v>3812675</v>
      </c>
      <c r="C13" s="196">
        <v>2980820</v>
      </c>
      <c r="D13" s="195">
        <v>8835</v>
      </c>
      <c r="E13" s="196">
        <v>557035</v>
      </c>
      <c r="F13" s="195">
        <v>7359365</v>
      </c>
      <c r="G13" s="197">
        <v>5.2009981305199482E-3</v>
      </c>
    </row>
    <row r="14" spans="1:7" ht="20" customHeight="1" thickBot="1">
      <c r="A14" s="194">
        <v>2003</v>
      </c>
      <c r="B14" s="195">
        <v>3674270</v>
      </c>
      <c r="C14" s="196">
        <v>3107097</v>
      </c>
      <c r="D14" s="195">
        <v>8317</v>
      </c>
      <c r="E14" s="196">
        <v>603504</v>
      </c>
      <c r="F14" s="195">
        <v>7393188</v>
      </c>
      <c r="G14" s="197">
        <v>4.5959128267180661E-3</v>
      </c>
    </row>
    <row r="15" spans="1:7" ht="20" customHeight="1" thickBot="1">
      <c r="A15" s="194">
        <v>2004</v>
      </c>
      <c r="B15" s="195">
        <v>3639287</v>
      </c>
      <c r="C15" s="196">
        <v>3024823</v>
      </c>
      <c r="D15" s="195">
        <v>8098</v>
      </c>
      <c r="E15" s="196">
        <v>747766</v>
      </c>
      <c r="F15" s="195">
        <v>7419974</v>
      </c>
      <c r="G15" s="197">
        <v>3.623064907858423E-3</v>
      </c>
    </row>
    <row r="16" spans="1:7" ht="20" customHeight="1" thickBot="1">
      <c r="A16" s="194">
        <v>2005</v>
      </c>
      <c r="B16" s="195">
        <v>3605578</v>
      </c>
      <c r="C16" s="196">
        <v>2939073</v>
      </c>
      <c r="D16" s="195">
        <v>7711</v>
      </c>
      <c r="E16" s="196">
        <v>906113</v>
      </c>
      <c r="F16" s="195">
        <v>7458475</v>
      </c>
      <c r="G16" s="197">
        <v>5.1888321980643063E-3</v>
      </c>
    </row>
    <row r="17" spans="1:7" ht="20" customHeight="1" thickBot="1">
      <c r="A17" s="194">
        <v>2006</v>
      </c>
      <c r="B17" s="195">
        <v>3356090</v>
      </c>
      <c r="C17" s="196">
        <v>2787429</v>
      </c>
      <c r="D17" s="195">
        <v>7220</v>
      </c>
      <c r="E17" s="196">
        <v>1356806</v>
      </c>
      <c r="F17" s="195">
        <v>7507545</v>
      </c>
      <c r="G17" s="197">
        <v>6.5790929110843702E-3</v>
      </c>
    </row>
    <row r="18" spans="1:7" ht="20" customHeight="1" thickBot="1">
      <c r="A18" s="194">
        <v>2007</v>
      </c>
      <c r="B18" s="195">
        <v>3149431</v>
      </c>
      <c r="C18" s="196">
        <v>2579751</v>
      </c>
      <c r="D18" s="195">
        <v>6903</v>
      </c>
      <c r="E18" s="196">
        <v>1841047</v>
      </c>
      <c r="F18" s="195">
        <v>7577132</v>
      </c>
      <c r="G18" s="197">
        <v>9.268942110903098E-3</v>
      </c>
    </row>
    <row r="19" spans="1:7" ht="20" customHeight="1" thickBot="1">
      <c r="A19" s="194">
        <v>2008</v>
      </c>
      <c r="B19" s="195">
        <v>2968164</v>
      </c>
      <c r="C19" s="196">
        <v>2394419</v>
      </c>
      <c r="D19" s="195">
        <v>6557</v>
      </c>
      <c r="E19" s="196">
        <v>2300471</v>
      </c>
      <c r="F19" s="195">
        <v>7669611</v>
      </c>
      <c r="G19" s="197">
        <v>1.22050137175913E-2</v>
      </c>
    </row>
    <row r="20" spans="1:7" ht="20" customHeight="1" thickBot="1">
      <c r="A20" s="194">
        <v>2009</v>
      </c>
      <c r="B20" s="195">
        <v>2724152.39</v>
      </c>
      <c r="C20" s="196">
        <v>2160200.0299999998</v>
      </c>
      <c r="D20" s="195">
        <v>6148</v>
      </c>
      <c r="E20" s="196">
        <v>2858421.51</v>
      </c>
      <c r="F20" s="195">
        <v>7748921.9299999997</v>
      </c>
      <c r="G20" s="197">
        <v>1.0340932545340267E-2</v>
      </c>
    </row>
    <row r="21" spans="1:7" ht="20" customHeight="1" thickBot="1">
      <c r="A21" s="194">
        <v>2010</v>
      </c>
      <c r="B21" s="195">
        <v>2395489</v>
      </c>
      <c r="C21" s="196">
        <v>1750104</v>
      </c>
      <c r="D21" s="195">
        <v>5668</v>
      </c>
      <c r="E21" s="196">
        <v>3671372</v>
      </c>
      <c r="F21" s="195">
        <v>7822633</v>
      </c>
      <c r="G21" s="197">
        <v>9.5124290405646534E-3</v>
      </c>
    </row>
    <row r="22" spans="1:7" ht="27.5" customHeight="1" thickBot="1">
      <c r="A22" s="198">
        <v>2011</v>
      </c>
      <c r="B22" s="199">
        <v>2165345</v>
      </c>
      <c r="C22" s="200">
        <v>1530081</v>
      </c>
      <c r="D22" s="199">
        <v>5251</v>
      </c>
      <c r="E22" s="200">
        <v>4206342.0999999996</v>
      </c>
      <c r="F22" s="199">
        <v>7907019.0999999996</v>
      </c>
      <c r="G22" s="109">
        <v>1.0787429245370406E-2</v>
      </c>
    </row>
    <row r="23" spans="1:7" ht="19.5" customHeight="1">
      <c r="A23" s="112" t="s">
        <v>720</v>
      </c>
      <c r="B23" s="112"/>
      <c r="C23" s="112"/>
      <c r="D23" s="112"/>
      <c r="E23" s="112"/>
      <c r="F23" s="112"/>
      <c r="G23" s="112"/>
    </row>
    <row r="25" spans="1:7">
      <c r="A25" s="115" t="s">
        <v>411</v>
      </c>
    </row>
    <row r="27" spans="1:7">
      <c r="A27" s="3" t="s">
        <v>412</v>
      </c>
    </row>
    <row r="30" spans="1:7">
      <c r="A30" s="3" t="s">
        <v>719</v>
      </c>
    </row>
  </sheetData>
  <pageMargins left="0.56000000000000005" right="0.54" top="0.96" bottom="0.49" header="0.57999999999999996" footer="0.4921259845"/>
  <pageSetup paperSize="9" scale="86" orientation="portrait" horizontalDpi="4294967292" verticalDpi="4294967292"/>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D969-F61E-9A42-9D6F-722E1F0185AB}">
  <sheetPr>
    <pageSetUpPr fitToPage="1"/>
  </sheetPr>
  <dimension ref="A1:G22"/>
  <sheetViews>
    <sheetView zoomScaleNormal="100" workbookViewId="0">
      <selection activeCell="B14" sqref="B14"/>
    </sheetView>
  </sheetViews>
  <sheetFormatPr baseColWidth="10" defaultColWidth="11.3984375" defaultRowHeight="13"/>
  <cols>
    <col min="1" max="1" width="36.3984375" style="3" customWidth="1"/>
    <col min="2" max="6" width="14.3984375" style="3" customWidth="1"/>
    <col min="7" max="7" width="15" style="3" customWidth="1"/>
    <col min="8" max="16384" width="11.3984375" style="3"/>
  </cols>
  <sheetData>
    <row r="1" spans="1:7" ht="14" customHeight="1">
      <c r="A1" s="126"/>
      <c r="B1" s="115"/>
      <c r="C1" s="115"/>
      <c r="D1" s="115"/>
      <c r="E1" s="115"/>
      <c r="F1" s="115"/>
      <c r="G1" s="115"/>
    </row>
    <row r="2" spans="1:7" ht="30" customHeight="1">
      <c r="A2" s="1843" t="s">
        <v>413</v>
      </c>
      <c r="B2" s="1847"/>
      <c r="C2" s="1847"/>
      <c r="D2" s="1847"/>
      <c r="E2" s="1847"/>
      <c r="F2" s="1847"/>
      <c r="G2" s="181">
        <v>2011</v>
      </c>
    </row>
    <row r="3" spans="1:7" ht="24" customHeight="1">
      <c r="A3" s="92" t="s">
        <v>414</v>
      </c>
      <c r="B3" s="182" t="s">
        <v>346</v>
      </c>
      <c r="C3" s="183" t="s">
        <v>347</v>
      </c>
      <c r="D3" s="182" t="s">
        <v>349</v>
      </c>
      <c r="E3" s="183" t="s">
        <v>278</v>
      </c>
      <c r="F3" s="182" t="s">
        <v>415</v>
      </c>
      <c r="G3" s="94" t="s">
        <v>279</v>
      </c>
    </row>
    <row r="4" spans="1:7" ht="20" customHeight="1">
      <c r="A4" s="184"/>
      <c r="B4" s="185"/>
      <c r="C4" s="186"/>
      <c r="D4" s="185"/>
      <c r="E4" s="187"/>
      <c r="F4" s="185" t="s">
        <v>416</v>
      </c>
      <c r="G4" s="95" t="s">
        <v>282</v>
      </c>
    </row>
    <row r="5" spans="1:7" ht="18.5" customHeight="1">
      <c r="A5" s="95"/>
      <c r="B5" s="185"/>
      <c r="C5" s="186"/>
      <c r="D5" s="185"/>
      <c r="E5" s="186"/>
      <c r="F5" s="185" t="s">
        <v>417</v>
      </c>
      <c r="G5" s="95" t="s">
        <v>283</v>
      </c>
    </row>
    <row r="6" spans="1:7" ht="24" customHeight="1">
      <c r="A6" s="231"/>
      <c r="B6" s="135"/>
      <c r="C6" s="136"/>
      <c r="D6" s="135"/>
      <c r="E6" s="136"/>
      <c r="F6" s="135"/>
      <c r="G6" s="97"/>
    </row>
    <row r="7" spans="1:7" ht="37.5" customHeight="1" thickBot="1">
      <c r="A7" s="232" t="s">
        <v>418</v>
      </c>
      <c r="B7" s="230">
        <v>676898</v>
      </c>
      <c r="C7" s="233">
        <v>872995</v>
      </c>
      <c r="D7" s="230">
        <v>615452</v>
      </c>
      <c r="E7" s="233">
        <v>2165345</v>
      </c>
      <c r="F7" s="234">
        <v>0.27385098892704079</v>
      </c>
      <c r="G7" s="101">
        <v>-9.6073912257580815E-2</v>
      </c>
    </row>
    <row r="8" spans="1:7" ht="34.5" customHeight="1" thickBot="1">
      <c r="A8" s="232" t="s">
        <v>419</v>
      </c>
      <c r="B8" s="230">
        <v>771413</v>
      </c>
      <c r="C8" s="233">
        <v>691772</v>
      </c>
      <c r="D8" s="230">
        <v>66896</v>
      </c>
      <c r="E8" s="233">
        <v>1530081</v>
      </c>
      <c r="F8" s="234">
        <v>0.19350920753435388</v>
      </c>
      <c r="G8" s="101">
        <v>-0.12571995721397128</v>
      </c>
    </row>
    <row r="9" spans="1:7" ht="31.5" customHeight="1" thickBot="1">
      <c r="A9" s="232" t="s">
        <v>330</v>
      </c>
      <c r="B9" s="230">
        <v>3416</v>
      </c>
      <c r="C9" s="233">
        <v>1802</v>
      </c>
      <c r="D9" s="230">
        <v>33</v>
      </c>
      <c r="E9" s="233">
        <v>5251</v>
      </c>
      <c r="F9" s="234">
        <v>6.6409350143089955E-4</v>
      </c>
      <c r="G9" s="101">
        <v>-7.3570924488355685E-2</v>
      </c>
    </row>
    <row r="10" spans="1:7" ht="33" customHeight="1" thickBot="1">
      <c r="A10" s="232" t="s">
        <v>420</v>
      </c>
      <c r="B10" s="230">
        <v>1655911.1</v>
      </c>
      <c r="C10" s="233">
        <v>1686663</v>
      </c>
      <c r="D10" s="230">
        <v>863768</v>
      </c>
      <c r="E10" s="233">
        <v>4206342.0999999996</v>
      </c>
      <c r="F10" s="234">
        <v>0.53197571003717437</v>
      </c>
      <c r="G10" s="101">
        <v>0.14571394563122442</v>
      </c>
    </row>
    <row r="11" spans="1:7" ht="39.5" customHeight="1" thickBot="1">
      <c r="A11" s="235" t="s">
        <v>421</v>
      </c>
      <c r="B11" s="236" t="s">
        <v>30</v>
      </c>
      <c r="C11" s="237" t="s">
        <v>30</v>
      </c>
      <c r="D11" s="236" t="s">
        <v>30</v>
      </c>
      <c r="E11" s="238">
        <v>2178193</v>
      </c>
      <c r="F11" s="239">
        <v>0.27547587434055903</v>
      </c>
      <c r="G11" s="240" t="s">
        <v>30</v>
      </c>
    </row>
    <row r="12" spans="1:7" ht="33" customHeight="1" thickBot="1">
      <c r="A12" s="241" t="s">
        <v>278</v>
      </c>
      <c r="B12" s="242">
        <v>3107638.1</v>
      </c>
      <c r="C12" s="243">
        <v>3253232</v>
      </c>
      <c r="D12" s="242">
        <v>1546149</v>
      </c>
      <c r="E12" s="243">
        <v>7907019.0999999996</v>
      </c>
      <c r="F12" s="244">
        <v>1</v>
      </c>
      <c r="G12" s="245">
        <v>1.0787429245370406E-2</v>
      </c>
    </row>
    <row r="13" spans="1:7" ht="19.5" customHeight="1">
      <c r="A13" s="112" t="s">
        <v>720</v>
      </c>
      <c r="B13" s="112"/>
      <c r="C13" s="112"/>
      <c r="D13" s="112"/>
      <c r="E13" s="112"/>
      <c r="F13" s="112"/>
      <c r="G13" s="112"/>
    </row>
    <row r="15" spans="1:7">
      <c r="A15" s="3" t="s">
        <v>422</v>
      </c>
    </row>
    <row r="16" spans="1:7">
      <c r="A16" s="3" t="s">
        <v>423</v>
      </c>
    </row>
    <row r="17" spans="1:1">
      <c r="A17" s="3" t="s">
        <v>424</v>
      </c>
    </row>
    <row r="19" spans="1:1">
      <c r="A19" s="3" t="s">
        <v>425</v>
      </c>
    </row>
    <row r="22" spans="1:1">
      <c r="A22" s="3" t="s">
        <v>719</v>
      </c>
    </row>
  </sheetData>
  <mergeCells count="1">
    <mergeCell ref="A2:F2"/>
  </mergeCells>
  <pageMargins left="0.43" right="0.35" top="0.78740157480314965" bottom="0.47244094488188981" header="0.43307086614173229" footer="0.51181102362204722"/>
  <pageSetup paperSize="9" scale="78" orientation="portrait" horizontalDpi="1200" verticalDpi="12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92ED-8220-6D4F-BEF3-A2D313D26789}">
  <sheetPr>
    <pageSetUpPr fitToPage="1"/>
  </sheetPr>
  <dimension ref="A1:F28"/>
  <sheetViews>
    <sheetView topLeftCell="A3" zoomScaleNormal="100" workbookViewId="0">
      <selection activeCell="A3" sqref="A3"/>
    </sheetView>
  </sheetViews>
  <sheetFormatPr baseColWidth="10" defaultColWidth="11.3984375" defaultRowHeight="13"/>
  <cols>
    <col min="1" max="1" width="18.19921875" style="3" customWidth="1"/>
    <col min="2" max="6" width="14.59765625" style="3" customWidth="1"/>
    <col min="7" max="7" width="17.59765625" style="3" customWidth="1"/>
    <col min="8" max="16384" width="11.3984375" style="3"/>
  </cols>
  <sheetData>
    <row r="1" spans="1:6" s="2" customFormat="1" ht="14" customHeight="1"/>
    <row r="2" spans="1:6" s="2" customFormat="1" ht="39.75" customHeight="1">
      <c r="A2" s="1843" t="s">
        <v>426</v>
      </c>
      <c r="B2" s="1847"/>
      <c r="C2" s="1847"/>
      <c r="D2" s="1847"/>
      <c r="E2" s="1847"/>
      <c r="F2" s="246"/>
    </row>
    <row r="3" spans="1:6" ht="24" customHeight="1">
      <c r="A3" s="92" t="s">
        <v>398</v>
      </c>
      <c r="B3" s="182" t="s">
        <v>399</v>
      </c>
      <c r="C3" s="183" t="s">
        <v>400</v>
      </c>
      <c r="D3" s="182" t="s">
        <v>401</v>
      </c>
      <c r="E3" s="229" t="s">
        <v>402</v>
      </c>
      <c r="F3" s="182" t="s">
        <v>278</v>
      </c>
    </row>
    <row r="4" spans="1:6" ht="15" customHeight="1">
      <c r="A4" s="184"/>
      <c r="B4" s="185" t="s">
        <v>403</v>
      </c>
      <c r="C4" s="186" t="s">
        <v>404</v>
      </c>
      <c r="D4" s="185" t="s">
        <v>405</v>
      </c>
      <c r="E4" s="187" t="s">
        <v>406</v>
      </c>
      <c r="F4" s="185"/>
    </row>
    <row r="5" spans="1:6" ht="15" customHeight="1">
      <c r="A5" s="184"/>
      <c r="B5" s="185" t="s">
        <v>407</v>
      </c>
      <c r="C5" s="186" t="s">
        <v>408</v>
      </c>
      <c r="D5" s="185"/>
      <c r="E5" s="187" t="s">
        <v>409</v>
      </c>
      <c r="F5" s="185"/>
    </row>
    <row r="6" spans="1:6" ht="24" customHeight="1">
      <c r="A6" s="188"/>
      <c r="B6" s="189"/>
      <c r="C6" s="190"/>
      <c r="D6" s="189"/>
      <c r="E6" s="191" t="s">
        <v>410</v>
      </c>
      <c r="F6" s="189"/>
    </row>
    <row r="7" spans="1:6" ht="1.5" customHeight="1" thickBot="1">
      <c r="A7" s="192">
        <v>1996</v>
      </c>
      <c r="B7" s="247">
        <v>0.65876331560467527</v>
      </c>
      <c r="C7" s="248">
        <v>0.32046794094697328</v>
      </c>
      <c r="D7" s="247">
        <v>3.8678181352691143E-3</v>
      </c>
      <c r="E7" s="248">
        <v>1.6900925313082283E-2</v>
      </c>
      <c r="F7" s="234">
        <v>1</v>
      </c>
    </row>
    <row r="8" spans="1:6" ht="19.5" hidden="1" customHeight="1" thickBot="1">
      <c r="A8" s="194">
        <v>1997</v>
      </c>
      <c r="B8" s="249">
        <v>0.56603802874783171</v>
      </c>
      <c r="C8" s="250">
        <v>0.37927068021935451</v>
      </c>
      <c r="D8" s="249">
        <v>1.5931130501794573E-3</v>
      </c>
      <c r="E8" s="250">
        <v>5.3098177982634318E-2</v>
      </c>
      <c r="F8" s="249">
        <v>1</v>
      </c>
    </row>
    <row r="9" spans="1:6" ht="19.5" hidden="1" customHeight="1" thickBot="1">
      <c r="A9" s="194">
        <v>1998</v>
      </c>
      <c r="B9" s="249">
        <v>0.55407462651768902</v>
      </c>
      <c r="C9" s="250">
        <v>0.37613702943863803</v>
      </c>
      <c r="D9" s="249">
        <v>1.6317626996539885E-3</v>
      </c>
      <c r="E9" s="250">
        <v>6.8156581344018974E-2</v>
      </c>
      <c r="F9" s="249">
        <v>1</v>
      </c>
    </row>
    <row r="10" spans="1:6" ht="0.5" hidden="1" customHeight="1" thickBot="1">
      <c r="A10" s="194">
        <v>1999</v>
      </c>
      <c r="B10" s="249">
        <v>0.55029591824658086</v>
      </c>
      <c r="C10" s="250">
        <v>0.37371902477852575</v>
      </c>
      <c r="D10" s="249">
        <v>1.4116771489681326E-3</v>
      </c>
      <c r="E10" s="250">
        <v>7.4573379825925268E-2</v>
      </c>
      <c r="F10" s="249">
        <v>1</v>
      </c>
    </row>
    <row r="11" spans="1:6" ht="20" hidden="1" customHeight="1" thickBot="1">
      <c r="A11" s="194">
        <v>2000</v>
      </c>
      <c r="B11" s="249">
        <v>0.53960650848618019</v>
      </c>
      <c r="C11" s="250">
        <v>0.37954002078394233</v>
      </c>
      <c r="D11" s="249">
        <v>1.3498693126728527E-3</v>
      </c>
      <c r="E11" s="250">
        <v>7.9503601417204556E-2</v>
      </c>
      <c r="F11" s="249">
        <v>1</v>
      </c>
    </row>
    <row r="12" spans="1:6" ht="20" customHeight="1" thickBot="1">
      <c r="A12" s="194">
        <v>2001</v>
      </c>
      <c r="B12" s="249">
        <v>0.53026073148068087</v>
      </c>
      <c r="C12" s="250">
        <v>0.38706527964277321</v>
      </c>
      <c r="D12" s="249">
        <v>1.2758685733806091E-3</v>
      </c>
      <c r="E12" s="250">
        <v>8.1398120303165275E-2</v>
      </c>
      <c r="F12" s="249">
        <v>1</v>
      </c>
    </row>
    <row r="13" spans="1:6" ht="20" customHeight="1" thickBot="1">
      <c r="A13" s="194">
        <v>2002</v>
      </c>
      <c r="B13" s="249">
        <v>0.51807119228357335</v>
      </c>
      <c r="C13" s="250">
        <v>0.40503766289618737</v>
      </c>
      <c r="D13" s="249">
        <v>1.2005111854079802E-3</v>
      </c>
      <c r="E13" s="250">
        <v>7.5690633634831264E-2</v>
      </c>
      <c r="F13" s="249">
        <v>1</v>
      </c>
    </row>
    <row r="14" spans="1:6" ht="20" customHeight="1" thickBot="1">
      <c r="A14" s="194">
        <v>2003</v>
      </c>
      <c r="B14" s="249">
        <v>0.49698046363760801</v>
      </c>
      <c r="C14" s="250">
        <v>0.42026484379945434</v>
      </c>
      <c r="D14" s="249">
        <v>1.1249544851287428E-3</v>
      </c>
      <c r="E14" s="250">
        <v>8.1629738077808919E-2</v>
      </c>
      <c r="F14" s="249">
        <v>1</v>
      </c>
    </row>
    <row r="15" spans="1:6" ht="20" customHeight="1" thickBot="1">
      <c r="A15" s="194">
        <v>2004</v>
      </c>
      <c r="B15" s="249">
        <v>0.49047166472550979</v>
      </c>
      <c r="C15" s="250">
        <v>0.40765951470988981</v>
      </c>
      <c r="D15" s="249">
        <v>1.0913784873100634E-3</v>
      </c>
      <c r="E15" s="250">
        <v>0.10077744207729029</v>
      </c>
      <c r="F15" s="249">
        <v>1</v>
      </c>
    </row>
    <row r="16" spans="1:6" ht="20" customHeight="1" thickBot="1">
      <c r="A16" s="194">
        <v>2005</v>
      </c>
      <c r="B16" s="249">
        <v>0.48342027022950401</v>
      </c>
      <c r="C16" s="250">
        <v>0.39405816872752136</v>
      </c>
      <c r="D16" s="249">
        <v>1.0338574574561153E-3</v>
      </c>
      <c r="E16" s="250">
        <v>0.12148770358551848</v>
      </c>
      <c r="F16" s="249">
        <v>1</v>
      </c>
    </row>
    <row r="17" spans="1:6" ht="20" customHeight="1" thickBot="1">
      <c r="A17" s="194">
        <v>2006</v>
      </c>
      <c r="B17" s="249">
        <v>0.44702895553739602</v>
      </c>
      <c r="C17" s="250">
        <v>0.37128368860925909</v>
      </c>
      <c r="D17" s="249">
        <v>9.6169919727420879E-4</v>
      </c>
      <c r="E17" s="250">
        <v>0.18072565665607065</v>
      </c>
      <c r="F17" s="249">
        <v>1</v>
      </c>
    </row>
    <row r="18" spans="1:6" ht="20" customHeight="1" thickBot="1">
      <c r="A18" s="194">
        <v>2007</v>
      </c>
      <c r="B18" s="249">
        <v>0.41564948320815842</v>
      </c>
      <c r="C18" s="250">
        <v>0.34046536341190836</v>
      </c>
      <c r="D18" s="249">
        <v>9.1103071716316941E-4</v>
      </c>
      <c r="E18" s="250">
        <v>0.24297412266277002</v>
      </c>
      <c r="F18" s="249">
        <v>1</v>
      </c>
    </row>
    <row r="19" spans="1:6" ht="20" customHeight="1" thickBot="1">
      <c r="A19" s="194">
        <v>2008</v>
      </c>
      <c r="B19" s="249">
        <v>0.38700320003191818</v>
      </c>
      <c r="C19" s="250">
        <v>0.31219562504539017</v>
      </c>
      <c r="D19" s="249">
        <v>8.5493253829953047E-4</v>
      </c>
      <c r="E19" s="250">
        <v>0.2999462423843921</v>
      </c>
      <c r="F19" s="249">
        <v>1</v>
      </c>
    </row>
    <row r="20" spans="1:6" ht="20" customHeight="1" thickBot="1">
      <c r="A20" s="194">
        <v>2009</v>
      </c>
      <c r="B20" s="249">
        <v>0.35155243717883222</v>
      </c>
      <c r="C20" s="250">
        <v>0.27877426686114515</v>
      </c>
      <c r="D20" s="249">
        <v>7.9340068922335882E-4</v>
      </c>
      <c r="E20" s="250">
        <v>0.36887989527079929</v>
      </c>
      <c r="F20" s="249">
        <v>1</v>
      </c>
    </row>
    <row r="21" spans="1:6" ht="20" customHeight="1" thickBot="1">
      <c r="A21" s="194">
        <v>2010</v>
      </c>
      <c r="B21" s="249">
        <v>0.30622541029343958</v>
      </c>
      <c r="C21" s="250">
        <v>0.22372313772102054</v>
      </c>
      <c r="D21" s="249">
        <v>7.2456422281346963E-4</v>
      </c>
      <c r="E21" s="250">
        <v>0.46932688776272646</v>
      </c>
      <c r="F21" s="249">
        <v>1</v>
      </c>
    </row>
    <row r="22" spans="1:6" ht="30" customHeight="1" thickBot="1">
      <c r="A22" s="198">
        <v>2011</v>
      </c>
      <c r="B22" s="251">
        <v>0.27385098892704079</v>
      </c>
      <c r="C22" s="252">
        <v>0.19350920753435388</v>
      </c>
      <c r="D22" s="251">
        <v>6.6409350143089955E-4</v>
      </c>
      <c r="E22" s="252">
        <v>0.53197571003717437</v>
      </c>
      <c r="F22" s="251">
        <v>1</v>
      </c>
    </row>
    <row r="23" spans="1:6" ht="19.5" customHeight="1">
      <c r="A23" s="112" t="s">
        <v>720</v>
      </c>
      <c r="B23" s="112"/>
      <c r="C23" s="112"/>
      <c r="D23" s="112"/>
      <c r="E23" s="112"/>
      <c r="F23" s="112"/>
    </row>
    <row r="25" spans="1:6">
      <c r="A25" s="3" t="s">
        <v>427</v>
      </c>
    </row>
    <row r="28" spans="1:6">
      <c r="A28" s="3" t="s">
        <v>719</v>
      </c>
    </row>
  </sheetData>
  <mergeCells count="1">
    <mergeCell ref="A2:E2"/>
  </mergeCells>
  <pageMargins left="0.65" right="0.72" top="1.05" bottom="0.49" header="0.6" footer="0.4921259845"/>
  <pageSetup paperSize="9" scale="80" orientation="portrait" horizontalDpi="4294967292" verticalDpi="4294967292"/>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0347-049F-7549-A762-51915FA44507}">
  <sheetPr>
    <pageSetUpPr fitToPage="1"/>
  </sheetPr>
  <dimension ref="A1:P50"/>
  <sheetViews>
    <sheetView topLeftCell="A23" zoomScaleNormal="100" workbookViewId="0">
      <selection activeCell="A38" sqref="A38"/>
    </sheetView>
  </sheetViews>
  <sheetFormatPr baseColWidth="10" defaultColWidth="11.3984375" defaultRowHeight="13"/>
  <cols>
    <col min="1" max="1" width="14.796875" style="3" customWidth="1"/>
    <col min="2" max="2" width="14.796875" style="110" customWidth="1"/>
    <col min="3" max="4" width="12.3984375" style="3" customWidth="1"/>
    <col min="5" max="7" width="12.59765625" style="3" customWidth="1"/>
    <col min="8" max="8" width="14.59765625" style="302" customWidth="1"/>
    <col min="9" max="9" width="16.3984375" style="302" customWidth="1"/>
    <col min="10" max="10" width="16" style="110" customWidth="1"/>
    <col min="11" max="11" width="14.3984375" style="3" customWidth="1"/>
    <col min="12" max="12" width="13.59765625" style="3" customWidth="1"/>
    <col min="13" max="14" width="13.3984375" style="3" customWidth="1"/>
    <col min="15" max="15" width="15.19921875" style="3" customWidth="1"/>
    <col min="16" max="16" width="13.3984375" style="3" customWidth="1"/>
    <col min="17" max="16384" width="11.3984375" style="3"/>
  </cols>
  <sheetData>
    <row r="1" spans="1:16" s="2" customFormat="1" ht="14" customHeight="1">
      <c r="A1" s="121"/>
      <c r="B1" s="253"/>
      <c r="C1" s="121"/>
      <c r="D1" s="121"/>
      <c r="E1" s="121"/>
      <c r="F1" s="121"/>
      <c r="G1" s="121"/>
      <c r="H1" s="254"/>
      <c r="I1" s="254"/>
      <c r="J1" s="17"/>
    </row>
    <row r="2" spans="1:16" s="2" customFormat="1" ht="28" customHeight="1">
      <c r="A2" s="180" t="s">
        <v>428</v>
      </c>
      <c r="B2" s="253"/>
      <c r="C2" s="121"/>
      <c r="D2" s="121"/>
      <c r="E2" s="121"/>
      <c r="F2" s="121"/>
      <c r="G2" s="121"/>
      <c r="H2" s="254"/>
      <c r="I2" s="254"/>
      <c r="J2" s="255"/>
      <c r="K2" s="122"/>
      <c r="P2" s="122">
        <v>2011</v>
      </c>
    </row>
    <row r="3" spans="1:16" ht="57.75" customHeight="1">
      <c r="A3" s="256" t="s">
        <v>191</v>
      </c>
      <c r="B3" s="257" t="s">
        <v>429</v>
      </c>
      <c r="C3" s="258"/>
      <c r="D3" s="258"/>
      <c r="E3" s="258"/>
      <c r="F3" s="258"/>
      <c r="G3" s="258"/>
      <c r="H3" s="259"/>
      <c r="I3" s="258"/>
      <c r="J3" s="260" t="s">
        <v>430</v>
      </c>
      <c r="K3" s="261" t="s">
        <v>331</v>
      </c>
      <c r="L3" s="262"/>
      <c r="M3" s="263"/>
      <c r="N3" s="263"/>
      <c r="O3" s="263"/>
      <c r="P3" s="264"/>
    </row>
    <row r="4" spans="1:16" ht="84.75" customHeight="1">
      <c r="A4" s="211"/>
      <c r="B4" s="260" t="s">
        <v>431</v>
      </c>
      <c r="C4" s="130" t="s">
        <v>432</v>
      </c>
      <c r="D4" s="129" t="s">
        <v>433</v>
      </c>
      <c r="E4" s="130" t="s">
        <v>434</v>
      </c>
      <c r="F4" s="129" t="s">
        <v>435</v>
      </c>
      <c r="G4" s="130" t="s">
        <v>436</v>
      </c>
      <c r="H4" s="129" t="s">
        <v>437</v>
      </c>
      <c r="I4" s="265" t="s">
        <v>438</v>
      </c>
      <c r="J4" s="260"/>
      <c r="K4" s="130" t="s">
        <v>439</v>
      </c>
      <c r="L4" s="129" t="s">
        <v>440</v>
      </c>
      <c r="M4" s="266" t="s">
        <v>316</v>
      </c>
      <c r="N4" s="267" t="s">
        <v>441</v>
      </c>
      <c r="O4" s="268" t="s">
        <v>442</v>
      </c>
      <c r="P4" s="269" t="s">
        <v>278</v>
      </c>
    </row>
    <row r="5" spans="1:16" ht="24" customHeight="1">
      <c r="A5" s="213"/>
      <c r="B5" s="270"/>
      <c r="C5" s="213"/>
      <c r="D5" s="97"/>
      <c r="E5" s="189"/>
      <c r="F5" s="190"/>
      <c r="G5" s="189"/>
      <c r="H5" s="270"/>
      <c r="I5" s="271"/>
      <c r="J5" s="272"/>
      <c r="K5" s="213"/>
      <c r="L5" s="190"/>
      <c r="M5" s="273"/>
      <c r="N5" s="190"/>
      <c r="O5" s="271"/>
      <c r="P5" s="272"/>
    </row>
    <row r="6" spans="1:16" ht="30" customHeight="1" thickBot="1">
      <c r="A6" s="274" t="s">
        <v>362</v>
      </c>
      <c r="B6" s="275">
        <v>0.27044520314522813</v>
      </c>
      <c r="C6" s="276">
        <v>9.2481258276666256E-2</v>
      </c>
      <c r="D6" s="277">
        <v>1.7151852820613694E-2</v>
      </c>
      <c r="E6" s="276">
        <v>5.4404015934701407E-2</v>
      </c>
      <c r="F6" s="277">
        <v>8.8260906176182811E-3</v>
      </c>
      <c r="G6" s="276">
        <v>7.3856313302896923E-2</v>
      </c>
      <c r="H6" s="278" t="s">
        <v>30</v>
      </c>
      <c r="I6" s="279">
        <v>0.24671953095249655</v>
      </c>
      <c r="J6" s="275">
        <v>1.2255042012664159E-3</v>
      </c>
      <c r="K6" s="276">
        <v>0.17008060327665103</v>
      </c>
      <c r="L6" s="277">
        <v>0.31152914059560072</v>
      </c>
      <c r="M6" s="279">
        <v>0.48160970821473725</v>
      </c>
      <c r="N6" s="280">
        <v>7.5366729959349191E-2</v>
      </c>
      <c r="O6" s="281">
        <v>0.26906738787080059</v>
      </c>
      <c r="P6" s="275">
        <v>1</v>
      </c>
    </row>
    <row r="7" spans="1:16" ht="20" customHeight="1" thickBot="1">
      <c r="A7" s="282" t="s">
        <v>363</v>
      </c>
      <c r="B7" s="275">
        <v>0.16455948755356897</v>
      </c>
      <c r="C7" s="276">
        <v>9.6019339578099688E-2</v>
      </c>
      <c r="D7" s="277">
        <v>1.322472173628637E-2</v>
      </c>
      <c r="E7" s="276">
        <v>3.8200072259360777E-2</v>
      </c>
      <c r="F7" s="277">
        <v>5.6568795797056481E-3</v>
      </c>
      <c r="G7" s="276">
        <v>3.7625776014489298E-2</v>
      </c>
      <c r="H7" s="278" t="s">
        <v>30</v>
      </c>
      <c r="I7" s="279">
        <v>0.19072678916794178</v>
      </c>
      <c r="J7" s="275">
        <v>1.1353709769909362E-3</v>
      </c>
      <c r="K7" s="276">
        <v>0.23258181989508572</v>
      </c>
      <c r="L7" s="277">
        <v>0.41099648265471878</v>
      </c>
      <c r="M7" s="279">
        <v>0.64357826523603356</v>
      </c>
      <c r="N7" s="280">
        <v>6.4441603401583059E-2</v>
      </c>
      <c r="O7" s="281">
        <v>0.23520113465704015</v>
      </c>
      <c r="P7" s="275">
        <v>1</v>
      </c>
    </row>
    <row r="8" spans="1:16" ht="20" customHeight="1" thickBot="1">
      <c r="A8" s="282" t="s">
        <v>364</v>
      </c>
      <c r="B8" s="275">
        <v>0.22753162263638618</v>
      </c>
      <c r="C8" s="276">
        <v>4.8457694145879214E-2</v>
      </c>
      <c r="D8" s="277">
        <v>1.0797752857579241E-2</v>
      </c>
      <c r="E8" s="276">
        <v>3.9210391716673121E-2</v>
      </c>
      <c r="F8" s="277">
        <v>6.0894943903343881E-3</v>
      </c>
      <c r="G8" s="276">
        <v>4.4112075631971115E-2</v>
      </c>
      <c r="H8" s="278" t="s">
        <v>30</v>
      </c>
      <c r="I8" s="279">
        <v>0.14866740874243708</v>
      </c>
      <c r="J8" s="275">
        <v>8.3588361816191547E-4</v>
      </c>
      <c r="K8" s="276">
        <v>0.2765909210340608</v>
      </c>
      <c r="L8" s="277">
        <v>0.34637419673071673</v>
      </c>
      <c r="M8" s="279">
        <v>0.62296515052654022</v>
      </c>
      <c r="N8" s="280">
        <v>8.9391780493043554E-2</v>
      </c>
      <c r="O8" s="281">
        <v>0.43340087279957251</v>
      </c>
      <c r="P8" s="275">
        <v>1</v>
      </c>
    </row>
    <row r="9" spans="1:16" ht="20" customHeight="1" thickBot="1">
      <c r="A9" s="282" t="s">
        <v>365</v>
      </c>
      <c r="B9" s="275">
        <v>0.22073982299272568</v>
      </c>
      <c r="C9" s="276">
        <v>8.9007840555401577E-2</v>
      </c>
      <c r="D9" s="277">
        <v>1.3820218380683719E-2</v>
      </c>
      <c r="E9" s="276">
        <v>6.7466547909658239E-2</v>
      </c>
      <c r="F9" s="277">
        <v>1.3107886560894911E-2</v>
      </c>
      <c r="G9" s="276">
        <v>4.445328970811914E-2</v>
      </c>
      <c r="H9" s="278" t="s">
        <v>30</v>
      </c>
      <c r="I9" s="279">
        <v>0.22785578311475757</v>
      </c>
      <c r="J9" s="275">
        <v>1.0949517643089172E-3</v>
      </c>
      <c r="K9" s="276">
        <v>0.21584179716447788</v>
      </c>
      <c r="L9" s="277">
        <v>0.33446904650198828</v>
      </c>
      <c r="M9" s="279">
        <v>0.55031154443559527</v>
      </c>
      <c r="N9" s="280">
        <v>5.773146316739939E-2</v>
      </c>
      <c r="O9" s="281">
        <v>0.28849719009098435</v>
      </c>
      <c r="P9" s="275">
        <v>1</v>
      </c>
    </row>
    <row r="10" spans="1:16" ht="20" customHeight="1" thickBot="1">
      <c r="A10" s="282" t="s">
        <v>366</v>
      </c>
      <c r="B10" s="275">
        <v>0.25667787392117297</v>
      </c>
      <c r="C10" s="276">
        <v>7.9056989826339047E-2</v>
      </c>
      <c r="D10" s="277">
        <v>1.5081668413525907E-2</v>
      </c>
      <c r="E10" s="276">
        <v>5.9543162114110003E-2</v>
      </c>
      <c r="F10" s="277">
        <v>8.3927763613217497E-3</v>
      </c>
      <c r="G10" s="276">
        <v>6.4070643021504184E-2</v>
      </c>
      <c r="H10" s="278" t="s">
        <v>30</v>
      </c>
      <c r="I10" s="279">
        <v>0.2261452397368009</v>
      </c>
      <c r="J10" s="275">
        <v>1.0969161559910687E-3</v>
      </c>
      <c r="K10" s="276">
        <v>0.19412925272418011</v>
      </c>
      <c r="L10" s="277">
        <v>0.32195113961246907</v>
      </c>
      <c r="M10" s="279">
        <v>0.51608030790652648</v>
      </c>
      <c r="N10" s="280">
        <v>2.0248791931587282E-2</v>
      </c>
      <c r="O10" s="281">
        <v>0.39622161691452806</v>
      </c>
      <c r="P10" s="275">
        <v>1</v>
      </c>
    </row>
    <row r="11" spans="1:16" ht="20" customHeight="1" thickBot="1">
      <c r="A11" s="282" t="s">
        <v>367</v>
      </c>
      <c r="B11" s="275">
        <v>0.19429561362204786</v>
      </c>
      <c r="C11" s="276">
        <v>6.7414658228425767E-2</v>
      </c>
      <c r="D11" s="277">
        <v>1.1697307493121978E-2</v>
      </c>
      <c r="E11" s="276">
        <v>4.2136235689942354E-2</v>
      </c>
      <c r="F11" s="277">
        <v>9.8650116540929689E-3</v>
      </c>
      <c r="G11" s="276">
        <v>3.8553578750346582E-2</v>
      </c>
      <c r="H11" s="278" t="s">
        <v>30</v>
      </c>
      <c r="I11" s="279">
        <v>0.16966679181592964</v>
      </c>
      <c r="J11" s="275">
        <v>1.2791499253598734E-3</v>
      </c>
      <c r="K11" s="276">
        <v>0.28360793570785048</v>
      </c>
      <c r="L11" s="277">
        <v>0.35115050892881217</v>
      </c>
      <c r="M11" s="279">
        <v>0.63475913606905465</v>
      </c>
      <c r="N11" s="280">
        <v>3.566408278381744E-3</v>
      </c>
      <c r="O11" s="281">
        <v>0.51340376263679133</v>
      </c>
      <c r="P11" s="275">
        <v>1</v>
      </c>
    </row>
    <row r="12" spans="1:16" ht="20" customHeight="1" thickBot="1">
      <c r="A12" s="282" t="s">
        <v>368</v>
      </c>
      <c r="B12" s="275">
        <v>0.24361982472967864</v>
      </c>
      <c r="C12" s="276">
        <v>6.834202626512588E-2</v>
      </c>
      <c r="D12" s="277">
        <v>1.634953092862285E-2</v>
      </c>
      <c r="E12" s="276">
        <v>5.0502449364008765E-2</v>
      </c>
      <c r="F12" s="277">
        <v>9.6018538540658185E-3</v>
      </c>
      <c r="G12" s="276">
        <v>3.9726683337714924E-2</v>
      </c>
      <c r="H12" s="278" t="s">
        <v>30</v>
      </c>
      <c r="I12" s="279">
        <v>0.18452254374953822</v>
      </c>
      <c r="J12" s="275">
        <v>1.5052993535856359E-3</v>
      </c>
      <c r="K12" s="276">
        <v>0.25398644123963926</v>
      </c>
      <c r="L12" s="277">
        <v>0.3163655918416543</v>
      </c>
      <c r="M12" s="279">
        <v>0.57035233216719727</v>
      </c>
      <c r="N12" s="280">
        <v>7.496588177552943E-3</v>
      </c>
      <c r="O12" s="281">
        <v>0.44317562234542557</v>
      </c>
      <c r="P12" s="275">
        <v>1</v>
      </c>
    </row>
    <row r="13" spans="1:16" ht="20" customHeight="1" thickBot="1">
      <c r="A13" s="282" t="s">
        <v>369</v>
      </c>
      <c r="B13" s="275">
        <v>0.33616464440594107</v>
      </c>
      <c r="C13" s="276">
        <v>8.8163640369765747E-2</v>
      </c>
      <c r="D13" s="277">
        <v>2.1993337306078296E-2</v>
      </c>
      <c r="E13" s="276">
        <v>8.9646534197321909E-2</v>
      </c>
      <c r="F13" s="277">
        <v>1.6580680941841015E-2</v>
      </c>
      <c r="G13" s="276">
        <v>6.9705086282011483E-2</v>
      </c>
      <c r="H13" s="278" t="s">
        <v>30</v>
      </c>
      <c r="I13" s="279">
        <v>0.28608927909701842</v>
      </c>
      <c r="J13" s="275">
        <v>1.6587879455567016E-3</v>
      </c>
      <c r="K13" s="276">
        <v>0.15844366881328434</v>
      </c>
      <c r="L13" s="277">
        <v>0.21764424569591476</v>
      </c>
      <c r="M13" s="279">
        <v>0.37608666259376849</v>
      </c>
      <c r="N13" s="280">
        <v>2.6853585986559434E-4</v>
      </c>
      <c r="O13" s="281">
        <v>0.24688742526064883</v>
      </c>
      <c r="P13" s="275">
        <v>1</v>
      </c>
    </row>
    <row r="14" spans="1:16" ht="20" customHeight="1" thickBot="1">
      <c r="A14" s="282" t="s">
        <v>370</v>
      </c>
      <c r="B14" s="275">
        <v>0.27507121675185614</v>
      </c>
      <c r="C14" s="276">
        <v>8.2155180330737529E-2</v>
      </c>
      <c r="D14" s="277">
        <v>1.7774064271259566E-2</v>
      </c>
      <c r="E14" s="276">
        <v>6.1104743824860093E-2</v>
      </c>
      <c r="F14" s="277">
        <v>9.821952149898101E-3</v>
      </c>
      <c r="G14" s="276">
        <v>7.0806526865231922E-2</v>
      </c>
      <c r="H14" s="278" t="s">
        <v>30</v>
      </c>
      <c r="I14" s="279">
        <v>0.24166246744198719</v>
      </c>
      <c r="J14" s="275">
        <v>1.3306530664616591E-3</v>
      </c>
      <c r="K14" s="276">
        <v>0.1842263009038845</v>
      </c>
      <c r="L14" s="277">
        <v>0.29770936183581054</v>
      </c>
      <c r="M14" s="279">
        <v>0.48193566273969507</v>
      </c>
      <c r="N14" s="280">
        <v>6.5113311762960091E-2</v>
      </c>
      <c r="O14" s="281">
        <v>0.30784351485201178</v>
      </c>
      <c r="P14" s="275">
        <v>1</v>
      </c>
    </row>
    <row r="15" spans="1:16" ht="20" customHeight="1" thickBot="1">
      <c r="A15" s="282" t="s">
        <v>371</v>
      </c>
      <c r="B15" s="275">
        <v>0.24096696378693006</v>
      </c>
      <c r="C15" s="276">
        <v>0.14579572245243141</v>
      </c>
      <c r="D15" s="277">
        <v>1.9177015449585392E-2</v>
      </c>
      <c r="E15" s="276">
        <v>5.6133630301710258E-2</v>
      </c>
      <c r="F15" s="277">
        <v>1.1913714525781662E-2</v>
      </c>
      <c r="G15" s="276">
        <v>4.0183320863456204E-2</v>
      </c>
      <c r="H15" s="278" t="s">
        <v>30</v>
      </c>
      <c r="I15" s="279">
        <v>0.27320340359296491</v>
      </c>
      <c r="J15" s="275">
        <v>5.2514738301174407E-4</v>
      </c>
      <c r="K15" s="276">
        <v>0.15597533424890481</v>
      </c>
      <c r="L15" s="277">
        <v>0.32932928768598863</v>
      </c>
      <c r="M15" s="279">
        <v>0.48530448523709313</v>
      </c>
      <c r="N15" s="280">
        <v>3.6806794062941121E-3</v>
      </c>
      <c r="O15" s="281">
        <v>0.32734302308096785</v>
      </c>
      <c r="P15" s="275">
        <v>1</v>
      </c>
    </row>
    <row r="16" spans="1:16" ht="20" customHeight="1" thickBot="1">
      <c r="A16" s="282" t="s">
        <v>372</v>
      </c>
      <c r="B16" s="275">
        <v>0.25209602667238795</v>
      </c>
      <c r="C16" s="276">
        <v>0.11243936151832111</v>
      </c>
      <c r="D16" s="277">
        <v>1.6095470364751743E-2</v>
      </c>
      <c r="E16" s="276">
        <v>4.986970439748846E-2</v>
      </c>
      <c r="F16" s="277">
        <v>8.0530751660853623E-3</v>
      </c>
      <c r="G16" s="276">
        <v>4.6620431109938167E-2</v>
      </c>
      <c r="H16" s="278" t="s">
        <v>30</v>
      </c>
      <c r="I16" s="279">
        <v>0.23307804255658482</v>
      </c>
      <c r="J16" s="275">
        <v>8.4689768306413487E-4</v>
      </c>
      <c r="K16" s="276">
        <v>0.18663423437449567</v>
      </c>
      <c r="L16" s="277">
        <v>0.32734498857955485</v>
      </c>
      <c r="M16" s="279">
        <v>0.51397908055448494</v>
      </c>
      <c r="N16" s="280">
        <v>2.9836174046445042E-2</v>
      </c>
      <c r="O16" s="281">
        <v>0.29693997573511405</v>
      </c>
      <c r="P16" s="275">
        <v>1</v>
      </c>
    </row>
    <row r="17" spans="1:16" ht="20" customHeight="1" thickBot="1">
      <c r="A17" s="282" t="s">
        <v>373</v>
      </c>
      <c r="B17" s="275">
        <v>0.3146020995330277</v>
      </c>
      <c r="C17" s="276">
        <v>8.5898566442218091E-2</v>
      </c>
      <c r="D17" s="277">
        <v>1.4181916534612289E-2</v>
      </c>
      <c r="E17" s="276">
        <v>5.9636569674698735E-2</v>
      </c>
      <c r="F17" s="277">
        <v>5.9340895091788779E-3</v>
      </c>
      <c r="G17" s="276">
        <v>6.1889829794626927E-2</v>
      </c>
      <c r="H17" s="278" t="s">
        <v>30</v>
      </c>
      <c r="I17" s="279">
        <v>0.2275409719553349</v>
      </c>
      <c r="J17" s="275">
        <v>5.1988186178249728E-4</v>
      </c>
      <c r="K17" s="276">
        <v>0.17591565015504329</v>
      </c>
      <c r="L17" s="277">
        <v>0.28142119907131991</v>
      </c>
      <c r="M17" s="279">
        <v>0.45733711245768566</v>
      </c>
      <c r="N17" s="280">
        <v>0.14739618156643694</v>
      </c>
      <c r="O17" s="281">
        <v>0.22685578082307178</v>
      </c>
      <c r="P17" s="275">
        <v>1</v>
      </c>
    </row>
    <row r="18" spans="1:16" ht="20" customHeight="1" thickBot="1">
      <c r="A18" s="282" t="s">
        <v>374</v>
      </c>
      <c r="B18" s="275">
        <v>0.24956270002482756</v>
      </c>
      <c r="C18" s="276">
        <v>0.10242563530353686</v>
      </c>
      <c r="D18" s="277">
        <v>1.6717702139107452E-2</v>
      </c>
      <c r="E18" s="276">
        <v>5.719954330123872E-2</v>
      </c>
      <c r="F18" s="277">
        <v>7.6338560958874209E-3</v>
      </c>
      <c r="G18" s="276">
        <v>5.9064161060187935E-2</v>
      </c>
      <c r="H18" s="278" t="s">
        <v>30</v>
      </c>
      <c r="I18" s="279">
        <v>0.24304089789995842</v>
      </c>
      <c r="J18" s="275">
        <v>9.7521606079967714E-4</v>
      </c>
      <c r="K18" s="276">
        <v>0.18343144223937655</v>
      </c>
      <c r="L18" s="277">
        <v>0.32298965433849508</v>
      </c>
      <c r="M18" s="279">
        <v>0.50642114129614291</v>
      </c>
      <c r="N18" s="280">
        <v>3.7152208116688207E-2</v>
      </c>
      <c r="O18" s="281">
        <v>0.31827965769415412</v>
      </c>
      <c r="P18" s="275">
        <v>1</v>
      </c>
    </row>
    <row r="19" spans="1:16" ht="20" customHeight="1" thickBot="1">
      <c r="A19" s="282" t="s">
        <v>375</v>
      </c>
      <c r="B19" s="275">
        <v>0.2227783371739559</v>
      </c>
      <c r="C19" s="276">
        <v>8.4765668041288836E-2</v>
      </c>
      <c r="D19" s="277">
        <v>1.5474422469753711E-2</v>
      </c>
      <c r="E19" s="276">
        <v>4.6964193458144829E-2</v>
      </c>
      <c r="F19" s="277">
        <v>1.1116689195990509E-2</v>
      </c>
      <c r="G19" s="276">
        <v>5.9408032886779587E-2</v>
      </c>
      <c r="H19" s="278" t="s">
        <v>30</v>
      </c>
      <c r="I19" s="279">
        <v>0.2177290060519575</v>
      </c>
      <c r="J19" s="275">
        <v>1.0002448218278189E-3</v>
      </c>
      <c r="K19" s="276">
        <v>0.2249928474556788</v>
      </c>
      <c r="L19" s="277">
        <v>0.33349956449657986</v>
      </c>
      <c r="M19" s="279">
        <v>0.55849241195225885</v>
      </c>
      <c r="N19" s="280">
        <v>8.2083582997616242E-3</v>
      </c>
      <c r="O19" s="281">
        <v>0.43452762565059577</v>
      </c>
      <c r="P19" s="275">
        <v>1</v>
      </c>
    </row>
    <row r="20" spans="1:16" ht="20" customHeight="1" thickBot="1">
      <c r="A20" s="282" t="s">
        <v>376</v>
      </c>
      <c r="B20" s="275">
        <v>0.26882549088502761</v>
      </c>
      <c r="C20" s="276">
        <v>6.4327478647612277E-2</v>
      </c>
      <c r="D20" s="277">
        <v>1.8080281385949217E-2</v>
      </c>
      <c r="E20" s="276">
        <v>5.501679225359736E-2</v>
      </c>
      <c r="F20" s="277">
        <v>1.0306294573843322E-2</v>
      </c>
      <c r="G20" s="276">
        <v>4.9826919826832343E-2</v>
      </c>
      <c r="H20" s="278" t="s">
        <v>30</v>
      </c>
      <c r="I20" s="279">
        <v>0.19755776668783454</v>
      </c>
      <c r="J20" s="275">
        <v>9.9008213997735261E-4</v>
      </c>
      <c r="K20" s="276">
        <v>0.19655571146151324</v>
      </c>
      <c r="L20" s="277">
        <v>0.33607186983228943</v>
      </c>
      <c r="M20" s="279">
        <v>0.53262666028716077</v>
      </c>
      <c r="N20" s="280">
        <v>7.3883613311677421E-2</v>
      </c>
      <c r="O20" s="281">
        <v>0.33536706949962181</v>
      </c>
      <c r="P20" s="275">
        <v>1</v>
      </c>
    </row>
    <row r="21" spans="1:16" ht="20" customHeight="1" thickBot="1">
      <c r="A21" s="282" t="s">
        <v>377</v>
      </c>
      <c r="B21" s="275">
        <v>0.24426388320591799</v>
      </c>
      <c r="C21" s="276">
        <v>5.6215319276942823E-2</v>
      </c>
      <c r="D21" s="277">
        <v>1.3281979043179978E-2</v>
      </c>
      <c r="E21" s="276">
        <v>4.8047205406917801E-2</v>
      </c>
      <c r="F21" s="277">
        <v>6.2669916337683308E-3</v>
      </c>
      <c r="G21" s="276">
        <v>3.5129924844619048E-2</v>
      </c>
      <c r="H21" s="278" t="s">
        <v>30</v>
      </c>
      <c r="I21" s="279">
        <v>0.15894142020542798</v>
      </c>
      <c r="J21" s="275">
        <v>1.1321017144871822E-3</v>
      </c>
      <c r="K21" s="276">
        <v>0.20529775083735097</v>
      </c>
      <c r="L21" s="277">
        <v>0.39036322674865243</v>
      </c>
      <c r="M21" s="279">
        <v>0.59566178623008514</v>
      </c>
      <c r="N21" s="280">
        <v>1.4080919395975219E-2</v>
      </c>
      <c r="O21" s="281">
        <v>0.50814304590349002</v>
      </c>
      <c r="P21" s="275">
        <v>1</v>
      </c>
    </row>
    <row r="22" spans="1:16" ht="20" customHeight="1" thickBot="1">
      <c r="A22" s="282" t="s">
        <v>378</v>
      </c>
      <c r="B22" s="275">
        <v>0.21985952927620839</v>
      </c>
      <c r="C22" s="276">
        <v>5.3254657659312379E-2</v>
      </c>
      <c r="D22" s="277">
        <v>1.2147393013561578E-2</v>
      </c>
      <c r="E22" s="276">
        <v>4.2612870965352212E-2</v>
      </c>
      <c r="F22" s="277">
        <v>6.0500049482697157E-3</v>
      </c>
      <c r="G22" s="276">
        <v>4.3119906606528473E-2</v>
      </c>
      <c r="H22" s="278" t="s">
        <v>30</v>
      </c>
      <c r="I22" s="279">
        <v>0.15718483319302434</v>
      </c>
      <c r="J22" s="275">
        <v>8.4524948740435967E-4</v>
      </c>
      <c r="K22" s="276">
        <v>0.24645172253960446</v>
      </c>
      <c r="L22" s="277">
        <v>0.37565887286969718</v>
      </c>
      <c r="M22" s="279">
        <v>0.62211049172633237</v>
      </c>
      <c r="N22" s="280">
        <v>0.10543448581619569</v>
      </c>
      <c r="O22" s="281">
        <v>0.38578457758339996</v>
      </c>
      <c r="P22" s="275">
        <v>1</v>
      </c>
    </row>
    <row r="23" spans="1:16" ht="20" customHeight="1" thickBot="1">
      <c r="A23" s="282" t="s">
        <v>379</v>
      </c>
      <c r="B23" s="275">
        <v>0.36551936373284816</v>
      </c>
      <c r="C23" s="276">
        <v>5.1403259143426326E-2</v>
      </c>
      <c r="D23" s="277">
        <v>1.5050794449344236E-2</v>
      </c>
      <c r="E23" s="276">
        <v>5.5951242813733398E-2</v>
      </c>
      <c r="F23" s="277">
        <v>9.1153733442684414E-3</v>
      </c>
      <c r="G23" s="276">
        <v>5.6698098474877882E-2</v>
      </c>
      <c r="H23" s="278" t="s">
        <v>30</v>
      </c>
      <c r="I23" s="279">
        <v>0.18821876822565028</v>
      </c>
      <c r="J23" s="275">
        <v>6.1370721335848063E-4</v>
      </c>
      <c r="K23" s="276">
        <v>0.21299894932100713</v>
      </c>
      <c r="L23" s="277">
        <v>0.23264988490158423</v>
      </c>
      <c r="M23" s="279">
        <v>0.4456485893518829</v>
      </c>
      <c r="N23" s="280">
        <v>1.2984759063445445E-2</v>
      </c>
      <c r="O23" s="281">
        <v>0.33747768845234416</v>
      </c>
      <c r="P23" s="275">
        <v>1</v>
      </c>
    </row>
    <row r="24" spans="1:16" ht="20" customHeight="1" thickBot="1">
      <c r="A24" s="282" t="s">
        <v>380</v>
      </c>
      <c r="B24" s="275">
        <v>0.26040096932183621</v>
      </c>
      <c r="C24" s="276">
        <v>7.0036241539798788E-2</v>
      </c>
      <c r="D24" s="277">
        <v>1.5306492490093054E-2</v>
      </c>
      <c r="E24" s="276">
        <v>5.0715043925658669E-2</v>
      </c>
      <c r="F24" s="277">
        <v>8.1427001995284659E-3</v>
      </c>
      <c r="G24" s="276">
        <v>5.192966802389716E-2</v>
      </c>
      <c r="H24" s="278" t="s">
        <v>30</v>
      </c>
      <c r="I24" s="279">
        <v>0.19613014617897612</v>
      </c>
      <c r="J24" s="275">
        <v>1.1221769276600489E-3</v>
      </c>
      <c r="K24" s="276">
        <v>0.231468137371837</v>
      </c>
      <c r="L24" s="277">
        <v>0.31087881115669486</v>
      </c>
      <c r="M24" s="279">
        <v>0.54234684812978029</v>
      </c>
      <c r="N24" s="280">
        <v>5.6585358938388425E-2</v>
      </c>
      <c r="O24" s="281">
        <v>0.36788086507419787</v>
      </c>
      <c r="P24" s="275">
        <v>1</v>
      </c>
    </row>
    <row r="25" spans="1:16" ht="20" customHeight="1" thickBot="1">
      <c r="A25" s="282" t="s">
        <v>381</v>
      </c>
      <c r="B25" s="275">
        <v>0.20383485164329518</v>
      </c>
      <c r="C25" s="276">
        <v>5.3622731106704805E-2</v>
      </c>
      <c r="D25" s="277">
        <v>1.343879738899261E-2</v>
      </c>
      <c r="E25" s="276">
        <v>5.0126097351673837E-2</v>
      </c>
      <c r="F25" s="277">
        <v>7.6327685247205811E-3</v>
      </c>
      <c r="G25" s="276">
        <v>5.1430833025502082E-2</v>
      </c>
      <c r="H25" s="278" t="s">
        <v>30</v>
      </c>
      <c r="I25" s="279">
        <v>0.17625122739759391</v>
      </c>
      <c r="J25" s="275">
        <v>8.6237631954124675E-4</v>
      </c>
      <c r="K25" s="276">
        <v>0.22793311307128991</v>
      </c>
      <c r="L25" s="277">
        <v>0.39111848143968364</v>
      </c>
      <c r="M25" s="279">
        <v>0.61905159451097369</v>
      </c>
      <c r="N25" s="280">
        <v>0.10651958392686535</v>
      </c>
      <c r="O25" s="281">
        <v>0.42555124483762391</v>
      </c>
      <c r="P25" s="275">
        <v>1</v>
      </c>
    </row>
    <row r="26" spans="1:16" ht="20" customHeight="1" thickBot="1">
      <c r="A26" s="282" t="s">
        <v>382</v>
      </c>
      <c r="B26" s="275">
        <v>0.26718176660749959</v>
      </c>
      <c r="C26" s="276">
        <v>0.13033988693236961</v>
      </c>
      <c r="D26" s="277">
        <v>1.1967663193290227E-2</v>
      </c>
      <c r="E26" s="276">
        <v>5.7647274052486631E-2</v>
      </c>
      <c r="F26" s="277">
        <v>4.482361344865589E-3</v>
      </c>
      <c r="G26" s="276">
        <v>7.4566558073926509E-2</v>
      </c>
      <c r="H26" s="278" t="s">
        <v>30</v>
      </c>
      <c r="I26" s="279">
        <v>0.27900374359693858</v>
      </c>
      <c r="J26" s="275">
        <v>4.1661014837579536E-4</v>
      </c>
      <c r="K26" s="276">
        <v>0.14702510518223733</v>
      </c>
      <c r="L26" s="277">
        <v>0.30637277446494893</v>
      </c>
      <c r="M26" s="279">
        <v>0.4533978796471862</v>
      </c>
      <c r="N26" s="280">
        <v>1.8000105371440149E-3</v>
      </c>
      <c r="O26" s="281">
        <v>0.25891691258187388</v>
      </c>
      <c r="P26" s="275">
        <v>1</v>
      </c>
    </row>
    <row r="27" spans="1:16" ht="20" customHeight="1" thickBot="1">
      <c r="A27" s="282" t="s">
        <v>383</v>
      </c>
      <c r="B27" s="275">
        <v>0.20727454923704366</v>
      </c>
      <c r="C27" s="276">
        <v>0.1467135199252414</v>
      </c>
      <c r="D27" s="277">
        <v>2.1942900086081844E-2</v>
      </c>
      <c r="E27" s="276">
        <v>6.250620825659807E-2</v>
      </c>
      <c r="F27" s="277">
        <v>6.227731721752788E-3</v>
      </c>
      <c r="G27" s="276">
        <v>7.133942433831876E-2</v>
      </c>
      <c r="H27" s="278" t="s">
        <v>30</v>
      </c>
      <c r="I27" s="279">
        <v>0.30872978432799286</v>
      </c>
      <c r="J27" s="275">
        <v>2.0641836177126197E-4</v>
      </c>
      <c r="K27" s="276">
        <v>0.1359187909240108</v>
      </c>
      <c r="L27" s="277">
        <v>0.34787063664340923</v>
      </c>
      <c r="M27" s="279">
        <v>0.48378939166857426</v>
      </c>
      <c r="N27" s="280">
        <v>1.2040562536345337E-2</v>
      </c>
      <c r="O27" s="281">
        <v>0.29229931351714672</v>
      </c>
      <c r="P27" s="275">
        <v>1</v>
      </c>
    </row>
    <row r="28" spans="1:16" ht="20" customHeight="1" thickBot="1">
      <c r="A28" s="282" t="s">
        <v>384</v>
      </c>
      <c r="B28" s="275">
        <v>0.38198071421541741</v>
      </c>
      <c r="C28" s="276">
        <v>0.14606398851692856</v>
      </c>
      <c r="D28" s="277">
        <v>2.3221433359754601E-2</v>
      </c>
      <c r="E28" s="276">
        <v>5.3854827453096603E-2</v>
      </c>
      <c r="F28" s="277">
        <v>9.5099906825343253E-3</v>
      </c>
      <c r="G28" s="276">
        <v>4.7509493290699291E-2</v>
      </c>
      <c r="H28" s="278" t="s">
        <v>30</v>
      </c>
      <c r="I28" s="279">
        <v>0.28015973330301341</v>
      </c>
      <c r="J28" s="275">
        <v>2.3275237951485788E-4</v>
      </c>
      <c r="K28" s="276">
        <v>0.14165682221081477</v>
      </c>
      <c r="L28" s="277">
        <v>0.19596993909917604</v>
      </c>
      <c r="M28" s="279">
        <v>0.33762680010205409</v>
      </c>
      <c r="N28" s="280">
        <v>6.1407836128670007E-5</v>
      </c>
      <c r="O28" s="281">
        <v>0.21968597126539977</v>
      </c>
      <c r="P28" s="275">
        <v>1</v>
      </c>
    </row>
    <row r="29" spans="1:16" ht="20" customHeight="1" thickBot="1">
      <c r="A29" s="282" t="s">
        <v>385</v>
      </c>
      <c r="B29" s="275">
        <v>0.23829682110852782</v>
      </c>
      <c r="C29" s="276">
        <v>0.11616004475859698</v>
      </c>
      <c r="D29" s="277">
        <v>1.1469462996173603E-2</v>
      </c>
      <c r="E29" s="276">
        <v>4.3095594133613184E-2</v>
      </c>
      <c r="F29" s="277">
        <v>4.3735489511262764E-3</v>
      </c>
      <c r="G29" s="276">
        <v>6.1267970274339986E-2</v>
      </c>
      <c r="H29" s="278" t="s">
        <v>30</v>
      </c>
      <c r="I29" s="279">
        <v>0.23636662111385004</v>
      </c>
      <c r="J29" s="275">
        <v>3.262922605578567E-4</v>
      </c>
      <c r="K29" s="276">
        <v>0.16103175643051346</v>
      </c>
      <c r="L29" s="277">
        <v>0.36397887163350662</v>
      </c>
      <c r="M29" s="279">
        <v>0.52501004798889028</v>
      </c>
      <c r="N29" s="280">
        <v>1.1772479742144999E-2</v>
      </c>
      <c r="O29" s="281">
        <v>0.42705196320264394</v>
      </c>
      <c r="P29" s="275">
        <v>1</v>
      </c>
    </row>
    <row r="30" spans="1:16" ht="20" customHeight="1" thickBot="1">
      <c r="A30" s="282" t="s">
        <v>386</v>
      </c>
      <c r="B30" s="275">
        <v>0.28195735505467373</v>
      </c>
      <c r="C30" s="276">
        <v>0.16872473269340488</v>
      </c>
      <c r="D30" s="277">
        <v>1.9569465312750042E-2</v>
      </c>
      <c r="E30" s="276">
        <v>6.1740846014928893E-2</v>
      </c>
      <c r="F30" s="277">
        <v>4.474436140655561E-3</v>
      </c>
      <c r="G30" s="276">
        <v>7.3063185489870036E-2</v>
      </c>
      <c r="H30" s="278" t="s">
        <v>30</v>
      </c>
      <c r="I30" s="279">
        <v>0.32757266565160947</v>
      </c>
      <c r="J30" s="275">
        <v>1.1721157456683827E-4</v>
      </c>
      <c r="K30" s="276">
        <v>0.12335964267820056</v>
      </c>
      <c r="L30" s="277">
        <v>0.26699312504094941</v>
      </c>
      <c r="M30" s="279">
        <v>0.39035282744479305</v>
      </c>
      <c r="N30" s="280">
        <v>9.8558838149897854E-2</v>
      </c>
      <c r="O30" s="281">
        <v>0.1710493144481646</v>
      </c>
      <c r="P30" s="275">
        <v>1</v>
      </c>
    </row>
    <row r="31" spans="1:16" ht="20" customHeight="1" thickBot="1">
      <c r="A31" s="146" t="s">
        <v>387</v>
      </c>
      <c r="B31" s="275">
        <v>0.21606313624285958</v>
      </c>
      <c r="C31" s="276">
        <v>0.1235370529959752</v>
      </c>
      <c r="D31" s="277">
        <v>1.3044880334633651E-2</v>
      </c>
      <c r="E31" s="276">
        <v>6.1559550002757209E-2</v>
      </c>
      <c r="F31" s="277">
        <v>6.876236838362304E-3</v>
      </c>
      <c r="G31" s="276">
        <v>5.1367350518898819E-2</v>
      </c>
      <c r="H31" s="278" t="s">
        <v>30</v>
      </c>
      <c r="I31" s="279">
        <v>0.25638507069062721</v>
      </c>
      <c r="J31" s="275">
        <v>3.7191034676356798E-4</v>
      </c>
      <c r="K31" s="276">
        <v>0.14746816320725206</v>
      </c>
      <c r="L31" s="277">
        <v>0.37971225489207555</v>
      </c>
      <c r="M31" s="279">
        <v>0.5271798827197498</v>
      </c>
      <c r="N31" s="280">
        <v>1.7845985929153937E-5</v>
      </c>
      <c r="O31" s="281">
        <v>0.42389802375336416</v>
      </c>
      <c r="P31" s="275">
        <v>1</v>
      </c>
    </row>
    <row r="32" spans="1:16" ht="20" customHeight="1" thickBot="1">
      <c r="A32" s="282" t="s">
        <v>443</v>
      </c>
      <c r="B32" s="275">
        <v>0.86315434195627549</v>
      </c>
      <c r="C32" s="276">
        <v>4.5618848532357793E-3</v>
      </c>
      <c r="D32" s="277">
        <v>1.4240919780506924E-2</v>
      </c>
      <c r="E32" s="276">
        <v>1.7259493946520335E-2</v>
      </c>
      <c r="F32" s="277">
        <v>2.1992857765003046E-3</v>
      </c>
      <c r="G32" s="276">
        <v>5.7796576953227069E-2</v>
      </c>
      <c r="H32" s="278" t="s">
        <v>30</v>
      </c>
      <c r="I32" s="279">
        <v>9.6058161309990411E-2</v>
      </c>
      <c r="J32" s="275">
        <v>1.8236651859594111E-4</v>
      </c>
      <c r="K32" s="276">
        <v>1.0389447783294137E-2</v>
      </c>
      <c r="L32" s="277">
        <v>3.021296054350666E-2</v>
      </c>
      <c r="M32" s="279">
        <v>4.0602408326800801E-2</v>
      </c>
      <c r="N32" s="280">
        <v>4.2461458061144496E-4</v>
      </c>
      <c r="O32" s="281">
        <v>3.5468926922741915E-2</v>
      </c>
      <c r="P32" s="275">
        <v>1</v>
      </c>
    </row>
    <row r="33" spans="1:16" ht="3" customHeight="1" thickBot="1">
      <c r="A33" s="146"/>
      <c r="B33" s="275"/>
      <c r="C33" s="276"/>
      <c r="D33" s="277"/>
      <c r="E33" s="276"/>
      <c r="F33" s="277"/>
      <c r="G33" s="276"/>
      <c r="H33" s="278"/>
      <c r="I33" s="276"/>
      <c r="J33" s="277"/>
      <c r="K33" s="276"/>
      <c r="L33" s="277"/>
      <c r="M33" s="276"/>
      <c r="N33" s="280"/>
      <c r="O33" s="281"/>
      <c r="P33" s="275"/>
    </row>
    <row r="34" spans="1:16" ht="30" customHeight="1" thickBot="1">
      <c r="A34" s="283" t="s">
        <v>444</v>
      </c>
      <c r="B34" s="284">
        <v>0.2476934052150537</v>
      </c>
      <c r="C34" s="285">
        <v>9.9385152337321897E-2</v>
      </c>
      <c r="D34" s="286">
        <v>1.6020712622724819E-2</v>
      </c>
      <c r="E34" s="285">
        <v>5.1940093991091951E-2</v>
      </c>
      <c r="F34" s="286">
        <v>7.3785374285283709E-3</v>
      </c>
      <c r="G34" s="285">
        <v>5.7364960389498974E-2</v>
      </c>
      <c r="H34" s="287" t="s">
        <v>30</v>
      </c>
      <c r="I34" s="288">
        <v>0.23208945676916604</v>
      </c>
      <c r="J34" s="289">
        <v>8.2262696667107589E-4</v>
      </c>
      <c r="K34" s="290">
        <v>0.19059496895517108</v>
      </c>
      <c r="L34" s="291">
        <v>0.3287995420939383</v>
      </c>
      <c r="M34" s="292">
        <v>0.5193945110491095</v>
      </c>
      <c r="N34" s="293">
        <v>5.5030877816983986E-2</v>
      </c>
      <c r="O34" s="294">
        <v>0.30442082317901853</v>
      </c>
      <c r="P34" s="289">
        <v>1</v>
      </c>
    </row>
    <row r="35" spans="1:16" ht="20" customHeight="1">
      <c r="A35" s="172" t="s">
        <v>720</v>
      </c>
      <c r="B35" s="295"/>
      <c r="C35" s="296"/>
      <c r="D35" s="296"/>
      <c r="E35" s="296"/>
      <c r="F35" s="296"/>
      <c r="G35" s="296"/>
      <c r="H35" s="297"/>
      <c r="I35" s="297"/>
      <c r="M35" s="49"/>
    </row>
    <row r="36" spans="1:16" ht="13.5" customHeight="1">
      <c r="B36" s="298"/>
      <c r="C36" s="172"/>
      <c r="D36" s="172"/>
      <c r="E36" s="172"/>
      <c r="F36" s="172"/>
      <c r="G36" s="172"/>
      <c r="H36" s="299"/>
      <c r="I36" s="299"/>
      <c r="M36" s="4"/>
    </row>
    <row r="37" spans="1:16" ht="14.25" customHeight="1">
      <c r="A37" s="172" t="s">
        <v>445</v>
      </c>
      <c r="B37" s="300"/>
      <c r="C37" s="61"/>
      <c r="D37" s="61"/>
      <c r="E37" s="61"/>
      <c r="F37" s="61"/>
      <c r="G37" s="61"/>
      <c r="H37" s="301"/>
      <c r="I37" s="301"/>
      <c r="M37" s="4"/>
    </row>
    <row r="38" spans="1:16" ht="12" customHeight="1">
      <c r="M38" s="4"/>
    </row>
    <row r="39" spans="1:16" ht="12" customHeight="1">
      <c r="A39" s="173" t="s">
        <v>446</v>
      </c>
      <c r="M39" s="4"/>
    </row>
    <row r="40" spans="1:16" ht="12" customHeight="1">
      <c r="A40" s="173" t="s">
        <v>447</v>
      </c>
      <c r="M40" s="4"/>
    </row>
    <row r="41" spans="1:16" ht="12" customHeight="1">
      <c r="A41" s="172" t="s">
        <v>448</v>
      </c>
      <c r="M41" s="4"/>
    </row>
    <row r="42" spans="1:16" ht="12" customHeight="1">
      <c r="A42" s="172" t="s">
        <v>343</v>
      </c>
      <c r="M42" s="4"/>
    </row>
    <row r="43" spans="1:16" ht="12" customHeight="1">
      <c r="M43" s="4"/>
    </row>
    <row r="44" spans="1:16" ht="12" customHeight="1"/>
    <row r="45" spans="1:16" ht="12" customHeight="1">
      <c r="A45" s="3" t="s">
        <v>719</v>
      </c>
    </row>
    <row r="49" spans="1:12">
      <c r="A49" s="49"/>
      <c r="B49" s="49"/>
      <c r="C49" s="174"/>
      <c r="D49" s="175"/>
      <c r="E49" s="177"/>
      <c r="F49" s="175"/>
      <c r="G49" s="176"/>
      <c r="H49" s="303"/>
      <c r="I49" s="303"/>
      <c r="J49" s="49"/>
      <c r="K49" s="4"/>
      <c r="L49" s="4"/>
    </row>
    <row r="50" spans="1:12">
      <c r="A50" s="177"/>
      <c r="B50" s="177"/>
      <c r="C50" s="177"/>
      <c r="D50" s="178"/>
      <c r="E50" s="177"/>
      <c r="F50" s="179"/>
      <c r="G50" s="4"/>
      <c r="H50" s="303"/>
      <c r="I50" s="303"/>
      <c r="J50" s="49"/>
      <c r="K50" s="4"/>
      <c r="L50" s="4"/>
    </row>
  </sheetData>
  <pageMargins left="0.59055118110236227" right="0.51181102362204722" top="0.47244094488188981" bottom="0.43307086614173229" header="0.31496062992125984" footer="0.31496062992125984"/>
  <pageSetup paperSize="9" scale="59" orientation="landscape" horizontalDpi="4294967292" verticalDpi="4294967292"/>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AC6A-070C-0046-9E42-4D503FD9048B}">
  <sheetPr>
    <pageSetUpPr fitToPage="1"/>
  </sheetPr>
  <dimension ref="A1:P45"/>
  <sheetViews>
    <sheetView topLeftCell="A16" zoomScaleNormal="100" workbookViewId="0">
      <selection activeCell="J35" sqref="J35"/>
    </sheetView>
  </sheetViews>
  <sheetFormatPr baseColWidth="10" defaultColWidth="11.3984375" defaultRowHeight="13"/>
  <cols>
    <col min="1" max="1" width="14.796875" style="3" customWidth="1"/>
    <col min="2" max="2" width="14.796875" style="110" customWidth="1"/>
    <col min="3" max="4" width="12.3984375" style="3" customWidth="1"/>
    <col min="5" max="7" width="12.59765625" style="3" customWidth="1"/>
    <col min="8" max="8" width="14.59765625" style="302" customWidth="1"/>
    <col min="9" max="9" width="17" style="302" customWidth="1"/>
    <col min="10" max="10" width="16" style="110" customWidth="1"/>
    <col min="11" max="14" width="13.3984375" style="3" customWidth="1"/>
    <col min="15" max="15" width="15.19921875" style="3" customWidth="1"/>
    <col min="16" max="16" width="13.3984375" style="3" customWidth="1"/>
    <col min="17" max="16384" width="11.3984375" style="3"/>
  </cols>
  <sheetData>
    <row r="1" spans="1:16" s="2" customFormat="1" ht="14" customHeight="1">
      <c r="A1" s="121"/>
      <c r="B1" s="253"/>
      <c r="C1" s="121"/>
      <c r="D1" s="121"/>
      <c r="E1" s="121"/>
      <c r="F1" s="121"/>
      <c r="G1" s="121"/>
      <c r="H1" s="254"/>
      <c r="I1" s="254"/>
      <c r="J1" s="17"/>
    </row>
    <row r="2" spans="1:16" s="2" customFormat="1" ht="28" customHeight="1">
      <c r="A2" s="180" t="s">
        <v>449</v>
      </c>
      <c r="B2" s="253"/>
      <c r="C2" s="121"/>
      <c r="D2" s="121"/>
      <c r="E2" s="121"/>
      <c r="F2" s="121"/>
      <c r="G2" s="121"/>
      <c r="H2" s="254"/>
      <c r="I2" s="254"/>
      <c r="J2" s="255"/>
      <c r="K2" s="122"/>
      <c r="P2" s="122">
        <v>2011</v>
      </c>
    </row>
    <row r="3" spans="1:16" ht="57.75" customHeight="1">
      <c r="A3" s="256" t="s">
        <v>191</v>
      </c>
      <c r="B3" s="257" t="s">
        <v>429</v>
      </c>
      <c r="C3" s="258"/>
      <c r="D3" s="258"/>
      <c r="E3" s="258"/>
      <c r="F3" s="258"/>
      <c r="G3" s="258"/>
      <c r="H3" s="259"/>
      <c r="I3" s="258"/>
      <c r="J3" s="260" t="s">
        <v>430</v>
      </c>
      <c r="K3" s="261" t="s">
        <v>331</v>
      </c>
      <c r="L3" s="262"/>
      <c r="M3" s="263"/>
      <c r="N3" s="263"/>
      <c r="O3" s="263"/>
      <c r="P3" s="264"/>
    </row>
    <row r="4" spans="1:16" ht="84.75" customHeight="1">
      <c r="A4" s="211"/>
      <c r="B4" s="260" t="s">
        <v>450</v>
      </c>
      <c r="C4" s="130" t="s">
        <v>451</v>
      </c>
      <c r="D4" s="129" t="s">
        <v>452</v>
      </c>
      <c r="E4" s="130" t="s">
        <v>453</v>
      </c>
      <c r="F4" s="129" t="s">
        <v>454</v>
      </c>
      <c r="G4" s="130" t="s">
        <v>455</v>
      </c>
      <c r="H4" s="129" t="s">
        <v>456</v>
      </c>
      <c r="I4" s="265" t="s">
        <v>438</v>
      </c>
      <c r="J4" s="260"/>
      <c r="K4" s="130" t="s">
        <v>439</v>
      </c>
      <c r="L4" s="129" t="s">
        <v>440</v>
      </c>
      <c r="M4" s="266" t="s">
        <v>316</v>
      </c>
      <c r="N4" s="267" t="s">
        <v>441</v>
      </c>
      <c r="O4" s="268" t="s">
        <v>442</v>
      </c>
      <c r="P4" s="269" t="s">
        <v>278</v>
      </c>
    </row>
    <row r="5" spans="1:16" ht="24" customHeight="1">
      <c r="A5" s="213"/>
      <c r="B5" s="270"/>
      <c r="C5" s="213"/>
      <c r="D5" s="97"/>
      <c r="E5" s="189"/>
      <c r="F5" s="190"/>
      <c r="G5" s="189"/>
      <c r="H5" s="270"/>
      <c r="I5" s="271"/>
      <c r="J5" s="272"/>
      <c r="K5" s="213"/>
      <c r="L5" s="190"/>
      <c r="M5" s="273"/>
      <c r="N5" s="190"/>
      <c r="O5" s="271"/>
      <c r="P5" s="272"/>
    </row>
    <row r="6" spans="1:16" ht="30" customHeight="1" thickBot="1">
      <c r="A6" s="274" t="s">
        <v>362</v>
      </c>
      <c r="B6" s="275">
        <v>0.46249588638551575</v>
      </c>
      <c r="C6" s="276">
        <v>1.7972660151108293E-3</v>
      </c>
      <c r="D6" s="277">
        <v>9.4488069745020525E-3</v>
      </c>
      <c r="E6" s="276">
        <v>4.1061225725908777E-3</v>
      </c>
      <c r="F6" s="277">
        <v>6.680050101465853E-3</v>
      </c>
      <c r="G6" s="276">
        <v>8.9090325738014758E-3</v>
      </c>
      <c r="H6" s="277">
        <v>6.2326363054235985E-3</v>
      </c>
      <c r="I6" s="762">
        <v>3.7173914542894683E-2</v>
      </c>
      <c r="J6" s="275">
        <v>2.3783846693129636E-5</v>
      </c>
      <c r="K6" s="276">
        <v>0.46550105469468167</v>
      </c>
      <c r="L6" s="277">
        <v>3.4805519089192841E-2</v>
      </c>
      <c r="M6" s="279">
        <v>0.50030641522489649</v>
      </c>
      <c r="N6" s="280">
        <v>6.8048518730136023E-2</v>
      </c>
      <c r="O6" s="281">
        <v>0.29278236361172938</v>
      </c>
      <c r="P6" s="275">
        <v>1</v>
      </c>
    </row>
    <row r="7" spans="1:16" ht="20" customHeight="1" thickBot="1">
      <c r="A7" s="282" t="s">
        <v>363</v>
      </c>
      <c r="B7" s="275">
        <v>0.29633582463305991</v>
      </c>
      <c r="C7" s="276">
        <v>7.8151128930425203E-4</v>
      </c>
      <c r="D7" s="277">
        <v>9.3941421935724457E-3</v>
      </c>
      <c r="E7" s="276">
        <v>2.6355293090405403E-3</v>
      </c>
      <c r="F7" s="277">
        <v>5.8248686518834452E-3</v>
      </c>
      <c r="G7" s="276">
        <v>5.5595741445449822E-3</v>
      </c>
      <c r="H7" s="277">
        <v>6.4805242719956878E-3</v>
      </c>
      <c r="I7" s="762">
        <v>3.0676149860341353E-2</v>
      </c>
      <c r="J7" s="275">
        <v>4.182037910455467E-5</v>
      </c>
      <c r="K7" s="276">
        <v>0.60875784118017784</v>
      </c>
      <c r="L7" s="277">
        <v>6.4188758479194585E-2</v>
      </c>
      <c r="M7" s="279">
        <v>0.67294631785088799</v>
      </c>
      <c r="N7" s="280">
        <v>5.7085775626564528E-2</v>
      </c>
      <c r="O7" s="281">
        <v>0.24955899790255584</v>
      </c>
      <c r="P7" s="275">
        <v>1</v>
      </c>
    </row>
    <row r="8" spans="1:16" ht="20" customHeight="1" thickBot="1">
      <c r="A8" s="282" t="s">
        <v>364</v>
      </c>
      <c r="B8" s="275">
        <v>0.28286532864531844</v>
      </c>
      <c r="C8" s="276">
        <v>5.9308452291091077E-4</v>
      </c>
      <c r="D8" s="277">
        <v>2.614033978723325E-3</v>
      </c>
      <c r="E8" s="276">
        <v>1.5837720600616935E-3</v>
      </c>
      <c r="F8" s="277">
        <v>1.1001810859953966E-2</v>
      </c>
      <c r="G8" s="276">
        <v>5.0651224335747994E-3</v>
      </c>
      <c r="H8" s="277">
        <v>4.3867803504962196E-3</v>
      </c>
      <c r="I8" s="762">
        <v>2.5244604205720913E-2</v>
      </c>
      <c r="J8" s="275">
        <v>0</v>
      </c>
      <c r="K8" s="276">
        <v>0.60597713928748054</v>
      </c>
      <c r="L8" s="277">
        <v>8.5912795061542133E-2</v>
      </c>
      <c r="M8" s="279">
        <v>0.69188993434902257</v>
      </c>
      <c r="N8" s="280">
        <v>6.7262770174833772E-2</v>
      </c>
      <c r="O8" s="281">
        <v>0.51456894999338665</v>
      </c>
      <c r="P8" s="275">
        <v>1</v>
      </c>
    </row>
    <row r="9" spans="1:16" ht="20" customHeight="1" thickBot="1">
      <c r="A9" s="282" t="s">
        <v>365</v>
      </c>
      <c r="B9" s="275">
        <v>0.31228570289450602</v>
      </c>
      <c r="C9" s="276">
        <v>7.1195051659129485E-4</v>
      </c>
      <c r="D9" s="277">
        <v>2.7410094888764853E-3</v>
      </c>
      <c r="E9" s="276">
        <v>1.4096620228507637E-2</v>
      </c>
      <c r="F9" s="277">
        <v>4.5089250116759877E-2</v>
      </c>
      <c r="G9" s="276">
        <v>5.7895816009204092E-3</v>
      </c>
      <c r="H9" s="277">
        <v>7.9738457858225028E-3</v>
      </c>
      <c r="I9" s="762">
        <v>7.6402257737478205E-2</v>
      </c>
      <c r="J9" s="275">
        <v>0</v>
      </c>
      <c r="K9" s="276">
        <v>0.54952185403305731</v>
      </c>
      <c r="L9" s="277">
        <v>6.1790185334958482E-2</v>
      </c>
      <c r="M9" s="279">
        <v>0.61131346326904901</v>
      </c>
      <c r="N9" s="280">
        <v>5.0678061672001555E-2</v>
      </c>
      <c r="O9" s="281">
        <v>0.35288539305364125</v>
      </c>
      <c r="P9" s="275">
        <v>1</v>
      </c>
    </row>
    <row r="10" spans="1:16" ht="20" customHeight="1" thickBot="1">
      <c r="A10" s="282" t="s">
        <v>366</v>
      </c>
      <c r="B10" s="275">
        <v>0.36010520486308212</v>
      </c>
      <c r="C10" s="276">
        <v>5.5276428783403815E-4</v>
      </c>
      <c r="D10" s="277">
        <v>4.8076673934365462E-3</v>
      </c>
      <c r="E10" s="276">
        <v>2.8864660155333679E-3</v>
      </c>
      <c r="F10" s="277">
        <v>1.9356423449228433E-2</v>
      </c>
      <c r="G10" s="276">
        <v>9.3817918752632148E-3</v>
      </c>
      <c r="H10" s="277">
        <v>6.7914002314009509E-3</v>
      </c>
      <c r="I10" s="762">
        <v>4.3776513252696547E-2</v>
      </c>
      <c r="J10" s="275">
        <v>0</v>
      </c>
      <c r="K10" s="276">
        <v>0.52833694299929213</v>
      </c>
      <c r="L10" s="277">
        <v>6.7782029840289124E-2</v>
      </c>
      <c r="M10" s="279">
        <v>0.59611897283958126</v>
      </c>
      <c r="N10" s="280">
        <v>1.7961384577807275E-2</v>
      </c>
      <c r="O10" s="281">
        <v>0.48633549406590271</v>
      </c>
      <c r="P10" s="275">
        <v>1</v>
      </c>
    </row>
    <row r="11" spans="1:16" ht="20" customHeight="1" thickBot="1">
      <c r="A11" s="282" t="s">
        <v>367</v>
      </c>
      <c r="B11" s="275">
        <v>0.25475509852230449</v>
      </c>
      <c r="C11" s="276">
        <v>9.3155438887251331E-4</v>
      </c>
      <c r="D11" s="277">
        <v>2.716801904264017E-3</v>
      </c>
      <c r="E11" s="276">
        <v>1.9465315588380876E-3</v>
      </c>
      <c r="F11" s="277">
        <v>1.697653595243789E-2</v>
      </c>
      <c r="G11" s="276">
        <v>3.9737051393994669E-3</v>
      </c>
      <c r="H11" s="277">
        <v>3.0199046755688044E-3</v>
      </c>
      <c r="I11" s="762">
        <v>2.956503361938078E-2</v>
      </c>
      <c r="J11" s="275">
        <v>1.3903796848843483E-4</v>
      </c>
      <c r="K11" s="276">
        <v>0.65369535112648569</v>
      </c>
      <c r="L11" s="277">
        <v>6.1846869143025576E-2</v>
      </c>
      <c r="M11" s="279">
        <v>0.7155422202695112</v>
      </c>
      <c r="N11" s="280">
        <v>1.0775442557853698E-3</v>
      </c>
      <c r="O11" s="281">
        <v>0.60700223016901456</v>
      </c>
      <c r="P11" s="275">
        <v>1</v>
      </c>
    </row>
    <row r="12" spans="1:16" ht="20" customHeight="1" thickBot="1">
      <c r="A12" s="282" t="s">
        <v>368</v>
      </c>
      <c r="B12" s="275">
        <v>0.31527504187604694</v>
      </c>
      <c r="C12" s="276">
        <v>6.700167504187605E-4</v>
      </c>
      <c r="D12" s="277">
        <v>2.0328308207705191E-3</v>
      </c>
      <c r="E12" s="276">
        <v>2.4120603015075378E-3</v>
      </c>
      <c r="F12" s="277">
        <v>1.7742043551088778E-2</v>
      </c>
      <c r="G12" s="276">
        <v>4.0201005025125632E-3</v>
      </c>
      <c r="H12" s="277">
        <v>4.8884422110552772E-3</v>
      </c>
      <c r="I12" s="762">
        <v>3.1765494137353439E-2</v>
      </c>
      <c r="J12" s="275">
        <v>0</v>
      </c>
      <c r="K12" s="276">
        <v>0.58465661641541034</v>
      </c>
      <c r="L12" s="277">
        <v>6.8301507537688447E-2</v>
      </c>
      <c r="M12" s="279">
        <v>0.65296080402010037</v>
      </c>
      <c r="N12" s="280">
        <v>4.4046901172529306E-3</v>
      </c>
      <c r="O12" s="281">
        <v>0.53714572864321608</v>
      </c>
      <c r="P12" s="275">
        <v>1</v>
      </c>
    </row>
    <row r="13" spans="1:16" ht="20" customHeight="1" thickBot="1">
      <c r="A13" s="282" t="s">
        <v>369</v>
      </c>
      <c r="B13" s="275">
        <v>0.50907269055962634</v>
      </c>
      <c r="C13" s="276">
        <v>9.2058790648372679E-4</v>
      </c>
      <c r="D13" s="277">
        <v>4.2565113996938736E-3</v>
      </c>
      <c r="E13" s="276">
        <v>1.0029853547851937E-2</v>
      </c>
      <c r="F13" s="277">
        <v>1.8908627164658257E-2</v>
      </c>
      <c r="G13" s="276">
        <v>2.6913739394951531E-3</v>
      </c>
      <c r="H13" s="277">
        <v>2.0484806158967726E-2</v>
      </c>
      <c r="I13" s="762">
        <v>5.7291760117150675E-2</v>
      </c>
      <c r="J13" s="275">
        <v>1.3801917638436682E-4</v>
      </c>
      <c r="K13" s="276">
        <v>0.40485303028002712</v>
      </c>
      <c r="L13" s="277">
        <v>2.8644499866811491E-2</v>
      </c>
      <c r="M13" s="279">
        <v>0.43349614995507474</v>
      </c>
      <c r="N13" s="280">
        <v>1.3801917638436682E-4</v>
      </c>
      <c r="O13" s="281">
        <v>0.30891590077525366</v>
      </c>
      <c r="P13" s="275">
        <v>1</v>
      </c>
    </row>
    <row r="14" spans="1:16" ht="20" customHeight="1" thickBot="1">
      <c r="A14" s="282" t="s">
        <v>370</v>
      </c>
      <c r="B14" s="275">
        <v>0.41123224918152612</v>
      </c>
      <c r="C14" s="276">
        <v>1.2281126227481351E-3</v>
      </c>
      <c r="D14" s="277">
        <v>7.1010160508580954E-3</v>
      </c>
      <c r="E14" s="276">
        <v>3.1329497336946822E-3</v>
      </c>
      <c r="F14" s="277">
        <v>1.3855865029734099E-2</v>
      </c>
      <c r="G14" s="276">
        <v>1.1103515432210708E-2</v>
      </c>
      <c r="H14" s="277">
        <v>5.6676823655423285E-3</v>
      </c>
      <c r="I14" s="762">
        <v>4.2089141234788047E-2</v>
      </c>
      <c r="J14" s="275">
        <v>0</v>
      </c>
      <c r="K14" s="276">
        <v>0.50427222505083469</v>
      </c>
      <c r="L14" s="277">
        <v>4.240730274789626E-2</v>
      </c>
      <c r="M14" s="279">
        <v>0.54667998690625352</v>
      </c>
      <c r="N14" s="280">
        <v>7.9891136424259435E-2</v>
      </c>
      <c r="O14" s="281">
        <v>0.36124508123678056</v>
      </c>
      <c r="P14" s="275">
        <v>1</v>
      </c>
    </row>
    <row r="15" spans="1:16" ht="20" customHeight="1" thickBot="1">
      <c r="A15" s="282" t="s">
        <v>371</v>
      </c>
      <c r="B15" s="275">
        <v>0.42359250406668136</v>
      </c>
      <c r="C15" s="276">
        <v>1.4394863031086734E-3</v>
      </c>
      <c r="D15" s="277">
        <v>1.703716153031903E-2</v>
      </c>
      <c r="E15" s="276">
        <v>6.0294857696680517E-3</v>
      </c>
      <c r="F15" s="277">
        <v>7.9853811561779175E-3</v>
      </c>
      <c r="G15" s="276">
        <v>5.0021305489875226E-3</v>
      </c>
      <c r="H15" s="277">
        <v>7.8107275551645089E-3</v>
      </c>
      <c r="I15" s="762">
        <v>4.5304372863425701E-2</v>
      </c>
      <c r="J15" s="275">
        <v>3.2134977187379694E-5</v>
      </c>
      <c r="K15" s="276">
        <v>0.48887551359727283</v>
      </c>
      <c r="L15" s="277">
        <v>4.2195313820546719E-2</v>
      </c>
      <c r="M15" s="279">
        <v>0.53107098809270536</v>
      </c>
      <c r="N15" s="280">
        <v>6.1948202272971205E-3</v>
      </c>
      <c r="O15" s="281">
        <v>0.36259035552210667</v>
      </c>
      <c r="P15" s="275">
        <v>1</v>
      </c>
    </row>
    <row r="16" spans="1:16" ht="20" customHeight="1" thickBot="1">
      <c r="A16" s="282" t="s">
        <v>372</v>
      </c>
      <c r="B16" s="275">
        <v>0.39960144818593502</v>
      </c>
      <c r="C16" s="276">
        <v>9.8801549486109141E-4</v>
      </c>
      <c r="D16" s="277">
        <v>7.1342087554350404E-3</v>
      </c>
      <c r="E16" s="276">
        <v>3.2602817347570138E-3</v>
      </c>
      <c r="F16" s="277">
        <v>8.5107815655704779E-3</v>
      </c>
      <c r="G16" s="276">
        <v>4.793336210280867E-3</v>
      </c>
      <c r="H16" s="277">
        <v>9.5481343108179042E-3</v>
      </c>
      <c r="I16" s="762">
        <v>3.4234758071722396E-2</v>
      </c>
      <c r="J16" s="275">
        <v>4.2349571147067789E-5</v>
      </c>
      <c r="K16" s="276">
        <v>0.52283954721532511</v>
      </c>
      <c r="L16" s="277">
        <v>4.3281685208014752E-2</v>
      </c>
      <c r="M16" s="279">
        <v>0.56612186766690709</v>
      </c>
      <c r="N16" s="280">
        <v>3.339687180657766E-2</v>
      </c>
      <c r="O16" s="281">
        <v>0.2967536089245793</v>
      </c>
      <c r="P16" s="275">
        <v>1</v>
      </c>
    </row>
    <row r="17" spans="1:16" ht="20" customHeight="1" thickBot="1">
      <c r="A17" s="282" t="s">
        <v>373</v>
      </c>
      <c r="B17" s="275">
        <v>0.44571137830383184</v>
      </c>
      <c r="C17" s="276">
        <v>1.4549804068589378E-3</v>
      </c>
      <c r="D17" s="277">
        <v>1.5478492176132961E-2</v>
      </c>
      <c r="E17" s="276">
        <v>3.1059814869364172E-3</v>
      </c>
      <c r="F17" s="277">
        <v>1.1653411170321967E-2</v>
      </c>
      <c r="G17" s="276">
        <v>4.7616242222995823E-3</v>
      </c>
      <c r="H17" s="277">
        <v>1.0170223781342327E-2</v>
      </c>
      <c r="I17" s="762">
        <v>4.6624713243892196E-2</v>
      </c>
      <c r="J17" s="275">
        <v>0</v>
      </c>
      <c r="K17" s="276">
        <v>0.46078783172214322</v>
      </c>
      <c r="L17" s="277">
        <v>4.687607673013236E-2</v>
      </c>
      <c r="M17" s="279">
        <v>0.50766319435146234</v>
      </c>
      <c r="N17" s="280">
        <v>0.16414999687580892</v>
      </c>
      <c r="O17" s="281">
        <v>0.25358255451713385</v>
      </c>
      <c r="P17" s="275">
        <v>1</v>
      </c>
    </row>
    <row r="18" spans="1:16" ht="20" customHeight="1" thickBot="1">
      <c r="A18" s="282" t="s">
        <v>374</v>
      </c>
      <c r="B18" s="275">
        <v>0.39009260827483627</v>
      </c>
      <c r="C18" s="276">
        <v>1.0684008024073846E-3</v>
      </c>
      <c r="D18" s="277">
        <v>1.0274193764568409E-2</v>
      </c>
      <c r="E18" s="276">
        <v>3.9576116398622142E-3</v>
      </c>
      <c r="F18" s="277">
        <v>1.1940460364787492E-2</v>
      </c>
      <c r="G18" s="276">
        <v>8.348594751371903E-3</v>
      </c>
      <c r="H18" s="277">
        <v>1.2084646749449958E-2</v>
      </c>
      <c r="I18" s="762">
        <v>4.7673908072447362E-2</v>
      </c>
      <c r="J18" s="275">
        <v>0</v>
      </c>
      <c r="K18" s="276">
        <v>0.50153974812466318</v>
      </c>
      <c r="L18" s="277">
        <v>6.0693532448638177E-2</v>
      </c>
      <c r="M18" s="279">
        <v>0.56223368673213137</v>
      </c>
      <c r="N18" s="280">
        <v>3.2502048055900457E-2</v>
      </c>
      <c r="O18" s="281">
        <v>0.35662552683877241</v>
      </c>
      <c r="P18" s="275">
        <v>1</v>
      </c>
    </row>
    <row r="19" spans="1:16" ht="20" customHeight="1" thickBot="1">
      <c r="A19" s="282" t="s">
        <v>375</v>
      </c>
      <c r="B19" s="275">
        <v>0.36253872877164295</v>
      </c>
      <c r="C19" s="276">
        <v>7.9475622338887563E-4</v>
      </c>
      <c r="D19" s="277">
        <v>6.151104953319996E-3</v>
      </c>
      <c r="E19" s="276">
        <v>3.6325422952677142E-3</v>
      </c>
      <c r="F19" s="277">
        <v>8.7019568762191028E-3</v>
      </c>
      <c r="G19" s="276">
        <v>1.2163512837184316E-2</v>
      </c>
      <c r="H19" s="277">
        <v>3.4432097877567912E-3</v>
      </c>
      <c r="I19" s="762">
        <v>3.48870829731368E-2</v>
      </c>
      <c r="J19" s="275">
        <v>7.3384692833691203E-5</v>
      </c>
      <c r="K19" s="276">
        <v>0.55643576417682183</v>
      </c>
      <c r="L19" s="277">
        <v>4.6063571691707966E-2</v>
      </c>
      <c r="M19" s="279">
        <v>0.6024978681746731</v>
      </c>
      <c r="N19" s="280">
        <v>1.1618998416358328E-2</v>
      </c>
      <c r="O19" s="281">
        <v>0.4439106115733531</v>
      </c>
      <c r="P19" s="275">
        <v>1</v>
      </c>
    </row>
    <row r="20" spans="1:16" ht="20" customHeight="1" thickBot="1">
      <c r="A20" s="282" t="s">
        <v>376</v>
      </c>
      <c r="B20" s="275">
        <v>0.3716608516814946</v>
      </c>
      <c r="C20" s="276">
        <v>8.3011945294457837E-4</v>
      </c>
      <c r="D20" s="277">
        <v>4.1017667086673286E-3</v>
      </c>
      <c r="E20" s="276">
        <v>4.9759294082502578E-3</v>
      </c>
      <c r="F20" s="277">
        <v>8.7521590765471634E-3</v>
      </c>
      <c r="G20" s="276">
        <v>7.6319286729195314E-3</v>
      </c>
      <c r="H20" s="277">
        <v>8.9848223142236713E-3</v>
      </c>
      <c r="I20" s="762">
        <v>3.5276725633552532E-2</v>
      </c>
      <c r="J20" s="275">
        <v>0</v>
      </c>
      <c r="K20" s="276">
        <v>0.55085175809151055</v>
      </c>
      <c r="L20" s="277">
        <v>4.221066459344254E-2</v>
      </c>
      <c r="M20" s="279">
        <v>0.59306338014683646</v>
      </c>
      <c r="N20" s="280">
        <v>7.0428981222257547E-2</v>
      </c>
      <c r="O20" s="281">
        <v>0.38552394229185738</v>
      </c>
      <c r="P20" s="275">
        <v>1</v>
      </c>
    </row>
    <row r="21" spans="1:16" ht="20" customHeight="1" thickBot="1">
      <c r="A21" s="282" t="s">
        <v>377</v>
      </c>
      <c r="B21" s="275">
        <v>0.2518163153652927</v>
      </c>
      <c r="C21" s="276">
        <v>5.8828028025672554E-4</v>
      </c>
      <c r="D21" s="277">
        <v>2.0589809808985392E-3</v>
      </c>
      <c r="E21" s="276">
        <v>1.1765605605134511E-3</v>
      </c>
      <c r="F21" s="277">
        <v>3.823821821668716E-3</v>
      </c>
      <c r="G21" s="276">
        <v>6.8887620818062567E-3</v>
      </c>
      <c r="H21" s="277">
        <v>4.2385594192497072E-3</v>
      </c>
      <c r="I21" s="762">
        <v>1.8774965144393394E-2</v>
      </c>
      <c r="J21" s="275">
        <v>0</v>
      </c>
      <c r="K21" s="276">
        <v>0.64844370451858091</v>
      </c>
      <c r="L21" s="277">
        <v>8.0965014971733154E-2</v>
      </c>
      <c r="M21" s="279">
        <v>0.72940871949031394</v>
      </c>
      <c r="N21" s="280">
        <v>1.0221369869460607E-2</v>
      </c>
      <c r="O21" s="281">
        <v>0.65325583721108094</v>
      </c>
      <c r="P21" s="275">
        <v>1</v>
      </c>
    </row>
    <row r="22" spans="1:16" ht="20" customHeight="1" thickBot="1">
      <c r="A22" s="282" t="s">
        <v>378</v>
      </c>
      <c r="B22" s="275">
        <v>0.29727108484867321</v>
      </c>
      <c r="C22" s="276">
        <v>5.0667161068600566E-4</v>
      </c>
      <c r="D22" s="277">
        <v>3.2842414180214931E-3</v>
      </c>
      <c r="E22" s="276">
        <v>2.1063524461529767E-3</v>
      </c>
      <c r="F22" s="277">
        <v>1.1809233706894594E-2</v>
      </c>
      <c r="G22" s="276">
        <v>4.0180237033471599E-3</v>
      </c>
      <c r="H22" s="277">
        <v>6.0719258880934561E-3</v>
      </c>
      <c r="I22" s="762">
        <v>2.7796448773195686E-2</v>
      </c>
      <c r="J22" s="275">
        <v>2.0854974714385905E-5</v>
      </c>
      <c r="K22" s="276">
        <v>0.60916734636505088</v>
      </c>
      <c r="L22" s="277">
        <v>6.5744369313239417E-2</v>
      </c>
      <c r="M22" s="279">
        <v>0.67491140285366957</v>
      </c>
      <c r="N22" s="280">
        <v>0.12542849152422547</v>
      </c>
      <c r="O22" s="281">
        <v>0.42454096636530536</v>
      </c>
      <c r="P22" s="275">
        <v>1</v>
      </c>
    </row>
    <row r="23" spans="1:16" ht="20" customHeight="1" thickBot="1">
      <c r="A23" s="282" t="s">
        <v>379</v>
      </c>
      <c r="B23" s="275">
        <v>0.45450177767794658</v>
      </c>
      <c r="C23" s="276">
        <v>5.8142153591256827E-4</v>
      </c>
      <c r="D23" s="277">
        <v>4.0034184642405149E-3</v>
      </c>
      <c r="E23" s="276">
        <v>1.6126719866982528E-3</v>
      </c>
      <c r="F23" s="277">
        <v>4.6219332221910494E-3</v>
      </c>
      <c r="G23" s="276">
        <v>4.916323873286021E-3</v>
      </c>
      <c r="H23" s="277">
        <v>7.5096111187816237E-3</v>
      </c>
      <c r="I23" s="762">
        <v>2.3245380201110027E-2</v>
      </c>
      <c r="J23" s="275">
        <v>0</v>
      </c>
      <c r="K23" s="276">
        <v>0.49409555390631388</v>
      </c>
      <c r="L23" s="277">
        <v>2.8157876995931815E-2</v>
      </c>
      <c r="M23" s="279">
        <v>0.52225284212094336</v>
      </c>
      <c r="N23" s="280">
        <v>1.8538956862054722E-2</v>
      </c>
      <c r="O23" s="281">
        <v>0.40478567330233006</v>
      </c>
      <c r="P23" s="275">
        <v>1</v>
      </c>
    </row>
    <row r="24" spans="1:16" ht="20" customHeight="1" thickBot="1">
      <c r="A24" s="282" t="s">
        <v>380</v>
      </c>
      <c r="B24" s="275">
        <v>0.42217022106550184</v>
      </c>
      <c r="C24" s="276">
        <v>1.1814767200682848E-3</v>
      </c>
      <c r="D24" s="277">
        <v>6.6372080440075757E-3</v>
      </c>
      <c r="E24" s="276">
        <v>2.80646859343116E-3</v>
      </c>
      <c r="F24" s="277">
        <v>5.6038772972168095E-3</v>
      </c>
      <c r="G24" s="276">
        <v>8.3700797144457013E-3</v>
      </c>
      <c r="H24" s="277">
        <v>4.1464094944287967E-3</v>
      </c>
      <c r="I24" s="762">
        <v>2.8745519863598325E-2</v>
      </c>
      <c r="J24" s="275">
        <v>5.8721506961644372E-5</v>
      </c>
      <c r="K24" s="276">
        <v>0.51155609896251686</v>
      </c>
      <c r="L24" s="277">
        <v>3.746985804075692E-2</v>
      </c>
      <c r="M24" s="279">
        <v>0.54902604089114071</v>
      </c>
      <c r="N24" s="280">
        <v>6.4643654826593289E-2</v>
      </c>
      <c r="O24" s="281">
        <v>0.3528978015087233</v>
      </c>
      <c r="P24" s="275">
        <v>1</v>
      </c>
    </row>
    <row r="25" spans="1:16" ht="20" customHeight="1" thickBot="1">
      <c r="A25" s="282" t="s">
        <v>381</v>
      </c>
      <c r="B25" s="275">
        <v>0.29076525388871699</v>
      </c>
      <c r="C25" s="276">
        <v>5.90450513741985E-4</v>
      </c>
      <c r="D25" s="277">
        <v>4.3066860014190815E-3</v>
      </c>
      <c r="E25" s="276">
        <v>2.4366591709474323E-3</v>
      </c>
      <c r="F25" s="277">
        <v>8.7166508045638802E-3</v>
      </c>
      <c r="G25" s="276">
        <v>8.3433659882490331E-3</v>
      </c>
      <c r="H25" s="277">
        <v>1.0024048348890199E-2</v>
      </c>
      <c r="I25" s="762">
        <v>3.4417860827811612E-2</v>
      </c>
      <c r="J25" s="275">
        <v>0</v>
      </c>
      <c r="K25" s="276">
        <v>0.59848324271419095</v>
      </c>
      <c r="L25" s="277">
        <v>7.6333042111130775E-2</v>
      </c>
      <c r="M25" s="279">
        <v>0.67481668513075455</v>
      </c>
      <c r="N25" s="280">
        <v>0.13643990364648226</v>
      </c>
      <c r="O25" s="281">
        <v>0.44626309874434178</v>
      </c>
      <c r="P25" s="275">
        <v>1</v>
      </c>
    </row>
    <row r="26" spans="1:16" ht="20" customHeight="1" thickBot="1">
      <c r="A26" s="282" t="s">
        <v>382</v>
      </c>
      <c r="B26" s="275">
        <v>0.45379810121235087</v>
      </c>
      <c r="C26" s="276">
        <v>1.5682421132384809E-3</v>
      </c>
      <c r="D26" s="277">
        <v>1.8717624469462874E-2</v>
      </c>
      <c r="E26" s="276">
        <v>3.4922397123554874E-3</v>
      </c>
      <c r="F26" s="277">
        <v>1.0466709802938264E-2</v>
      </c>
      <c r="G26" s="276">
        <v>7.6814005196031944E-3</v>
      </c>
      <c r="H26" s="277">
        <v>7.2001042327947172E-3</v>
      </c>
      <c r="I26" s="762">
        <v>4.9126320850393021E-2</v>
      </c>
      <c r="J26" s="275">
        <v>1.6964973098642154E-5</v>
      </c>
      <c r="K26" s="276">
        <v>0.46053930292282735</v>
      </c>
      <c r="L26" s="277">
        <v>3.6519310041330057E-2</v>
      </c>
      <c r="M26" s="279">
        <v>0.49705861296415732</v>
      </c>
      <c r="N26" s="280">
        <v>9.8498633810716356E-4</v>
      </c>
      <c r="O26" s="281">
        <v>0.32462849253659937</v>
      </c>
      <c r="P26" s="275">
        <v>1</v>
      </c>
    </row>
    <row r="27" spans="1:16" ht="20" customHeight="1" thickBot="1">
      <c r="A27" s="282" t="s">
        <v>383</v>
      </c>
      <c r="B27" s="275">
        <v>0.38963343771376091</v>
      </c>
      <c r="C27" s="276">
        <v>4.9618404497656929E-3</v>
      </c>
      <c r="D27" s="277">
        <v>2.9686172315280961E-2</v>
      </c>
      <c r="E27" s="276">
        <v>1.1887060850712323E-2</v>
      </c>
      <c r="F27" s="277">
        <v>1.7553088791665526E-2</v>
      </c>
      <c r="G27" s="276">
        <v>7.7977285168883623E-3</v>
      </c>
      <c r="H27" s="277">
        <v>1.6022040601856125E-2</v>
      </c>
      <c r="I27" s="762">
        <v>8.7907931526169006E-2</v>
      </c>
      <c r="J27" s="275">
        <v>1.3525160687362193E-5</v>
      </c>
      <c r="K27" s="276">
        <v>0.44644540180040171</v>
      </c>
      <c r="L27" s="277">
        <v>7.5999703798980939E-2</v>
      </c>
      <c r="M27" s="279">
        <v>0.52244524085098965</v>
      </c>
      <c r="N27" s="280">
        <v>2.407465077189783E-2</v>
      </c>
      <c r="O27" s="281">
        <v>0.30549929652257979</v>
      </c>
      <c r="P27" s="275">
        <v>1</v>
      </c>
    </row>
    <row r="28" spans="1:16" ht="20" customHeight="1" thickBot="1">
      <c r="A28" s="282" t="s">
        <v>384</v>
      </c>
      <c r="B28" s="275">
        <v>0.58954706050968619</v>
      </c>
      <c r="C28" s="276">
        <v>2.4365788070805495E-3</v>
      </c>
      <c r="D28" s="277">
        <v>3.3484663746381843E-2</v>
      </c>
      <c r="E28" s="276">
        <v>5.6907651694259069E-3</v>
      </c>
      <c r="F28" s="277">
        <v>6.5948425584504066E-3</v>
      </c>
      <c r="G28" s="276">
        <v>3.4638798111971372E-3</v>
      </c>
      <c r="H28" s="277">
        <v>7.6342854367571593E-3</v>
      </c>
      <c r="I28" s="762">
        <v>5.9305015529293001E-2</v>
      </c>
      <c r="J28" s="275">
        <v>0</v>
      </c>
      <c r="K28" s="276">
        <v>0.32462170268127039</v>
      </c>
      <c r="L28" s="277">
        <v>2.6526713517893097E-2</v>
      </c>
      <c r="M28" s="279">
        <v>0.35114841619916348</v>
      </c>
      <c r="N28" s="280">
        <v>0</v>
      </c>
      <c r="O28" s="281">
        <v>0.22554532192456575</v>
      </c>
      <c r="P28" s="275">
        <v>1</v>
      </c>
    </row>
    <row r="29" spans="1:16" ht="20" customHeight="1" thickBot="1">
      <c r="A29" s="282" t="s">
        <v>385</v>
      </c>
      <c r="B29" s="275">
        <v>0.3966418152460251</v>
      </c>
      <c r="C29" s="276">
        <v>1.8930999001052762E-3</v>
      </c>
      <c r="D29" s="277">
        <v>1.3861490456471025E-2</v>
      </c>
      <c r="E29" s="276">
        <v>6.4788540118055349E-3</v>
      </c>
      <c r="F29" s="277">
        <v>1.5244778893352261E-2</v>
      </c>
      <c r="G29" s="276">
        <v>1.0696694184212444E-2</v>
      </c>
      <c r="H29" s="277">
        <v>3.2735560510797099E-3</v>
      </c>
      <c r="I29" s="762">
        <v>5.1448473497026248E-2</v>
      </c>
      <c r="J29" s="275">
        <v>0</v>
      </c>
      <c r="K29" s="276">
        <v>0.49891452642621881</v>
      </c>
      <c r="L29" s="277">
        <v>5.2995184830729861E-2</v>
      </c>
      <c r="M29" s="279">
        <v>0.55190942802835807</v>
      </c>
      <c r="N29" s="280">
        <v>1.8022684910741927E-2</v>
      </c>
      <c r="O29" s="281">
        <v>0.44772860583275298</v>
      </c>
      <c r="P29" s="275">
        <v>1</v>
      </c>
    </row>
    <row r="30" spans="1:16" ht="20" customHeight="1" thickBot="1">
      <c r="A30" s="282" t="s">
        <v>386</v>
      </c>
      <c r="B30" s="275">
        <v>0.57388657063813497</v>
      </c>
      <c r="C30" s="276">
        <v>6.7968113471494644E-3</v>
      </c>
      <c r="D30" s="277">
        <v>2.4644704111303366E-2</v>
      </c>
      <c r="E30" s="276">
        <v>9.4720138833138904E-3</v>
      </c>
      <c r="F30" s="277">
        <v>1.2576742830171385E-2</v>
      </c>
      <c r="G30" s="276">
        <v>6.3819744664085189E-3</v>
      </c>
      <c r="H30" s="277">
        <v>1.0250217353800746E-2</v>
      </c>
      <c r="I30" s="762">
        <v>7.0122463992147374E-2</v>
      </c>
      <c r="J30" s="275">
        <v>0</v>
      </c>
      <c r="K30" s="276">
        <v>0.33032380165035158</v>
      </c>
      <c r="L30" s="277">
        <v>2.5667277591691427E-2</v>
      </c>
      <c r="M30" s="279">
        <v>0.35599096536971786</v>
      </c>
      <c r="N30" s="280">
        <v>9.8360750942435834E-2</v>
      </c>
      <c r="O30" s="281">
        <v>0.13937198273923296</v>
      </c>
      <c r="P30" s="275">
        <v>1</v>
      </c>
    </row>
    <row r="31" spans="1:16" ht="20" customHeight="1" thickBot="1">
      <c r="A31" s="146" t="s">
        <v>387</v>
      </c>
      <c r="B31" s="275">
        <v>0.32702055103914823</v>
      </c>
      <c r="C31" s="276">
        <v>2.0954212214660665E-3</v>
      </c>
      <c r="D31" s="277">
        <v>1.1764832791049826E-2</v>
      </c>
      <c r="E31" s="276">
        <v>7.9670503777556339E-3</v>
      </c>
      <c r="F31" s="277">
        <v>1.4455574777816577E-2</v>
      </c>
      <c r="G31" s="276">
        <v>6.9948504416700256E-3</v>
      </c>
      <c r="H31" s="277">
        <v>9.8568398512979046E-3</v>
      </c>
      <c r="I31" s="762">
        <v>5.3134569461056033E-2</v>
      </c>
      <c r="J31" s="275">
        <v>0</v>
      </c>
      <c r="K31" s="276">
        <v>0.54022156989389392</v>
      </c>
      <c r="L31" s="277">
        <v>7.9623309605901693E-2</v>
      </c>
      <c r="M31" s="279">
        <v>0.6198448794997955</v>
      </c>
      <c r="N31" s="280">
        <v>0</v>
      </c>
      <c r="O31" s="281">
        <v>0.51011708199785055</v>
      </c>
      <c r="P31" s="275">
        <v>1</v>
      </c>
    </row>
    <row r="32" spans="1:16" ht="20" customHeight="1" thickBot="1">
      <c r="A32" s="282" t="s">
        <v>443</v>
      </c>
      <c r="B32" s="275">
        <v>0.82216668538694815</v>
      </c>
      <c r="C32" s="276">
        <v>5.6160844659103671E-3</v>
      </c>
      <c r="D32" s="277">
        <v>4.6894305290351565E-3</v>
      </c>
      <c r="E32" s="276">
        <v>0</v>
      </c>
      <c r="F32" s="277">
        <v>1.1232168931820734E-2</v>
      </c>
      <c r="G32" s="276">
        <v>0</v>
      </c>
      <c r="H32" s="277">
        <v>2.4093002358755475E-2</v>
      </c>
      <c r="I32" s="762">
        <v>4.5630686285521735E-2</v>
      </c>
      <c r="J32" s="275">
        <v>0</v>
      </c>
      <c r="K32" s="276">
        <v>5.2875435246546101E-2</v>
      </c>
      <c r="L32" s="277">
        <v>7.9327193080983932E-2</v>
      </c>
      <c r="M32" s="279">
        <v>0.13220262832753005</v>
      </c>
      <c r="N32" s="280">
        <v>4.7736717960238122E-4</v>
      </c>
      <c r="O32" s="281">
        <v>0.13175334157025723</v>
      </c>
      <c r="P32" s="275">
        <v>1</v>
      </c>
    </row>
    <row r="33" spans="1:16" ht="3" customHeight="1" thickBot="1">
      <c r="A33" s="146"/>
      <c r="B33" s="275"/>
      <c r="C33" s="276"/>
      <c r="D33" s="277"/>
      <c r="E33" s="276"/>
      <c r="F33" s="277"/>
      <c r="G33" s="276"/>
      <c r="H33" s="277"/>
      <c r="I33" s="763"/>
      <c r="J33" s="277"/>
      <c r="K33" s="276"/>
      <c r="L33" s="277"/>
      <c r="M33" s="276"/>
      <c r="N33" s="280"/>
      <c r="O33" s="281"/>
      <c r="P33" s="275"/>
    </row>
    <row r="34" spans="1:16" ht="30" customHeight="1" thickBot="1">
      <c r="A34" s="283" t="s">
        <v>444</v>
      </c>
      <c r="B34" s="284">
        <v>0.40243800706676769</v>
      </c>
      <c r="C34" s="285">
        <v>1.9043697048728642E-3</v>
      </c>
      <c r="D34" s="286">
        <v>1.2578400233167888E-2</v>
      </c>
      <c r="E34" s="285">
        <v>4.7189380589768622E-3</v>
      </c>
      <c r="F34" s="286">
        <v>9.9885739280525729E-3</v>
      </c>
      <c r="G34" s="285">
        <v>6.9312841610407912E-3</v>
      </c>
      <c r="H34" s="286">
        <v>7.8919433845256268E-3</v>
      </c>
      <c r="I34" s="764">
        <v>4.4013509470636598E-2</v>
      </c>
      <c r="J34" s="289">
        <v>2.1556619018382324E-5</v>
      </c>
      <c r="K34" s="290">
        <v>0.50211585995197905</v>
      </c>
      <c r="L34" s="291">
        <v>5.1411060242425408E-2</v>
      </c>
      <c r="M34" s="292">
        <v>0.5535269268435774</v>
      </c>
      <c r="N34" s="293">
        <v>5.5973077817493E-2</v>
      </c>
      <c r="O34" s="294">
        <v>0.33113409053495407</v>
      </c>
      <c r="P34" s="289">
        <v>1</v>
      </c>
    </row>
    <row r="35" spans="1:16" ht="20" customHeight="1">
      <c r="A35" s="172" t="s">
        <v>720</v>
      </c>
      <c r="B35" s="295"/>
      <c r="C35" s="296"/>
      <c r="D35" s="296"/>
      <c r="E35" s="296"/>
      <c r="F35" s="296"/>
      <c r="G35" s="296"/>
      <c r="H35" s="297"/>
      <c r="I35" s="297"/>
      <c r="M35" s="49"/>
    </row>
    <row r="36" spans="1:16" ht="13.5" customHeight="1">
      <c r="B36" s="298"/>
      <c r="C36" s="172"/>
      <c r="D36" s="172"/>
      <c r="E36" s="172"/>
      <c r="F36" s="172"/>
      <c r="G36" s="172"/>
      <c r="H36" s="299"/>
      <c r="I36" s="299"/>
      <c r="M36" s="4"/>
    </row>
    <row r="37" spans="1:16" ht="14.25" customHeight="1">
      <c r="A37" s="172" t="s">
        <v>457</v>
      </c>
      <c r="B37" s="300"/>
      <c r="C37" s="61"/>
      <c r="D37" s="61"/>
      <c r="E37" s="61"/>
      <c r="F37" s="61"/>
      <c r="G37" s="61"/>
      <c r="H37" s="301"/>
      <c r="I37" s="301"/>
      <c r="M37" s="4"/>
    </row>
    <row r="38" spans="1:16" ht="12" customHeight="1">
      <c r="M38" s="4"/>
    </row>
    <row r="39" spans="1:16" ht="12" customHeight="1">
      <c r="A39" s="173" t="s">
        <v>446</v>
      </c>
      <c r="M39" s="4"/>
    </row>
    <row r="40" spans="1:16" ht="12" customHeight="1">
      <c r="A40" s="173" t="s">
        <v>447</v>
      </c>
      <c r="M40" s="4"/>
    </row>
    <row r="41" spans="1:16" ht="12" customHeight="1">
      <c r="A41" s="172" t="s">
        <v>448</v>
      </c>
      <c r="M41" s="4"/>
    </row>
    <row r="42" spans="1:16" ht="12" customHeight="1">
      <c r="A42" s="172" t="s">
        <v>343</v>
      </c>
      <c r="M42" s="4"/>
    </row>
    <row r="43" spans="1:16" ht="12" customHeight="1">
      <c r="M43" s="4"/>
    </row>
    <row r="44" spans="1:16" ht="12" customHeight="1"/>
    <row r="45" spans="1:16" ht="12" customHeight="1">
      <c r="A45" s="3" t="s">
        <v>719</v>
      </c>
    </row>
  </sheetData>
  <pageMargins left="0.59055118110236227" right="0.51181102362204722" top="0.47244094488188981" bottom="0.44" header="0.31496062992125984" footer="0.32"/>
  <pageSetup paperSize="9" scale="59" orientation="landscape" horizontalDpi="4294967292" verticalDpi="4294967292"/>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CFEB-0025-2445-89DC-633B42CBDB6D}">
  <sheetPr>
    <pageSetUpPr fitToPage="1"/>
  </sheetPr>
  <dimension ref="A1:G40"/>
  <sheetViews>
    <sheetView topLeftCell="A19" zoomScaleNormal="100" workbookViewId="0">
      <selection activeCell="H36" sqref="H36"/>
    </sheetView>
  </sheetViews>
  <sheetFormatPr baseColWidth="10" defaultColWidth="11.3984375" defaultRowHeight="13"/>
  <cols>
    <col min="1" max="1" width="34.796875" style="3" customWidth="1"/>
    <col min="2" max="2" width="19.3984375" style="3" customWidth="1"/>
    <col min="3" max="4" width="19.796875" style="3" customWidth="1"/>
    <col min="5" max="5" width="20.3984375" style="227" customWidth="1"/>
    <col min="6" max="6" width="3.19921875" style="3" customWidth="1"/>
    <col min="7" max="7" width="6.19921875" style="3" customWidth="1"/>
    <col min="8" max="16384" width="11.3984375" style="3"/>
  </cols>
  <sheetData>
    <row r="1" spans="1:7" ht="19.5" customHeight="1">
      <c r="A1" s="246" t="s">
        <v>2225</v>
      </c>
      <c r="B1" s="968"/>
      <c r="C1" s="968"/>
      <c r="D1" s="968"/>
      <c r="E1" s="207">
        <v>2011</v>
      </c>
    </row>
    <row r="2" spans="1:7" ht="33" customHeight="1">
      <c r="A2" s="246"/>
      <c r="B2" s="968"/>
      <c r="C2" s="968"/>
      <c r="D2" s="968"/>
      <c r="E2" s="207"/>
    </row>
    <row r="3" spans="1:7" ht="19.5" customHeight="1">
      <c r="A3" s="246" t="s">
        <v>2226</v>
      </c>
      <c r="B3" s="968"/>
      <c r="C3" s="968"/>
      <c r="D3" s="968"/>
      <c r="E3" s="207"/>
    </row>
    <row r="4" spans="1:7" ht="10.75" customHeight="1">
      <c r="A4" s="994"/>
      <c r="B4" s="90"/>
      <c r="C4" s="90"/>
      <c r="D4" s="90"/>
      <c r="E4" s="995"/>
    </row>
    <row r="5" spans="1:7" ht="24" customHeight="1">
      <c r="A5" s="419" t="s">
        <v>1678</v>
      </c>
      <c r="B5" s="466" t="s">
        <v>1679</v>
      </c>
      <c r="C5" s="437" t="s">
        <v>1680</v>
      </c>
      <c r="D5" s="466" t="s">
        <v>278</v>
      </c>
      <c r="E5" s="1441" t="s">
        <v>2227</v>
      </c>
    </row>
    <row r="6" spans="1:7" ht="15" customHeight="1">
      <c r="A6" s="184"/>
      <c r="B6" s="185"/>
      <c r="C6" s="186"/>
      <c r="D6" s="96"/>
      <c r="E6" s="1442" t="s">
        <v>2228</v>
      </c>
    </row>
    <row r="7" spans="1:7" ht="15" customHeight="1">
      <c r="A7" s="95"/>
      <c r="B7" s="185"/>
      <c r="C7" s="186"/>
      <c r="D7" s="185"/>
      <c r="E7" s="1442" t="s">
        <v>2229</v>
      </c>
    </row>
    <row r="8" spans="1:7" ht="24" customHeight="1">
      <c r="A8" s="231"/>
      <c r="B8" s="135"/>
      <c r="C8" s="136"/>
      <c r="D8" s="135"/>
      <c r="E8" s="1443"/>
    </row>
    <row r="9" spans="1:7" ht="45" customHeight="1" thickBot="1">
      <c r="A9" s="960" t="s">
        <v>349</v>
      </c>
      <c r="B9" s="961">
        <v>157974</v>
      </c>
      <c r="C9" s="962">
        <v>149394</v>
      </c>
      <c r="D9" s="961">
        <v>307368</v>
      </c>
      <c r="E9" s="1444">
        <v>0.20437428988082829</v>
      </c>
    </row>
    <row r="10" spans="1:7" ht="34.5" customHeight="1" thickBot="1">
      <c r="A10" s="960" t="s">
        <v>459</v>
      </c>
      <c r="B10" s="961">
        <v>78287</v>
      </c>
      <c r="C10" s="962">
        <v>74084</v>
      </c>
      <c r="D10" s="961">
        <v>152371</v>
      </c>
      <c r="E10" s="1444">
        <v>0.22912866865493164</v>
      </c>
    </row>
    <row r="11" spans="1:7" ht="32.25" customHeight="1" thickBot="1">
      <c r="A11" s="960" t="s">
        <v>348</v>
      </c>
      <c r="B11" s="961">
        <v>373423</v>
      </c>
      <c r="C11" s="962">
        <v>350655</v>
      </c>
      <c r="D11" s="961">
        <v>724078</v>
      </c>
      <c r="E11" s="1444">
        <v>0.12716905969776984</v>
      </c>
    </row>
    <row r="12" spans="1:7" s="482" customFormat="1" ht="36" customHeight="1" thickBot="1">
      <c r="A12" s="166" t="s">
        <v>316</v>
      </c>
      <c r="B12" s="242">
        <v>609684</v>
      </c>
      <c r="C12" s="243">
        <v>574133</v>
      </c>
      <c r="D12" s="242">
        <v>1183817</v>
      </c>
      <c r="E12" s="1445">
        <v>0.15055978118939009</v>
      </c>
      <c r="G12" s="1428" t="s">
        <v>2230</v>
      </c>
    </row>
    <row r="13" spans="1:7" ht="16.5" customHeight="1">
      <c r="B13" s="112"/>
      <c r="C13" s="112"/>
      <c r="D13" s="112"/>
      <c r="E13" s="902"/>
      <c r="G13" s="119"/>
    </row>
    <row r="14" spans="1:7" s="44" customFormat="1" ht="24" customHeight="1" thickBot="1">
      <c r="A14" s="998" t="s">
        <v>2231</v>
      </c>
      <c r="B14" s="1007">
        <v>39924</v>
      </c>
      <c r="C14" s="1008">
        <v>38302</v>
      </c>
      <c r="D14" s="1007">
        <v>78226</v>
      </c>
      <c r="E14" s="1446">
        <v>9.9489105523245802E-3</v>
      </c>
      <c r="G14" s="1428" t="s">
        <v>2232</v>
      </c>
    </row>
    <row r="15" spans="1:7" ht="16.5" customHeight="1">
      <c r="B15" s="112"/>
      <c r="C15" s="112"/>
      <c r="D15" s="112"/>
      <c r="E15" s="902"/>
      <c r="G15" s="119"/>
    </row>
    <row r="16" spans="1:7" s="44" customFormat="1" ht="24" customHeight="1" thickBot="1">
      <c r="A16" s="1429" t="s">
        <v>2233</v>
      </c>
      <c r="B16" s="1430">
        <v>455003</v>
      </c>
      <c r="C16" s="1431">
        <v>451273</v>
      </c>
      <c r="D16" s="1430">
        <v>906276</v>
      </c>
      <c r="E16" s="1447">
        <v>0.11526166312630727</v>
      </c>
      <c r="G16" s="1428" t="s">
        <v>1463</v>
      </c>
    </row>
    <row r="17" spans="1:7" ht="36.5" customHeight="1">
      <c r="A17" s="246"/>
      <c r="B17" s="968"/>
      <c r="C17" s="968"/>
      <c r="D17" s="968"/>
      <c r="E17" s="207"/>
    </row>
    <row r="18" spans="1:7" ht="22.25" customHeight="1">
      <c r="A18" s="246" t="s">
        <v>2234</v>
      </c>
      <c r="B18" s="968"/>
      <c r="C18" s="968"/>
      <c r="D18" s="968"/>
      <c r="E18" s="207"/>
    </row>
    <row r="19" spans="1:7" ht="10.25" customHeight="1">
      <c r="A19" s="994"/>
      <c r="B19" s="90"/>
      <c r="C19" s="90"/>
      <c r="D19" s="90"/>
      <c r="E19" s="995"/>
    </row>
    <row r="20" spans="1:7" ht="24" customHeight="1">
      <c r="A20" s="419" t="s">
        <v>1678</v>
      </c>
      <c r="B20" s="466" t="s">
        <v>1679</v>
      </c>
      <c r="C20" s="437" t="s">
        <v>1680</v>
      </c>
      <c r="D20" s="466" t="s">
        <v>278</v>
      </c>
      <c r="E20" s="1441" t="s">
        <v>2227</v>
      </c>
    </row>
    <row r="21" spans="1:7" ht="15" customHeight="1">
      <c r="A21" s="184"/>
      <c r="B21" s="185"/>
      <c r="C21" s="186"/>
      <c r="D21" s="96"/>
      <c r="E21" s="1442" t="s">
        <v>2228</v>
      </c>
    </row>
    <row r="22" spans="1:7" ht="15" customHeight="1">
      <c r="A22" s="95"/>
      <c r="B22" s="185"/>
      <c r="C22" s="186"/>
      <c r="D22" s="185"/>
      <c r="E22" s="1442" t="s">
        <v>2229</v>
      </c>
    </row>
    <row r="23" spans="1:7" ht="24" customHeight="1">
      <c r="A23" s="231"/>
      <c r="B23" s="135"/>
      <c r="C23" s="136"/>
      <c r="D23" s="135"/>
      <c r="E23" s="1443"/>
    </row>
    <row r="24" spans="1:7" ht="45" customHeight="1" thickBot="1">
      <c r="A24" s="960" t="s">
        <v>349</v>
      </c>
      <c r="B24" s="961">
        <v>85018</v>
      </c>
      <c r="C24" s="962">
        <v>79846</v>
      </c>
      <c r="D24" s="961">
        <v>164864</v>
      </c>
      <c r="E24" s="1444">
        <v>0.10962091996210689</v>
      </c>
    </row>
    <row r="25" spans="1:7" ht="34.5" customHeight="1" thickBot="1">
      <c r="A25" s="960" t="s">
        <v>459</v>
      </c>
      <c r="B25" s="961">
        <v>55141</v>
      </c>
      <c r="C25" s="962">
        <v>52710</v>
      </c>
      <c r="D25" s="961">
        <v>107851</v>
      </c>
      <c r="E25" s="1444">
        <v>0.162181491511528</v>
      </c>
    </row>
    <row r="26" spans="1:7" ht="32.25" customHeight="1" thickBot="1">
      <c r="A26" s="960" t="s">
        <v>348</v>
      </c>
      <c r="B26" s="961">
        <v>269049</v>
      </c>
      <c r="C26" s="962">
        <v>255964</v>
      </c>
      <c r="D26" s="961">
        <v>525013</v>
      </c>
      <c r="E26" s="1444">
        <v>9.2207482535176091E-2</v>
      </c>
    </row>
    <row r="27" spans="1:7" s="482" customFormat="1" ht="36" customHeight="1" thickBot="1">
      <c r="A27" s="166" t="s">
        <v>316</v>
      </c>
      <c r="B27" s="242">
        <v>409208</v>
      </c>
      <c r="C27" s="243">
        <v>388520</v>
      </c>
      <c r="D27" s="242">
        <v>797728</v>
      </c>
      <c r="E27" s="1445">
        <v>0.10145635104805031</v>
      </c>
      <c r="G27" s="1428" t="s">
        <v>2235</v>
      </c>
    </row>
    <row r="28" spans="1:7" ht="16.5" customHeight="1">
      <c r="B28" s="112"/>
      <c r="C28" s="112"/>
      <c r="D28" s="112"/>
      <c r="E28" s="902"/>
      <c r="G28" s="119"/>
    </row>
    <row r="29" spans="1:7" s="44" customFormat="1" ht="24" customHeight="1" thickBot="1">
      <c r="A29" s="998" t="s">
        <v>2236</v>
      </c>
      <c r="B29" s="1007">
        <v>29762</v>
      </c>
      <c r="C29" s="1008">
        <v>31416</v>
      </c>
      <c r="D29" s="1007">
        <v>61178</v>
      </c>
      <c r="E29" s="1446">
        <v>7.7807180447691717E-3</v>
      </c>
      <c r="G29" s="1428" t="s">
        <v>2237</v>
      </c>
    </row>
    <row r="30" spans="1:7" ht="16.5" customHeight="1">
      <c r="B30" s="112"/>
      <c r="C30" s="112"/>
      <c r="D30" s="112"/>
      <c r="E30" s="902"/>
      <c r="G30" s="119"/>
    </row>
    <row r="31" spans="1:7" s="44" customFormat="1" ht="24" customHeight="1" thickBot="1">
      <c r="A31" s="1429" t="s">
        <v>2238</v>
      </c>
      <c r="B31" s="1430">
        <v>285599</v>
      </c>
      <c r="C31" s="1431">
        <v>280816</v>
      </c>
      <c r="D31" s="1430">
        <v>566415</v>
      </c>
      <c r="E31" s="1447">
        <v>7.2037585591682149E-2</v>
      </c>
      <c r="G31" s="1428" t="s">
        <v>2239</v>
      </c>
    </row>
    <row r="32" spans="1:7" ht="7.75" customHeight="1">
      <c r="D32"/>
      <c r="E32"/>
      <c r="F32"/>
      <c r="G32" s="44"/>
    </row>
    <row r="33" spans="1:7">
      <c r="A33" s="115" t="s">
        <v>720</v>
      </c>
      <c r="D33"/>
      <c r="E33"/>
      <c r="F33"/>
      <c r="G33" s="119"/>
    </row>
    <row r="34" spans="1:7">
      <c r="D34"/>
      <c r="E34" s="1437"/>
      <c r="F34" s="1437"/>
      <c r="G34" s="1438" t="s">
        <v>2240</v>
      </c>
    </row>
    <row r="35" spans="1:7">
      <c r="A35" s="3" t="s">
        <v>2241</v>
      </c>
      <c r="D35"/>
      <c r="E35"/>
      <c r="F35"/>
    </row>
    <row r="36" spans="1:7">
      <c r="D36"/>
      <c r="E36"/>
      <c r="F36"/>
    </row>
    <row r="37" spans="1:7">
      <c r="A37" s="44" t="s">
        <v>2242</v>
      </c>
      <c r="D37"/>
      <c r="E37"/>
      <c r="F37"/>
    </row>
    <row r="40" spans="1:7">
      <c r="A40" s="173" t="s">
        <v>719</v>
      </c>
    </row>
  </sheetData>
  <pageMargins left="0.51181102362204722" right="0.6692913385826772" top="0.94488188976377963" bottom="0.47244094488188981" header="0.55118110236220474" footer="0.51181102362204722"/>
  <pageSetup paperSize="9" scale="74" orientation="portrait" horizontalDpi="1200" verticalDpi="12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8FFD-6BF7-2D4A-91D0-A91019F39E0F}">
  <sheetPr>
    <pageSetUpPr fitToPage="1"/>
  </sheetPr>
  <dimension ref="A1:I39"/>
  <sheetViews>
    <sheetView zoomScaleNormal="100" workbookViewId="0">
      <selection activeCell="G22" sqref="G22"/>
    </sheetView>
  </sheetViews>
  <sheetFormatPr baseColWidth="10" defaultColWidth="11.3984375" defaultRowHeight="13"/>
  <cols>
    <col min="1" max="1" width="25.796875" style="3" customWidth="1"/>
    <col min="2" max="5" width="22.59765625" style="3" customWidth="1"/>
    <col min="6" max="16384" width="11.3984375" style="3"/>
  </cols>
  <sheetData>
    <row r="1" spans="1:9" s="2" customFormat="1" ht="14" customHeight="1"/>
    <row r="2" spans="1:9" s="2" customFormat="1" ht="24" customHeight="1">
      <c r="A2" s="180" t="s">
        <v>1704</v>
      </c>
      <c r="C2" s="565"/>
      <c r="E2" s="565"/>
    </row>
    <row r="3" spans="1:9" ht="24" customHeight="1">
      <c r="A3" s="92" t="s">
        <v>398</v>
      </c>
      <c r="B3" s="182" t="s">
        <v>1705</v>
      </c>
      <c r="C3" s="1012" t="s">
        <v>1706</v>
      </c>
      <c r="D3" s="182" t="s">
        <v>1707</v>
      </c>
      <c r="E3" s="1012" t="s">
        <v>1706</v>
      </c>
    </row>
    <row r="4" spans="1:9" ht="20.25" customHeight="1">
      <c r="A4" s="184"/>
      <c r="B4" s="185" t="s">
        <v>1708</v>
      </c>
      <c r="C4" s="1012" t="s">
        <v>1709</v>
      </c>
      <c r="D4" s="185" t="s">
        <v>1710</v>
      </c>
      <c r="E4" s="1012" t="s">
        <v>1711</v>
      </c>
    </row>
    <row r="5" spans="1:9" ht="18.75" customHeight="1">
      <c r="A5" s="184"/>
      <c r="B5" s="185"/>
      <c r="C5" s="1012" t="s">
        <v>1712</v>
      </c>
      <c r="D5" s="185" t="s">
        <v>1713</v>
      </c>
      <c r="E5" s="1012" t="s">
        <v>1714</v>
      </c>
    </row>
    <row r="6" spans="1:9" ht="18.75" customHeight="1">
      <c r="A6" s="184"/>
      <c r="B6" s="185"/>
      <c r="C6" s="1012"/>
      <c r="D6" s="185"/>
      <c r="E6" s="1012" t="s">
        <v>1715</v>
      </c>
    </row>
    <row r="7" spans="1:9" ht="15" customHeight="1">
      <c r="A7" s="188"/>
      <c r="B7" s="189"/>
      <c r="C7" s="190"/>
      <c r="D7" s="189"/>
      <c r="E7" s="190"/>
    </row>
    <row r="8" spans="1:9" ht="1.25" customHeight="1" thickBot="1">
      <c r="A8" s="192">
        <v>1996</v>
      </c>
      <c r="B8" s="100" t="s">
        <v>30</v>
      </c>
      <c r="C8" s="193" t="s">
        <v>30</v>
      </c>
      <c r="D8" s="100" t="s">
        <v>30</v>
      </c>
      <c r="E8" s="193" t="s">
        <v>30</v>
      </c>
    </row>
    <row r="9" spans="1:9" ht="0.75" hidden="1" customHeight="1" thickBot="1">
      <c r="A9" s="194">
        <v>1997</v>
      </c>
      <c r="B9" s="195" t="s">
        <v>30</v>
      </c>
      <c r="C9" s="196" t="s">
        <v>30</v>
      </c>
      <c r="D9" s="195" t="s">
        <v>30</v>
      </c>
      <c r="E9" s="196" t="s">
        <v>30</v>
      </c>
      <c r="G9" s="9"/>
      <c r="H9" s="9"/>
      <c r="I9" s="9"/>
    </row>
    <row r="10" spans="1:9" ht="19.5" hidden="1" customHeight="1" thickBot="1">
      <c r="A10" s="194">
        <v>1998</v>
      </c>
      <c r="B10" s="195" t="s">
        <v>30</v>
      </c>
      <c r="C10" s="196" t="s">
        <v>30</v>
      </c>
      <c r="D10" s="195" t="s">
        <v>30</v>
      </c>
      <c r="E10" s="196" t="s">
        <v>30</v>
      </c>
    </row>
    <row r="11" spans="1:9" ht="0.5" customHeight="1" thickBot="1">
      <c r="A11" s="194">
        <v>1999</v>
      </c>
      <c r="B11" s="195" t="s">
        <v>30</v>
      </c>
      <c r="C11" s="196" t="s">
        <v>30</v>
      </c>
      <c r="D11" s="195" t="s">
        <v>30</v>
      </c>
      <c r="E11" s="196" t="s">
        <v>30</v>
      </c>
    </row>
    <row r="12" spans="1:9" ht="20" hidden="1" customHeight="1" thickBot="1">
      <c r="A12" s="194">
        <v>2000</v>
      </c>
      <c r="B12" s="195" t="s">
        <v>30</v>
      </c>
      <c r="C12" s="196" t="s">
        <v>30</v>
      </c>
      <c r="D12" s="195" t="s">
        <v>30</v>
      </c>
      <c r="E12" s="196" t="s">
        <v>30</v>
      </c>
    </row>
    <row r="13" spans="1:9" ht="20" customHeight="1" thickBot="1">
      <c r="A13" s="194">
        <v>2001</v>
      </c>
      <c r="B13" s="195" t="s">
        <v>30</v>
      </c>
      <c r="C13" s="196" t="s">
        <v>30</v>
      </c>
      <c r="D13" s="195" t="s">
        <v>30</v>
      </c>
      <c r="E13" s="196" t="s">
        <v>30</v>
      </c>
    </row>
    <row r="14" spans="1:9" ht="20" customHeight="1" thickBot="1">
      <c r="A14" s="194">
        <v>2002</v>
      </c>
      <c r="B14" s="195" t="s">
        <v>30</v>
      </c>
      <c r="C14" s="196" t="s">
        <v>30</v>
      </c>
      <c r="D14" s="195" t="s">
        <v>30</v>
      </c>
      <c r="E14" s="196" t="s">
        <v>30</v>
      </c>
    </row>
    <row r="15" spans="1:9" ht="20" customHeight="1" thickBot="1">
      <c r="A15" s="194">
        <v>2003</v>
      </c>
      <c r="B15" s="195" t="s">
        <v>30</v>
      </c>
      <c r="C15" s="196" t="s">
        <v>30</v>
      </c>
      <c r="D15" s="195" t="s">
        <v>30</v>
      </c>
      <c r="E15" s="196" t="s">
        <v>30</v>
      </c>
    </row>
    <row r="16" spans="1:9" ht="20" customHeight="1" thickBot="1">
      <c r="A16" s="194">
        <v>2004</v>
      </c>
      <c r="B16" s="195" t="s">
        <v>30</v>
      </c>
      <c r="C16" s="196" t="s">
        <v>30</v>
      </c>
      <c r="D16" s="195" t="s">
        <v>30</v>
      </c>
      <c r="E16" s="196" t="s">
        <v>30</v>
      </c>
    </row>
    <row r="17" spans="1:5" ht="20" customHeight="1" thickBot="1">
      <c r="A17" s="194">
        <v>2005</v>
      </c>
      <c r="B17" s="195">
        <v>333989</v>
      </c>
      <c r="C17" s="986">
        <v>1660.1051811123543</v>
      </c>
      <c r="D17" s="195">
        <v>22830</v>
      </c>
      <c r="E17" s="986">
        <v>2667.0642261250127</v>
      </c>
    </row>
    <row r="18" spans="1:5" ht="20" customHeight="1" thickBot="1">
      <c r="A18" s="194">
        <v>2006</v>
      </c>
      <c r="B18" s="195">
        <v>421280</v>
      </c>
      <c r="C18" s="986">
        <v>1557.9783633108323</v>
      </c>
      <c r="D18" s="195">
        <v>89081</v>
      </c>
      <c r="E18" s="986">
        <v>1978.6264621248356</v>
      </c>
    </row>
    <row r="19" spans="1:5" ht="20" customHeight="1" thickBot="1">
      <c r="A19" s="194">
        <v>2007</v>
      </c>
      <c r="B19" s="195">
        <v>379340</v>
      </c>
      <c r="C19" s="986">
        <v>1590.2978354727945</v>
      </c>
      <c r="D19" s="195">
        <v>89884</v>
      </c>
      <c r="E19" s="986">
        <v>1754.1422340537217</v>
      </c>
    </row>
    <row r="20" spans="1:5" ht="20" customHeight="1" thickBot="1">
      <c r="A20" s="194">
        <v>2008</v>
      </c>
      <c r="B20" s="195">
        <v>366771.18</v>
      </c>
      <c r="C20" s="986">
        <v>1578.120089644023</v>
      </c>
      <c r="D20" s="195">
        <v>93001</v>
      </c>
      <c r="E20" s="986">
        <v>1868.7691993608462</v>
      </c>
    </row>
    <row r="21" spans="1:5" ht="20" customHeight="1" thickBot="1">
      <c r="A21" s="194">
        <v>2009</v>
      </c>
      <c r="B21" s="195">
        <v>362663</v>
      </c>
      <c r="C21" s="986">
        <v>1612.3001722893655</v>
      </c>
      <c r="D21" s="195">
        <v>134413</v>
      </c>
      <c r="E21" s="986">
        <v>2044.9746449067488</v>
      </c>
    </row>
    <row r="22" spans="1:5" ht="20" customHeight="1" thickBot="1">
      <c r="A22" s="194">
        <v>2010</v>
      </c>
      <c r="B22" s="195">
        <v>395046</v>
      </c>
      <c r="C22" s="986">
        <v>1691.2252211550283</v>
      </c>
      <c r="D22" s="195">
        <v>146763</v>
      </c>
      <c r="E22" s="986">
        <v>2257.3946408066636</v>
      </c>
    </row>
    <row r="23" spans="1:5" ht="26.25" customHeight="1" thickBot="1">
      <c r="A23" s="198">
        <v>2011</v>
      </c>
      <c r="B23" s="199">
        <v>405039.2</v>
      </c>
      <c r="C23" s="1013">
        <v>1854.5427442725877</v>
      </c>
      <c r="D23" s="199">
        <v>139702</v>
      </c>
      <c r="E23" s="1013">
        <v>2879.8345178576574</v>
      </c>
    </row>
    <row r="24" spans="1:5" ht="18.5" customHeight="1">
      <c r="A24" s="112" t="s">
        <v>720</v>
      </c>
      <c r="B24" s="201"/>
      <c r="C24" s="201"/>
      <c r="D24" s="201"/>
      <c r="E24" s="201"/>
    </row>
    <row r="25" spans="1:5" ht="12.75" customHeight="1">
      <c r="A25" s="115"/>
      <c r="B25" s="203"/>
      <c r="C25" s="203"/>
      <c r="D25" s="203"/>
      <c r="E25" s="203"/>
    </row>
    <row r="26" spans="1:5" ht="12.75" customHeight="1">
      <c r="A26" s="3" t="s">
        <v>1716</v>
      </c>
      <c r="B26" s="203"/>
      <c r="C26" s="203"/>
      <c r="D26" s="203"/>
      <c r="E26" s="203"/>
    </row>
    <row r="27" spans="1:5" ht="12" customHeight="1"/>
    <row r="28" spans="1:5" ht="12" customHeight="1">
      <c r="A28" s="206" t="s">
        <v>1717</v>
      </c>
    </row>
    <row r="29" spans="1:5" ht="12" customHeight="1">
      <c r="A29" s="206" t="s">
        <v>1718</v>
      </c>
    </row>
    <row r="30" spans="1:5" ht="12" customHeight="1">
      <c r="A30" s="206" t="s">
        <v>1719</v>
      </c>
    </row>
    <row r="31" spans="1:5" ht="12" customHeight="1">
      <c r="A31" s="4" t="s">
        <v>1720</v>
      </c>
    </row>
    <row r="32" spans="1:5" ht="12" customHeight="1">
      <c r="A32" s="206" t="s">
        <v>1721</v>
      </c>
    </row>
    <row r="33" spans="1:1" ht="12" customHeight="1">
      <c r="A33" s="206" t="s">
        <v>1722</v>
      </c>
    </row>
    <row r="34" spans="1:1" ht="12" customHeight="1">
      <c r="A34" s="206" t="s">
        <v>1723</v>
      </c>
    </row>
    <row r="35" spans="1:1" ht="12" customHeight="1">
      <c r="A35" s="206" t="s">
        <v>1724</v>
      </c>
    </row>
    <row r="36" spans="1:1" ht="12" customHeight="1">
      <c r="A36" s="4" t="s">
        <v>1725</v>
      </c>
    </row>
    <row r="39" spans="1:1">
      <c r="A39" s="3" t="s">
        <v>719</v>
      </c>
    </row>
  </sheetData>
  <pageMargins left="0.51181102362204722" right="0.47244094488188981" top="0.70866141732283472" bottom="0.47244094488188981" header="0.55118110236220474" footer="0.51181102362204722"/>
  <pageSetup paperSize="9" scale="73" orientation="portrait" horizontalDpi="1200" verticalDpi="12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6272-6651-F940-AAF8-F5CE6BC8C71C}">
  <sheetPr>
    <pageSetUpPr fitToPage="1"/>
  </sheetPr>
  <dimension ref="A1:G52"/>
  <sheetViews>
    <sheetView topLeftCell="A26" zoomScaleNormal="100" workbookViewId="0">
      <selection activeCell="A46" sqref="A46"/>
    </sheetView>
  </sheetViews>
  <sheetFormatPr baseColWidth="10" defaultColWidth="11.3984375" defaultRowHeight="13"/>
  <cols>
    <col min="1" max="1" width="33" style="3" customWidth="1"/>
    <col min="2" max="4" width="18.796875" style="3" customWidth="1"/>
    <col min="5" max="5" width="2.3984375" style="227" customWidth="1"/>
    <col min="6" max="6" width="6" style="3" customWidth="1"/>
    <col min="7" max="16384" width="11.3984375" style="3"/>
  </cols>
  <sheetData>
    <row r="1" spans="1:7" ht="19.25" customHeight="1">
      <c r="A1" s="246" t="s">
        <v>2209</v>
      </c>
      <c r="B1" s="968"/>
      <c r="C1" s="968"/>
      <c r="D1" s="968"/>
      <c r="E1" s="968"/>
    </row>
    <row r="2" spans="1:7" ht="28.75" customHeight="1">
      <c r="A2" s="246"/>
      <c r="B2" s="968"/>
      <c r="C2" s="968"/>
      <c r="D2" s="968"/>
      <c r="E2" s="968"/>
    </row>
    <row r="3" spans="1:7" ht="19.25" customHeight="1">
      <c r="A3" s="246" t="s">
        <v>2210</v>
      </c>
      <c r="B3" s="968"/>
      <c r="C3" s="968"/>
      <c r="D3" s="968"/>
      <c r="E3" s="968"/>
    </row>
    <row r="4" spans="1:7" ht="11.5" customHeight="1">
      <c r="A4" s="994"/>
      <c r="B4" s="90"/>
      <c r="C4" s="90"/>
      <c r="D4" s="90"/>
      <c r="E4" s="995"/>
    </row>
    <row r="5" spans="1:7" ht="24" customHeight="1">
      <c r="A5" s="419" t="s">
        <v>1678</v>
      </c>
      <c r="B5" s="466" t="s">
        <v>1679</v>
      </c>
      <c r="C5" s="437" t="s">
        <v>1680</v>
      </c>
      <c r="D5" s="466" t="s">
        <v>2211</v>
      </c>
      <c r="E5" s="494"/>
    </row>
    <row r="6" spans="1:7" ht="15" customHeight="1">
      <c r="A6" s="184"/>
      <c r="B6" s="185"/>
      <c r="C6" s="186"/>
      <c r="D6" s="96"/>
      <c r="E6" s="494"/>
    </row>
    <row r="7" spans="1:7" ht="15" customHeight="1">
      <c r="A7" s="95"/>
      <c r="B7" s="185"/>
      <c r="C7" s="186"/>
      <c r="D7" s="185"/>
      <c r="E7" s="494"/>
    </row>
    <row r="8" spans="1:7" ht="20.5" customHeight="1">
      <c r="A8" s="231"/>
      <c r="B8" s="135"/>
      <c r="C8" s="136"/>
      <c r="D8" s="135"/>
      <c r="E8" s="494"/>
    </row>
    <row r="9" spans="1:7" ht="42" customHeight="1" thickBot="1">
      <c r="A9" s="960" t="s">
        <v>349</v>
      </c>
      <c r="B9" s="961">
        <v>752820</v>
      </c>
      <c r="C9" s="962">
        <v>715255</v>
      </c>
      <c r="D9" s="961">
        <v>1468075</v>
      </c>
      <c r="E9" s="494"/>
    </row>
    <row r="10" spans="1:7" ht="34.5" customHeight="1" thickBot="1">
      <c r="A10" s="960" t="s">
        <v>459</v>
      </c>
      <c r="B10" s="961">
        <v>341244</v>
      </c>
      <c r="C10" s="962">
        <v>326806</v>
      </c>
      <c r="D10" s="961">
        <v>668050</v>
      </c>
      <c r="E10" s="494"/>
    </row>
    <row r="11" spans="1:7" ht="32.25" customHeight="1" thickBot="1">
      <c r="A11" s="960" t="s">
        <v>348</v>
      </c>
      <c r="B11" s="961">
        <v>2817097</v>
      </c>
      <c r="C11" s="962">
        <v>2979023</v>
      </c>
      <c r="D11" s="961">
        <v>5796120</v>
      </c>
      <c r="E11" s="494"/>
    </row>
    <row r="12" spans="1:7" s="482" customFormat="1" ht="36" customHeight="1" thickBot="1">
      <c r="A12" s="166" t="s">
        <v>316</v>
      </c>
      <c r="B12" s="169">
        <v>3911161</v>
      </c>
      <c r="C12" s="168">
        <v>4021084</v>
      </c>
      <c r="D12" s="169">
        <v>7932245</v>
      </c>
      <c r="E12" s="494"/>
      <c r="F12" s="1428" t="s">
        <v>2212</v>
      </c>
    </row>
    <row r="13" spans="1:7" ht="16.5" customHeight="1">
      <c r="B13" s="112"/>
      <c r="C13" s="112"/>
      <c r="D13" s="112"/>
      <c r="E13" s="902"/>
      <c r="G13" s="119"/>
    </row>
    <row r="14" spans="1:7" s="44" customFormat="1" ht="24" customHeight="1" thickBot="1">
      <c r="A14" s="1429" t="s">
        <v>2213</v>
      </c>
      <c r="B14" s="1430">
        <v>295865</v>
      </c>
      <c r="C14" s="1431">
        <v>295776</v>
      </c>
      <c r="D14" s="1430">
        <v>591641</v>
      </c>
      <c r="E14" s="1432"/>
      <c r="F14" s="1428" t="s">
        <v>2214</v>
      </c>
      <c r="G14" s="1433"/>
    </row>
    <row r="15" spans="1:7" ht="28.25" customHeight="1">
      <c r="A15" s="246"/>
      <c r="B15" s="968"/>
      <c r="C15" s="968"/>
      <c r="D15" s="968"/>
      <c r="E15" s="968"/>
    </row>
    <row r="16" spans="1:7" ht="19.25" customHeight="1">
      <c r="A16" s="246" t="s">
        <v>2215</v>
      </c>
      <c r="B16" s="968"/>
      <c r="C16" s="968"/>
      <c r="D16" s="968"/>
      <c r="E16" s="968"/>
    </row>
    <row r="17" spans="1:7" ht="11.5" customHeight="1">
      <c r="A17" s="994"/>
      <c r="B17" s="90"/>
      <c r="C17" s="90"/>
      <c r="D17" s="90"/>
      <c r="E17" s="995"/>
    </row>
    <row r="18" spans="1:7" ht="24" customHeight="1">
      <c r="A18" s="419"/>
      <c r="B18" s="466" t="s">
        <v>1679</v>
      </c>
      <c r="C18" s="437" t="s">
        <v>1680</v>
      </c>
      <c r="D18" s="466" t="s">
        <v>2211</v>
      </c>
      <c r="E18" s="494"/>
    </row>
    <row r="19" spans="1:7" ht="15" customHeight="1">
      <c r="A19" s="184"/>
      <c r="B19" s="185"/>
      <c r="C19" s="186"/>
      <c r="D19" s="96"/>
      <c r="E19" s="494"/>
    </row>
    <row r="20" spans="1:7" ht="15" customHeight="1">
      <c r="A20" s="95"/>
      <c r="B20" s="185"/>
      <c r="C20" s="186"/>
      <c r="D20" s="185"/>
      <c r="E20" s="494"/>
    </row>
    <row r="21" spans="1:7" ht="15.5" customHeight="1">
      <c r="A21" s="231"/>
      <c r="B21" s="135"/>
      <c r="C21" s="136"/>
      <c r="D21" s="135"/>
      <c r="E21" s="494"/>
    </row>
    <row r="22" spans="1:7" s="482" customFormat="1" ht="36" customHeight="1" thickBot="1">
      <c r="A22" s="1434" t="s">
        <v>316</v>
      </c>
      <c r="B22" s="1435">
        <v>3853170</v>
      </c>
      <c r="C22" s="1436">
        <v>3969463</v>
      </c>
      <c r="D22" s="1435">
        <v>7822633</v>
      </c>
      <c r="E22" s="494"/>
      <c r="F22" s="1428" t="s">
        <v>1461</v>
      </c>
    </row>
    <row r="23" spans="1:7" ht="16.5" customHeight="1">
      <c r="B23" s="112"/>
      <c r="C23" s="112"/>
      <c r="D23" s="112"/>
      <c r="E23" s="902"/>
      <c r="G23" s="119"/>
    </row>
    <row r="24" spans="1:7" s="44" customFormat="1" ht="24" customHeight="1" thickBot="1">
      <c r="A24" s="998" t="s">
        <v>2216</v>
      </c>
      <c r="B24" s="1007">
        <v>438350</v>
      </c>
      <c r="C24" s="1008">
        <v>429768</v>
      </c>
      <c r="D24" s="1007">
        <v>868118</v>
      </c>
      <c r="E24" s="1432"/>
      <c r="F24" s="1428" t="s">
        <v>1462</v>
      </c>
      <c r="G24" s="1433"/>
    </row>
    <row r="25" spans="1:7" ht="31.75" customHeight="1">
      <c r="A25" s="246"/>
      <c r="B25" s="968"/>
      <c r="C25" s="968"/>
      <c r="D25" s="968"/>
      <c r="E25" s="968"/>
    </row>
    <row r="26" spans="1:7" ht="19.25" customHeight="1">
      <c r="A26" s="246" t="s">
        <v>2217</v>
      </c>
      <c r="B26" s="968"/>
      <c r="C26" s="968"/>
      <c r="D26" s="968"/>
      <c r="E26" s="968"/>
    </row>
    <row r="27" spans="1:7" ht="11.5" customHeight="1">
      <c r="A27" s="994"/>
      <c r="B27" s="90"/>
      <c r="C27" s="90"/>
      <c r="D27" s="90"/>
      <c r="E27" s="995"/>
    </row>
    <row r="28" spans="1:7" ht="24" customHeight="1">
      <c r="A28" s="419"/>
      <c r="B28" s="466" t="s">
        <v>1679</v>
      </c>
      <c r="C28" s="437" t="s">
        <v>1680</v>
      </c>
      <c r="D28" s="466" t="s">
        <v>2211</v>
      </c>
      <c r="E28" s="494"/>
    </row>
    <row r="29" spans="1:7" ht="15" customHeight="1">
      <c r="A29" s="184"/>
      <c r="B29" s="185"/>
      <c r="C29" s="186"/>
      <c r="D29" s="96"/>
      <c r="E29" s="494"/>
    </row>
    <row r="30" spans="1:7" ht="15" customHeight="1">
      <c r="A30" s="95"/>
      <c r="B30" s="185"/>
      <c r="C30" s="186"/>
      <c r="D30" s="185"/>
      <c r="E30" s="494"/>
    </row>
    <row r="31" spans="1:7" ht="15.5" customHeight="1">
      <c r="A31" s="231"/>
      <c r="B31" s="135"/>
      <c r="C31" s="136"/>
      <c r="D31" s="135"/>
      <c r="E31" s="494"/>
    </row>
    <row r="32" spans="1:7" s="482" customFormat="1" ht="36" customHeight="1" thickBot="1">
      <c r="A32" s="1434" t="s">
        <v>278</v>
      </c>
      <c r="B32" s="1435">
        <v>3900895</v>
      </c>
      <c r="C32" s="1436">
        <v>4006124</v>
      </c>
      <c r="D32" s="1435">
        <v>7907019</v>
      </c>
      <c r="E32" s="494"/>
      <c r="F32" s="1428" t="s">
        <v>2218</v>
      </c>
    </row>
    <row r="33" spans="1:6" ht="31.75" customHeight="1">
      <c r="A33" s="246"/>
      <c r="B33" s="968"/>
      <c r="C33" s="968"/>
      <c r="D33" s="968"/>
      <c r="E33" s="968"/>
    </row>
    <row r="34" spans="1:6" ht="19.25" customHeight="1">
      <c r="A34" s="246" t="s">
        <v>2219</v>
      </c>
      <c r="B34" s="968"/>
      <c r="C34" s="968"/>
      <c r="D34" s="968"/>
      <c r="E34" s="968"/>
    </row>
    <row r="35" spans="1:6" ht="11.5" customHeight="1">
      <c r="A35" s="994"/>
      <c r="B35" s="90"/>
      <c r="C35" s="90"/>
      <c r="D35" s="90"/>
      <c r="E35" s="995"/>
    </row>
    <row r="36" spans="1:6" ht="24" customHeight="1">
      <c r="A36" s="419"/>
      <c r="B36" s="466" t="s">
        <v>1679</v>
      </c>
      <c r="C36" s="437" t="s">
        <v>1680</v>
      </c>
      <c r="D36" s="466" t="s">
        <v>2211</v>
      </c>
      <c r="E36" s="494"/>
    </row>
    <row r="37" spans="1:6" ht="15" customHeight="1">
      <c r="A37" s="184"/>
      <c r="B37" s="185"/>
      <c r="C37" s="186"/>
      <c r="D37" s="96"/>
      <c r="E37" s="494"/>
    </row>
    <row r="38" spans="1:6" ht="15" customHeight="1">
      <c r="A38" s="95"/>
      <c r="B38" s="185"/>
      <c r="C38" s="186"/>
      <c r="D38" s="185"/>
      <c r="E38" s="494"/>
    </row>
    <row r="39" spans="1:6" ht="15.5" customHeight="1">
      <c r="A39" s="231"/>
      <c r="B39" s="135"/>
      <c r="C39" s="136"/>
      <c r="D39" s="135"/>
      <c r="E39" s="494"/>
    </row>
    <row r="40" spans="1:6" s="482" customFormat="1" ht="36" customHeight="1" thickBot="1">
      <c r="A40" s="1434" t="s">
        <v>278</v>
      </c>
      <c r="B40" s="1435">
        <v>3869823</v>
      </c>
      <c r="C40" s="1436">
        <v>3990968</v>
      </c>
      <c r="D40" s="1435">
        <v>7860791</v>
      </c>
      <c r="E40" s="494"/>
      <c r="F40" s="1428" t="s">
        <v>1464</v>
      </c>
    </row>
    <row r="41" spans="1:6" ht="7.25" customHeight="1">
      <c r="D41"/>
      <c r="E41"/>
      <c r="F41"/>
    </row>
    <row r="42" spans="1:6" ht="15.5" customHeight="1">
      <c r="A42" s="115" t="s">
        <v>720</v>
      </c>
      <c r="D42"/>
      <c r="E42"/>
      <c r="F42"/>
    </row>
    <row r="43" spans="1:6" ht="15" customHeight="1">
      <c r="D43" s="1437"/>
      <c r="E43" s="1437"/>
      <c r="F43" s="1438" t="s">
        <v>2220</v>
      </c>
    </row>
    <row r="44" spans="1:6">
      <c r="D44" s="23"/>
      <c r="E44" s="23"/>
      <c r="F44" s="1439"/>
    </row>
    <row r="45" spans="1:6">
      <c r="A45" s="3" t="s">
        <v>2221</v>
      </c>
      <c r="D45"/>
      <c r="E45"/>
      <c r="F45"/>
    </row>
    <row r="46" spans="1:6">
      <c r="D46"/>
      <c r="E46"/>
      <c r="F46"/>
    </row>
    <row r="47" spans="1:6" ht="15" customHeight="1">
      <c r="A47" s="1855" t="s">
        <v>2222</v>
      </c>
      <c r="B47" s="1869"/>
      <c r="C47" s="1869"/>
      <c r="D47" s="1869"/>
      <c r="E47" s="1440"/>
    </row>
    <row r="48" spans="1:6" ht="14.5" customHeight="1">
      <c r="A48" s="3" t="s">
        <v>2223</v>
      </c>
      <c r="D48"/>
      <c r="E48"/>
      <c r="F48"/>
    </row>
    <row r="49" spans="1:6" ht="15.5" customHeight="1">
      <c r="A49" s="3" t="s">
        <v>2224</v>
      </c>
      <c r="D49"/>
      <c r="E49"/>
      <c r="F49"/>
    </row>
    <row r="52" spans="1:6">
      <c r="A52" s="173" t="s">
        <v>719</v>
      </c>
    </row>
  </sheetData>
  <mergeCells count="1">
    <mergeCell ref="A47:D47"/>
  </mergeCells>
  <pageMargins left="0.67" right="0.67" top="0.72" bottom="0.49" header="0.56000000000000005" footer="0.4921259845"/>
  <pageSetup paperSize="9" scale="77" orientation="portrait" horizontalDpi="1200" verticalDpi="12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2C19-BC57-BF48-8884-812E11E208B1}">
  <sheetPr>
    <pageSetUpPr fitToPage="1"/>
  </sheetPr>
  <dimension ref="A1:G36"/>
  <sheetViews>
    <sheetView zoomScaleNormal="100" workbookViewId="0">
      <selection activeCell="H3" sqref="H3"/>
    </sheetView>
  </sheetViews>
  <sheetFormatPr baseColWidth="10" defaultColWidth="11.3984375" defaultRowHeight="13"/>
  <cols>
    <col min="1" max="1" width="19.3984375" style="3" customWidth="1"/>
    <col min="2" max="2" width="17.3984375" style="3" customWidth="1"/>
    <col min="3" max="3" width="16.3984375" style="3" customWidth="1"/>
    <col min="4" max="4" width="17.796875" style="3" customWidth="1"/>
    <col min="5" max="5" width="18.796875" style="227" customWidth="1"/>
    <col min="6" max="6" width="19.59765625" style="227" customWidth="1"/>
    <col min="7" max="7" width="18.19921875" style="3" customWidth="1"/>
    <col min="8" max="16384" width="11.3984375" style="3"/>
  </cols>
  <sheetData>
    <row r="1" spans="1:6" ht="54.75" customHeight="1">
      <c r="A1" s="1845" t="s">
        <v>1676</v>
      </c>
      <c r="B1" s="1861"/>
      <c r="C1" s="1861"/>
      <c r="D1" s="1861"/>
      <c r="E1" s="207">
        <v>2011</v>
      </c>
      <c r="F1" s="968"/>
    </row>
    <row r="2" spans="1:6" ht="28.25" customHeight="1">
      <c r="A2" s="967"/>
      <c r="B2" s="968"/>
      <c r="C2" s="968"/>
      <c r="D2" s="968"/>
      <c r="E2" s="968"/>
      <c r="F2" s="968"/>
    </row>
    <row r="3" spans="1:6" ht="39.75" customHeight="1">
      <c r="A3" s="1870" t="s">
        <v>1677</v>
      </c>
      <c r="B3" s="1846"/>
      <c r="C3" s="1846"/>
      <c r="D3" s="1846"/>
      <c r="E3" s="1846"/>
      <c r="F3" s="610"/>
    </row>
    <row r="4" spans="1:6" ht="12.75" customHeight="1">
      <c r="A4" s="994"/>
      <c r="B4" s="90"/>
      <c r="C4" s="90"/>
      <c r="D4" s="90"/>
      <c r="E4" s="90"/>
      <c r="F4" s="995"/>
    </row>
    <row r="5" spans="1:6" ht="24" customHeight="1">
      <c r="A5" s="419" t="s">
        <v>1678</v>
      </c>
      <c r="B5" s="466" t="s">
        <v>1679</v>
      </c>
      <c r="C5" s="437" t="s">
        <v>1680</v>
      </c>
      <c r="D5" s="466" t="s">
        <v>278</v>
      </c>
      <c r="E5" s="467" t="s">
        <v>281</v>
      </c>
      <c r="F5" s="494"/>
    </row>
    <row r="6" spans="1:6" ht="15" customHeight="1">
      <c r="A6" s="184"/>
      <c r="B6" s="185"/>
      <c r="C6" s="186"/>
      <c r="D6" s="96"/>
      <c r="E6" s="939" t="s">
        <v>1681</v>
      </c>
      <c r="F6" s="494"/>
    </row>
    <row r="7" spans="1:6" ht="15" customHeight="1">
      <c r="A7" s="95"/>
      <c r="B7" s="185"/>
      <c r="C7" s="186"/>
      <c r="D7" s="185"/>
      <c r="E7" s="939"/>
      <c r="F7" s="494"/>
    </row>
    <row r="8" spans="1:6" ht="24" customHeight="1">
      <c r="A8" s="231"/>
      <c r="B8" s="135"/>
      <c r="C8" s="136"/>
      <c r="D8" s="135"/>
      <c r="E8" s="476"/>
      <c r="F8" s="494"/>
    </row>
    <row r="9" spans="1:6" ht="45" customHeight="1" thickBot="1">
      <c r="A9" s="960" t="s">
        <v>349</v>
      </c>
      <c r="B9" s="961">
        <v>771621.95</v>
      </c>
      <c r="C9" s="962">
        <v>732324.59</v>
      </c>
      <c r="D9" s="961">
        <v>1503946.51</v>
      </c>
      <c r="E9" s="996">
        <v>0.19127437557168622</v>
      </c>
      <c r="F9" s="494"/>
    </row>
    <row r="10" spans="1:6" ht="34.5" customHeight="1" thickBot="1">
      <c r="A10" s="960" t="s">
        <v>459</v>
      </c>
      <c r="B10" s="961">
        <v>337349.91</v>
      </c>
      <c r="C10" s="962">
        <v>327652</v>
      </c>
      <c r="D10" s="961">
        <v>665001.9</v>
      </c>
      <c r="E10" s="996">
        <v>8.4576028689002325E-2</v>
      </c>
      <c r="F10" s="494"/>
    </row>
    <row r="11" spans="1:6" ht="32.25" customHeight="1" thickBot="1">
      <c r="A11" s="960" t="s">
        <v>348</v>
      </c>
      <c r="B11" s="961">
        <v>2766470.56</v>
      </c>
      <c r="C11" s="962">
        <v>2927351.52</v>
      </c>
      <c r="D11" s="961">
        <v>5693822.0800000001</v>
      </c>
      <c r="E11" s="996">
        <v>0.72414959955476055</v>
      </c>
      <c r="F11" s="494"/>
    </row>
    <row r="12" spans="1:6" s="482" customFormat="1" ht="36" customHeight="1" thickBot="1">
      <c r="A12" s="166" t="s">
        <v>278</v>
      </c>
      <c r="B12" s="242">
        <v>3875442.37</v>
      </c>
      <c r="C12" s="243">
        <v>3987328.09</v>
      </c>
      <c r="D12" s="242">
        <v>7862770.46</v>
      </c>
      <c r="E12" s="997">
        <v>1</v>
      </c>
      <c r="F12" s="494"/>
    </row>
    <row r="13" spans="1:6" ht="17.25" customHeight="1">
      <c r="B13" s="112"/>
      <c r="C13" s="112"/>
      <c r="D13" s="112"/>
      <c r="E13" s="901"/>
      <c r="F13" s="902"/>
    </row>
    <row r="14" spans="1:6" ht="19.5" customHeight="1" thickBot="1">
      <c r="A14" s="998" t="s">
        <v>1682</v>
      </c>
      <c r="B14" s="999">
        <v>39.868388029999998</v>
      </c>
      <c r="C14" s="1000">
        <v>42.151200090000003</v>
      </c>
      <c r="D14" s="999">
        <v>41.02</v>
      </c>
      <c r="E14" s="1001" t="s">
        <v>30</v>
      </c>
      <c r="F14" s="902"/>
    </row>
    <row r="15" spans="1:6" ht="46.5" customHeight="1">
      <c r="A15" s="4"/>
      <c r="B15" s="115"/>
      <c r="C15" s="115"/>
      <c r="D15" s="115"/>
      <c r="E15" s="902"/>
      <c r="F15" s="902"/>
    </row>
    <row r="16" spans="1:6" ht="38.25" customHeight="1">
      <c r="A16" s="1871" t="s">
        <v>1683</v>
      </c>
      <c r="B16" s="1846"/>
      <c r="C16" s="1846"/>
      <c r="D16" s="1846"/>
      <c r="E16" s="1846"/>
      <c r="F16" s="610"/>
    </row>
    <row r="17" spans="1:7" ht="15" customHeight="1">
      <c r="A17" s="1002"/>
      <c r="B17" s="968"/>
      <c r="C17" s="968"/>
      <c r="D17" s="968"/>
      <c r="E17" s="968"/>
      <c r="F17" s="968"/>
    </row>
    <row r="18" spans="1:7" ht="38.25" customHeight="1">
      <c r="A18" s="1003"/>
      <c r="B18" s="1004" t="s">
        <v>346</v>
      </c>
      <c r="C18" s="1005" t="s">
        <v>347</v>
      </c>
      <c r="D18" s="1004" t="s">
        <v>349</v>
      </c>
      <c r="E18" s="1005" t="s">
        <v>278</v>
      </c>
    </row>
    <row r="19" spans="1:7" ht="39" customHeight="1" thickBot="1">
      <c r="A19" s="1006" t="s">
        <v>278</v>
      </c>
      <c r="B19" s="1007">
        <v>17454.060000000001</v>
      </c>
      <c r="C19" s="1008">
        <v>10638.69</v>
      </c>
      <c r="D19" s="1007">
        <v>3422.09</v>
      </c>
      <c r="E19" s="1009">
        <v>31514.84</v>
      </c>
      <c r="F19" s="495"/>
      <c r="G19" s="495"/>
    </row>
    <row r="20" spans="1:7" ht="39.75" customHeight="1">
      <c r="D20"/>
      <c r="E20"/>
      <c r="F20"/>
      <c r="G20"/>
    </row>
    <row r="21" spans="1:7" ht="42" customHeight="1">
      <c r="A21" s="1871" t="s">
        <v>1684</v>
      </c>
      <c r="B21" s="1846"/>
      <c r="C21" s="1846"/>
      <c r="D21" s="1846"/>
      <c r="E21" s="1846"/>
      <c r="F21" s="610"/>
    </row>
    <row r="22" spans="1:7" ht="15" customHeight="1">
      <c r="A22" s="1002"/>
      <c r="B22" s="968"/>
      <c r="C22" s="968"/>
      <c r="D22" s="968"/>
      <c r="E22" s="968"/>
      <c r="F22" s="968"/>
    </row>
    <row r="23" spans="1:7" ht="38.25" customHeight="1">
      <c r="A23" s="1003"/>
      <c r="B23" s="1004" t="s">
        <v>346</v>
      </c>
      <c r="C23" s="1005" t="s">
        <v>347</v>
      </c>
      <c r="D23" s="1004" t="s">
        <v>349</v>
      </c>
      <c r="E23" s="1005" t="s">
        <v>278</v>
      </c>
    </row>
    <row r="24" spans="1:7" ht="39" customHeight="1" thickBot="1">
      <c r="A24" s="1006" t="s">
        <v>278</v>
      </c>
      <c r="B24" s="1007">
        <v>14010.53</v>
      </c>
      <c r="C24" s="1008">
        <v>7418.65</v>
      </c>
      <c r="D24" s="1007">
        <v>3019.35</v>
      </c>
      <c r="E24" s="1009">
        <v>24448.52</v>
      </c>
      <c r="F24" s="495"/>
      <c r="G24" s="495"/>
    </row>
    <row r="25" spans="1:7">
      <c r="D25"/>
      <c r="E25"/>
      <c r="F25"/>
      <c r="G25"/>
    </row>
    <row r="26" spans="1:7">
      <c r="A26" s="115" t="s">
        <v>720</v>
      </c>
      <c r="D26"/>
      <c r="E26"/>
      <c r="F26"/>
      <c r="G26"/>
    </row>
    <row r="27" spans="1:7">
      <c r="D27"/>
      <c r="E27"/>
      <c r="F27"/>
      <c r="G27"/>
    </row>
    <row r="28" spans="1:7">
      <c r="A28" s="3" t="s">
        <v>1685</v>
      </c>
      <c r="D28"/>
      <c r="E28"/>
      <c r="F28"/>
      <c r="G28"/>
    </row>
    <row r="29" spans="1:7">
      <c r="A29" s="3" t="s">
        <v>1686</v>
      </c>
      <c r="D29"/>
      <c r="E29"/>
      <c r="F29"/>
      <c r="G29"/>
    </row>
    <row r="30" spans="1:7">
      <c r="A30" s="3" t="s">
        <v>1687</v>
      </c>
      <c r="D30"/>
      <c r="E30"/>
      <c r="F30"/>
      <c r="G30"/>
    </row>
    <row r="31" spans="1:7">
      <c r="A31" s="3" t="s">
        <v>1688</v>
      </c>
      <c r="D31"/>
      <c r="E31"/>
      <c r="F31"/>
      <c r="G31"/>
    </row>
    <row r="32" spans="1:7">
      <c r="D32"/>
      <c r="E32"/>
      <c r="F32"/>
      <c r="G32"/>
    </row>
    <row r="33" spans="1:7">
      <c r="A33" s="3" t="s">
        <v>1689</v>
      </c>
      <c r="D33"/>
      <c r="E33"/>
      <c r="F33"/>
      <c r="G33"/>
    </row>
    <row r="36" spans="1:7">
      <c r="A36" s="173" t="s">
        <v>719</v>
      </c>
    </row>
  </sheetData>
  <mergeCells count="4">
    <mergeCell ref="A1:D1"/>
    <mergeCell ref="A3:E3"/>
    <mergeCell ref="A16:E16"/>
    <mergeCell ref="A21:E21"/>
  </mergeCells>
  <pageMargins left="0.5" right="0.45" top="0.71" bottom="0.47244094488188981" header="0.47244094488188981" footer="0.51181102362204722"/>
  <pageSetup paperSize="9" scale="85" orientation="portrait" horizontalDpi="1200" verticalDpi="12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A10E-5540-284A-BF5F-6008C489A8F0}">
  <sheetPr>
    <pageSetUpPr fitToPage="1"/>
  </sheetPr>
  <dimension ref="A1:H43"/>
  <sheetViews>
    <sheetView zoomScaleNormal="100" workbookViewId="0">
      <selection activeCell="G9" sqref="G9"/>
    </sheetView>
  </sheetViews>
  <sheetFormatPr baseColWidth="10" defaultColWidth="11.3984375" defaultRowHeight="13"/>
  <cols>
    <col min="1" max="1" width="14.796875" style="3" customWidth="1"/>
    <col min="2" max="6" width="21" style="3" customWidth="1"/>
    <col min="7" max="7" width="20.19921875" style="3" customWidth="1"/>
    <col min="8" max="8" width="12.19921875" style="3" customWidth="1"/>
    <col min="9" max="16384" width="11.3984375" style="3"/>
  </cols>
  <sheetData>
    <row r="1" spans="1:8" s="2" customFormat="1" ht="14" customHeight="1"/>
    <row r="2" spans="1:8" s="2" customFormat="1" ht="27.75" customHeight="1">
      <c r="A2" s="1843" t="s">
        <v>458</v>
      </c>
      <c r="B2" s="1847"/>
      <c r="C2" s="1847"/>
      <c r="D2" s="1847"/>
      <c r="E2" s="1847"/>
      <c r="F2" s="180">
        <v>2011</v>
      </c>
    </row>
    <row r="3" spans="1:8" ht="27" customHeight="1">
      <c r="A3" s="92" t="s">
        <v>191</v>
      </c>
      <c r="B3" s="182" t="s">
        <v>349</v>
      </c>
      <c r="C3" s="183" t="s">
        <v>459</v>
      </c>
      <c r="D3" s="182" t="s">
        <v>348</v>
      </c>
      <c r="E3" s="183" t="s">
        <v>278</v>
      </c>
      <c r="F3" s="304" t="s">
        <v>279</v>
      </c>
    </row>
    <row r="4" spans="1:8" ht="15" customHeight="1">
      <c r="A4" s="95"/>
      <c r="B4" s="185"/>
      <c r="C4" s="186"/>
      <c r="D4" s="211"/>
      <c r="E4" s="186"/>
      <c r="F4" s="211" t="s">
        <v>282</v>
      </c>
    </row>
    <row r="5" spans="1:8" ht="15" customHeight="1">
      <c r="A5" s="95"/>
      <c r="B5" s="185" t="s">
        <v>460</v>
      </c>
      <c r="C5" s="186" t="s">
        <v>461</v>
      </c>
      <c r="D5" s="185" t="s">
        <v>462</v>
      </c>
      <c r="E5" s="186"/>
      <c r="F5" s="211" t="s">
        <v>283</v>
      </c>
    </row>
    <row r="6" spans="1:8" ht="24" customHeight="1">
      <c r="A6" s="97"/>
      <c r="B6" s="213"/>
      <c r="C6" s="97"/>
      <c r="D6" s="213"/>
      <c r="E6" s="190"/>
      <c r="F6" s="189"/>
      <c r="H6" s="305"/>
    </row>
    <row r="7" spans="1:8" ht="30" customHeight="1" thickBot="1">
      <c r="A7" s="99" t="s">
        <v>362</v>
      </c>
      <c r="B7" s="215">
        <v>252272.06</v>
      </c>
      <c r="C7" s="216">
        <v>104800.9</v>
      </c>
      <c r="D7" s="215">
        <v>1016982.23</v>
      </c>
      <c r="E7" s="216">
        <v>1374055.2</v>
      </c>
      <c r="F7" s="217">
        <v>1.3322442398362539E-2</v>
      </c>
      <c r="H7" s="306"/>
    </row>
    <row r="8" spans="1:8" ht="20" customHeight="1" thickBot="1">
      <c r="A8" s="103" t="s">
        <v>363</v>
      </c>
      <c r="B8" s="215">
        <v>177425.47</v>
      </c>
      <c r="C8" s="216">
        <v>81619.710000000006</v>
      </c>
      <c r="D8" s="215">
        <v>722372.96</v>
      </c>
      <c r="E8" s="216">
        <v>981418.13</v>
      </c>
      <c r="F8" s="217">
        <v>5.2500451836900303E-3</v>
      </c>
      <c r="H8" s="306"/>
    </row>
    <row r="9" spans="1:8" ht="20" customHeight="1" thickBot="1">
      <c r="A9" s="103" t="s">
        <v>364</v>
      </c>
      <c r="B9" s="215">
        <v>75301.240000000005</v>
      </c>
      <c r="C9" s="216">
        <v>35580.339999999997</v>
      </c>
      <c r="D9" s="215">
        <v>269653.51</v>
      </c>
      <c r="E9" s="216">
        <v>380535.12</v>
      </c>
      <c r="F9" s="217">
        <v>1.1135708566406688E-2</v>
      </c>
      <c r="H9" s="306"/>
    </row>
    <row r="10" spans="1:8" ht="20" customHeight="1" thickBot="1">
      <c r="A10" s="103" t="s">
        <v>365</v>
      </c>
      <c r="B10" s="215">
        <v>7022.96</v>
      </c>
      <c r="C10" s="216">
        <v>3269.96</v>
      </c>
      <c r="D10" s="215">
        <v>25270.14</v>
      </c>
      <c r="E10" s="216">
        <v>35563.06</v>
      </c>
      <c r="F10" s="217">
        <v>2.9111814692849886E-3</v>
      </c>
      <c r="H10" s="306"/>
    </row>
    <row r="11" spans="1:8" ht="20" customHeight="1" thickBot="1">
      <c r="A11" s="103" t="s">
        <v>366</v>
      </c>
      <c r="B11" s="215">
        <v>28945.43</v>
      </c>
      <c r="C11" s="216">
        <v>12667.76</v>
      </c>
      <c r="D11" s="215">
        <v>105773.4</v>
      </c>
      <c r="E11" s="216">
        <v>147386.60999999999</v>
      </c>
      <c r="F11" s="217">
        <v>8.9635455872523022E-3</v>
      </c>
      <c r="H11" s="306"/>
    </row>
    <row r="12" spans="1:8" ht="20" customHeight="1" thickBot="1">
      <c r="A12" s="103" t="s">
        <v>367</v>
      </c>
      <c r="B12" s="215">
        <v>7192.27</v>
      </c>
      <c r="C12" s="216">
        <v>3442.05</v>
      </c>
      <c r="D12" s="215">
        <v>25483.47</v>
      </c>
      <c r="E12" s="216">
        <v>36117.769999999997</v>
      </c>
      <c r="F12" s="217">
        <v>7.5773827872727007E-3</v>
      </c>
      <c r="H12" s="306"/>
    </row>
    <row r="13" spans="1:8" ht="20" customHeight="1" thickBot="1">
      <c r="A13" s="103" t="s">
        <v>368</v>
      </c>
      <c r="B13" s="215">
        <v>7462.5</v>
      </c>
      <c r="C13" s="216">
        <v>3593.87</v>
      </c>
      <c r="D13" s="215">
        <v>29841.37</v>
      </c>
      <c r="E13" s="216">
        <v>40897.72</v>
      </c>
      <c r="F13" s="217">
        <v>6.8704892949420946E-3</v>
      </c>
      <c r="H13" s="306"/>
    </row>
    <row r="14" spans="1:8" ht="20" customHeight="1" thickBot="1">
      <c r="A14" s="103" t="s">
        <v>369</v>
      </c>
      <c r="B14" s="215">
        <v>7245.36</v>
      </c>
      <c r="C14" s="216">
        <v>3749.37</v>
      </c>
      <c r="D14" s="215">
        <v>28201.67</v>
      </c>
      <c r="E14" s="216">
        <v>39196.379999999997</v>
      </c>
      <c r="F14" s="217">
        <v>1.0973949283109265E-2</v>
      </c>
      <c r="H14" s="306"/>
    </row>
    <row r="15" spans="1:8" ht="20" customHeight="1" thickBot="1">
      <c r="A15" s="103" t="s">
        <v>370</v>
      </c>
      <c r="B15" s="215">
        <v>21781.39</v>
      </c>
      <c r="C15" s="216">
        <v>8847.7999999999993</v>
      </c>
      <c r="D15" s="215">
        <v>83272.34</v>
      </c>
      <c r="E15" s="216">
        <v>113901.56</v>
      </c>
      <c r="F15" s="217">
        <v>1.8326496751815337E-2</v>
      </c>
      <c r="H15" s="306"/>
    </row>
    <row r="16" spans="1:8" ht="20" customHeight="1" thickBot="1">
      <c r="A16" s="103" t="s">
        <v>371</v>
      </c>
      <c r="B16" s="215">
        <v>62237.48</v>
      </c>
      <c r="C16" s="216">
        <v>25339.03</v>
      </c>
      <c r="D16" s="215">
        <v>194123.12</v>
      </c>
      <c r="E16" s="216">
        <v>281699.63</v>
      </c>
      <c r="F16" s="217">
        <v>2.0858962803757215E-2</v>
      </c>
      <c r="H16" s="306"/>
    </row>
    <row r="17" spans="1:8" ht="20" customHeight="1" thickBot="1">
      <c r="A17" s="103" t="s">
        <v>372</v>
      </c>
      <c r="B17" s="215">
        <v>47225.96</v>
      </c>
      <c r="C17" s="216">
        <v>22818.01</v>
      </c>
      <c r="D17" s="215">
        <v>187856.88</v>
      </c>
      <c r="E17" s="216">
        <v>257900.82</v>
      </c>
      <c r="F17" s="217">
        <v>6.8402455292570106E-3</v>
      </c>
      <c r="H17" s="306"/>
    </row>
    <row r="18" spans="1:8" ht="20" customHeight="1" thickBot="1">
      <c r="A18" s="103" t="s">
        <v>373</v>
      </c>
      <c r="B18" s="215">
        <v>28007.25</v>
      </c>
      <c r="C18" s="216">
        <v>13220.36</v>
      </c>
      <c r="D18" s="215">
        <v>138737.20000000001</v>
      </c>
      <c r="E18" s="216">
        <v>179964.83</v>
      </c>
      <c r="F18" s="217">
        <v>1.1395484304429925E-2</v>
      </c>
      <c r="H18" s="306"/>
    </row>
    <row r="19" spans="1:8" ht="20" customHeight="1" thickBot="1">
      <c r="A19" s="103" t="s">
        <v>374</v>
      </c>
      <c r="B19" s="215">
        <v>49241.82</v>
      </c>
      <c r="C19" s="216">
        <v>21588.81</v>
      </c>
      <c r="D19" s="215">
        <v>202033.46</v>
      </c>
      <c r="E19" s="216">
        <v>272864.08</v>
      </c>
      <c r="F19" s="217">
        <v>9.7370254768317085E-4</v>
      </c>
      <c r="H19" s="306"/>
    </row>
    <row r="20" spans="1:8" ht="20" customHeight="1" thickBot="1">
      <c r="A20" s="103" t="s">
        <v>375</v>
      </c>
      <c r="B20" s="215">
        <v>13626.84</v>
      </c>
      <c r="C20" s="216">
        <v>6788.86</v>
      </c>
      <c r="D20" s="215">
        <v>56195.72</v>
      </c>
      <c r="E20" s="216">
        <v>76611.45</v>
      </c>
      <c r="F20" s="217">
        <v>1.1776453537743153E-2</v>
      </c>
      <c r="H20" s="306"/>
    </row>
    <row r="21" spans="1:8" ht="20" customHeight="1" thickBot="1">
      <c r="A21" s="103" t="s">
        <v>376</v>
      </c>
      <c r="B21" s="215">
        <v>10444.290000000001</v>
      </c>
      <c r="C21" s="216">
        <v>4978.22</v>
      </c>
      <c r="D21" s="215">
        <v>38452.559999999998</v>
      </c>
      <c r="E21" s="216">
        <v>53875.05</v>
      </c>
      <c r="F21" s="217">
        <v>4.0504896686795579E-3</v>
      </c>
      <c r="H21" s="306"/>
    </row>
    <row r="22" spans="1:8" ht="20" customHeight="1" thickBot="1">
      <c r="A22" s="103" t="s">
        <v>377</v>
      </c>
      <c r="B22" s="215">
        <v>3399.75</v>
      </c>
      <c r="C22" s="216">
        <v>1622.48</v>
      </c>
      <c r="D22" s="215">
        <v>10743.89</v>
      </c>
      <c r="E22" s="216">
        <v>15766.09</v>
      </c>
      <c r="F22" s="217">
        <v>1.6550148538376822E-3</v>
      </c>
      <c r="H22" s="306"/>
    </row>
    <row r="23" spans="1:8" ht="20" customHeight="1" thickBot="1">
      <c r="A23" s="103" t="s">
        <v>378</v>
      </c>
      <c r="B23" s="215">
        <v>95900.37</v>
      </c>
      <c r="C23" s="216">
        <v>46686.3</v>
      </c>
      <c r="D23" s="215">
        <v>339105.13</v>
      </c>
      <c r="E23" s="216">
        <v>481691.8</v>
      </c>
      <c r="F23" s="217">
        <v>7.9244254314479526E-3</v>
      </c>
      <c r="H23" s="306"/>
    </row>
    <row r="24" spans="1:8" ht="20" customHeight="1" thickBot="1">
      <c r="A24" s="103" t="s">
        <v>379</v>
      </c>
      <c r="B24" s="215">
        <v>33968.480000000003</v>
      </c>
      <c r="C24" s="216">
        <v>18502.52</v>
      </c>
      <c r="D24" s="215">
        <v>144848.95999999999</v>
      </c>
      <c r="E24" s="216">
        <v>197319.97</v>
      </c>
      <c r="F24" s="217">
        <v>3.4918286500317912E-3</v>
      </c>
      <c r="H24" s="306"/>
    </row>
    <row r="25" spans="1:8" ht="20" customHeight="1" thickBot="1">
      <c r="A25" s="103" t="s">
        <v>380</v>
      </c>
      <c r="B25" s="215">
        <v>119206.79</v>
      </c>
      <c r="C25" s="216">
        <v>53887.12</v>
      </c>
      <c r="D25" s="215">
        <v>444127.14</v>
      </c>
      <c r="E25" s="216">
        <v>617221.05000000005</v>
      </c>
      <c r="F25" s="217">
        <v>1.4330012353960564E-2</v>
      </c>
      <c r="H25" s="306"/>
    </row>
    <row r="26" spans="1:8" ht="20" customHeight="1" thickBot="1">
      <c r="A26" s="103" t="s">
        <v>381</v>
      </c>
      <c r="B26" s="215">
        <v>49961.84</v>
      </c>
      <c r="C26" s="216">
        <v>23917.73</v>
      </c>
      <c r="D26" s="215">
        <v>176597.97</v>
      </c>
      <c r="E26" s="216">
        <v>250477.54</v>
      </c>
      <c r="F26" s="217">
        <v>1.461102016599714E-2</v>
      </c>
      <c r="H26" s="306"/>
    </row>
    <row r="27" spans="1:8" ht="20" customHeight="1" thickBot="1">
      <c r="A27" s="103" t="s">
        <v>382</v>
      </c>
      <c r="B27" s="215">
        <v>58944.97</v>
      </c>
      <c r="C27" s="216">
        <v>23927.72</v>
      </c>
      <c r="D27" s="215">
        <v>250909.53</v>
      </c>
      <c r="E27" s="216">
        <v>333782.28000000003</v>
      </c>
      <c r="F27" s="217">
        <v>9.1894327358885593E-3</v>
      </c>
      <c r="H27" s="306"/>
    </row>
    <row r="28" spans="1:8" ht="20" customHeight="1" thickBot="1">
      <c r="A28" s="103" t="s">
        <v>383</v>
      </c>
      <c r="B28" s="215">
        <v>147872.54999999999</v>
      </c>
      <c r="C28" s="216">
        <v>59525.96</v>
      </c>
      <c r="D28" s="215">
        <v>497595.09</v>
      </c>
      <c r="E28" s="216">
        <v>704993.57</v>
      </c>
      <c r="F28" s="217">
        <v>1.5814268727081325E-2</v>
      </c>
      <c r="H28" s="306"/>
    </row>
    <row r="29" spans="1:8" ht="20" customHeight="1" thickBot="1">
      <c r="A29" s="103" t="s">
        <v>384</v>
      </c>
      <c r="B29" s="215">
        <v>60946.13</v>
      </c>
      <c r="C29" s="216">
        <v>28897.69</v>
      </c>
      <c r="D29" s="215">
        <v>228887</v>
      </c>
      <c r="E29" s="216">
        <v>318730.82</v>
      </c>
      <c r="F29" s="217">
        <v>1.4220981614336617E-2</v>
      </c>
      <c r="H29" s="306"/>
    </row>
    <row r="30" spans="1:8" ht="20" customHeight="1" thickBot="1">
      <c r="A30" s="103" t="s">
        <v>385</v>
      </c>
      <c r="B30" s="215">
        <v>35307.160000000003</v>
      </c>
      <c r="C30" s="216">
        <v>15010.74</v>
      </c>
      <c r="D30" s="215">
        <v>122902.41</v>
      </c>
      <c r="E30" s="216">
        <v>173220.32</v>
      </c>
      <c r="F30" s="217">
        <v>2.9651165416446643E-3</v>
      </c>
      <c r="H30" s="306"/>
    </row>
    <row r="31" spans="1:8" ht="20" customHeight="1" thickBot="1">
      <c r="A31" s="103" t="s">
        <v>386</v>
      </c>
      <c r="B31" s="215">
        <v>87817.66</v>
      </c>
      <c r="C31" s="216">
        <v>33947.89</v>
      </c>
      <c r="D31" s="215">
        <v>300916.69</v>
      </c>
      <c r="E31" s="216">
        <v>422682.24</v>
      </c>
      <c r="F31" s="217">
        <v>1.0120557110988269E-2</v>
      </c>
      <c r="H31" s="306"/>
    </row>
    <row r="32" spans="1:8" ht="20" customHeight="1" thickBot="1">
      <c r="A32" s="145" t="s">
        <v>387</v>
      </c>
      <c r="B32" s="215">
        <v>14832.34</v>
      </c>
      <c r="C32" s="216">
        <v>6390.64</v>
      </c>
      <c r="D32" s="215">
        <v>49644.39</v>
      </c>
      <c r="E32" s="216">
        <v>70867.38</v>
      </c>
      <c r="F32" s="217">
        <v>4.4871207006695881E-3</v>
      </c>
      <c r="H32" s="306"/>
    </row>
    <row r="33" spans="1:8" ht="20" customHeight="1" thickBot="1">
      <c r="A33" s="222" t="s">
        <v>389</v>
      </c>
      <c r="B33" s="215">
        <v>356.13</v>
      </c>
      <c r="C33" s="216">
        <v>380.35</v>
      </c>
      <c r="D33" s="215">
        <v>3293.57</v>
      </c>
      <c r="E33" s="216">
        <v>4030.04</v>
      </c>
      <c r="F33" s="217">
        <v>6.4613189977413554E-2</v>
      </c>
      <c r="H33" s="306"/>
    </row>
    <row r="34" spans="1:8" ht="20" hidden="1" customHeight="1" thickBot="1">
      <c r="A34" s="145" t="s">
        <v>309</v>
      </c>
      <c r="B34" s="215">
        <v>0</v>
      </c>
      <c r="C34" s="216">
        <v>0</v>
      </c>
      <c r="D34" s="215">
        <v>0</v>
      </c>
      <c r="E34" s="216" t="s">
        <v>721</v>
      </c>
      <c r="F34" s="217" t="s">
        <v>30</v>
      </c>
      <c r="H34" s="306"/>
    </row>
    <row r="35" spans="1:8" ht="30" customHeight="1" thickBot="1">
      <c r="A35" s="107" t="s">
        <v>444</v>
      </c>
      <c r="B35" s="307">
        <v>1503946.48</v>
      </c>
      <c r="C35" s="308">
        <v>665002.14</v>
      </c>
      <c r="D35" s="307">
        <v>5693821.8399999999</v>
      </c>
      <c r="E35" s="308">
        <v>7862770.4400000004</v>
      </c>
      <c r="F35" s="309">
        <v>1.0682836141205541E-2</v>
      </c>
      <c r="H35" s="306"/>
    </row>
    <row r="36" spans="1:8" ht="20" customHeight="1">
      <c r="A36" s="112" t="s">
        <v>720</v>
      </c>
      <c r="B36" s="112"/>
      <c r="C36" s="112"/>
      <c r="D36" s="112"/>
      <c r="E36" s="112"/>
      <c r="F36" s="112"/>
      <c r="H36" s="305"/>
    </row>
    <row r="37" spans="1:8">
      <c r="F37" s="227"/>
    </row>
    <row r="38" spans="1:8">
      <c r="A38" s="115" t="s">
        <v>463</v>
      </c>
      <c r="F38" s="227"/>
    </row>
    <row r="39" spans="1:8" ht="11.25" customHeight="1">
      <c r="A39" s="115"/>
      <c r="B39" s="115"/>
      <c r="C39" s="115"/>
      <c r="D39" s="115"/>
      <c r="E39" s="115"/>
      <c r="F39" s="115"/>
      <c r="H39" s="305"/>
    </row>
    <row r="40" spans="1:8" ht="14.25" customHeight="1">
      <c r="A40" s="115" t="s">
        <v>464</v>
      </c>
      <c r="B40" s="115"/>
      <c r="C40" s="115"/>
      <c r="D40" s="115"/>
      <c r="E40" s="115"/>
      <c r="F40" s="115"/>
      <c r="H40" s="305"/>
    </row>
    <row r="41" spans="1:8" ht="12" customHeight="1">
      <c r="A41" s="310"/>
    </row>
    <row r="42" spans="1:8" ht="12" customHeight="1"/>
    <row r="43" spans="1:8" ht="12" customHeight="1">
      <c r="A43" s="115" t="s">
        <v>719</v>
      </c>
    </row>
  </sheetData>
  <mergeCells count="1">
    <mergeCell ref="A2:E2"/>
  </mergeCells>
  <pageMargins left="0.5" right="0.36" top="0.87" bottom="0.49" header="0.51" footer="0.4921259845"/>
  <pageSetup paperSize="9" scale="67" orientation="portrait"/>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BC42-D0EF-D846-84A4-8E7E6CCF25AC}">
  <dimension ref="A1:K48"/>
  <sheetViews>
    <sheetView zoomScaleNormal="100" workbookViewId="0">
      <selection activeCell="A37" sqref="A37"/>
    </sheetView>
  </sheetViews>
  <sheetFormatPr baseColWidth="10" defaultColWidth="11.3984375" defaultRowHeight="13"/>
  <cols>
    <col min="1" max="1" width="18.59765625" style="3" customWidth="1"/>
    <col min="2" max="2" width="14.796875" style="118" customWidth="1"/>
    <col min="3" max="3" width="14.796875" style="119" customWidth="1"/>
    <col min="4" max="4" width="16" style="118" customWidth="1"/>
    <col min="5" max="5" width="15.796875" style="119" customWidth="1"/>
    <col min="6" max="6" width="16" style="118" customWidth="1"/>
    <col min="7" max="7" width="14.796875" style="119" customWidth="1"/>
    <col min="8" max="8" width="7.3984375" style="3" customWidth="1"/>
    <col min="9" max="9" width="8" style="3" customWidth="1"/>
    <col min="10" max="10" width="7.796875" style="3" customWidth="1"/>
    <col min="11" max="11" width="9" style="3" customWidth="1"/>
    <col min="12" max="16384" width="11.3984375" style="3"/>
  </cols>
  <sheetData>
    <row r="1" spans="1:11" s="2" customFormat="1" ht="18.75" customHeight="1">
      <c r="A1" s="86"/>
      <c r="B1" s="87"/>
      <c r="C1" s="88"/>
      <c r="D1" s="89"/>
      <c r="E1" s="88"/>
      <c r="F1" s="89"/>
      <c r="G1" s="88"/>
    </row>
    <row r="2" spans="1:11" s="2" customFormat="1" ht="27" customHeight="1">
      <c r="A2" s="1872" t="s">
        <v>274</v>
      </c>
      <c r="B2" s="1847"/>
      <c r="C2" s="1847"/>
      <c r="D2" s="1847"/>
      <c r="E2" s="1847"/>
      <c r="F2" s="1847"/>
      <c r="G2" s="91">
        <v>2011</v>
      </c>
    </row>
    <row r="3" spans="1:11" ht="27" customHeight="1">
      <c r="A3" s="92" t="s">
        <v>275</v>
      </c>
      <c r="B3" s="93" t="s">
        <v>276</v>
      </c>
      <c r="C3" s="94"/>
      <c r="D3" s="93" t="s">
        <v>277</v>
      </c>
      <c r="E3" s="94"/>
      <c r="F3" s="93" t="s">
        <v>278</v>
      </c>
      <c r="G3" s="94" t="s">
        <v>279</v>
      </c>
    </row>
    <row r="4" spans="1:11" ht="15" customHeight="1">
      <c r="A4" s="95"/>
      <c r="B4" s="96" t="s">
        <v>280</v>
      </c>
      <c r="C4" s="95" t="s">
        <v>281</v>
      </c>
      <c r="D4" s="96" t="s">
        <v>280</v>
      </c>
      <c r="E4" s="95" t="s">
        <v>281</v>
      </c>
      <c r="F4" s="96"/>
      <c r="G4" s="95" t="s">
        <v>282</v>
      </c>
    </row>
    <row r="5" spans="1:11" ht="15" customHeight="1">
      <c r="A5" s="95"/>
      <c r="B5" s="96"/>
      <c r="C5" s="95"/>
      <c r="D5" s="96"/>
      <c r="E5" s="95"/>
      <c r="F5" s="96"/>
      <c r="G5" s="95" t="s">
        <v>283</v>
      </c>
    </row>
    <row r="6" spans="1:11" ht="19.5" customHeight="1">
      <c r="A6" s="97"/>
      <c r="B6" s="98"/>
      <c r="C6" s="97"/>
      <c r="D6" s="98"/>
      <c r="E6" s="97"/>
      <c r="F6" s="98"/>
      <c r="G6" s="97"/>
    </row>
    <row r="7" spans="1:11" ht="30" customHeight="1" thickBot="1">
      <c r="A7" s="99" t="s">
        <v>284</v>
      </c>
      <c r="B7" s="100">
        <v>225325.23</v>
      </c>
      <c r="C7" s="101">
        <v>5.8141808982699439E-2</v>
      </c>
      <c r="D7" s="100">
        <v>214165.54</v>
      </c>
      <c r="E7" s="101">
        <v>5.3711541956408211E-2</v>
      </c>
      <c r="F7" s="100">
        <v>439490.76</v>
      </c>
      <c r="G7" s="101">
        <v>1.8044081471090226E-2</v>
      </c>
      <c r="I7" s="102"/>
      <c r="J7" s="102"/>
      <c r="K7" s="102"/>
    </row>
    <row r="8" spans="1:11" ht="20" customHeight="1" thickBot="1">
      <c r="A8" s="103" t="s">
        <v>285</v>
      </c>
      <c r="B8" s="100">
        <v>197161.61</v>
      </c>
      <c r="C8" s="101">
        <v>5.087460763866293E-2</v>
      </c>
      <c r="D8" s="100">
        <v>187116.36</v>
      </c>
      <c r="E8" s="101">
        <v>4.6927756075372265E-2</v>
      </c>
      <c r="F8" s="100">
        <v>384277.96</v>
      </c>
      <c r="G8" s="101">
        <v>-4.9759493580094532E-3</v>
      </c>
      <c r="I8" s="102"/>
      <c r="J8" s="102"/>
      <c r="K8" s="102"/>
    </row>
    <row r="9" spans="1:11" ht="20" customHeight="1" thickBot="1">
      <c r="A9" s="103" t="s">
        <v>286</v>
      </c>
      <c r="B9" s="100">
        <v>214152.7</v>
      </c>
      <c r="C9" s="101">
        <v>5.5258904546682759E-2</v>
      </c>
      <c r="D9" s="100">
        <v>203363.83</v>
      </c>
      <c r="E9" s="101">
        <v>5.1002532375007043E-2</v>
      </c>
      <c r="F9" s="100">
        <v>417516.54</v>
      </c>
      <c r="G9" s="101">
        <v>-4.102244473791726E-3</v>
      </c>
      <c r="I9" s="102"/>
      <c r="J9" s="102"/>
      <c r="K9" s="102"/>
    </row>
    <row r="10" spans="1:11" ht="20" customHeight="1" thickBot="1">
      <c r="A10" s="103" t="s">
        <v>287</v>
      </c>
      <c r="B10" s="100">
        <v>134982.39000000001</v>
      </c>
      <c r="C10" s="101">
        <v>3.4830188946920144E-2</v>
      </c>
      <c r="D10" s="100">
        <v>127678.89</v>
      </c>
      <c r="E10" s="101">
        <v>3.2021164829704296E-2</v>
      </c>
      <c r="F10" s="100">
        <v>262661.27</v>
      </c>
      <c r="G10" s="101">
        <v>-1.8127140967604254E-2</v>
      </c>
      <c r="I10" s="102"/>
      <c r="J10" s="102"/>
      <c r="K10" s="102"/>
    </row>
    <row r="11" spans="1:11" ht="20" customHeight="1" thickBot="1">
      <c r="A11" s="104" t="s">
        <v>288</v>
      </c>
      <c r="B11" s="105">
        <v>771621.95</v>
      </c>
      <c r="C11" s="106">
        <v>0.19910551527566644</v>
      </c>
      <c r="D11" s="105">
        <v>732324.59</v>
      </c>
      <c r="E11" s="106">
        <v>0.18366298771265646</v>
      </c>
      <c r="F11" s="105">
        <v>1503946.51</v>
      </c>
      <c r="G11" s="106">
        <v>-4.6592306307206963E-4</v>
      </c>
      <c r="I11" s="102"/>
      <c r="J11" s="102"/>
      <c r="K11" s="102"/>
    </row>
    <row r="12" spans="1:11" ht="20" customHeight="1" thickBot="1">
      <c r="A12" s="103" t="s">
        <v>289</v>
      </c>
      <c r="B12" s="100">
        <v>94133.04</v>
      </c>
      <c r="C12" s="101">
        <v>2.4289624515820112E-2</v>
      </c>
      <c r="D12" s="100">
        <v>90973.33</v>
      </c>
      <c r="E12" s="101">
        <v>2.2815611844973611E-2</v>
      </c>
      <c r="F12" s="100">
        <v>185106.38</v>
      </c>
      <c r="G12" s="101">
        <v>4.9130465302137469E-3</v>
      </c>
      <c r="I12" s="102"/>
      <c r="J12" s="102"/>
      <c r="K12" s="102"/>
    </row>
    <row r="13" spans="1:11" ht="20" customHeight="1" thickBot="1">
      <c r="A13" s="103" t="s">
        <v>290</v>
      </c>
      <c r="B13" s="100">
        <v>243216.84</v>
      </c>
      <c r="C13" s="101">
        <v>6.2758471621911893E-2</v>
      </c>
      <c r="D13" s="100">
        <v>236678.69</v>
      </c>
      <c r="E13" s="101">
        <v>5.9357716410038383E-2</v>
      </c>
      <c r="F13" s="100">
        <v>479895.56</v>
      </c>
      <c r="G13" s="101">
        <v>1.6397853527475355E-2</v>
      </c>
      <c r="I13" s="102"/>
      <c r="J13" s="102"/>
      <c r="K13" s="102"/>
    </row>
    <row r="14" spans="1:11" ht="20" customHeight="1" thickBot="1">
      <c r="A14" s="104" t="s">
        <v>291</v>
      </c>
      <c r="B14" s="105">
        <v>337349.91</v>
      </c>
      <c r="C14" s="106">
        <v>8.704810387878377E-2</v>
      </c>
      <c r="D14" s="105">
        <v>327652</v>
      </c>
      <c r="E14" s="106">
        <v>8.2173323239121771E-2</v>
      </c>
      <c r="F14" s="105">
        <v>665001.9</v>
      </c>
      <c r="G14" s="106">
        <v>1.3174645549099919E-2</v>
      </c>
      <c r="I14" s="102"/>
      <c r="J14" s="102"/>
      <c r="K14" s="102"/>
    </row>
    <row r="15" spans="1:11" ht="20" customHeight="1" thickBot="1">
      <c r="A15" s="103" t="s">
        <v>292</v>
      </c>
      <c r="B15" s="100">
        <v>265485.88</v>
      </c>
      <c r="C15" s="101">
        <v>6.8504664668771739E-2</v>
      </c>
      <c r="D15" s="100">
        <v>259162.5</v>
      </c>
      <c r="E15" s="101">
        <v>6.4996532552704989E-2</v>
      </c>
      <c r="F15" s="100">
        <v>524648.35</v>
      </c>
      <c r="G15" s="101">
        <v>1.0670257278370629E-2</v>
      </c>
      <c r="I15" s="102"/>
      <c r="J15" s="102"/>
      <c r="K15" s="102"/>
    </row>
    <row r="16" spans="1:11" ht="20" customHeight="1" thickBot="1">
      <c r="A16" s="103" t="s">
        <v>293</v>
      </c>
      <c r="B16" s="100">
        <v>270377.83</v>
      </c>
      <c r="C16" s="101">
        <v>6.9766959274896928E-2</v>
      </c>
      <c r="D16" s="100">
        <v>267074.57</v>
      </c>
      <c r="E16" s="101">
        <v>6.6980836282273429E-2</v>
      </c>
      <c r="F16" s="100">
        <v>537452.4</v>
      </c>
      <c r="G16" s="101">
        <v>2.365556598157794E-2</v>
      </c>
      <c r="I16" s="102"/>
      <c r="J16" s="102"/>
      <c r="K16" s="102"/>
    </row>
    <row r="17" spans="1:11" ht="20" customHeight="1" thickBot="1">
      <c r="A17" s="103" t="s">
        <v>294</v>
      </c>
      <c r="B17" s="100">
        <v>280965.09000000003</v>
      </c>
      <c r="C17" s="101">
        <v>7.2498843532022392E-2</v>
      </c>
      <c r="D17" s="100">
        <v>278570.01</v>
      </c>
      <c r="E17" s="101">
        <v>6.9863829540046704E-2</v>
      </c>
      <c r="F17" s="100">
        <v>559535.13</v>
      </c>
      <c r="G17" s="101">
        <v>-1.358188662911964E-2</v>
      </c>
      <c r="I17" s="102"/>
      <c r="J17" s="102"/>
      <c r="K17" s="102"/>
    </row>
    <row r="18" spans="1:11" ht="20" customHeight="1" thickBot="1">
      <c r="A18" s="103" t="s">
        <v>295</v>
      </c>
      <c r="B18" s="100">
        <v>317863.74</v>
      </c>
      <c r="C18" s="101">
        <v>8.2019988856136691E-2</v>
      </c>
      <c r="D18" s="100">
        <v>314802.01</v>
      </c>
      <c r="E18" s="101">
        <v>7.8950616275973426E-2</v>
      </c>
      <c r="F18" s="100">
        <v>632665.74</v>
      </c>
      <c r="G18" s="101">
        <v>-1.2620245589796688E-2</v>
      </c>
      <c r="I18" s="102"/>
      <c r="J18" s="102"/>
      <c r="K18" s="102"/>
    </row>
    <row r="19" spans="1:11" ht="20" customHeight="1" thickBot="1">
      <c r="A19" s="103" t="s">
        <v>296</v>
      </c>
      <c r="B19" s="100">
        <v>328318.88</v>
      </c>
      <c r="C19" s="101">
        <v>8.4717781521287339E-2</v>
      </c>
      <c r="D19" s="100">
        <v>319672.46000000002</v>
      </c>
      <c r="E19" s="101">
        <v>8.0172098403871253E-2</v>
      </c>
      <c r="F19" s="100">
        <v>647991.32999999996</v>
      </c>
      <c r="G19" s="101">
        <v>2.4219495577162131E-2</v>
      </c>
      <c r="I19" s="102"/>
      <c r="J19" s="102"/>
      <c r="K19" s="102"/>
    </row>
    <row r="20" spans="1:11" ht="20" customHeight="1" thickBot="1">
      <c r="A20" s="103" t="s">
        <v>297</v>
      </c>
      <c r="B20" s="100">
        <v>284592.86</v>
      </c>
      <c r="C20" s="101">
        <v>7.3434935377454727E-2</v>
      </c>
      <c r="D20" s="100">
        <v>277615.8</v>
      </c>
      <c r="E20" s="101">
        <v>6.9624518909353159E-2</v>
      </c>
      <c r="F20" s="100">
        <v>562208.57999999996</v>
      </c>
      <c r="G20" s="101">
        <v>3.086132026236298E-2</v>
      </c>
      <c r="I20" s="102"/>
      <c r="J20" s="102"/>
      <c r="K20" s="102"/>
    </row>
    <row r="21" spans="1:11" ht="20" customHeight="1" thickBot="1">
      <c r="A21" s="103" t="s">
        <v>298</v>
      </c>
      <c r="B21" s="100">
        <v>240843.43</v>
      </c>
      <c r="C21" s="101">
        <v>6.2146048632894517E-2</v>
      </c>
      <c r="D21" s="100">
        <v>241014.58</v>
      </c>
      <c r="E21" s="101">
        <v>6.0445133823938728E-2</v>
      </c>
      <c r="F21" s="100">
        <v>481858.01</v>
      </c>
      <c r="G21" s="101">
        <v>1.2658685139249507E-2</v>
      </c>
      <c r="I21" s="102"/>
      <c r="J21" s="102"/>
      <c r="K21" s="102"/>
    </row>
    <row r="22" spans="1:11" ht="20" customHeight="1" thickBot="1">
      <c r="A22" s="103" t="s">
        <v>299</v>
      </c>
      <c r="B22" s="100">
        <v>223392.02</v>
      </c>
      <c r="C22" s="101">
        <v>5.7642973026586379E-2</v>
      </c>
      <c r="D22" s="100">
        <v>230287.01</v>
      </c>
      <c r="E22" s="101">
        <v>5.7754718147610476E-2</v>
      </c>
      <c r="F22" s="100">
        <v>453679</v>
      </c>
      <c r="G22" s="101">
        <v>7.5497775836961319E-3</v>
      </c>
      <c r="I22" s="102"/>
      <c r="J22" s="102"/>
      <c r="K22" s="102"/>
    </row>
    <row r="23" spans="1:11" ht="20" customHeight="1" thickBot="1">
      <c r="A23" s="103" t="s">
        <v>300</v>
      </c>
      <c r="B23" s="100">
        <v>188570.12</v>
      </c>
      <c r="C23" s="101">
        <v>4.8657702010931975E-2</v>
      </c>
      <c r="D23" s="100">
        <v>202887.81</v>
      </c>
      <c r="E23" s="101">
        <v>5.0883149171705104E-2</v>
      </c>
      <c r="F23" s="100">
        <v>391457.93</v>
      </c>
      <c r="G23" s="101">
        <v>4.1257984401050316E-2</v>
      </c>
      <c r="I23" s="102"/>
      <c r="J23" s="102"/>
      <c r="K23" s="102"/>
    </row>
    <row r="24" spans="1:11" ht="20" customHeight="1" thickBot="1">
      <c r="A24" s="103" t="s">
        <v>301</v>
      </c>
      <c r="B24" s="100">
        <v>136121.73000000001</v>
      </c>
      <c r="C24" s="101">
        <v>3.5124178610866558E-2</v>
      </c>
      <c r="D24" s="100">
        <v>161996.17000000001</v>
      </c>
      <c r="E24" s="101">
        <v>4.062775029882229E-2</v>
      </c>
      <c r="F24" s="100">
        <v>298117.87</v>
      </c>
      <c r="G24" s="101">
        <v>1.2551386195197113E-2</v>
      </c>
      <c r="I24" s="102"/>
      <c r="J24" s="102"/>
      <c r="K24" s="102"/>
    </row>
    <row r="25" spans="1:11" ht="20" customHeight="1" thickBot="1">
      <c r="A25" s="103" t="s">
        <v>302</v>
      </c>
      <c r="B25" s="100">
        <v>107506.69</v>
      </c>
      <c r="C25" s="101">
        <v>2.7740495080565475E-2</v>
      </c>
      <c r="D25" s="100">
        <v>143127.54</v>
      </c>
      <c r="E25" s="101">
        <v>3.5895601457767178E-2</v>
      </c>
      <c r="F25" s="100">
        <v>250634.18</v>
      </c>
      <c r="G25" s="101">
        <v>1.0738825136429051E-2</v>
      </c>
      <c r="I25" s="102"/>
      <c r="J25" s="102"/>
      <c r="K25" s="102"/>
    </row>
    <row r="26" spans="1:11" ht="20" customHeight="1" thickBot="1">
      <c r="A26" s="103" t="s">
        <v>303</v>
      </c>
      <c r="B26" s="100">
        <v>71547.520000000004</v>
      </c>
      <c r="C26" s="101">
        <v>1.8461768533536468E-2</v>
      </c>
      <c r="D26" s="100">
        <v>116422.87</v>
      </c>
      <c r="E26" s="101">
        <v>2.9198216793843018E-2</v>
      </c>
      <c r="F26" s="100">
        <v>187970.37</v>
      </c>
      <c r="G26" s="101">
        <v>2.0130344365086605E-2</v>
      </c>
      <c r="I26" s="102"/>
      <c r="J26" s="102"/>
      <c r="K26" s="102"/>
    </row>
    <row r="27" spans="1:11" ht="20" customHeight="1" thickBot="1">
      <c r="A27" s="103" t="s">
        <v>304</v>
      </c>
      <c r="B27" s="100">
        <v>37255.839999999997</v>
      </c>
      <c r="C27" s="101">
        <v>9.6133128667837721E-3</v>
      </c>
      <c r="D27" s="100">
        <v>76690.06</v>
      </c>
      <c r="E27" s="101">
        <v>1.9233446124570102E-2</v>
      </c>
      <c r="F27" s="100">
        <v>113945.92</v>
      </c>
      <c r="G27" s="101">
        <v>2.3932113790563436E-2</v>
      </c>
      <c r="I27" s="102"/>
      <c r="J27" s="102"/>
      <c r="K27" s="102"/>
    </row>
    <row r="28" spans="1:11" ht="20" customHeight="1" thickBot="1">
      <c r="A28" s="103" t="s">
        <v>305</v>
      </c>
      <c r="B28" s="100">
        <v>11330.3</v>
      </c>
      <c r="C28" s="101">
        <v>2.9236146272509271E-3</v>
      </c>
      <c r="D28" s="100">
        <v>29680</v>
      </c>
      <c r="E28" s="101">
        <v>7.4435810974361029E-3</v>
      </c>
      <c r="F28" s="100">
        <v>41010.29</v>
      </c>
      <c r="G28" s="101">
        <v>8.4868323418096844E-2</v>
      </c>
      <c r="I28" s="102"/>
      <c r="J28" s="102"/>
      <c r="K28" s="102"/>
    </row>
    <row r="29" spans="1:11" ht="20" customHeight="1" thickBot="1">
      <c r="A29" s="103" t="s">
        <v>306</v>
      </c>
      <c r="B29" s="100">
        <v>2128.44</v>
      </c>
      <c r="C29" s="101">
        <v>5.4921214065170067E-4</v>
      </c>
      <c r="D29" s="100">
        <v>7438.49</v>
      </c>
      <c r="E29" s="101">
        <v>1.8655324648742411E-3</v>
      </c>
      <c r="F29" s="100">
        <v>9566.86</v>
      </c>
      <c r="G29" s="101">
        <v>-8.4429206328147412E-3</v>
      </c>
      <c r="I29" s="102"/>
      <c r="J29" s="102"/>
      <c r="K29" s="102"/>
    </row>
    <row r="30" spans="1:11" ht="20" customHeight="1" thickBot="1">
      <c r="A30" s="103" t="s">
        <v>307</v>
      </c>
      <c r="B30" s="100">
        <v>170.35</v>
      </c>
      <c r="C30" s="101">
        <v>4.3956272274537779E-5</v>
      </c>
      <c r="D30" s="100">
        <v>909.74</v>
      </c>
      <c r="E30" s="101">
        <v>2.2815779877296229E-4</v>
      </c>
      <c r="F30" s="100">
        <v>1080.0899999999999</v>
      </c>
      <c r="G30" s="101">
        <v>5.084498409269992E-2</v>
      </c>
      <c r="I30" s="102"/>
      <c r="J30" s="102"/>
      <c r="K30" s="102"/>
    </row>
    <row r="31" spans="1:11" ht="20" customHeight="1" thickBot="1">
      <c r="A31" s="104" t="s">
        <v>308</v>
      </c>
      <c r="B31" s="105">
        <v>2766470.56</v>
      </c>
      <c r="C31" s="106">
        <v>0.71384639374730274</v>
      </c>
      <c r="D31" s="105">
        <v>2927351.52</v>
      </c>
      <c r="E31" s="106">
        <v>0.73416369406411197</v>
      </c>
      <c r="F31" s="105">
        <v>5693822.0800000001</v>
      </c>
      <c r="G31" s="106">
        <v>1.3377939397764224E-2</v>
      </c>
      <c r="I31" s="102"/>
      <c r="J31" s="102"/>
      <c r="K31" s="102"/>
    </row>
    <row r="32" spans="1:11" ht="0.5" customHeight="1" thickBot="1">
      <c r="A32" s="103" t="s">
        <v>309</v>
      </c>
      <c r="B32" s="100">
        <v>0</v>
      </c>
      <c r="C32" s="101">
        <v>0</v>
      </c>
      <c r="D32" s="100">
        <v>0</v>
      </c>
      <c r="E32" s="101">
        <v>0</v>
      </c>
      <c r="F32" s="100" t="s">
        <v>721</v>
      </c>
      <c r="G32" s="101" t="s">
        <v>30</v>
      </c>
      <c r="I32" s="102"/>
      <c r="J32" s="102"/>
      <c r="K32" s="102"/>
    </row>
    <row r="33" spans="1:11" s="110" customFormat="1" ht="21" customHeight="1" thickBot="1">
      <c r="A33" s="107" t="s">
        <v>278</v>
      </c>
      <c r="B33" s="108">
        <v>3875442.37</v>
      </c>
      <c r="C33" s="109">
        <v>1</v>
      </c>
      <c r="D33" s="108">
        <v>3987328.09</v>
      </c>
      <c r="E33" s="109">
        <v>1</v>
      </c>
      <c r="F33" s="108">
        <v>7862770.46</v>
      </c>
      <c r="G33" s="109">
        <v>1.0682863395571379E-2</v>
      </c>
      <c r="I33" s="111"/>
      <c r="J33" s="111"/>
      <c r="K33" s="111"/>
    </row>
    <row r="34" spans="1:11" ht="20" customHeight="1">
      <c r="A34" s="112" t="s">
        <v>720</v>
      </c>
      <c r="B34" s="113"/>
      <c r="C34" s="114"/>
      <c r="D34" s="113"/>
      <c r="E34" s="114"/>
      <c r="F34" s="113"/>
      <c r="G34" s="114"/>
    </row>
    <row r="35" spans="1:11" ht="12.75" customHeight="1">
      <c r="A35" s="115"/>
      <c r="B35" s="116"/>
      <c r="C35" s="117"/>
      <c r="D35" s="116"/>
      <c r="E35" s="117"/>
      <c r="F35" s="116"/>
      <c r="G35" s="117"/>
    </row>
    <row r="36" spans="1:11" ht="16.5" customHeight="1">
      <c r="A36" s="115" t="s">
        <v>310</v>
      </c>
      <c r="B36" s="116"/>
      <c r="C36" s="117"/>
      <c r="D36" s="116"/>
      <c r="E36" s="117"/>
      <c r="F36" s="116"/>
      <c r="G36" s="117"/>
    </row>
    <row r="37" spans="1:11" ht="12" customHeight="1">
      <c r="A37" s="115"/>
      <c r="B37" s="116"/>
      <c r="C37" s="117"/>
      <c r="D37" s="116"/>
      <c r="E37" s="117"/>
      <c r="F37" s="116"/>
      <c r="G37" s="117"/>
    </row>
    <row r="38" spans="1:11" ht="14.25" customHeight="1">
      <c r="A38" s="115"/>
      <c r="B38" s="116"/>
      <c r="C38" s="117"/>
      <c r="D38" s="116"/>
      <c r="E38" s="117"/>
      <c r="F38" s="116"/>
      <c r="G38" s="117"/>
    </row>
    <row r="39" spans="1:11" ht="15.75" customHeight="1">
      <c r="A39" s="115" t="s">
        <v>719</v>
      </c>
      <c r="B39" s="116"/>
      <c r="C39" s="117"/>
      <c r="D39" s="116"/>
      <c r="E39" s="117"/>
      <c r="F39" s="116"/>
      <c r="G39" s="117"/>
    </row>
    <row r="40" spans="1:11" ht="18" customHeight="1">
      <c r="A40"/>
    </row>
    <row r="41" spans="1:11" ht="30" customHeight="1"/>
    <row r="42" spans="1:11" ht="30" customHeight="1">
      <c r="I42" s="120"/>
    </row>
    <row r="43" spans="1:11" ht="30" customHeight="1"/>
    <row r="44" spans="1:11" ht="30" customHeight="1"/>
    <row r="45" spans="1:11" ht="30" customHeight="1"/>
    <row r="46" spans="1:11" ht="30" customHeight="1"/>
    <row r="47" spans="1:11" ht="30" customHeight="1"/>
    <row r="48" spans="1:11" ht="30" customHeight="1"/>
  </sheetData>
  <mergeCells count="1">
    <mergeCell ref="A2:F2"/>
  </mergeCells>
  <pageMargins left="0.65" right="0.54" top="0.85" bottom="0.49" header="0.44" footer="0.4921259845"/>
  <pageSetup paperSize="9" scale="80" orientation="portrait"/>
  <headerFooter alignWithMargins="0"/>
  <rowBreaks count="1" manualBreakCount="1">
    <brk id="39" max="16383"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73AA-2AFB-F84A-A3A0-70C6D31571C4}">
  <sheetPr>
    <pageSetUpPr fitToPage="1"/>
  </sheetPr>
  <dimension ref="A1:I51"/>
  <sheetViews>
    <sheetView topLeftCell="A20" zoomScaleNormal="100" workbookViewId="0">
      <selection activeCell="F5" sqref="F5"/>
    </sheetView>
  </sheetViews>
  <sheetFormatPr baseColWidth="10" defaultColWidth="11.3984375" defaultRowHeight="13"/>
  <cols>
    <col min="1" max="1" width="26.59765625" style="3" customWidth="1"/>
    <col min="2" max="2" width="20.19921875" style="3" customWidth="1"/>
    <col min="3" max="5" width="15.59765625" style="3" customWidth="1"/>
    <col min="6" max="6" width="14.796875" style="3" customWidth="1"/>
    <col min="7" max="7" width="16.3984375" style="3" customWidth="1"/>
    <col min="8" max="8" width="15.59765625" style="3" customWidth="1"/>
    <col min="9" max="9" width="14.59765625" style="3" customWidth="1"/>
    <col min="10" max="16384" width="11.3984375" style="3"/>
  </cols>
  <sheetData>
    <row r="1" spans="1:9" s="2" customFormat="1" ht="14" customHeight="1">
      <c r="A1" s="121"/>
      <c r="B1" s="121"/>
      <c r="C1" s="121"/>
      <c r="D1" s="121"/>
      <c r="E1" s="121"/>
      <c r="F1" s="121"/>
      <c r="G1" s="121"/>
    </row>
    <row r="2" spans="1:9" s="2" customFormat="1" ht="22.5" customHeight="1">
      <c r="A2" s="122" t="s">
        <v>311</v>
      </c>
      <c r="B2" s="122"/>
      <c r="C2" s="121"/>
      <c r="D2" s="121"/>
      <c r="E2" s="121"/>
      <c r="F2" s="121"/>
      <c r="G2" s="91"/>
      <c r="H2" s="91">
        <v>2011</v>
      </c>
      <c r="I2" s="91"/>
    </row>
    <row r="3" spans="1:9" s="2" customFormat="1" ht="10.5" customHeight="1">
      <c r="A3" s="123"/>
      <c r="B3" s="123"/>
      <c r="C3" s="124"/>
      <c r="D3" s="124"/>
      <c r="E3" s="124"/>
      <c r="F3" s="124"/>
      <c r="G3" s="125"/>
      <c r="H3" s="125"/>
      <c r="I3" s="126"/>
    </row>
    <row r="4" spans="1:9" s="2" customFormat="1" ht="81.75" customHeight="1">
      <c r="A4" s="127" t="s">
        <v>312</v>
      </c>
      <c r="B4" s="128"/>
      <c r="C4" s="129" t="s">
        <v>313</v>
      </c>
      <c r="D4" s="130" t="s">
        <v>314</v>
      </c>
      <c r="E4" s="129" t="s">
        <v>315</v>
      </c>
      <c r="F4" s="131" t="s">
        <v>316</v>
      </c>
      <c r="G4" s="132" t="s">
        <v>317</v>
      </c>
      <c r="H4" s="133" t="s">
        <v>318</v>
      </c>
    </row>
    <row r="5" spans="1:9" ht="8.25" customHeight="1">
      <c r="A5" s="134"/>
      <c r="B5" s="135"/>
      <c r="C5" s="136"/>
      <c r="D5" s="135"/>
      <c r="E5" s="136"/>
      <c r="F5" s="135"/>
      <c r="G5" s="137"/>
      <c r="H5" s="138"/>
    </row>
    <row r="6" spans="1:9" ht="48.75" customHeight="1" thickBot="1">
      <c r="A6" s="139" t="s">
        <v>319</v>
      </c>
      <c r="B6" s="140" t="s">
        <v>320</v>
      </c>
      <c r="C6" s="141">
        <v>605245.18000000005</v>
      </c>
      <c r="D6" s="142">
        <v>153418.23000000001</v>
      </c>
      <c r="E6" s="141">
        <v>1421620.9099999997</v>
      </c>
      <c r="F6" s="142">
        <v>2180284.3199999998</v>
      </c>
      <c r="G6" s="143">
        <v>1458158.3699999996</v>
      </c>
      <c r="H6" s="144">
        <v>1575039.1399999997</v>
      </c>
    </row>
    <row r="7" spans="1:9" ht="19.5" customHeight="1" thickBot="1">
      <c r="A7" s="145"/>
      <c r="B7" s="146"/>
      <c r="C7" s="147"/>
      <c r="D7" s="148"/>
      <c r="E7" s="147"/>
      <c r="F7" s="148"/>
      <c r="G7" s="149"/>
      <c r="H7" s="150"/>
    </row>
    <row r="8" spans="1:9" ht="21" customHeight="1" thickBot="1">
      <c r="A8" s="151" t="s">
        <v>321</v>
      </c>
      <c r="B8" s="152" t="s">
        <v>322</v>
      </c>
      <c r="C8" s="147">
        <v>2977.07</v>
      </c>
      <c r="D8" s="148">
        <v>16309.47</v>
      </c>
      <c r="E8" s="147">
        <v>615662.24000000011</v>
      </c>
      <c r="F8" s="148">
        <v>634948.76000000013</v>
      </c>
      <c r="G8" s="149">
        <v>364602.97</v>
      </c>
      <c r="H8" s="150">
        <v>631971.71000000008</v>
      </c>
    </row>
    <row r="9" spans="1:9" ht="20" customHeight="1" thickBot="1">
      <c r="A9" s="153" t="s">
        <v>323</v>
      </c>
      <c r="B9" s="152" t="s">
        <v>324</v>
      </c>
      <c r="C9" s="147">
        <v>18936.240000000002</v>
      </c>
      <c r="D9" s="148">
        <v>9319.7200000000012</v>
      </c>
      <c r="E9" s="147">
        <v>92553.140000000014</v>
      </c>
      <c r="F9" s="148">
        <v>120809.08999999998</v>
      </c>
      <c r="G9" s="149">
        <v>66725.77</v>
      </c>
      <c r="H9" s="150">
        <v>101872.86000000002</v>
      </c>
    </row>
    <row r="10" spans="1:9" ht="20" customHeight="1" thickBot="1">
      <c r="A10" s="153" t="s">
        <v>325</v>
      </c>
      <c r="B10" s="152" t="s">
        <v>326</v>
      </c>
      <c r="C10" s="147">
        <v>7619.02</v>
      </c>
      <c r="D10" s="148">
        <v>25654.1</v>
      </c>
      <c r="E10" s="147">
        <v>304520.13999999996</v>
      </c>
      <c r="F10" s="148">
        <v>337793.28000000003</v>
      </c>
      <c r="G10" s="149">
        <v>146877.81</v>
      </c>
      <c r="H10" s="150">
        <v>330174.23999999993</v>
      </c>
    </row>
    <row r="11" spans="1:9" ht="20" customHeight="1" thickBot="1">
      <c r="A11" s="153"/>
      <c r="B11" s="152" t="s">
        <v>327</v>
      </c>
      <c r="C11" s="147">
        <v>14424.28</v>
      </c>
      <c r="D11" s="148">
        <v>4527.72</v>
      </c>
      <c r="E11" s="147">
        <v>42204.92</v>
      </c>
      <c r="F11" s="148">
        <v>61156.939999999995</v>
      </c>
      <c r="G11" s="149">
        <v>32731.93</v>
      </c>
      <c r="H11" s="150">
        <v>46732.639999999999</v>
      </c>
    </row>
    <row r="12" spans="1:9" ht="20" customHeight="1" thickBot="1">
      <c r="A12" s="153"/>
      <c r="B12" s="152" t="s">
        <v>328</v>
      </c>
      <c r="C12" s="147">
        <v>10546.29</v>
      </c>
      <c r="D12" s="148">
        <v>34419.47</v>
      </c>
      <c r="E12" s="147">
        <v>330645.11999999988</v>
      </c>
      <c r="F12" s="148">
        <v>375610.93</v>
      </c>
      <c r="G12" s="149">
        <v>151678.36000000004</v>
      </c>
      <c r="H12" s="150">
        <v>365064.58999999985</v>
      </c>
    </row>
    <row r="13" spans="1:9" ht="20" customHeight="1" thickBot="1">
      <c r="A13" s="153"/>
      <c r="B13" s="152" t="s">
        <v>329</v>
      </c>
      <c r="C13" s="147">
        <v>11691.07</v>
      </c>
      <c r="D13" s="154" t="s">
        <v>30</v>
      </c>
      <c r="E13" s="155" t="s">
        <v>30</v>
      </c>
      <c r="F13" s="148">
        <v>11691.069999999998</v>
      </c>
      <c r="G13" s="149">
        <v>11217.249999999998</v>
      </c>
      <c r="H13" s="156" t="s">
        <v>30</v>
      </c>
    </row>
    <row r="14" spans="1:9" ht="20" customHeight="1" thickBot="1">
      <c r="A14" s="157"/>
      <c r="B14" s="152" t="s">
        <v>278</v>
      </c>
      <c r="C14" s="147">
        <v>66194.009999999995</v>
      </c>
      <c r="D14" s="148">
        <v>90230.51999999999</v>
      </c>
      <c r="E14" s="147">
        <v>1385585.5600000003</v>
      </c>
      <c r="F14" s="148">
        <v>1542010.0699999996</v>
      </c>
      <c r="G14" s="149">
        <v>773834.08000000019</v>
      </c>
      <c r="H14" s="150">
        <v>1475816.0800000003</v>
      </c>
    </row>
    <row r="15" spans="1:9" ht="18.75" customHeight="1" thickBot="1">
      <c r="A15" s="158"/>
      <c r="B15" s="159"/>
      <c r="C15" s="147"/>
      <c r="D15" s="148"/>
      <c r="E15" s="147"/>
      <c r="F15" s="148"/>
      <c r="G15" s="149"/>
      <c r="H15" s="150"/>
    </row>
    <row r="16" spans="1:9" ht="20" customHeight="1" thickBot="1">
      <c r="A16" s="158" t="s">
        <v>330</v>
      </c>
      <c r="B16" s="159"/>
      <c r="C16" s="147">
        <v>32.42</v>
      </c>
      <c r="D16" s="148">
        <v>149.5</v>
      </c>
      <c r="E16" s="147">
        <v>5081.42</v>
      </c>
      <c r="F16" s="148">
        <v>5263.34</v>
      </c>
      <c r="G16" s="149">
        <v>2799.1</v>
      </c>
      <c r="H16" s="150">
        <v>5230.92</v>
      </c>
    </row>
    <row r="17" spans="1:8" ht="20.25" customHeight="1" thickBot="1">
      <c r="A17" s="158"/>
      <c r="B17" s="159"/>
      <c r="C17" s="147"/>
      <c r="D17" s="148"/>
      <c r="E17" s="147"/>
      <c r="F17" s="148"/>
      <c r="G17" s="149"/>
      <c r="H17" s="150"/>
    </row>
    <row r="18" spans="1:8" ht="58.5" customHeight="1" thickBot="1">
      <c r="A18" s="151" t="s">
        <v>331</v>
      </c>
      <c r="B18" s="152" t="s">
        <v>320</v>
      </c>
      <c r="C18" s="147">
        <v>755178.78</v>
      </c>
      <c r="D18" s="148">
        <v>163809.45999999996</v>
      </c>
      <c r="E18" s="147">
        <v>1048190.3400000002</v>
      </c>
      <c r="F18" s="148">
        <v>1967178.57</v>
      </c>
      <c r="G18" s="149">
        <v>1290351.8400000001</v>
      </c>
      <c r="H18" s="150">
        <v>1211999.8000000003</v>
      </c>
    </row>
    <row r="19" spans="1:8" ht="20" customHeight="1" thickBot="1">
      <c r="A19" s="107"/>
      <c r="B19" s="152" t="s">
        <v>322</v>
      </c>
      <c r="C19" s="147">
        <v>3017.69</v>
      </c>
      <c r="D19" s="148">
        <v>40082.370000000003</v>
      </c>
      <c r="E19" s="147">
        <v>447473.9200000001</v>
      </c>
      <c r="F19" s="148">
        <v>490573.98000000004</v>
      </c>
      <c r="G19" s="149">
        <v>230084.96999999997</v>
      </c>
      <c r="H19" s="150">
        <v>487556.2900000001</v>
      </c>
    </row>
    <row r="20" spans="1:8" ht="20" customHeight="1" thickBot="1">
      <c r="A20" s="107"/>
      <c r="B20" s="152" t="s">
        <v>324</v>
      </c>
      <c r="C20" s="147">
        <v>13619</v>
      </c>
      <c r="D20" s="148">
        <v>39408.170000000013</v>
      </c>
      <c r="E20" s="147">
        <v>184340.72</v>
      </c>
      <c r="F20" s="148">
        <v>237367.88999999996</v>
      </c>
      <c r="G20" s="149">
        <v>97595.57</v>
      </c>
      <c r="H20" s="150">
        <v>223748.89</v>
      </c>
    </row>
    <row r="21" spans="1:8" ht="20" customHeight="1" thickBot="1">
      <c r="A21" s="107"/>
      <c r="B21" s="152" t="s">
        <v>326</v>
      </c>
      <c r="C21" s="147">
        <v>12784.61</v>
      </c>
      <c r="D21" s="148">
        <v>91672.93</v>
      </c>
      <c r="E21" s="147">
        <v>532256.58000000007</v>
      </c>
      <c r="F21" s="148">
        <v>636714.14000000013</v>
      </c>
      <c r="G21" s="149">
        <v>209093.93000000008</v>
      </c>
      <c r="H21" s="150">
        <v>623929.51</v>
      </c>
    </row>
    <row r="22" spans="1:8" ht="20" customHeight="1" thickBot="1">
      <c r="A22" s="107"/>
      <c r="B22" s="152" t="s">
        <v>327</v>
      </c>
      <c r="C22" s="147">
        <v>23527.8</v>
      </c>
      <c r="D22" s="148">
        <v>25884.230000000003</v>
      </c>
      <c r="E22" s="147">
        <v>173391.43</v>
      </c>
      <c r="F22" s="148">
        <v>222803.46999999997</v>
      </c>
      <c r="G22" s="149">
        <v>80454.009999999995</v>
      </c>
      <c r="H22" s="150">
        <v>199275.66</v>
      </c>
    </row>
    <row r="23" spans="1:8" ht="20" customHeight="1" thickBot="1">
      <c r="A23" s="107"/>
      <c r="B23" s="152" t="s">
        <v>328</v>
      </c>
      <c r="C23" s="147">
        <v>11976.67</v>
      </c>
      <c r="D23" s="148">
        <v>60346.84</v>
      </c>
      <c r="E23" s="147">
        <v>495881.12</v>
      </c>
      <c r="F23" s="148">
        <v>568204.62000000011</v>
      </c>
      <c r="G23" s="149">
        <v>189462.35000000003</v>
      </c>
      <c r="H23" s="150">
        <v>556227.96</v>
      </c>
    </row>
    <row r="24" spans="1:8" ht="20" customHeight="1" thickBot="1">
      <c r="A24" s="107"/>
      <c r="B24" s="152" t="s">
        <v>329</v>
      </c>
      <c r="C24" s="147">
        <v>12370.34</v>
      </c>
      <c r="D24" s="154" t="s">
        <v>30</v>
      </c>
      <c r="E24" s="155" t="s">
        <v>30</v>
      </c>
      <c r="F24" s="148">
        <v>12370.34</v>
      </c>
      <c r="G24" s="149">
        <v>11317.15</v>
      </c>
      <c r="H24" s="156" t="s">
        <v>30</v>
      </c>
    </row>
    <row r="25" spans="1:8" ht="20" customHeight="1" thickBot="1">
      <c r="A25" s="107"/>
      <c r="B25" s="152" t="s">
        <v>316</v>
      </c>
      <c r="C25" s="147">
        <v>832474.95</v>
      </c>
      <c r="D25" s="148">
        <v>421204.00999999995</v>
      </c>
      <c r="E25" s="147">
        <v>2881534.0800000005</v>
      </c>
      <c r="F25" s="148">
        <v>4135213.0099999993</v>
      </c>
      <c r="G25" s="149">
        <v>2108359.7800000007</v>
      </c>
      <c r="H25" s="150">
        <v>3302738.0900000003</v>
      </c>
    </row>
    <row r="26" spans="1:8" ht="39.75" customHeight="1" thickBot="1">
      <c r="A26" s="160"/>
      <c r="B26" s="161" t="s">
        <v>332</v>
      </c>
      <c r="C26" s="149">
        <v>84180.5</v>
      </c>
      <c r="D26" s="150">
        <v>46774.94</v>
      </c>
      <c r="E26" s="149">
        <v>303156.5</v>
      </c>
      <c r="F26" s="150">
        <v>434111.93</v>
      </c>
      <c r="G26" s="149">
        <v>240386.50999999995</v>
      </c>
      <c r="H26" s="150">
        <v>349931.44</v>
      </c>
    </row>
    <row r="27" spans="1:8" ht="45" customHeight="1" thickBot="1">
      <c r="A27" s="160"/>
      <c r="B27" s="162" t="s">
        <v>333</v>
      </c>
      <c r="C27" s="149">
        <v>498007.98</v>
      </c>
      <c r="D27" s="150">
        <v>227890.82000000004</v>
      </c>
      <c r="E27" s="149">
        <v>1707867.6600000006</v>
      </c>
      <c r="F27" s="150">
        <v>2433766.4600000009</v>
      </c>
      <c r="G27" s="149">
        <v>1439408.3199999998</v>
      </c>
      <c r="H27" s="150">
        <v>1935758.4800000007</v>
      </c>
    </row>
    <row r="28" spans="1:8" ht="45" customHeight="1" thickBot="1">
      <c r="A28" s="163"/>
      <c r="B28" s="162" t="s">
        <v>334</v>
      </c>
      <c r="C28" s="149">
        <v>77296.11</v>
      </c>
      <c r="D28" s="150">
        <v>257394.54</v>
      </c>
      <c r="E28" s="149">
        <v>1833343.77</v>
      </c>
      <c r="F28" s="150">
        <v>2168034.4400000004</v>
      </c>
      <c r="G28" s="149">
        <v>818007.9800000001</v>
      </c>
      <c r="H28" s="150">
        <v>2090738.31</v>
      </c>
    </row>
    <row r="29" spans="1:8" ht="15.75" customHeight="1" thickBot="1">
      <c r="A29" s="164"/>
      <c r="B29" s="165"/>
      <c r="C29" s="147"/>
      <c r="D29" s="148"/>
      <c r="E29" s="147"/>
      <c r="F29" s="148"/>
      <c r="G29" s="149"/>
      <c r="H29" s="150"/>
    </row>
    <row r="30" spans="1:8" ht="27.75" customHeight="1" thickBot="1">
      <c r="A30" s="166" t="s">
        <v>335</v>
      </c>
      <c r="B30" s="167"/>
      <c r="C30" s="168">
        <v>1503946.53</v>
      </c>
      <c r="D30" s="169">
        <v>665002.24000000011</v>
      </c>
      <c r="E30" s="168">
        <v>5693821.9699999988</v>
      </c>
      <c r="F30" s="169">
        <v>7862770.7100000018</v>
      </c>
      <c r="G30" s="170">
        <v>4343151.3199999994</v>
      </c>
      <c r="H30" s="171">
        <v>6358824.209999999</v>
      </c>
    </row>
    <row r="31" spans="1:8" ht="15.75" customHeight="1">
      <c r="A31" s="172" t="s">
        <v>720</v>
      </c>
      <c r="B31" s="172"/>
      <c r="C31" s="172"/>
      <c r="D31" s="172"/>
      <c r="E31" s="172"/>
      <c r="F31" s="172"/>
      <c r="G31" s="172"/>
    </row>
    <row r="32" spans="1:8" ht="13.5" customHeight="1">
      <c r="A32" s="173"/>
      <c r="B32" s="173"/>
      <c r="C32" s="172"/>
      <c r="D32" s="172"/>
      <c r="E32" s="172"/>
      <c r="F32" s="172"/>
      <c r="G32" s="172"/>
    </row>
    <row r="33" spans="1:7" ht="13.5" customHeight="1">
      <c r="A33" s="172" t="s">
        <v>336</v>
      </c>
      <c r="B33" s="172"/>
      <c r="C33" s="172"/>
      <c r="D33" s="172"/>
      <c r="E33" s="172"/>
      <c r="F33" s="172"/>
      <c r="G33" s="172"/>
    </row>
    <row r="34" spans="1:7" ht="16.5" customHeight="1">
      <c r="A34" s="172"/>
      <c r="B34" s="172"/>
      <c r="C34" s="172"/>
      <c r="D34" s="172"/>
      <c r="E34" s="172"/>
      <c r="F34" s="172"/>
      <c r="G34" s="172"/>
    </row>
    <row r="35" spans="1:7" ht="12" customHeight="1">
      <c r="A35" s="172" t="s">
        <v>337</v>
      </c>
      <c r="B35" s="172"/>
      <c r="C35" s="61"/>
      <c r="D35" s="61"/>
      <c r="E35" s="61"/>
      <c r="F35" s="61"/>
      <c r="G35" s="61"/>
    </row>
    <row r="36" spans="1:7" ht="12" customHeight="1">
      <c r="A36" s="115" t="s">
        <v>338</v>
      </c>
      <c r="B36" s="115"/>
    </row>
    <row r="37" spans="1:7" ht="12" customHeight="1">
      <c r="A37" s="115" t="s">
        <v>339</v>
      </c>
      <c r="B37" s="115"/>
    </row>
    <row r="38" spans="1:7" ht="12" customHeight="1">
      <c r="A38" s="115" t="s">
        <v>340</v>
      </c>
      <c r="B38" s="115"/>
    </row>
    <row r="39" spans="1:7" ht="12" customHeight="1">
      <c r="A39" s="115" t="s">
        <v>341</v>
      </c>
      <c r="B39" s="115"/>
    </row>
    <row r="40" spans="1:7" ht="12" customHeight="1">
      <c r="A40" s="115" t="s">
        <v>342</v>
      </c>
      <c r="B40" s="115"/>
    </row>
    <row r="41" spans="1:7" ht="12" customHeight="1">
      <c r="A41" s="3" t="s">
        <v>343</v>
      </c>
    </row>
    <row r="42" spans="1:7" ht="12" customHeight="1"/>
    <row r="43" spans="1:7" ht="12" customHeight="1"/>
    <row r="44" spans="1:7" ht="12" customHeight="1">
      <c r="A44" s="172" t="s">
        <v>719</v>
      </c>
      <c r="B44" s="172"/>
      <c r="C44" s="115"/>
      <c r="D44" s="115"/>
      <c r="E44" s="115"/>
      <c r="F44" s="115"/>
    </row>
    <row r="49" spans="1:9">
      <c r="A49" s="49"/>
      <c r="B49" s="49"/>
      <c r="C49" s="174"/>
      <c r="D49" s="175"/>
      <c r="E49" s="174"/>
      <c r="F49" s="175"/>
      <c r="G49" s="176"/>
      <c r="H49" s="175"/>
      <c r="I49" s="175"/>
    </row>
    <row r="50" spans="1:9">
      <c r="A50" s="177"/>
      <c r="B50" s="177"/>
      <c r="C50" s="177"/>
      <c r="D50" s="178"/>
      <c r="E50" s="177"/>
      <c r="F50" s="179"/>
      <c r="G50" s="4"/>
      <c r="H50" s="179"/>
      <c r="I50" s="4"/>
    </row>
    <row r="51" spans="1:9">
      <c r="A51" s="4"/>
      <c r="B51" s="4"/>
      <c r="C51" s="4"/>
      <c r="D51" s="4"/>
      <c r="E51" s="4"/>
      <c r="F51" s="4"/>
      <c r="G51" s="4"/>
      <c r="H51" s="4"/>
      <c r="I51" s="4"/>
    </row>
  </sheetData>
  <pageMargins left="0.55118110236220474" right="0.45" top="0.59055118110236227" bottom="0.47244094488188981" header="0.43307086614173229" footer="0.31496062992125984"/>
  <pageSetup paperSize="9" scale="65" orientation="portrait"/>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82E1-199D-5D41-BF15-32C81CDADAED}">
  <sheetPr>
    <pageSetUpPr fitToPage="1"/>
  </sheetPr>
  <dimension ref="A1:M29"/>
  <sheetViews>
    <sheetView topLeftCell="A2" zoomScaleNormal="100" workbookViewId="0">
      <selection activeCell="A3" sqref="A3"/>
    </sheetView>
  </sheetViews>
  <sheetFormatPr baseColWidth="10" defaultColWidth="11.3984375" defaultRowHeight="13"/>
  <cols>
    <col min="1" max="1" width="12.796875" style="3" customWidth="1"/>
    <col min="2" max="8" width="11.796875" style="3" customWidth="1"/>
    <col min="9" max="9" width="18.3984375" style="3" customWidth="1"/>
    <col min="10" max="16384" width="11.3984375" style="3"/>
  </cols>
  <sheetData>
    <row r="1" spans="1:13" s="2" customFormat="1" ht="14" customHeight="1"/>
    <row r="2" spans="1:13" s="2" customFormat="1" ht="24" customHeight="1">
      <c r="A2" s="180" t="s">
        <v>1246</v>
      </c>
      <c r="I2" s="207"/>
      <c r="K2" s="126"/>
    </row>
    <row r="3" spans="1:13" ht="24" customHeight="1">
      <c r="A3" s="806"/>
      <c r="B3" s="1873" t="s">
        <v>1247</v>
      </c>
      <c r="C3" s="1874"/>
      <c r="D3" s="1874"/>
      <c r="E3" s="1874"/>
      <c r="F3" s="1874"/>
      <c r="G3" s="1874"/>
      <c r="H3" s="182"/>
      <c r="I3" s="807"/>
      <c r="K3" s="808"/>
    </row>
    <row r="4" spans="1:13" ht="24" customHeight="1">
      <c r="A4" s="809" t="s">
        <v>469</v>
      </c>
      <c r="B4" s="810" t="s">
        <v>1248</v>
      </c>
      <c r="C4" s="811" t="s">
        <v>1249</v>
      </c>
      <c r="D4" s="185" t="s">
        <v>1250</v>
      </c>
      <c r="E4" s="811" t="s">
        <v>1251</v>
      </c>
      <c r="F4" s="185" t="s">
        <v>1252</v>
      </c>
      <c r="G4" s="811" t="s">
        <v>1253</v>
      </c>
      <c r="H4" s="185" t="s">
        <v>278</v>
      </c>
      <c r="I4" s="811" t="s">
        <v>278</v>
      </c>
      <c r="K4" s="808"/>
    </row>
    <row r="5" spans="1:13" ht="15" customHeight="1">
      <c r="A5" s="809"/>
      <c r="B5" s="810"/>
      <c r="C5" s="812">
        <v>10000</v>
      </c>
      <c r="D5" s="96">
        <v>50000</v>
      </c>
      <c r="E5" s="812">
        <v>100000</v>
      </c>
      <c r="F5" s="96">
        <v>500000</v>
      </c>
      <c r="G5" s="812">
        <v>500000</v>
      </c>
      <c r="H5" s="813" t="s">
        <v>1254</v>
      </c>
      <c r="I5" s="814" t="s">
        <v>1255</v>
      </c>
      <c r="K5" s="808"/>
    </row>
    <row r="6" spans="1:13" ht="15" customHeight="1">
      <c r="A6" s="809"/>
      <c r="B6" s="810"/>
      <c r="C6" s="811"/>
      <c r="D6" s="185"/>
      <c r="E6" s="811"/>
      <c r="F6" s="185"/>
      <c r="G6" s="811"/>
      <c r="H6" s="185"/>
      <c r="I6" s="814" t="s">
        <v>1256</v>
      </c>
      <c r="K6" s="4"/>
    </row>
    <row r="7" spans="1:13" ht="18" customHeight="1">
      <c r="A7" s="815"/>
      <c r="B7" s="816"/>
      <c r="C7" s="817"/>
      <c r="D7" s="189"/>
      <c r="E7" s="817"/>
      <c r="F7" s="189"/>
      <c r="G7" s="817"/>
      <c r="H7" s="189"/>
      <c r="I7" s="817"/>
      <c r="K7" s="818"/>
    </row>
    <row r="8" spans="1:13" ht="2.25" customHeight="1" thickBot="1">
      <c r="A8" s="819">
        <v>1996</v>
      </c>
      <c r="B8" s="820">
        <v>2.0177619127218216E-2</v>
      </c>
      <c r="C8" s="821">
        <v>1.2597566015413125E-2</v>
      </c>
      <c r="D8" s="247">
        <v>7.1120514742348845E-2</v>
      </c>
      <c r="E8" s="821">
        <v>5.3778502452829641E-2</v>
      </c>
      <c r="F8" s="247">
        <v>0.36511082288179453</v>
      </c>
      <c r="G8" s="821">
        <v>0.47721497478039565</v>
      </c>
      <c r="H8" s="247">
        <v>1</v>
      </c>
      <c r="I8" s="822">
        <v>7232667</v>
      </c>
    </row>
    <row r="9" spans="1:13" ht="19.5" hidden="1" customHeight="1" thickBot="1">
      <c r="A9" s="823">
        <v>1997</v>
      </c>
      <c r="B9" s="824">
        <v>1.7402128744798396E-2</v>
      </c>
      <c r="C9" s="825">
        <v>1.4513151507136559E-2</v>
      </c>
      <c r="D9" s="249">
        <v>8.0494622309686584E-2</v>
      </c>
      <c r="E9" s="825">
        <v>3.5460102030395756E-2</v>
      </c>
      <c r="F9" s="249">
        <v>0.34210501223593653</v>
      </c>
      <c r="G9" s="825">
        <v>0.51002498317204614</v>
      </c>
      <c r="H9" s="249">
        <v>1</v>
      </c>
      <c r="I9" s="826">
        <v>7236471</v>
      </c>
      <c r="K9" s="9"/>
      <c r="L9" s="9"/>
      <c r="M9" s="9"/>
    </row>
    <row r="10" spans="1:13" ht="0.75" hidden="1" customHeight="1" thickBot="1">
      <c r="A10" s="823">
        <v>1998</v>
      </c>
      <c r="B10" s="824">
        <v>1.490840183853178E-2</v>
      </c>
      <c r="C10" s="825">
        <v>1.032214600618327E-2</v>
      </c>
      <c r="D10" s="249">
        <v>7.6140816476353498E-2</v>
      </c>
      <c r="E10" s="825">
        <v>5.6174768706983583E-2</v>
      </c>
      <c r="F10" s="249">
        <v>0.34220161255156173</v>
      </c>
      <c r="G10" s="825">
        <v>0.50025225442038612</v>
      </c>
      <c r="H10" s="249">
        <v>1</v>
      </c>
      <c r="I10" s="826">
        <v>7246652</v>
      </c>
    </row>
    <row r="11" spans="1:13" ht="20" hidden="1" customHeight="1" thickBot="1">
      <c r="A11" s="823">
        <v>1999</v>
      </c>
      <c r="B11" s="824">
        <v>1.1856091803011722E-2</v>
      </c>
      <c r="C11" s="825">
        <v>1.2297050391416079E-2</v>
      </c>
      <c r="D11" s="249">
        <v>6.9524424924530884E-2</v>
      </c>
      <c r="E11" s="825">
        <v>7.5584785910891711E-2</v>
      </c>
      <c r="F11" s="249">
        <v>0.360776059607258</v>
      </c>
      <c r="G11" s="825">
        <v>0.46996158736289156</v>
      </c>
      <c r="H11" s="249">
        <v>1</v>
      </c>
      <c r="I11" s="826">
        <v>7270524</v>
      </c>
    </row>
    <row r="12" spans="1:13" ht="20" hidden="1" customHeight="1" thickBot="1">
      <c r="A12" s="823">
        <v>2000</v>
      </c>
      <c r="B12" s="824">
        <v>1.0957985099474708E-2</v>
      </c>
      <c r="C12" s="825">
        <v>1.2166775657859692E-2</v>
      </c>
      <c r="D12" s="249">
        <v>6.756095879031751E-2</v>
      </c>
      <c r="E12" s="825">
        <v>8.7049575140813365E-2</v>
      </c>
      <c r="F12" s="249">
        <v>0.3644487016237738</v>
      </c>
      <c r="G12" s="825">
        <v>0.45781600368776093</v>
      </c>
      <c r="H12" s="249">
        <v>1</v>
      </c>
      <c r="I12" s="826">
        <v>7265113</v>
      </c>
    </row>
    <row r="13" spans="1:13" ht="20" customHeight="1" thickBot="1">
      <c r="A13" s="823">
        <v>2001</v>
      </c>
      <c r="B13" s="824">
        <v>9.7170954862656738E-3</v>
      </c>
      <c r="C13" s="825">
        <v>8.4238568425089536E-3</v>
      </c>
      <c r="D13" s="249">
        <v>7.0587792166880103E-2</v>
      </c>
      <c r="E13" s="825">
        <v>8.5394018668547678E-2</v>
      </c>
      <c r="F13" s="249">
        <v>0.38803350203052983</v>
      </c>
      <c r="G13" s="825">
        <v>0.43784373480526773</v>
      </c>
      <c r="H13" s="249">
        <v>1</v>
      </c>
      <c r="I13" s="826">
        <v>7301050</v>
      </c>
    </row>
    <row r="14" spans="1:13" ht="20" customHeight="1" thickBot="1">
      <c r="A14" s="823">
        <v>2002</v>
      </c>
      <c r="B14" s="824">
        <v>7.1399045507496896E-3</v>
      </c>
      <c r="C14" s="825">
        <v>8.4501124357966827E-3</v>
      </c>
      <c r="D14" s="249">
        <v>8.2630643642516793E-2</v>
      </c>
      <c r="E14" s="825">
        <v>8.6587817285975782E-2</v>
      </c>
      <c r="F14" s="249">
        <v>0.46525750220977596</v>
      </c>
      <c r="G14" s="825">
        <v>0.34993401987518508</v>
      </c>
      <c r="H14" s="249">
        <v>1</v>
      </c>
      <c r="I14" s="826">
        <v>7344636</v>
      </c>
    </row>
    <row r="15" spans="1:13" ht="20" customHeight="1" thickBot="1">
      <c r="A15" s="823">
        <v>2003</v>
      </c>
      <c r="B15" s="824">
        <v>7.150880180844566E-3</v>
      </c>
      <c r="C15" s="825">
        <v>8.7914320736236836E-3</v>
      </c>
      <c r="D15" s="249">
        <v>9.1365786917605774E-2</v>
      </c>
      <c r="E15" s="825">
        <v>9.1794541322986076E-2</v>
      </c>
      <c r="F15" s="249">
        <v>0.39422862118090168</v>
      </c>
      <c r="G15" s="825">
        <v>0.40666873832403821</v>
      </c>
      <c r="H15" s="249">
        <v>1</v>
      </c>
      <c r="I15" s="826">
        <v>7372519</v>
      </c>
    </row>
    <row r="16" spans="1:13" ht="20" customHeight="1" thickBot="1">
      <c r="A16" s="823">
        <v>2004</v>
      </c>
      <c r="B16" s="824">
        <v>7.7472964436898599E-3</v>
      </c>
      <c r="C16" s="825">
        <v>9.9496072922614521E-3</v>
      </c>
      <c r="D16" s="249">
        <v>8.4360383162269723E-2</v>
      </c>
      <c r="E16" s="825">
        <v>8.7130573562410135E-2</v>
      </c>
      <c r="F16" s="249">
        <v>0.4055192258310571</v>
      </c>
      <c r="G16" s="825">
        <v>0.40529291370831172</v>
      </c>
      <c r="H16" s="249">
        <v>1</v>
      </c>
      <c r="I16" s="826">
        <v>7383608</v>
      </c>
    </row>
    <row r="17" spans="1:9" ht="20" customHeight="1" thickBot="1">
      <c r="A17" s="823">
        <v>2005</v>
      </c>
      <c r="B17" s="824">
        <v>6.7133654607136909E-3</v>
      </c>
      <c r="C17" s="825">
        <v>1.2687692501726945E-2</v>
      </c>
      <c r="D17" s="249">
        <v>6.1558517163579914E-2</v>
      </c>
      <c r="E17" s="825">
        <v>7.6843120678933355E-2</v>
      </c>
      <c r="F17" s="249">
        <v>0.44768226437071562</v>
      </c>
      <c r="G17" s="825">
        <v>0.39451503982433056</v>
      </c>
      <c r="H17" s="249">
        <v>1</v>
      </c>
      <c r="I17" s="826">
        <v>7435865.1099999994</v>
      </c>
    </row>
    <row r="18" spans="1:9" ht="20" customHeight="1" thickBot="1">
      <c r="A18" s="823">
        <v>2006</v>
      </c>
      <c r="B18" s="824">
        <v>7.1853695026195359E-3</v>
      </c>
      <c r="C18" s="825">
        <v>1.372064238505178E-2</v>
      </c>
      <c r="D18" s="249">
        <v>6.1945155197761226E-2</v>
      </c>
      <c r="E18" s="825">
        <v>6.457386448023035E-2</v>
      </c>
      <c r="F18" s="249">
        <v>0.46584421080154392</v>
      </c>
      <c r="G18" s="825">
        <v>0.38673075763279313</v>
      </c>
      <c r="H18" s="249">
        <v>1</v>
      </c>
      <c r="I18" s="826">
        <v>7478426.8200000003</v>
      </c>
    </row>
    <row r="19" spans="1:9" ht="20" customHeight="1" thickBot="1">
      <c r="A19" s="823">
        <v>2007</v>
      </c>
      <c r="B19" s="824">
        <v>7.1980711154289783E-3</v>
      </c>
      <c r="C19" s="825">
        <v>1.2343838327748843E-2</v>
      </c>
      <c r="D19" s="249">
        <v>6.7439082875348361E-2</v>
      </c>
      <c r="E19" s="825">
        <v>7.4639267399113043E-2</v>
      </c>
      <c r="F19" s="249">
        <v>0.46148331085748551</v>
      </c>
      <c r="G19" s="825">
        <v>0.37689642942487517</v>
      </c>
      <c r="H19" s="249">
        <v>1</v>
      </c>
      <c r="I19" s="826">
        <v>7537587.3800000008</v>
      </c>
    </row>
    <row r="20" spans="1:9" ht="20" customHeight="1" thickBot="1">
      <c r="A20" s="823">
        <v>2008</v>
      </c>
      <c r="B20" s="824">
        <v>6.9627679229906266E-3</v>
      </c>
      <c r="C20" s="825">
        <v>1.2572266289028763E-2</v>
      </c>
      <c r="D20" s="249">
        <v>5.983244585510189E-2</v>
      </c>
      <c r="E20" s="825">
        <v>8.6450164267034141E-2</v>
      </c>
      <c r="F20" s="249">
        <v>0.47186244785894577</v>
      </c>
      <c r="G20" s="825">
        <v>0.36231990780689871</v>
      </c>
      <c r="H20" s="249">
        <v>1</v>
      </c>
      <c r="I20" s="826">
        <v>7615563.3200000012</v>
      </c>
    </row>
    <row r="21" spans="1:9" ht="20" customHeight="1" thickBot="1">
      <c r="A21" s="823">
        <v>2009</v>
      </c>
      <c r="B21" s="824">
        <v>6.3913502466724755E-3</v>
      </c>
      <c r="C21" s="825">
        <v>9.8410456994261122E-3</v>
      </c>
      <c r="D21" s="249">
        <v>6.2372686693507221E-2</v>
      </c>
      <c r="E21" s="825">
        <v>7.9508990308726282E-2</v>
      </c>
      <c r="F21" s="249">
        <v>0.49598894141884953</v>
      </c>
      <c r="G21" s="825">
        <v>0.34589698563281829</v>
      </c>
      <c r="H21" s="249">
        <v>1</v>
      </c>
      <c r="I21" s="826">
        <v>7708851.5100000007</v>
      </c>
    </row>
    <row r="22" spans="1:9" ht="20" customHeight="1" thickBot="1">
      <c r="A22" s="823">
        <v>2010</v>
      </c>
      <c r="B22" s="824">
        <v>5.7207975361098567E-3</v>
      </c>
      <c r="C22" s="825">
        <v>9.3032219077996709E-3</v>
      </c>
      <c r="D22" s="249">
        <v>6.5866593411382734E-2</v>
      </c>
      <c r="E22" s="825">
        <v>8.3353119647634463E-2</v>
      </c>
      <c r="F22" s="249">
        <v>0.42223916523240013</v>
      </c>
      <c r="G22" s="825">
        <v>0.41351710226467314</v>
      </c>
      <c r="H22" s="249">
        <v>1</v>
      </c>
      <c r="I22" s="826">
        <v>7779661.79</v>
      </c>
    </row>
    <row r="23" spans="1:9" ht="26.25" customHeight="1" thickBot="1">
      <c r="A23" s="827">
        <v>2011</v>
      </c>
      <c r="B23" s="828">
        <v>3.7567063861609906E-3</v>
      </c>
      <c r="C23" s="829">
        <v>9.5105052831467238E-3</v>
      </c>
      <c r="D23" s="251">
        <v>4.0288220495756394E-2</v>
      </c>
      <c r="E23" s="829">
        <v>2.1479441738656572E-2</v>
      </c>
      <c r="F23" s="251">
        <v>0.51493663214479735</v>
      </c>
      <c r="G23" s="829">
        <v>0.41002849395148178</v>
      </c>
      <c r="H23" s="251">
        <v>1</v>
      </c>
      <c r="I23" s="830">
        <v>7862770.4600000018</v>
      </c>
    </row>
    <row r="24" spans="1:9" ht="20" customHeight="1">
      <c r="A24" s="112" t="s">
        <v>720</v>
      </c>
      <c r="B24" s="201"/>
      <c r="C24" s="201"/>
      <c r="D24" s="201"/>
      <c r="E24" s="201"/>
      <c r="F24" s="201"/>
      <c r="G24" s="201"/>
      <c r="H24" s="201"/>
      <c r="I24" s="202"/>
    </row>
    <row r="25" spans="1:9" ht="13.5" customHeight="1">
      <c r="A25" s="115"/>
      <c r="B25" s="203"/>
      <c r="C25" s="203"/>
      <c r="D25" s="203"/>
      <c r="E25" s="203"/>
      <c r="F25" s="203"/>
      <c r="G25" s="203"/>
      <c r="H25" s="203"/>
      <c r="I25" s="204"/>
    </row>
    <row r="26" spans="1:9">
      <c r="A26" s="3" t="s">
        <v>1257</v>
      </c>
    </row>
    <row r="29" spans="1:9">
      <c r="A29" s="3" t="s">
        <v>719</v>
      </c>
    </row>
  </sheetData>
  <mergeCells count="1">
    <mergeCell ref="B3:G3"/>
  </mergeCells>
  <pageMargins left="0.53" right="0.61" top="1.03" bottom="0.49" header="0.56000000000000005" footer="0.4921259845"/>
  <pageSetup paperSize="9" scale="79" orientation="portrait" horizontalDpi="4294967292" verticalDpi="4294967292"/>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7B04-FE62-B34E-AD6B-B861C80D8F9C}">
  <sheetPr>
    <pageSetUpPr fitToPage="1"/>
  </sheetPr>
  <dimension ref="A1:Q42"/>
  <sheetViews>
    <sheetView zoomScaleNormal="100" workbookViewId="0">
      <selection activeCell="A3" sqref="A3"/>
    </sheetView>
  </sheetViews>
  <sheetFormatPr baseColWidth="10" defaultColWidth="11.3984375" defaultRowHeight="13"/>
  <cols>
    <col min="1" max="1" width="13.3984375" style="3" customWidth="1"/>
    <col min="2" max="2" width="11.3984375" style="3" customWidth="1"/>
    <col min="3" max="7" width="10.796875" style="3" customWidth="1"/>
    <col min="8" max="11" width="10.3984375" style="3" customWidth="1"/>
    <col min="12" max="13" width="11.3984375" style="3"/>
    <col min="14" max="14" width="11.59765625" style="3" customWidth="1"/>
    <col min="15" max="16384" width="11.3984375" style="3"/>
  </cols>
  <sheetData>
    <row r="1" spans="1:17" s="2" customFormat="1" ht="14" customHeight="1"/>
    <row r="2" spans="1:17" s="2" customFormat="1" ht="27.5" customHeight="1">
      <c r="A2" s="181" t="s">
        <v>1147</v>
      </c>
      <c r="B2" s="436"/>
      <c r="C2" s="436"/>
      <c r="D2" s="436"/>
      <c r="E2" s="436"/>
      <c r="F2" s="436"/>
      <c r="G2" s="436"/>
      <c r="H2" s="436"/>
      <c r="I2" s="181"/>
      <c r="J2" s="181"/>
      <c r="K2" s="181"/>
      <c r="L2" s="181"/>
      <c r="M2" s="181"/>
      <c r="N2" s="181"/>
      <c r="O2" s="181"/>
      <c r="P2" s="181"/>
      <c r="Q2" s="181"/>
    </row>
    <row r="3" spans="1:17" ht="24" customHeight="1">
      <c r="A3" s="530" t="s">
        <v>191</v>
      </c>
      <c r="B3" s="186">
        <v>1996</v>
      </c>
      <c r="C3" s="185">
        <v>1997</v>
      </c>
      <c r="D3" s="186">
        <v>1998</v>
      </c>
      <c r="E3" s="538">
        <v>1999</v>
      </c>
      <c r="F3" s="539">
        <v>2000</v>
      </c>
      <c r="G3" s="185">
        <v>2001</v>
      </c>
      <c r="H3" s="186">
        <v>2002</v>
      </c>
      <c r="I3" s="185">
        <v>2003</v>
      </c>
      <c r="J3" s="186">
        <v>2004</v>
      </c>
      <c r="K3" s="185">
        <v>2005</v>
      </c>
      <c r="L3" s="186">
        <v>2006</v>
      </c>
      <c r="M3" s="185">
        <v>2007</v>
      </c>
      <c r="N3" s="186">
        <v>2008</v>
      </c>
      <c r="O3" s="185">
        <v>2009</v>
      </c>
      <c r="P3" s="186">
        <v>2010</v>
      </c>
      <c r="Q3" s="185">
        <v>2011</v>
      </c>
    </row>
    <row r="4" spans="1:17" ht="15" customHeight="1">
      <c r="A4" s="531"/>
      <c r="B4" s="186"/>
      <c r="C4" s="185"/>
      <c r="D4" s="186"/>
      <c r="E4" s="96"/>
      <c r="F4" s="187"/>
      <c r="G4" s="185"/>
      <c r="H4" s="186"/>
      <c r="I4" s="185"/>
      <c r="J4" s="186"/>
      <c r="K4" s="185"/>
      <c r="L4" s="186"/>
      <c r="M4" s="185"/>
      <c r="N4" s="186"/>
      <c r="O4" s="185"/>
      <c r="P4" s="186"/>
      <c r="Q4" s="185"/>
    </row>
    <row r="5" spans="1:17" ht="16" customHeight="1">
      <c r="A5" s="532"/>
      <c r="B5" s="190"/>
      <c r="C5" s="189"/>
      <c r="D5" s="190"/>
      <c r="E5" s="98"/>
      <c r="F5" s="191"/>
      <c r="G5" s="189"/>
      <c r="H5" s="190"/>
      <c r="I5" s="189"/>
      <c r="J5" s="190"/>
      <c r="K5" s="189"/>
      <c r="L5" s="190"/>
      <c r="M5" s="189"/>
      <c r="N5" s="190"/>
      <c r="O5" s="189"/>
      <c r="P5" s="190"/>
      <c r="Q5" s="189"/>
    </row>
    <row r="6" spans="1:17" ht="30" customHeight="1" thickBot="1">
      <c r="A6" s="533" t="s">
        <v>362</v>
      </c>
      <c r="B6" s="411">
        <v>1199.2165</v>
      </c>
      <c r="C6" s="410">
        <v>1199.4290000000001</v>
      </c>
      <c r="D6" s="411">
        <v>1207.0740000000001</v>
      </c>
      <c r="E6" s="410">
        <v>1216.8320000000001</v>
      </c>
      <c r="F6" s="411">
        <v>1223.231</v>
      </c>
      <c r="G6" s="410">
        <v>1239.626</v>
      </c>
      <c r="H6" s="193">
        <v>1250.672</v>
      </c>
      <c r="I6" s="100">
        <v>1258.383</v>
      </c>
      <c r="J6" s="193">
        <v>1266.164</v>
      </c>
      <c r="K6" s="100">
        <v>1274.5540000000001</v>
      </c>
      <c r="L6" s="193">
        <v>1284.816</v>
      </c>
      <c r="M6" s="100">
        <v>1294.1980000000001</v>
      </c>
      <c r="N6" s="193">
        <v>1316.357</v>
      </c>
      <c r="O6" s="100">
        <v>1340.59105</v>
      </c>
      <c r="P6" s="193">
        <v>1355.9901</v>
      </c>
      <c r="Q6" s="100">
        <v>1374.0552</v>
      </c>
    </row>
    <row r="7" spans="1:17" ht="20" customHeight="1" thickBot="1">
      <c r="A7" s="534" t="s">
        <v>363</v>
      </c>
      <c r="B7" s="196">
        <v>954.42533333333336</v>
      </c>
      <c r="C7" s="195">
        <v>955.745</v>
      </c>
      <c r="D7" s="196">
        <v>956.16700000000003</v>
      </c>
      <c r="E7" s="195">
        <v>958.23900000000003</v>
      </c>
      <c r="F7" s="196">
        <v>954.48099999999999</v>
      </c>
      <c r="G7" s="195">
        <v>952.85</v>
      </c>
      <c r="H7" s="193">
        <v>954.625</v>
      </c>
      <c r="I7" s="100">
        <v>957.29200000000003</v>
      </c>
      <c r="J7" s="193">
        <v>958.36199999999997</v>
      </c>
      <c r="K7" s="100">
        <v>958.48299999999995</v>
      </c>
      <c r="L7" s="193">
        <v>959.95899999999995</v>
      </c>
      <c r="M7" s="100">
        <v>957.92399999999998</v>
      </c>
      <c r="N7" s="193">
        <v>962.11</v>
      </c>
      <c r="O7" s="100">
        <v>971.65823</v>
      </c>
      <c r="P7" s="193">
        <v>976.29255000000001</v>
      </c>
      <c r="Q7" s="100">
        <v>981.41813000000002</v>
      </c>
    </row>
    <row r="8" spans="1:17" ht="20" customHeight="1" thickBot="1">
      <c r="A8" s="534" t="s">
        <v>364</v>
      </c>
      <c r="B8" s="196">
        <v>355.20933333333329</v>
      </c>
      <c r="C8" s="195">
        <v>348.89299999999997</v>
      </c>
      <c r="D8" s="196">
        <v>350.06599999999997</v>
      </c>
      <c r="E8" s="195">
        <v>352.411</v>
      </c>
      <c r="F8" s="196">
        <v>353.15</v>
      </c>
      <c r="G8" s="195">
        <v>354.15800000000002</v>
      </c>
      <c r="H8" s="193">
        <v>355.97699999999998</v>
      </c>
      <c r="I8" s="100">
        <v>357.26400000000001</v>
      </c>
      <c r="J8" s="193">
        <v>357.85</v>
      </c>
      <c r="K8" s="100">
        <v>359.13200000000001</v>
      </c>
      <c r="L8" s="193">
        <v>360.56599999999997</v>
      </c>
      <c r="M8" s="100">
        <v>362.70699999999999</v>
      </c>
      <c r="N8" s="193">
        <v>367.20100000000002</v>
      </c>
      <c r="O8" s="100">
        <v>373.03219000000001</v>
      </c>
      <c r="P8" s="193">
        <v>376.34426000000002</v>
      </c>
      <c r="Q8" s="100">
        <v>380.53512000000001</v>
      </c>
    </row>
    <row r="9" spans="1:17" ht="20" customHeight="1" thickBot="1">
      <c r="A9" s="534" t="s">
        <v>365</v>
      </c>
      <c r="B9" s="196">
        <v>36.368000000000002</v>
      </c>
      <c r="C9" s="195">
        <v>36.186</v>
      </c>
      <c r="D9" s="196">
        <v>36.098999999999997</v>
      </c>
      <c r="E9" s="195">
        <v>35.978999999999999</v>
      </c>
      <c r="F9" s="196">
        <v>35.866999999999997</v>
      </c>
      <c r="G9" s="195">
        <v>35.615000000000002</v>
      </c>
      <c r="H9" s="193">
        <v>35.512999999999998</v>
      </c>
      <c r="I9" s="100">
        <v>35.411000000000001</v>
      </c>
      <c r="J9" s="193">
        <v>35.371000000000002</v>
      </c>
      <c r="K9" s="100">
        <v>35.234999999999999</v>
      </c>
      <c r="L9" s="193">
        <v>35.198</v>
      </c>
      <c r="M9" s="100">
        <v>34.997</v>
      </c>
      <c r="N9" s="193">
        <v>35.139000000000003</v>
      </c>
      <c r="O9" s="100">
        <v>35.467970000000001</v>
      </c>
      <c r="P9" s="193">
        <v>35.459830000000004</v>
      </c>
      <c r="Q9" s="100">
        <v>35.56306</v>
      </c>
    </row>
    <row r="10" spans="1:17" ht="20" customHeight="1" thickBot="1">
      <c r="A10" s="534" t="s">
        <v>366</v>
      </c>
      <c r="B10" s="196">
        <v>123.14033333333333</v>
      </c>
      <c r="C10" s="195">
        <v>125.687</v>
      </c>
      <c r="D10" s="196">
        <v>126.86</v>
      </c>
      <c r="E10" s="195">
        <v>128.81</v>
      </c>
      <c r="F10" s="196">
        <v>129.66300000000001</v>
      </c>
      <c r="G10" s="195">
        <v>131.005</v>
      </c>
      <c r="H10" s="193">
        <v>132.84700000000001</v>
      </c>
      <c r="I10" s="100">
        <v>134.74299999999999</v>
      </c>
      <c r="J10" s="193">
        <v>136.28</v>
      </c>
      <c r="K10" s="100">
        <v>137.24100000000001</v>
      </c>
      <c r="L10" s="193">
        <v>138.61500000000001</v>
      </c>
      <c r="M10" s="100">
        <v>139.95599999999999</v>
      </c>
      <c r="N10" s="193">
        <v>142.45699999999999</v>
      </c>
      <c r="O10" s="100">
        <v>144.71596</v>
      </c>
      <c r="P10" s="193">
        <v>146.07723999999999</v>
      </c>
      <c r="Q10" s="100">
        <v>147.38660999999999</v>
      </c>
    </row>
    <row r="11" spans="1:17" ht="20" customHeight="1" thickBot="1">
      <c r="A11" s="534" t="s">
        <v>367</v>
      </c>
      <c r="B11" s="196">
        <v>31.320666666666668</v>
      </c>
      <c r="C11" s="195">
        <v>32.598999999999997</v>
      </c>
      <c r="D11" s="196">
        <v>32.813000000000002</v>
      </c>
      <c r="E11" s="195">
        <v>33.084000000000003</v>
      </c>
      <c r="F11" s="196">
        <v>33.305</v>
      </c>
      <c r="G11" s="195">
        <v>33.408000000000001</v>
      </c>
      <c r="H11" s="193">
        <v>33.604999999999997</v>
      </c>
      <c r="I11" s="100">
        <v>33.81</v>
      </c>
      <c r="J11" s="193">
        <v>33.92</v>
      </c>
      <c r="K11" s="100">
        <v>33.914000000000001</v>
      </c>
      <c r="L11" s="193">
        <v>34.131999999999998</v>
      </c>
      <c r="M11" s="100">
        <v>34.375</v>
      </c>
      <c r="N11" s="193">
        <v>34.761000000000003</v>
      </c>
      <c r="O11" s="100">
        <v>35.340879999999999</v>
      </c>
      <c r="P11" s="193">
        <v>35.846150000000002</v>
      </c>
      <c r="Q11" s="100">
        <v>36.11777</v>
      </c>
    </row>
    <row r="12" spans="1:17" ht="20" customHeight="1" thickBot="1">
      <c r="A12" s="534" t="s">
        <v>368</v>
      </c>
      <c r="B12" s="196">
        <v>35.374666666666663</v>
      </c>
      <c r="C12" s="195">
        <v>36.639000000000003</v>
      </c>
      <c r="D12" s="196">
        <v>37.06</v>
      </c>
      <c r="E12" s="195">
        <v>37.383000000000003</v>
      </c>
      <c r="F12" s="196">
        <v>37.726999999999997</v>
      </c>
      <c r="G12" s="195">
        <v>38.101999999999997</v>
      </c>
      <c r="H12" s="193">
        <v>38.57</v>
      </c>
      <c r="I12" s="100">
        <v>38.756999999999998</v>
      </c>
      <c r="J12" s="193">
        <v>39.061</v>
      </c>
      <c r="K12" s="100">
        <v>39.344000000000001</v>
      </c>
      <c r="L12" s="193">
        <v>39.613</v>
      </c>
      <c r="M12" s="100">
        <v>39.749000000000002</v>
      </c>
      <c r="N12" s="193">
        <v>40.006999999999998</v>
      </c>
      <c r="O12" s="100">
        <v>40.48612</v>
      </c>
      <c r="P12" s="193">
        <v>40.618650000000002</v>
      </c>
      <c r="Q12" s="100">
        <v>40.89772</v>
      </c>
    </row>
    <row r="13" spans="1:17" ht="20" customHeight="1" thickBot="1">
      <c r="A13" s="534" t="s">
        <v>369</v>
      </c>
      <c r="B13" s="196">
        <v>40.003999999999998</v>
      </c>
      <c r="C13" s="195">
        <v>39.656999999999996</v>
      </c>
      <c r="D13" s="196">
        <v>39.433999999999997</v>
      </c>
      <c r="E13" s="195">
        <v>39.328000000000003</v>
      </c>
      <c r="F13" s="196">
        <v>38.896000000000001</v>
      </c>
      <c r="G13" s="195">
        <v>38.71</v>
      </c>
      <c r="H13" s="193">
        <v>38.902000000000001</v>
      </c>
      <c r="I13" s="100">
        <v>38.851999999999997</v>
      </c>
      <c r="J13" s="193">
        <v>38.762</v>
      </c>
      <c r="K13" s="100">
        <v>38.53</v>
      </c>
      <c r="L13" s="193">
        <v>38.357999999999997</v>
      </c>
      <c r="M13" s="100">
        <v>38.159999999999997</v>
      </c>
      <c r="N13" s="193">
        <v>38.316000000000003</v>
      </c>
      <c r="O13" s="100">
        <v>38.635449999999999</v>
      </c>
      <c r="P13" s="193">
        <v>38.770910000000001</v>
      </c>
      <c r="Q13" s="100">
        <v>39.196379999999998</v>
      </c>
    </row>
    <row r="14" spans="1:17" ht="20" customHeight="1" thickBot="1">
      <c r="A14" s="534" t="s">
        <v>370</v>
      </c>
      <c r="B14" s="196">
        <v>93.447500000000005</v>
      </c>
      <c r="C14" s="195">
        <v>94.822999999999993</v>
      </c>
      <c r="D14" s="196">
        <v>96.433999999999997</v>
      </c>
      <c r="E14" s="195">
        <v>97.8</v>
      </c>
      <c r="F14" s="196">
        <v>98.813000000000002</v>
      </c>
      <c r="G14" s="195">
        <v>99.87</v>
      </c>
      <c r="H14" s="193">
        <v>101.169</v>
      </c>
      <c r="I14" s="100">
        <v>102.21</v>
      </c>
      <c r="J14" s="193">
        <v>103.786</v>
      </c>
      <c r="K14" s="100">
        <v>105.4</v>
      </c>
      <c r="L14" s="193">
        <v>106.727</v>
      </c>
      <c r="M14" s="100">
        <v>107.822</v>
      </c>
      <c r="N14" s="193">
        <v>109.42</v>
      </c>
      <c r="O14" s="100">
        <v>110.83247</v>
      </c>
      <c r="P14" s="193">
        <v>111.85171000000001</v>
      </c>
      <c r="Q14" s="100">
        <v>113.90156</v>
      </c>
    </row>
    <row r="15" spans="1:17" ht="20" customHeight="1" thickBot="1">
      <c r="A15" s="534" t="s">
        <v>371</v>
      </c>
      <c r="B15" s="196">
        <v>230.77500000000001</v>
      </c>
      <c r="C15" s="195">
        <v>232.33199999999999</v>
      </c>
      <c r="D15" s="196">
        <v>234.69200000000001</v>
      </c>
      <c r="E15" s="195">
        <v>237.166</v>
      </c>
      <c r="F15" s="196">
        <v>238.928</v>
      </c>
      <c r="G15" s="195">
        <v>240.34899999999999</v>
      </c>
      <c r="H15" s="193">
        <v>243.904</v>
      </c>
      <c r="I15" s="100">
        <v>247.29599999999999</v>
      </c>
      <c r="J15" s="193">
        <v>250.41499999999999</v>
      </c>
      <c r="K15" s="100">
        <v>253.935</v>
      </c>
      <c r="L15" s="193">
        <v>259.53100000000001</v>
      </c>
      <c r="M15" s="100">
        <v>262.267</v>
      </c>
      <c r="N15" s="193">
        <v>267.50599999999997</v>
      </c>
      <c r="O15" s="100">
        <v>271.45028000000002</v>
      </c>
      <c r="P15" s="193">
        <v>275.94372999999996</v>
      </c>
      <c r="Q15" s="100">
        <v>281.69963000000001</v>
      </c>
    </row>
    <row r="16" spans="1:17" ht="20" customHeight="1" thickBot="1">
      <c r="A16" s="534" t="s">
        <v>372</v>
      </c>
      <c r="B16" s="196">
        <v>243.12833333333333</v>
      </c>
      <c r="C16" s="195">
        <v>246.23500000000001</v>
      </c>
      <c r="D16" s="196">
        <v>247.476</v>
      </c>
      <c r="E16" s="195">
        <v>247.21600000000001</v>
      </c>
      <c r="F16" s="196">
        <v>247.09200000000001</v>
      </c>
      <c r="G16" s="195">
        <v>246.81299999999999</v>
      </c>
      <c r="H16" s="193">
        <v>247.749</v>
      </c>
      <c r="I16" s="100">
        <v>248.85599999999999</v>
      </c>
      <c r="J16" s="193">
        <v>249.40299999999999</v>
      </c>
      <c r="K16" s="100">
        <v>249.66800000000001</v>
      </c>
      <c r="L16" s="193">
        <v>250.441</v>
      </c>
      <c r="M16" s="100">
        <v>250.59800000000001</v>
      </c>
      <c r="N16" s="193">
        <v>252.36</v>
      </c>
      <c r="O16" s="100">
        <v>254.99254000000002</v>
      </c>
      <c r="P16" s="193">
        <v>256.14870000000002</v>
      </c>
      <c r="Q16" s="100">
        <v>257.90082000000001</v>
      </c>
    </row>
    <row r="17" spans="1:17" ht="20" customHeight="1" thickBot="1">
      <c r="A17" s="534" t="s">
        <v>373</v>
      </c>
      <c r="B17" s="196">
        <v>202.74700000000001</v>
      </c>
      <c r="C17" s="195">
        <v>197.077</v>
      </c>
      <c r="D17" s="196">
        <v>191.46899999999999</v>
      </c>
      <c r="E17" s="195">
        <v>189.38900000000001</v>
      </c>
      <c r="F17" s="196">
        <v>186.785</v>
      </c>
      <c r="G17" s="195">
        <v>185.79499999999999</v>
      </c>
      <c r="H17" s="193">
        <v>185.3</v>
      </c>
      <c r="I17" s="100">
        <v>183.86500000000001</v>
      </c>
      <c r="J17" s="193">
        <v>183.321</v>
      </c>
      <c r="K17" s="100">
        <v>182.30600000000001</v>
      </c>
      <c r="L17" s="193">
        <v>179.208</v>
      </c>
      <c r="M17" s="100">
        <v>178.434</v>
      </c>
      <c r="N17" s="193">
        <v>179.02199999999999</v>
      </c>
      <c r="O17" s="100">
        <v>176.78048999999999</v>
      </c>
      <c r="P17" s="193">
        <v>177.93715</v>
      </c>
      <c r="Q17" s="100">
        <v>179.96482999999998</v>
      </c>
    </row>
    <row r="18" spans="1:17" ht="20" customHeight="1" thickBot="1">
      <c r="A18" s="534" t="s">
        <v>374</v>
      </c>
      <c r="B18" s="196">
        <v>253.10658333333333</v>
      </c>
      <c r="C18" s="195">
        <v>257.21300000000002</v>
      </c>
      <c r="D18" s="196">
        <v>259.18</v>
      </c>
      <c r="E18" s="195">
        <v>260.99099999999999</v>
      </c>
      <c r="F18" s="196">
        <v>261.58999999999997</v>
      </c>
      <c r="G18" s="195">
        <v>262.416</v>
      </c>
      <c r="H18" s="193">
        <v>263.71300000000002</v>
      </c>
      <c r="I18" s="100">
        <v>265.19299999999998</v>
      </c>
      <c r="J18" s="193">
        <v>265.84899999999999</v>
      </c>
      <c r="K18" s="100">
        <v>266.108</v>
      </c>
      <c r="L18" s="193">
        <v>267.05399999999997</v>
      </c>
      <c r="M18" s="100">
        <v>267.55099999999999</v>
      </c>
      <c r="N18" s="193">
        <v>269.89800000000002</v>
      </c>
      <c r="O18" s="100">
        <v>271.36428000000001</v>
      </c>
      <c r="P18" s="193">
        <v>272.59865000000002</v>
      </c>
      <c r="Q18" s="100">
        <v>272.86408</v>
      </c>
    </row>
    <row r="19" spans="1:17" ht="20" customHeight="1" thickBot="1">
      <c r="A19" s="534" t="s">
        <v>375</v>
      </c>
      <c r="B19" s="196">
        <v>75.640500000000003</v>
      </c>
      <c r="C19" s="195">
        <v>75.384</v>
      </c>
      <c r="D19" s="196">
        <v>75.146000000000001</v>
      </c>
      <c r="E19" s="195">
        <v>75.436999999999998</v>
      </c>
      <c r="F19" s="196">
        <v>75.233999999999995</v>
      </c>
      <c r="G19" s="195">
        <v>74.863</v>
      </c>
      <c r="H19" s="193">
        <v>75.316999999999993</v>
      </c>
      <c r="I19" s="100">
        <v>75.382999999999996</v>
      </c>
      <c r="J19" s="193">
        <v>75.372</v>
      </c>
      <c r="K19" s="100">
        <v>75.081000000000003</v>
      </c>
      <c r="L19" s="193">
        <v>75.346000000000004</v>
      </c>
      <c r="M19" s="100">
        <v>75.5</v>
      </c>
      <c r="N19" s="193">
        <v>76.042000000000002</v>
      </c>
      <c r="O19" s="100">
        <v>75.37675999999999</v>
      </c>
      <c r="P19" s="193">
        <v>75.719740000000002</v>
      </c>
      <c r="Q19" s="100">
        <v>76.611449999999991</v>
      </c>
    </row>
    <row r="20" spans="1:17" ht="20" customHeight="1" thickBot="1">
      <c r="A20" s="534" t="s">
        <v>376</v>
      </c>
      <c r="B20" s="196">
        <v>54.664083333333338</v>
      </c>
      <c r="C20" s="195">
        <v>55.189</v>
      </c>
      <c r="D20" s="196">
        <v>55.002000000000002</v>
      </c>
      <c r="E20" s="195">
        <v>54.866999999999997</v>
      </c>
      <c r="F20" s="196">
        <v>54.45</v>
      </c>
      <c r="G20" s="195">
        <v>54.061999999999998</v>
      </c>
      <c r="H20" s="193">
        <v>53.828000000000003</v>
      </c>
      <c r="I20" s="100">
        <v>53.734000000000002</v>
      </c>
      <c r="J20" s="193">
        <v>53.587000000000003</v>
      </c>
      <c r="K20" s="100">
        <v>53.420999999999999</v>
      </c>
      <c r="L20" s="193">
        <v>53.225000000000001</v>
      </c>
      <c r="M20" s="100">
        <v>53.216999999999999</v>
      </c>
      <c r="N20" s="193">
        <v>53.39</v>
      </c>
      <c r="O20" s="100">
        <v>53.744680000000002</v>
      </c>
      <c r="P20" s="193">
        <v>53.657710000000002</v>
      </c>
      <c r="Q20" s="100">
        <v>53.875050000000002</v>
      </c>
    </row>
    <row r="21" spans="1:17" ht="20" customHeight="1" thickBot="1">
      <c r="A21" s="534" t="s">
        <v>377</v>
      </c>
      <c r="B21" s="196">
        <v>14.972666666666665</v>
      </c>
      <c r="C21" s="195">
        <v>14.904999999999999</v>
      </c>
      <c r="D21" s="196">
        <v>14.901999999999999</v>
      </c>
      <c r="E21" s="195">
        <v>14.929</v>
      </c>
      <c r="F21" s="196">
        <v>14.948</v>
      </c>
      <c r="G21" s="195">
        <v>14.946999999999999</v>
      </c>
      <c r="H21" s="193">
        <v>14.945</v>
      </c>
      <c r="I21" s="100">
        <v>15.003</v>
      </c>
      <c r="J21" s="193">
        <v>14.996</v>
      </c>
      <c r="K21" s="100">
        <v>15.144</v>
      </c>
      <c r="L21" s="193">
        <v>15.295</v>
      </c>
      <c r="M21" s="100">
        <v>15.346</v>
      </c>
      <c r="N21" s="193">
        <v>15.446999999999999</v>
      </c>
      <c r="O21" s="100">
        <v>15.66264</v>
      </c>
      <c r="P21" s="193">
        <v>15.74004</v>
      </c>
      <c r="Q21" s="100">
        <v>15.76609</v>
      </c>
    </row>
    <row r="22" spans="1:17" ht="20" customHeight="1" thickBot="1">
      <c r="A22" s="534" t="s">
        <v>378</v>
      </c>
      <c r="B22" s="196">
        <v>449.49908333333332</v>
      </c>
      <c r="C22" s="195">
        <v>450.69400000000002</v>
      </c>
      <c r="D22" s="196">
        <v>451.858</v>
      </c>
      <c r="E22" s="195">
        <v>453.88799999999998</v>
      </c>
      <c r="F22" s="196">
        <v>454.75400000000002</v>
      </c>
      <c r="G22" s="195">
        <v>456.13200000000001</v>
      </c>
      <c r="H22" s="193">
        <v>459.04899999999998</v>
      </c>
      <c r="I22" s="100">
        <v>460.67099999999999</v>
      </c>
      <c r="J22" s="193">
        <v>461.89299999999997</v>
      </c>
      <c r="K22" s="100">
        <v>463.16300000000001</v>
      </c>
      <c r="L22" s="193">
        <v>464.71800000000002</v>
      </c>
      <c r="M22" s="100">
        <v>465.78500000000003</v>
      </c>
      <c r="N22" s="193">
        <v>469.53399999999999</v>
      </c>
      <c r="O22" s="100">
        <v>475.36358000000001</v>
      </c>
      <c r="P22" s="193">
        <v>477.90467999999998</v>
      </c>
      <c r="Q22" s="100">
        <v>481.6918</v>
      </c>
    </row>
    <row r="23" spans="1:17" ht="20" customHeight="1" thickBot="1">
      <c r="A23" s="534" t="s">
        <v>379</v>
      </c>
      <c r="B23" s="196">
        <v>195.83291666666665</v>
      </c>
      <c r="C23" s="195">
        <v>196.34399999999999</v>
      </c>
      <c r="D23" s="196">
        <v>196.63800000000001</v>
      </c>
      <c r="E23" s="195">
        <v>195.31700000000001</v>
      </c>
      <c r="F23" s="196">
        <v>194.374</v>
      </c>
      <c r="G23" s="195">
        <v>193.68600000000001</v>
      </c>
      <c r="H23" s="193">
        <v>193.352</v>
      </c>
      <c r="I23" s="100">
        <v>193.339</v>
      </c>
      <c r="J23" s="193">
        <v>194.1</v>
      </c>
      <c r="K23" s="100">
        <v>193.43600000000001</v>
      </c>
      <c r="L23" s="193">
        <v>193.59899999999999</v>
      </c>
      <c r="M23" s="100">
        <v>193.40799999999999</v>
      </c>
      <c r="N23" s="193">
        <v>194.27500000000001</v>
      </c>
      <c r="O23" s="100">
        <v>196.24875</v>
      </c>
      <c r="P23" s="193">
        <v>196.63335999999998</v>
      </c>
      <c r="Q23" s="100">
        <v>197.31997000000001</v>
      </c>
    </row>
    <row r="24" spans="1:17" ht="20" customHeight="1" thickBot="1">
      <c r="A24" s="534" t="s">
        <v>380</v>
      </c>
      <c r="B24" s="196">
        <v>540.04</v>
      </c>
      <c r="C24" s="195">
        <v>542.14499999999998</v>
      </c>
      <c r="D24" s="196">
        <v>550.46100000000001</v>
      </c>
      <c r="E24" s="195">
        <v>554.57299999999998</v>
      </c>
      <c r="F24" s="196">
        <v>557.72799999999995</v>
      </c>
      <c r="G24" s="195">
        <v>562.72799999999995</v>
      </c>
      <c r="H24" s="193">
        <v>562.63</v>
      </c>
      <c r="I24" s="100">
        <v>566.22799999999995</v>
      </c>
      <c r="J24" s="193">
        <v>569.89400000000001</v>
      </c>
      <c r="K24" s="100">
        <v>574.06299999999999</v>
      </c>
      <c r="L24" s="193">
        <v>579.03599999999994</v>
      </c>
      <c r="M24" s="100">
        <v>583.12900000000002</v>
      </c>
      <c r="N24" s="193">
        <v>591.77800000000002</v>
      </c>
      <c r="O24" s="100">
        <v>600.57432999999992</v>
      </c>
      <c r="P24" s="193">
        <v>608.50121999999999</v>
      </c>
      <c r="Q24" s="100">
        <v>617.22104999999999</v>
      </c>
    </row>
    <row r="25" spans="1:17" ht="20" customHeight="1" thickBot="1">
      <c r="A25" s="534" t="s">
        <v>381</v>
      </c>
      <c r="B25" s="196">
        <v>225.32208333333335</v>
      </c>
      <c r="C25" s="195">
        <v>228.715</v>
      </c>
      <c r="D25" s="196">
        <v>228.94</v>
      </c>
      <c r="E25" s="195">
        <v>229.971</v>
      </c>
      <c r="F25" s="196">
        <v>230.22399999999999</v>
      </c>
      <c r="G25" s="195">
        <v>230.393</v>
      </c>
      <c r="H25" s="193">
        <v>231.392</v>
      </c>
      <c r="I25" s="100">
        <v>232.79499999999999</v>
      </c>
      <c r="J25" s="193">
        <v>234.13800000000001</v>
      </c>
      <c r="K25" s="100">
        <v>235.44399999999999</v>
      </c>
      <c r="L25" s="193">
        <v>237.23400000000001</v>
      </c>
      <c r="M25" s="100">
        <v>239.08799999999999</v>
      </c>
      <c r="N25" s="193">
        <v>241.78299999999999</v>
      </c>
      <c r="O25" s="100">
        <v>243.99333999999999</v>
      </c>
      <c r="P25" s="193">
        <v>246.87051</v>
      </c>
      <c r="Q25" s="100">
        <v>250.47754</v>
      </c>
    </row>
    <row r="26" spans="1:17" ht="20" customHeight="1" thickBot="1">
      <c r="A26" s="534" t="s">
        <v>382</v>
      </c>
      <c r="B26" s="196">
        <v>306.31099999999998</v>
      </c>
      <c r="C26" s="195">
        <v>306.72800000000001</v>
      </c>
      <c r="D26" s="196">
        <v>307.84800000000001</v>
      </c>
      <c r="E26" s="195">
        <v>309.99</v>
      </c>
      <c r="F26" s="196">
        <v>311.14800000000002</v>
      </c>
      <c r="G26" s="195">
        <v>312.57</v>
      </c>
      <c r="H26" s="193">
        <v>314.11399999999998</v>
      </c>
      <c r="I26" s="100">
        <v>315.38600000000002</v>
      </c>
      <c r="J26" s="193">
        <v>316.26600000000002</v>
      </c>
      <c r="K26" s="100">
        <v>317.71800000000002</v>
      </c>
      <c r="L26" s="193">
        <v>319.35199999999998</v>
      </c>
      <c r="M26" s="100">
        <v>320.51299999999998</v>
      </c>
      <c r="N26" s="193">
        <v>323.81</v>
      </c>
      <c r="O26" s="100">
        <v>328.07989000000003</v>
      </c>
      <c r="P26" s="193">
        <v>330.74293999999998</v>
      </c>
      <c r="Q26" s="100">
        <v>333.78228000000001</v>
      </c>
    </row>
    <row r="27" spans="1:17" ht="20" customHeight="1" thickBot="1">
      <c r="A27" s="534" t="s">
        <v>383</v>
      </c>
      <c r="B27" s="196">
        <v>609.37608333333333</v>
      </c>
      <c r="C27" s="195">
        <v>611.92499999999995</v>
      </c>
      <c r="D27" s="196">
        <v>614.37</v>
      </c>
      <c r="E27" s="195">
        <v>619.57500000000005</v>
      </c>
      <c r="F27" s="196">
        <v>622.42100000000005</v>
      </c>
      <c r="G27" s="195">
        <v>627.44399999999996</v>
      </c>
      <c r="H27" s="193">
        <v>632.399</v>
      </c>
      <c r="I27" s="100">
        <v>637.65099999999995</v>
      </c>
      <c r="J27" s="193">
        <v>641.82600000000002</v>
      </c>
      <c r="K27" s="100">
        <v>647.24900000000002</v>
      </c>
      <c r="L27" s="193">
        <v>652.99199999999996</v>
      </c>
      <c r="M27" s="100">
        <v>655.92200000000003</v>
      </c>
      <c r="N27" s="193">
        <v>667.79399999999998</v>
      </c>
      <c r="O27" s="100">
        <v>683.74242000000004</v>
      </c>
      <c r="P27" s="193">
        <v>694.01818000000003</v>
      </c>
      <c r="Q27" s="100">
        <v>704.99356999999998</v>
      </c>
    </row>
    <row r="28" spans="1:17" ht="20" customHeight="1" thickBot="1">
      <c r="A28" s="534" t="s">
        <v>384</v>
      </c>
      <c r="B28" s="196">
        <v>280.20841666666666</v>
      </c>
      <c r="C28" s="195">
        <v>279.97500000000002</v>
      </c>
      <c r="D28" s="196">
        <v>281.10700000000003</v>
      </c>
      <c r="E28" s="195">
        <v>282.572</v>
      </c>
      <c r="F28" s="196">
        <v>283.197</v>
      </c>
      <c r="G28" s="195">
        <v>283.83499999999998</v>
      </c>
      <c r="H28" s="193">
        <v>286.911</v>
      </c>
      <c r="I28" s="100">
        <v>290.52699999999999</v>
      </c>
      <c r="J28" s="193">
        <v>293.16300000000001</v>
      </c>
      <c r="K28" s="100">
        <v>296.26100000000002</v>
      </c>
      <c r="L28" s="193">
        <v>298.85199999999998</v>
      </c>
      <c r="M28" s="100">
        <v>301.2</v>
      </c>
      <c r="N28" s="193">
        <v>304.78500000000003</v>
      </c>
      <c r="O28" s="100">
        <v>310.75857999999999</v>
      </c>
      <c r="P28" s="193">
        <v>314.26170999999999</v>
      </c>
      <c r="Q28" s="100">
        <v>318.73081999999999</v>
      </c>
    </row>
    <row r="29" spans="1:17" ht="20" customHeight="1" thickBot="1">
      <c r="A29" s="534" t="s">
        <v>385</v>
      </c>
      <c r="B29" s="196">
        <v>169.14208333333335</v>
      </c>
      <c r="C29" s="195">
        <v>168.61799999999999</v>
      </c>
      <c r="D29" s="196">
        <v>168.59</v>
      </c>
      <c r="E29" s="195">
        <v>168.81800000000001</v>
      </c>
      <c r="F29" s="196">
        <v>168.33</v>
      </c>
      <c r="G29" s="195">
        <v>167.99</v>
      </c>
      <c r="H29" s="193">
        <v>168.66800000000001</v>
      </c>
      <c r="I29" s="100">
        <v>168.94800000000001</v>
      </c>
      <c r="J29" s="193">
        <v>168.94300000000001</v>
      </c>
      <c r="K29" s="100">
        <v>168.89500000000001</v>
      </c>
      <c r="L29" s="193">
        <v>169.613</v>
      </c>
      <c r="M29" s="100">
        <v>168.74100000000001</v>
      </c>
      <c r="N29" s="193">
        <v>169.809</v>
      </c>
      <c r="O29" s="100">
        <v>172.10722000000001</v>
      </c>
      <c r="P29" s="193">
        <v>172.70822000000001</v>
      </c>
      <c r="Q29" s="100">
        <v>173.22032000000002</v>
      </c>
    </row>
    <row r="30" spans="1:17" ht="20" customHeight="1" thickBot="1">
      <c r="A30" s="534" t="s">
        <v>386</v>
      </c>
      <c r="B30" s="196">
        <v>380.8580833333333</v>
      </c>
      <c r="C30" s="195">
        <v>379.05900000000003</v>
      </c>
      <c r="D30" s="196">
        <v>381.58300000000003</v>
      </c>
      <c r="E30" s="195">
        <v>383.69299999999998</v>
      </c>
      <c r="F30" s="196">
        <v>385.67200000000003</v>
      </c>
      <c r="G30" s="195">
        <v>388.76</v>
      </c>
      <c r="H30" s="193">
        <v>395.952</v>
      </c>
      <c r="I30" s="100">
        <v>396.32100000000003</v>
      </c>
      <c r="J30" s="193">
        <v>399.34300000000002</v>
      </c>
      <c r="K30" s="100">
        <v>401.46300000000002</v>
      </c>
      <c r="L30" s="193">
        <v>405.673</v>
      </c>
      <c r="M30" s="100">
        <v>406.99299999999999</v>
      </c>
      <c r="N30" s="193">
        <v>410.08800000000002</v>
      </c>
      <c r="O30" s="100">
        <v>413.96478999999999</v>
      </c>
      <c r="P30" s="193">
        <v>418.44731999999999</v>
      </c>
      <c r="Q30" s="100">
        <v>422.68223999999998</v>
      </c>
    </row>
    <row r="31" spans="1:17" ht="20" customHeight="1" thickBot="1">
      <c r="A31" s="534" t="s">
        <v>387</v>
      </c>
      <c r="B31" s="196">
        <v>70.374083333333331</v>
      </c>
      <c r="C31" s="195">
        <v>70.296000000000006</v>
      </c>
      <c r="D31" s="196">
        <v>70.322999999999993</v>
      </c>
      <c r="E31" s="195">
        <v>70.447000000000003</v>
      </c>
      <c r="F31" s="196">
        <v>70.241</v>
      </c>
      <c r="G31" s="195">
        <v>69.930999999999997</v>
      </c>
      <c r="H31" s="193">
        <v>70.010999999999996</v>
      </c>
      <c r="I31" s="100">
        <v>69.853999999999999</v>
      </c>
      <c r="J31" s="193">
        <v>69.667000000000002</v>
      </c>
      <c r="K31" s="100">
        <v>69.551000000000002</v>
      </c>
      <c r="L31" s="193">
        <v>69.576999999999998</v>
      </c>
      <c r="M31" s="100">
        <v>69.486999999999995</v>
      </c>
      <c r="N31" s="193">
        <v>69.778999999999996</v>
      </c>
      <c r="O31" s="100">
        <v>70.290589999999995</v>
      </c>
      <c r="P31" s="193">
        <v>70.550809999999998</v>
      </c>
      <c r="Q31" s="100">
        <v>70.867380000000011</v>
      </c>
    </row>
    <row r="32" spans="1:17" ht="30" customHeight="1" thickBot="1">
      <c r="A32" s="535" t="s">
        <v>444</v>
      </c>
      <c r="B32" s="200">
        <v>7232.6670000000004</v>
      </c>
      <c r="C32" s="199">
        <v>7236.4709999999995</v>
      </c>
      <c r="D32" s="200">
        <v>7246.616</v>
      </c>
      <c r="E32" s="199">
        <v>7270.5219999999999</v>
      </c>
      <c r="F32" s="200">
        <v>7265.1130000000003</v>
      </c>
      <c r="G32" s="199">
        <v>7301.05</v>
      </c>
      <c r="H32" s="536">
        <v>7344.6319999999996</v>
      </c>
      <c r="I32" s="224">
        <v>7372.5050000000001</v>
      </c>
      <c r="J32" s="225">
        <v>7383.5739999999996</v>
      </c>
      <c r="K32" s="224">
        <v>7435.8649999999998</v>
      </c>
      <c r="L32" s="225">
        <v>7478.4268200000015</v>
      </c>
      <c r="M32" s="224">
        <v>7537.5873800000008</v>
      </c>
      <c r="N32" s="225">
        <v>7615.5633200000002</v>
      </c>
      <c r="O32" s="224">
        <v>7708.8515100000004</v>
      </c>
      <c r="P32" s="225">
        <v>7779.661790000001</v>
      </c>
      <c r="Q32" s="224">
        <v>7862.7704599999997</v>
      </c>
    </row>
    <row r="33" spans="1:8" ht="20" customHeight="1">
      <c r="A33" s="112" t="s">
        <v>720</v>
      </c>
      <c r="B33" s="201"/>
      <c r="C33" s="201"/>
      <c r="D33" s="201"/>
      <c r="E33" s="201"/>
      <c r="F33" s="537"/>
      <c r="G33" s="201"/>
      <c r="H33" s="202"/>
    </row>
    <row r="34" spans="1:8" ht="15.75" customHeight="1">
      <c r="A34" s="115"/>
      <c r="B34" s="203"/>
      <c r="C34" s="203"/>
      <c r="D34" s="203"/>
      <c r="E34" s="203"/>
      <c r="F34" s="203"/>
      <c r="G34" s="203"/>
      <c r="H34" s="204"/>
    </row>
    <row r="35" spans="1:8" ht="14.25" customHeight="1">
      <c r="A35" s="172" t="s">
        <v>1145</v>
      </c>
      <c r="B35" s="203"/>
      <c r="C35" s="203"/>
      <c r="D35" s="203"/>
      <c r="E35" s="203"/>
      <c r="F35" s="203"/>
      <c r="G35" s="203"/>
      <c r="H35" s="204"/>
    </row>
    <row r="36" spans="1:8" ht="14.25" customHeight="1">
      <c r="A36" s="172" t="s">
        <v>1146</v>
      </c>
      <c r="B36" s="203"/>
      <c r="C36" s="203"/>
      <c r="D36" s="203"/>
      <c r="E36" s="203"/>
      <c r="F36" s="203"/>
      <c r="G36" s="203"/>
      <c r="H36" s="204"/>
    </row>
    <row r="37" spans="1:8" ht="13.5" customHeight="1">
      <c r="A37" s="115"/>
      <c r="B37" s="203"/>
      <c r="C37" s="203"/>
      <c r="D37" s="203"/>
      <c r="E37" s="203"/>
      <c r="F37" s="203"/>
      <c r="G37" s="203"/>
      <c r="H37" s="204"/>
    </row>
    <row r="38" spans="1:8" ht="12.75" customHeight="1">
      <c r="A38" s="115" t="s">
        <v>710</v>
      </c>
      <c r="B38" s="203"/>
      <c r="C38" s="203"/>
      <c r="D38" s="203"/>
      <c r="E38" s="203"/>
      <c r="F38" s="203"/>
      <c r="G38" s="203"/>
      <c r="H38" s="204"/>
    </row>
    <row r="39" spans="1:8" ht="12.75" customHeight="1">
      <c r="A39" s="3" t="s">
        <v>714</v>
      </c>
      <c r="B39" s="203"/>
      <c r="C39" s="203"/>
      <c r="D39" s="203"/>
      <c r="E39" s="203"/>
      <c r="F39" s="203"/>
      <c r="G39" s="203"/>
      <c r="H39" s="204"/>
    </row>
    <row r="41" spans="1:8">
      <c r="A41" s="115"/>
    </row>
    <row r="42" spans="1:8">
      <c r="A42" s="115" t="s">
        <v>719</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EB5E-1ADF-6E46-9C43-2944E627A61A}">
  <sheetPr>
    <pageSetUpPr fitToPage="1"/>
  </sheetPr>
  <dimension ref="A1:H12"/>
  <sheetViews>
    <sheetView workbookViewId="0">
      <selection activeCell="B10" sqref="B10"/>
    </sheetView>
  </sheetViews>
  <sheetFormatPr baseColWidth="10" defaultColWidth="11.59765625" defaultRowHeight="13"/>
  <cols>
    <col min="1" max="1" width="5.59765625" style="906" customWidth="1"/>
    <col min="2" max="16384" width="11.59765625" style="906"/>
  </cols>
  <sheetData>
    <row r="1" spans="1:8" ht="16">
      <c r="A1" s="905" t="s">
        <v>1506</v>
      </c>
    </row>
    <row r="2" spans="1:8" ht="16">
      <c r="A2" s="905"/>
    </row>
    <row r="3" spans="1:8">
      <c r="A3" s="907">
        <v>12.01</v>
      </c>
      <c r="B3" s="553" t="s">
        <v>1507</v>
      </c>
      <c r="H3" s="908" t="s">
        <v>1508</v>
      </c>
    </row>
    <row r="4" spans="1:8">
      <c r="A4" s="907">
        <v>12.02</v>
      </c>
      <c r="B4" s="553" t="s">
        <v>1509</v>
      </c>
      <c r="H4" s="908" t="s">
        <v>1510</v>
      </c>
    </row>
    <row r="5" spans="1:8">
      <c r="A5" s="907">
        <v>12.03</v>
      </c>
      <c r="B5" s="553" t="s">
        <v>1511</v>
      </c>
      <c r="H5" s="908" t="s">
        <v>1512</v>
      </c>
    </row>
    <row r="6" spans="1:8">
      <c r="A6" s="907">
        <v>12.04</v>
      </c>
      <c r="B6" s="553" t="s">
        <v>1513</v>
      </c>
      <c r="H6" s="908" t="s">
        <v>1514</v>
      </c>
    </row>
    <row r="7" spans="1:8">
      <c r="A7" s="907">
        <v>12.05</v>
      </c>
      <c r="B7" s="551" t="s">
        <v>1515</v>
      </c>
      <c r="H7" s="908" t="s">
        <v>1516</v>
      </c>
    </row>
    <row r="8" spans="1:8">
      <c r="A8" s="907">
        <v>12.06</v>
      </c>
      <c r="B8" s="551" t="s">
        <v>1517</v>
      </c>
      <c r="H8" s="908" t="s">
        <v>1518</v>
      </c>
    </row>
    <row r="9" spans="1:8">
      <c r="A9" s="907">
        <v>12.07</v>
      </c>
      <c r="B9" s="551" t="s">
        <v>1519</v>
      </c>
      <c r="H9" s="908" t="s">
        <v>1520</v>
      </c>
    </row>
    <row r="10" spans="1:8">
      <c r="A10" s="907"/>
      <c r="B10" s="907"/>
    </row>
    <row r="11" spans="1:8">
      <c r="A11" s="907"/>
      <c r="B11" s="907"/>
    </row>
    <row r="12" spans="1:8">
      <c r="A12" s="909" t="s">
        <v>719</v>
      </c>
    </row>
  </sheetData>
  <pageMargins left="0.57999999999999996" right="0.6" top="0.65" bottom="0.984251969" header="0.34" footer="0.4921259845"/>
  <pageSetup paperSize="9" orientation="portrait"/>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3CA5-B8F2-4648-A922-6B39849BB2B2}">
  <sheetPr>
    <pageSetUpPr fitToPage="1"/>
  </sheetPr>
  <dimension ref="A1:L44"/>
  <sheetViews>
    <sheetView topLeftCell="A19" zoomScaleNormal="100" workbookViewId="0">
      <selection activeCell="A30" sqref="A30"/>
    </sheetView>
  </sheetViews>
  <sheetFormatPr baseColWidth="10" defaultColWidth="11.3984375" defaultRowHeight="13"/>
  <cols>
    <col min="1" max="1" width="14.3984375" style="3" customWidth="1"/>
    <col min="2" max="2" width="16.796875" style="3" customWidth="1"/>
    <col min="3" max="5" width="15.3984375" style="3" customWidth="1"/>
    <col min="6" max="6" width="15.3984375" style="227" customWidth="1"/>
    <col min="7" max="7" width="15.3984375" style="3" customWidth="1"/>
    <col min="8" max="16384" width="11.3984375" style="3"/>
  </cols>
  <sheetData>
    <row r="1" spans="1:11" s="2" customFormat="1" ht="14" customHeight="1">
      <c r="F1" s="209"/>
    </row>
    <row r="2" spans="1:11" s="2" customFormat="1" ht="27.5" customHeight="1">
      <c r="A2" s="180" t="s">
        <v>1488</v>
      </c>
      <c r="F2" s="209"/>
      <c r="G2" s="207"/>
    </row>
    <row r="3" spans="1:11" ht="24" customHeight="1">
      <c r="A3" s="92" t="s">
        <v>469</v>
      </c>
      <c r="B3" s="182" t="s">
        <v>348</v>
      </c>
      <c r="C3" s="94" t="s">
        <v>279</v>
      </c>
      <c r="D3" s="182" t="s">
        <v>700</v>
      </c>
      <c r="E3" s="94" t="s">
        <v>279</v>
      </c>
      <c r="F3" s="182" t="s">
        <v>349</v>
      </c>
      <c r="G3" s="94" t="s">
        <v>279</v>
      </c>
    </row>
    <row r="4" spans="1:11" ht="15" customHeight="1">
      <c r="A4" s="184"/>
      <c r="B4" s="96" t="s">
        <v>1489</v>
      </c>
      <c r="C4" s="95" t="s">
        <v>282</v>
      </c>
      <c r="D4" s="96" t="s">
        <v>348</v>
      </c>
      <c r="E4" s="95" t="s">
        <v>282</v>
      </c>
      <c r="F4" s="96" t="s">
        <v>1490</v>
      </c>
      <c r="G4" s="95" t="s">
        <v>282</v>
      </c>
    </row>
    <row r="5" spans="1:11" ht="15" customHeight="1">
      <c r="A5" s="184"/>
      <c r="B5" s="185"/>
      <c r="C5" s="95" t="s">
        <v>283</v>
      </c>
      <c r="D5" s="96" t="s">
        <v>1491</v>
      </c>
      <c r="E5" s="95" t="s">
        <v>283</v>
      </c>
      <c r="F5" s="896"/>
      <c r="G5" s="95" t="s">
        <v>283</v>
      </c>
    </row>
    <row r="6" spans="1:11" ht="24" customHeight="1">
      <c r="A6" s="188"/>
      <c r="B6" s="189"/>
      <c r="C6" s="97"/>
      <c r="D6" s="189"/>
      <c r="E6" s="97"/>
      <c r="F6" s="897"/>
      <c r="G6" s="97"/>
    </row>
    <row r="7" spans="1:11" ht="23.25" customHeight="1" thickBot="1">
      <c r="A7" s="192">
        <v>1996</v>
      </c>
      <c r="B7" s="898">
        <v>173.08</v>
      </c>
      <c r="C7" s="101" t="s">
        <v>1415</v>
      </c>
      <c r="D7" s="898">
        <v>114.73041951160255</v>
      </c>
      <c r="E7" s="101" t="s">
        <v>1415</v>
      </c>
      <c r="F7" s="898">
        <v>47.723529089864961</v>
      </c>
      <c r="G7" s="101" t="s">
        <v>1415</v>
      </c>
    </row>
    <row r="8" spans="1:11" ht="20" customHeight="1" thickBot="1">
      <c r="A8" s="194">
        <v>1997</v>
      </c>
      <c r="B8" s="899">
        <v>188.06152293360134</v>
      </c>
      <c r="C8" s="197">
        <v>8.6558371467537087E-2</v>
      </c>
      <c r="D8" s="899">
        <v>124.66129778231421</v>
      </c>
      <c r="E8" s="197">
        <v>8.6558371467537087E-2</v>
      </c>
      <c r="F8" s="899">
        <v>51.854400048567307</v>
      </c>
      <c r="G8" s="197">
        <v>8.6558371467537087E-2</v>
      </c>
      <c r="I8" s="9"/>
      <c r="J8" s="9"/>
      <c r="K8" s="9"/>
    </row>
    <row r="9" spans="1:11" ht="20" customHeight="1" thickBot="1">
      <c r="A9" s="194">
        <v>1998</v>
      </c>
      <c r="B9" s="899">
        <v>197.28646689698576</v>
      </c>
      <c r="C9" s="197">
        <v>4.9052798358128147E-2</v>
      </c>
      <c r="D9" s="899">
        <v>125.29607374124997</v>
      </c>
      <c r="E9" s="197">
        <v>5.0920050587330845E-3</v>
      </c>
      <c r="F9" s="899">
        <v>51.799576777497641</v>
      </c>
      <c r="G9" s="197">
        <v>-1.0572539845860041E-3</v>
      </c>
    </row>
    <row r="10" spans="1:11" ht="20" customHeight="1" thickBot="1">
      <c r="A10" s="194">
        <v>1999</v>
      </c>
      <c r="B10" s="899">
        <v>203.88952141156713</v>
      </c>
      <c r="C10" s="197">
        <v>3.3469373842196726E-2</v>
      </c>
      <c r="D10" s="899">
        <v>130.21886901362492</v>
      </c>
      <c r="E10" s="197">
        <v>3.9289301934081866E-2</v>
      </c>
      <c r="F10" s="899">
        <v>53.348085764350309</v>
      </c>
      <c r="G10" s="197">
        <v>2.9894240130652117E-2</v>
      </c>
    </row>
    <row r="11" spans="1:11" ht="20" customHeight="1" thickBot="1">
      <c r="A11" s="194">
        <v>2000</v>
      </c>
      <c r="B11" s="899">
        <v>211.67614847185897</v>
      </c>
      <c r="C11" s="197">
        <v>3.8190422962315562E-2</v>
      </c>
      <c r="D11" s="899">
        <v>134.7191420153035</v>
      </c>
      <c r="E11" s="197">
        <v>3.4559300320813779E-2</v>
      </c>
      <c r="F11" s="899">
        <v>55.173206027906794</v>
      </c>
      <c r="G11" s="197">
        <v>3.4211541752752428E-2</v>
      </c>
    </row>
    <row r="12" spans="1:11" ht="20" customHeight="1" thickBot="1">
      <c r="A12" s="194">
        <v>2001</v>
      </c>
      <c r="B12" s="899">
        <v>223.27</v>
      </c>
      <c r="C12" s="197">
        <v>5.4771648160833575E-2</v>
      </c>
      <c r="D12" s="899">
        <v>149.77000000000001</v>
      </c>
      <c r="E12" s="197">
        <v>0.11172026305650617</v>
      </c>
      <c r="F12" s="899">
        <v>57.65</v>
      </c>
      <c r="G12" s="197">
        <v>4.4891246139302288E-2</v>
      </c>
    </row>
    <row r="13" spans="1:11" ht="20" customHeight="1" thickBot="1">
      <c r="A13" s="194">
        <v>2002</v>
      </c>
      <c r="B13" s="899">
        <v>245.01247000000001</v>
      </c>
      <c r="C13" s="197">
        <v>9.7381959063017831E-2</v>
      </c>
      <c r="D13" s="899">
        <v>172.20867000000001</v>
      </c>
      <c r="E13" s="197">
        <v>0.14982085864992989</v>
      </c>
      <c r="F13" s="899">
        <v>63.127989999999997</v>
      </c>
      <c r="G13" s="197">
        <v>9.502150910667817E-2</v>
      </c>
    </row>
    <row r="14" spans="1:11" ht="20" customHeight="1" thickBot="1">
      <c r="A14" s="194">
        <v>2003</v>
      </c>
      <c r="B14" s="899">
        <v>268.54743999999999</v>
      </c>
      <c r="C14" s="197">
        <v>9.6056212975608846E-2</v>
      </c>
      <c r="D14" s="899">
        <v>198.72591</v>
      </c>
      <c r="E14" s="197">
        <v>0.15398318795447397</v>
      </c>
      <c r="F14" s="899">
        <v>68.990499999999997</v>
      </c>
      <c r="G14" s="197">
        <v>9.2867046772754813E-2</v>
      </c>
    </row>
    <row r="15" spans="1:11" ht="20" customHeight="1" thickBot="1">
      <c r="A15" s="194">
        <v>2004</v>
      </c>
      <c r="B15" s="899">
        <v>279.98</v>
      </c>
      <c r="C15" s="197">
        <v>4.2571845034158562E-2</v>
      </c>
      <c r="D15" s="899">
        <v>213.29</v>
      </c>
      <c r="E15" s="197">
        <v>7.3287323228259371E-2</v>
      </c>
      <c r="F15" s="899">
        <v>71.84</v>
      </c>
      <c r="G15" s="197">
        <v>4.1302788065023632E-2</v>
      </c>
    </row>
    <row r="16" spans="1:11" ht="20" customHeight="1" thickBot="1">
      <c r="A16" s="194">
        <v>2005</v>
      </c>
      <c r="B16" s="899">
        <v>290.21806622890591</v>
      </c>
      <c r="C16" s="197">
        <v>3.6567134184248395E-2</v>
      </c>
      <c r="D16" s="899">
        <v>225.09346768269774</v>
      </c>
      <c r="E16" s="197">
        <v>5.5339995699272171E-2</v>
      </c>
      <c r="F16" s="899">
        <v>71.95510451056029</v>
      </c>
      <c r="G16" s="197">
        <v>1.6022342784003385E-3</v>
      </c>
    </row>
    <row r="17" spans="1:12" ht="20" customHeight="1" thickBot="1">
      <c r="A17" s="194">
        <v>2006</v>
      </c>
      <c r="B17" s="899">
        <v>306.40836181971781</v>
      </c>
      <c r="C17" s="197">
        <v>5.5786656568933335E-2</v>
      </c>
      <c r="D17" s="899">
        <v>241.17388660184943</v>
      </c>
      <c r="E17" s="197">
        <v>7.1438851978678608E-2</v>
      </c>
      <c r="F17" s="899">
        <v>74.466353915536445</v>
      </c>
      <c r="G17" s="197">
        <v>3.4900225940295959E-2</v>
      </c>
    </row>
    <row r="18" spans="1:12" ht="20" customHeight="1" thickBot="1">
      <c r="A18" s="194">
        <v>2007</v>
      </c>
      <c r="B18" s="899">
        <v>313.01044236889447</v>
      </c>
      <c r="C18" s="197">
        <v>2.1546672257792832E-2</v>
      </c>
      <c r="D18" s="899">
        <v>246.30400307180668</v>
      </c>
      <c r="E18" s="197">
        <v>2.1271442535677476E-2</v>
      </c>
      <c r="F18" s="899">
        <v>75.718485025980357</v>
      </c>
      <c r="G18" s="197">
        <v>1.6814722953458094E-2</v>
      </c>
    </row>
    <row r="19" spans="1:12" ht="20" customHeight="1" thickBot="1">
      <c r="A19" s="194">
        <v>2008</v>
      </c>
      <c r="B19" s="899">
        <v>314.60604194243149</v>
      </c>
      <c r="C19" s="197">
        <v>5.097592148879615E-3</v>
      </c>
      <c r="D19" s="899">
        <v>248.01478980217522</v>
      </c>
      <c r="E19" s="197">
        <v>6.9458340466752588E-3</v>
      </c>
      <c r="F19" s="899">
        <v>75.260357578802569</v>
      </c>
      <c r="G19" s="197">
        <v>-6.0504042971883942E-3</v>
      </c>
    </row>
    <row r="20" spans="1:12" ht="20" customHeight="1" thickBot="1">
      <c r="A20" s="194">
        <v>2009</v>
      </c>
      <c r="B20" s="899">
        <v>322.86486279268746</v>
      </c>
      <c r="C20" s="197">
        <v>2.6251310366655956E-2</v>
      </c>
      <c r="D20" s="899">
        <v>258.51834876494348</v>
      </c>
      <c r="E20" s="197">
        <v>4.2350534704588494E-2</v>
      </c>
      <c r="F20" s="899">
        <v>76.359591370012836</v>
      </c>
      <c r="G20" s="197">
        <v>1.4605747654856671E-2</v>
      </c>
    </row>
    <row r="21" spans="1:12" ht="20" customHeight="1" thickBot="1">
      <c r="A21" s="194">
        <v>2010</v>
      </c>
      <c r="B21" s="899">
        <v>351.05082991253505</v>
      </c>
      <c r="C21" s="197">
        <v>8.7299580623444673E-2</v>
      </c>
      <c r="D21" s="899">
        <v>293.85185032818998</v>
      </c>
      <c r="E21" s="197">
        <v>0.13667695825867021</v>
      </c>
      <c r="F21" s="899">
        <v>84.027090196386368</v>
      </c>
      <c r="G21" s="197">
        <v>0.10041304162065789</v>
      </c>
    </row>
    <row r="22" spans="1:12" ht="20" customHeight="1" thickBot="1">
      <c r="A22" s="194">
        <v>2011</v>
      </c>
      <c r="B22" s="899">
        <v>373.81789265832555</v>
      </c>
      <c r="C22" s="197">
        <v>6.4854034817302564E-2</v>
      </c>
      <c r="D22" s="899">
        <v>328.49835406580917</v>
      </c>
      <c r="E22" s="197">
        <v>0.11790466420042645</v>
      </c>
      <c r="F22" s="899">
        <v>89.330984822405611</v>
      </c>
      <c r="G22" s="197">
        <v>6.3121245941315962E-2</v>
      </c>
    </row>
    <row r="23" spans="1:12" ht="20" customHeight="1" thickBot="1">
      <c r="A23" s="194">
        <v>2012</v>
      </c>
      <c r="B23" s="899">
        <v>382.00328757086839</v>
      </c>
      <c r="C23" s="197">
        <v>2.189674457349855E-2</v>
      </c>
      <c r="D23" s="899">
        <v>343.05838678587634</v>
      </c>
      <c r="E23" s="197">
        <v>4.4323000526055312E-2</v>
      </c>
      <c r="F23" s="899">
        <v>90.589348150346225</v>
      </c>
      <c r="G23" s="197">
        <v>1.4086526981005543E-2</v>
      </c>
    </row>
    <row r="24" spans="1:12" ht="30" customHeight="1" thickBot="1">
      <c r="A24" s="198">
        <v>2013</v>
      </c>
      <c r="B24" s="900">
        <v>387.70013650893986</v>
      </c>
      <c r="C24" s="109">
        <v>1.4913088770249328E-2</v>
      </c>
      <c r="D24" s="900">
        <v>353.07516647457373</v>
      </c>
      <c r="E24" s="109">
        <v>2.9198469049379394E-2</v>
      </c>
      <c r="F24" s="900">
        <v>89.345468695083099</v>
      </c>
      <c r="G24" s="109">
        <v>-1.3730968161938084E-2</v>
      </c>
    </row>
    <row r="25" spans="1:12" ht="20" customHeight="1">
      <c r="A25" s="112" t="s">
        <v>1550</v>
      </c>
      <c r="B25" s="112"/>
      <c r="C25" s="112"/>
      <c r="D25" s="112"/>
      <c r="E25" s="112"/>
      <c r="F25" s="901"/>
      <c r="G25" s="112"/>
    </row>
    <row r="26" spans="1:12" ht="14.25" customHeight="1">
      <c r="A26" s="115"/>
      <c r="B26" s="115"/>
      <c r="C26" s="115"/>
      <c r="D26" s="115"/>
      <c r="E26" s="115"/>
      <c r="F26" s="902"/>
      <c r="G26" s="115"/>
    </row>
    <row r="27" spans="1:12" ht="14.25" customHeight="1">
      <c r="A27" s="115" t="s">
        <v>1492</v>
      </c>
      <c r="B27" s="203"/>
      <c r="C27" s="203"/>
      <c r="D27" s="203"/>
      <c r="E27" s="203"/>
      <c r="F27" s="203"/>
      <c r="G27" s="203"/>
      <c r="H27" s="203"/>
      <c r="I27" s="204"/>
    </row>
    <row r="28" spans="1:12" ht="20" customHeight="1">
      <c r="A28" s="115"/>
      <c r="B28" s="203"/>
      <c r="C28" s="203"/>
      <c r="D28" s="203"/>
      <c r="E28" s="203"/>
      <c r="F28" s="203"/>
      <c r="G28" s="203"/>
      <c r="H28" s="203"/>
      <c r="I28" s="204"/>
    </row>
    <row r="29" spans="1:12" ht="17.5" customHeight="1">
      <c r="A29" s="3" t="s">
        <v>1493</v>
      </c>
      <c r="B29" s="203"/>
      <c r="C29" s="203"/>
      <c r="D29" s="203"/>
      <c r="E29" s="203"/>
      <c r="F29" s="203"/>
      <c r="G29" s="203"/>
      <c r="H29" s="203"/>
      <c r="I29" s="204"/>
      <c r="J29" s="4"/>
      <c r="K29" s="4"/>
      <c r="L29" s="4"/>
    </row>
    <row r="30" spans="1:12" ht="12.75" customHeight="1">
      <c r="A30" s="115" t="s">
        <v>1494</v>
      </c>
      <c r="B30" s="203"/>
      <c r="C30" s="203"/>
      <c r="D30" s="203"/>
      <c r="E30" s="203"/>
      <c r="F30" s="203"/>
      <c r="G30" s="203"/>
      <c r="H30" s="203"/>
      <c r="I30" s="204"/>
    </row>
    <row r="31" spans="1:12">
      <c r="A31" s="3" t="s">
        <v>1495</v>
      </c>
      <c r="F31" s="3"/>
    </row>
    <row r="32" spans="1:12">
      <c r="A32" s="3" t="s">
        <v>1496</v>
      </c>
      <c r="F32" s="3"/>
    </row>
    <row r="33" spans="1:6">
      <c r="A33" s="3" t="s">
        <v>1497</v>
      </c>
      <c r="F33" s="3"/>
    </row>
    <row r="34" spans="1:6">
      <c r="A34" s="3" t="s">
        <v>1498</v>
      </c>
      <c r="F34" s="3"/>
    </row>
    <row r="35" spans="1:6">
      <c r="A35" s="115" t="s">
        <v>1499</v>
      </c>
      <c r="F35" s="3"/>
    </row>
    <row r="36" spans="1:6">
      <c r="A36" s="115" t="s">
        <v>1500</v>
      </c>
      <c r="F36" s="3"/>
    </row>
    <row r="37" spans="1:6">
      <c r="A37" s="903" t="s">
        <v>1501</v>
      </c>
      <c r="F37" s="3"/>
    </row>
    <row r="38" spans="1:6">
      <c r="A38" s="3" t="s">
        <v>1502</v>
      </c>
      <c r="F38" s="3"/>
    </row>
    <row r="39" spans="1:6">
      <c r="A39" s="3" t="s">
        <v>1503</v>
      </c>
      <c r="F39" s="3"/>
    </row>
    <row r="40" spans="1:6">
      <c r="A40" s="3" t="s">
        <v>1504</v>
      </c>
      <c r="F40" s="3"/>
    </row>
    <row r="41" spans="1:6">
      <c r="A41" s="904" t="s">
        <v>1505</v>
      </c>
      <c r="F41" s="3"/>
    </row>
    <row r="44" spans="1:6">
      <c r="A44" s="3" t="s">
        <v>719</v>
      </c>
    </row>
  </sheetData>
  <pageMargins left="0.43307086614173229" right="0.27559055118110237" top="0.87" bottom="0.47244094488188981" header="0.51181102362204722" footer="0.51181102362204722"/>
  <pageSetup paperSize="9" scale="80" orientation="portrait" horizontalDpi="4294967292" verticalDpi="4294967292"/>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2F46-240D-4E40-B3B6-A3E6C528EC03}">
  <sheetPr>
    <pageSetUpPr fitToPage="1"/>
  </sheetPr>
  <dimension ref="A1:L45"/>
  <sheetViews>
    <sheetView zoomScaleNormal="100" workbookViewId="0">
      <selection activeCell="L5" sqref="L5"/>
    </sheetView>
  </sheetViews>
  <sheetFormatPr baseColWidth="10" defaultColWidth="11.3984375" defaultRowHeight="13"/>
  <cols>
    <col min="1" max="1" width="15.19921875" style="3" customWidth="1"/>
    <col min="2" max="6" width="15.796875" style="3" customWidth="1"/>
    <col min="7" max="8" width="14.3984375" style="3" customWidth="1"/>
    <col min="9" max="16384" width="11.3984375" style="3"/>
  </cols>
  <sheetData>
    <row r="1" spans="1:8" s="2" customFormat="1" ht="14" customHeight="1">
      <c r="A1" s="121"/>
      <c r="B1" s="121"/>
      <c r="C1" s="121"/>
      <c r="D1" s="121"/>
      <c r="E1" s="121"/>
      <c r="F1" s="121"/>
    </row>
    <row r="2" spans="1:8" s="2" customFormat="1" ht="23.25" customHeight="1">
      <c r="A2" s="122" t="s">
        <v>1521</v>
      </c>
      <c r="B2" s="121"/>
      <c r="C2" s="121"/>
      <c r="D2" s="121"/>
      <c r="E2" s="121"/>
      <c r="F2" s="121"/>
    </row>
    <row r="3" spans="1:8" s="2" customFormat="1" ht="27.75" customHeight="1">
      <c r="A3" s="122" t="s">
        <v>1551</v>
      </c>
      <c r="B3" s="121"/>
      <c r="C3" s="121"/>
      <c r="D3" s="121"/>
      <c r="E3" s="121"/>
      <c r="F3" s="121"/>
    </row>
    <row r="4" spans="1:8" ht="20.5" customHeight="1">
      <c r="A4" s="92" t="s">
        <v>191</v>
      </c>
      <c r="B4" s="910" t="s">
        <v>1522</v>
      </c>
      <c r="C4" s="911" t="s">
        <v>1523</v>
      </c>
      <c r="D4" s="910" t="s">
        <v>1524</v>
      </c>
      <c r="E4" s="911" t="s">
        <v>1525</v>
      </c>
      <c r="F4" s="910" t="s">
        <v>1526</v>
      </c>
      <c r="G4" s="912" t="s">
        <v>279</v>
      </c>
      <c r="H4" s="913" t="s">
        <v>1527</v>
      </c>
    </row>
    <row r="5" spans="1:8" ht="17" customHeight="1">
      <c r="A5" s="184"/>
      <c r="B5" s="914"/>
      <c r="C5" s="915"/>
      <c r="D5" s="914"/>
      <c r="E5" s="915"/>
      <c r="F5" s="916" t="s">
        <v>1528</v>
      </c>
      <c r="G5" s="917" t="s">
        <v>282</v>
      </c>
      <c r="H5" s="918" t="s">
        <v>1529</v>
      </c>
    </row>
    <row r="6" spans="1:8" ht="20" customHeight="1">
      <c r="A6" s="470"/>
      <c r="B6" s="321"/>
      <c r="C6" s="919"/>
      <c r="D6" s="321"/>
      <c r="E6" s="919"/>
      <c r="F6" s="920"/>
      <c r="G6" s="921" t="s">
        <v>283</v>
      </c>
      <c r="H6" s="922" t="s">
        <v>279</v>
      </c>
    </row>
    <row r="7" spans="1:8" ht="18.5" customHeight="1">
      <c r="A7" s="188"/>
      <c r="B7" s="189"/>
      <c r="C7" s="190"/>
      <c r="D7" s="189"/>
      <c r="E7" s="190"/>
      <c r="F7" s="98"/>
      <c r="G7" s="923"/>
      <c r="H7" s="924" t="s">
        <v>1554</v>
      </c>
    </row>
    <row r="8" spans="1:8" ht="30" customHeight="1" thickBot="1">
      <c r="A8" s="925" t="s">
        <v>362</v>
      </c>
      <c r="B8" s="311">
        <v>425.64195899999999</v>
      </c>
      <c r="C8" s="312">
        <v>382.20944300000002</v>
      </c>
      <c r="D8" s="311">
        <v>355.112345</v>
      </c>
      <c r="E8" s="312" t="s">
        <v>1133</v>
      </c>
      <c r="F8" s="926">
        <v>385.48727376348666</v>
      </c>
      <c r="G8" s="101">
        <v>2.083605208452477E-2</v>
      </c>
      <c r="H8" s="523">
        <v>5.2550986338347094E-2</v>
      </c>
    </row>
    <row r="9" spans="1:8" ht="20" customHeight="1" thickBot="1">
      <c r="A9" s="927" t="s">
        <v>363</v>
      </c>
      <c r="B9" s="313">
        <v>459.57553999999999</v>
      </c>
      <c r="C9" s="314">
        <v>408.03783199999998</v>
      </c>
      <c r="D9" s="313">
        <v>385.56415800000002</v>
      </c>
      <c r="E9" s="314" t="s">
        <v>1133</v>
      </c>
      <c r="F9" s="928">
        <v>418.7915068426492</v>
      </c>
      <c r="G9" s="197">
        <v>6.0643866504850319E-3</v>
      </c>
      <c r="H9" s="220">
        <v>5.6341222491901544E-2</v>
      </c>
    </row>
    <row r="10" spans="1:8" ht="20" customHeight="1" thickBot="1">
      <c r="A10" s="927" t="s">
        <v>364</v>
      </c>
      <c r="B10" s="313">
        <v>363.35185799999999</v>
      </c>
      <c r="C10" s="314">
        <v>338.61383499999999</v>
      </c>
      <c r="D10" s="313">
        <v>323.42065200000002</v>
      </c>
      <c r="E10" s="314" t="s">
        <v>1133</v>
      </c>
      <c r="F10" s="928">
        <v>344.1453556989955</v>
      </c>
      <c r="G10" s="197">
        <v>1.5576620778761763E-2</v>
      </c>
      <c r="H10" s="220">
        <v>5.4731814433624182E-2</v>
      </c>
    </row>
    <row r="11" spans="1:8" ht="20" customHeight="1" thickBot="1">
      <c r="A11" s="927" t="s">
        <v>365</v>
      </c>
      <c r="B11" s="313" t="s">
        <v>1133</v>
      </c>
      <c r="C11" s="314" t="s">
        <v>1133</v>
      </c>
      <c r="D11" s="313" t="s">
        <v>1133</v>
      </c>
      <c r="E11" s="314">
        <v>322.63815599999998</v>
      </c>
      <c r="F11" s="928">
        <v>322.63815552776441</v>
      </c>
      <c r="G11" s="197">
        <v>1.1581579605979719E-2</v>
      </c>
      <c r="H11" s="220">
        <v>4.982735985610165E-2</v>
      </c>
    </row>
    <row r="12" spans="1:8" ht="20" customHeight="1" thickBot="1">
      <c r="A12" s="927" t="s">
        <v>366</v>
      </c>
      <c r="B12" s="313" t="s">
        <v>1133</v>
      </c>
      <c r="C12" s="314" t="s">
        <v>1133</v>
      </c>
      <c r="D12" s="313" t="s">
        <v>1133</v>
      </c>
      <c r="E12" s="314">
        <v>334.49057699999997</v>
      </c>
      <c r="F12" s="928">
        <v>334.49057674502689</v>
      </c>
      <c r="G12" s="197">
        <v>1.769739295615036E-2</v>
      </c>
      <c r="H12" s="220">
        <v>5.2457980818765071E-2</v>
      </c>
    </row>
    <row r="13" spans="1:8" ht="20" customHeight="1" thickBot="1">
      <c r="A13" s="927" t="s">
        <v>367</v>
      </c>
      <c r="B13" s="313" t="s">
        <v>1133</v>
      </c>
      <c r="C13" s="314" t="s">
        <v>1133</v>
      </c>
      <c r="D13" s="313" t="s">
        <v>1133</v>
      </c>
      <c r="E13" s="314">
        <v>315.110254</v>
      </c>
      <c r="F13" s="928">
        <v>315.1102539887512</v>
      </c>
      <c r="G13" s="197">
        <v>1.528157017082088E-2</v>
      </c>
      <c r="H13" s="220">
        <v>4.8048026982805192E-2</v>
      </c>
    </row>
    <row r="14" spans="1:8" ht="20" customHeight="1" thickBot="1">
      <c r="A14" s="927" t="s">
        <v>368</v>
      </c>
      <c r="B14" s="313" t="s">
        <v>1133</v>
      </c>
      <c r="C14" s="314" t="s">
        <v>1133</v>
      </c>
      <c r="D14" s="313" t="s">
        <v>1133</v>
      </c>
      <c r="E14" s="314">
        <v>300.24741799999998</v>
      </c>
      <c r="F14" s="928">
        <v>300.24741809751981</v>
      </c>
      <c r="G14" s="197">
        <v>2.7288033300958636E-2</v>
      </c>
      <c r="H14" s="220">
        <v>4.7914576757077221E-2</v>
      </c>
    </row>
    <row r="15" spans="1:8" ht="20" customHeight="1" thickBot="1">
      <c r="A15" s="927" t="s">
        <v>369</v>
      </c>
      <c r="B15" s="313" t="s">
        <v>1133</v>
      </c>
      <c r="C15" s="314" t="s">
        <v>1133</v>
      </c>
      <c r="D15" s="313" t="s">
        <v>1133</v>
      </c>
      <c r="E15" s="314">
        <v>336.454159</v>
      </c>
      <c r="F15" s="928">
        <v>336.45415965395802</v>
      </c>
      <c r="G15" s="197">
        <v>1.6816608527275845E-2</v>
      </c>
      <c r="H15" s="220">
        <v>5.7574044198807073E-2</v>
      </c>
    </row>
    <row r="16" spans="1:8" ht="20" customHeight="1" thickBot="1">
      <c r="A16" s="927" t="s">
        <v>370</v>
      </c>
      <c r="B16" s="313" t="s">
        <v>1133</v>
      </c>
      <c r="C16" s="314" t="s">
        <v>1133</v>
      </c>
      <c r="D16" s="313" t="s">
        <v>1133</v>
      </c>
      <c r="E16" s="314">
        <v>330.05509799999999</v>
      </c>
      <c r="F16" s="928">
        <v>330.05509753511063</v>
      </c>
      <c r="G16" s="197">
        <v>9.5133239715075035E-3</v>
      </c>
      <c r="H16" s="220">
        <v>5.0730253051621599E-2</v>
      </c>
    </row>
    <row r="17" spans="1:8" ht="20" customHeight="1" thickBot="1">
      <c r="A17" s="927" t="s">
        <v>371</v>
      </c>
      <c r="B17" s="313">
        <v>387.91888699999998</v>
      </c>
      <c r="C17" s="314">
        <v>352.698939</v>
      </c>
      <c r="D17" s="313" t="s">
        <v>1133</v>
      </c>
      <c r="E17" s="314" t="s">
        <v>1133</v>
      </c>
      <c r="F17" s="928">
        <v>364.75229928115425</v>
      </c>
      <c r="G17" s="197">
        <v>1.6109641870835523E-2</v>
      </c>
      <c r="H17" s="220">
        <v>4.2926247723060529E-2</v>
      </c>
    </row>
    <row r="18" spans="1:8" ht="20" customHeight="1" thickBot="1">
      <c r="A18" s="927" t="s">
        <v>372</v>
      </c>
      <c r="B18" s="313" t="s">
        <v>1133</v>
      </c>
      <c r="C18" s="314" t="s">
        <v>1133</v>
      </c>
      <c r="D18" s="313" t="s">
        <v>1133</v>
      </c>
      <c r="E18" s="314">
        <v>367.83444800000001</v>
      </c>
      <c r="F18" s="928">
        <v>367.83444793271354</v>
      </c>
      <c r="G18" s="197">
        <v>1.8934183225308043E-2</v>
      </c>
      <c r="H18" s="220">
        <v>5.275614014236929E-2</v>
      </c>
    </row>
    <row r="19" spans="1:8" ht="20" customHeight="1" thickBot="1">
      <c r="A19" s="927" t="s">
        <v>373</v>
      </c>
      <c r="B19" s="313" t="s">
        <v>1133</v>
      </c>
      <c r="C19" s="314" t="s">
        <v>1133</v>
      </c>
      <c r="D19" s="313" t="s">
        <v>1133</v>
      </c>
      <c r="E19" s="314">
        <v>505.858588</v>
      </c>
      <c r="F19" s="928">
        <v>505.85858773097664</v>
      </c>
      <c r="G19" s="197">
        <v>1.0831611408099961E-2</v>
      </c>
      <c r="H19" s="220">
        <v>5.6893090986944728E-2</v>
      </c>
    </row>
    <row r="20" spans="1:8" ht="20" customHeight="1" thickBot="1">
      <c r="A20" s="927" t="s">
        <v>374</v>
      </c>
      <c r="B20" s="313">
        <v>422.09961700000002</v>
      </c>
      <c r="C20" s="314">
        <v>392.04839700000002</v>
      </c>
      <c r="D20" s="313" t="s">
        <v>1133</v>
      </c>
      <c r="E20" s="314" t="s">
        <v>1133</v>
      </c>
      <c r="F20" s="928">
        <v>413.86226682813503</v>
      </c>
      <c r="G20" s="197">
        <v>1.3093184104535416E-2</v>
      </c>
      <c r="H20" s="220">
        <v>5.3785866502076285E-2</v>
      </c>
    </row>
    <row r="21" spans="1:8" ht="20" customHeight="1" thickBot="1">
      <c r="A21" s="927" t="s">
        <v>375</v>
      </c>
      <c r="B21" s="313">
        <v>382.89270199999999</v>
      </c>
      <c r="C21" s="314">
        <v>356.16872599999999</v>
      </c>
      <c r="D21" s="313" t="s">
        <v>1133</v>
      </c>
      <c r="E21" s="314" t="s">
        <v>1133</v>
      </c>
      <c r="F21" s="928">
        <v>371.94617464714509</v>
      </c>
      <c r="G21" s="197">
        <v>2.2229485432517571E-2</v>
      </c>
      <c r="H21" s="220">
        <v>5.7510834240611874E-2</v>
      </c>
    </row>
    <row r="22" spans="1:8" ht="20" customHeight="1" thickBot="1">
      <c r="A22" s="927" t="s">
        <v>376</v>
      </c>
      <c r="B22" s="313" t="s">
        <v>1133</v>
      </c>
      <c r="C22" s="314" t="s">
        <v>1133</v>
      </c>
      <c r="D22" s="313" t="s">
        <v>1133</v>
      </c>
      <c r="E22" s="314">
        <v>320.78274499999998</v>
      </c>
      <c r="F22" s="928">
        <v>320.78274567038829</v>
      </c>
      <c r="G22" s="197">
        <v>4.3828735956678244E-2</v>
      </c>
      <c r="H22" s="220">
        <v>5.9203178278058433E-2</v>
      </c>
    </row>
    <row r="23" spans="1:8" ht="20" customHeight="1" thickBot="1">
      <c r="A23" s="927" t="s">
        <v>377</v>
      </c>
      <c r="B23" s="313" t="s">
        <v>1133</v>
      </c>
      <c r="C23" s="314" t="s">
        <v>1133</v>
      </c>
      <c r="D23" s="313" t="s">
        <v>1133</v>
      </c>
      <c r="E23" s="314">
        <v>299.24748899999997</v>
      </c>
      <c r="F23" s="928">
        <v>299.24748875744746</v>
      </c>
      <c r="G23" s="197">
        <v>2.3174569803954048E-2</v>
      </c>
      <c r="H23" s="220">
        <v>5.6535501592837489E-2</v>
      </c>
    </row>
    <row r="24" spans="1:8" ht="20" customHeight="1" thickBot="1">
      <c r="A24" s="927" t="s">
        <v>378</v>
      </c>
      <c r="B24" s="313">
        <v>376.01897400000001</v>
      </c>
      <c r="C24" s="314">
        <v>343.82819999999998</v>
      </c>
      <c r="D24" s="313">
        <v>331.51211799999999</v>
      </c>
      <c r="E24" s="314" t="s">
        <v>1133</v>
      </c>
      <c r="F24" s="928">
        <v>350.19433288767186</v>
      </c>
      <c r="G24" s="197">
        <v>1.7995877276253847E-2</v>
      </c>
      <c r="H24" s="220">
        <v>6.0067025052442213E-2</v>
      </c>
    </row>
    <row r="25" spans="1:8" ht="20" customHeight="1" thickBot="1">
      <c r="A25" s="927" t="s">
        <v>379</v>
      </c>
      <c r="B25" s="313">
        <v>347.78657399999997</v>
      </c>
      <c r="C25" s="314">
        <v>320.05201299999999</v>
      </c>
      <c r="D25" s="313">
        <v>307.56278700000001</v>
      </c>
      <c r="E25" s="314" t="s">
        <v>1133</v>
      </c>
      <c r="F25" s="928">
        <v>324.29034363450307</v>
      </c>
      <c r="G25" s="197">
        <v>1.6900424242402456E-2</v>
      </c>
      <c r="H25" s="220">
        <v>5.8871769874747626E-2</v>
      </c>
    </row>
    <row r="26" spans="1:8" ht="20" customHeight="1" thickBot="1">
      <c r="A26" s="927" t="s">
        <v>380</v>
      </c>
      <c r="B26" s="313" t="s">
        <v>1133</v>
      </c>
      <c r="C26" s="314" t="s">
        <v>1133</v>
      </c>
      <c r="D26" s="313" t="s">
        <v>1133</v>
      </c>
      <c r="E26" s="314">
        <v>364.19786599999998</v>
      </c>
      <c r="F26" s="928">
        <v>364.19786511569077</v>
      </c>
      <c r="G26" s="197">
        <v>1.050881800699055E-2</v>
      </c>
      <c r="H26" s="220">
        <v>6.1319409205516928E-2</v>
      </c>
    </row>
    <row r="27" spans="1:8" ht="20" customHeight="1" thickBot="1">
      <c r="A27" s="927" t="s">
        <v>381</v>
      </c>
      <c r="B27" s="313" t="s">
        <v>1133</v>
      </c>
      <c r="C27" s="314" t="s">
        <v>1133</v>
      </c>
      <c r="D27" s="313" t="s">
        <v>1133</v>
      </c>
      <c r="E27" s="314">
        <v>350.10386599999998</v>
      </c>
      <c r="F27" s="928">
        <v>350.10386624280096</v>
      </c>
      <c r="G27" s="197">
        <v>1.6758985594153453E-2</v>
      </c>
      <c r="H27" s="220">
        <v>5.964909397219964E-2</v>
      </c>
    </row>
    <row r="28" spans="1:8" ht="20" customHeight="1" thickBot="1">
      <c r="A28" s="927" t="s">
        <v>382</v>
      </c>
      <c r="B28" s="313">
        <v>415.694838</v>
      </c>
      <c r="C28" s="314">
        <v>386.96826600000003</v>
      </c>
      <c r="D28" s="313" t="s">
        <v>1133</v>
      </c>
      <c r="E28" s="314" t="s">
        <v>1133</v>
      </c>
      <c r="F28" s="928">
        <v>411.40003294072091</v>
      </c>
      <c r="G28" s="197">
        <v>1.0585242822084506E-2</v>
      </c>
      <c r="H28" s="220">
        <v>4.2713574689072997E-2</v>
      </c>
    </row>
    <row r="29" spans="1:8" ht="20" customHeight="1" thickBot="1">
      <c r="A29" s="927" t="s">
        <v>383</v>
      </c>
      <c r="B29" s="313">
        <v>437.10053599999998</v>
      </c>
      <c r="C29" s="314">
        <v>407.82246300000003</v>
      </c>
      <c r="D29" s="313" t="s">
        <v>1133</v>
      </c>
      <c r="E29" s="314" t="s">
        <v>1133</v>
      </c>
      <c r="F29" s="928">
        <v>427.89664431413502</v>
      </c>
      <c r="G29" s="197">
        <v>2.1654116991689509E-2</v>
      </c>
      <c r="H29" s="220">
        <v>3.1102205167147012E-2</v>
      </c>
    </row>
    <row r="30" spans="1:8" ht="20" customHeight="1" thickBot="1">
      <c r="A30" s="927" t="s">
        <v>384</v>
      </c>
      <c r="B30" s="313">
        <v>341.21017399999999</v>
      </c>
      <c r="C30" s="314">
        <v>319.06233800000001</v>
      </c>
      <c r="D30" s="313" t="s">
        <v>1133</v>
      </c>
      <c r="E30" s="314" t="s">
        <v>1133</v>
      </c>
      <c r="F30" s="928">
        <v>334.5198832207542</v>
      </c>
      <c r="G30" s="197">
        <v>1.5104312176746904E-2</v>
      </c>
      <c r="H30" s="220">
        <v>4.0061859581430381E-2</v>
      </c>
    </row>
    <row r="31" spans="1:8" ht="20" customHeight="1" thickBot="1">
      <c r="A31" s="927" t="s">
        <v>385</v>
      </c>
      <c r="B31" s="313" t="s">
        <v>1133</v>
      </c>
      <c r="C31" s="314" t="s">
        <v>1133</v>
      </c>
      <c r="D31" s="313" t="s">
        <v>1133</v>
      </c>
      <c r="E31" s="314">
        <v>397.33909599999998</v>
      </c>
      <c r="F31" s="928">
        <v>397.33909572094336</v>
      </c>
      <c r="G31" s="197">
        <v>4.9182503283784484E-3</v>
      </c>
      <c r="H31" s="220">
        <v>4.5400743236037711E-2</v>
      </c>
    </row>
    <row r="32" spans="1:8" ht="20" customHeight="1" thickBot="1">
      <c r="A32" s="927" t="s">
        <v>386</v>
      </c>
      <c r="B32" s="313" t="s">
        <v>1133</v>
      </c>
      <c r="C32" s="314" t="s">
        <v>1133</v>
      </c>
      <c r="D32" s="313" t="s">
        <v>1133</v>
      </c>
      <c r="E32" s="314">
        <v>469.64986699999997</v>
      </c>
      <c r="F32" s="928">
        <v>469.64986630398914</v>
      </c>
      <c r="G32" s="197">
        <v>1.5030444147484889E-2</v>
      </c>
      <c r="H32" s="220">
        <v>3.4860737073725057E-2</v>
      </c>
    </row>
    <row r="33" spans="1:12" ht="20" customHeight="1" thickBot="1">
      <c r="A33" s="927" t="s">
        <v>387</v>
      </c>
      <c r="B33" s="313" t="s">
        <v>1133</v>
      </c>
      <c r="C33" s="314" t="s">
        <v>1133</v>
      </c>
      <c r="D33" s="313" t="s">
        <v>1133</v>
      </c>
      <c r="E33" s="314">
        <v>403.96450499999997</v>
      </c>
      <c r="F33" s="928">
        <v>403.96450514321452</v>
      </c>
      <c r="G33" s="197">
        <v>3.1941015788003568E-2</v>
      </c>
      <c r="H33" s="220">
        <v>4.6099389985630568E-2</v>
      </c>
    </row>
    <row r="34" spans="1:12" s="482" customFormat="1" ht="30" customHeight="1" thickBot="1">
      <c r="A34" s="107" t="s">
        <v>444</v>
      </c>
      <c r="B34" s="858" t="s">
        <v>1133</v>
      </c>
      <c r="C34" s="859" t="s">
        <v>1133</v>
      </c>
      <c r="D34" s="858" t="s">
        <v>1133</v>
      </c>
      <c r="E34" s="859" t="s">
        <v>1133</v>
      </c>
      <c r="F34" s="858">
        <v>387.70013650893986</v>
      </c>
      <c r="G34" s="929">
        <v>1.4913088770249328E-2</v>
      </c>
      <c r="H34" s="226">
        <v>4.8583178232352253E-2</v>
      </c>
    </row>
    <row r="35" spans="1:12" ht="20" customHeight="1">
      <c r="A35" s="112" t="s">
        <v>1550</v>
      </c>
      <c r="B35" s="930"/>
      <c r="C35" s="930"/>
      <c r="D35" s="930"/>
      <c r="E35" s="930"/>
      <c r="F35" s="930"/>
    </row>
    <row r="36" spans="1:12" ht="12.75" customHeight="1">
      <c r="A36" s="115"/>
      <c r="B36" s="931"/>
      <c r="C36" s="931"/>
      <c r="D36" s="931"/>
      <c r="E36" s="931"/>
      <c r="F36" s="931"/>
    </row>
    <row r="37" spans="1:12" ht="15.75" customHeight="1">
      <c r="A37" s="115" t="s">
        <v>1530</v>
      </c>
      <c r="B37" s="931"/>
      <c r="C37" s="931"/>
      <c r="D37" s="931"/>
      <c r="E37" s="931"/>
      <c r="F37" s="931"/>
    </row>
    <row r="38" spans="1:12" ht="13.5" customHeight="1">
      <c r="A38" s="115"/>
      <c r="B38" s="931"/>
      <c r="C38" s="931"/>
      <c r="D38" s="931"/>
      <c r="E38" s="931"/>
      <c r="F38" s="931"/>
    </row>
    <row r="39" spans="1:12" ht="12.75" customHeight="1">
      <c r="A39" s="115" t="s">
        <v>1531</v>
      </c>
      <c r="B39" s="931"/>
      <c r="C39" s="931"/>
      <c r="D39" s="931"/>
      <c r="E39" s="931"/>
      <c r="F39" s="931"/>
    </row>
    <row r="40" spans="1:12">
      <c r="A40" s="3" t="s">
        <v>1532</v>
      </c>
      <c r="B40" s="61"/>
      <c r="C40" s="61"/>
      <c r="D40" s="61"/>
      <c r="E40" s="61"/>
      <c r="F40" s="61"/>
    </row>
    <row r="41" spans="1:12">
      <c r="A41" s="3" t="s">
        <v>1533</v>
      </c>
      <c r="B41" s="61"/>
      <c r="C41" s="61"/>
      <c r="D41" s="61"/>
      <c r="E41" s="61"/>
      <c r="F41" s="61"/>
    </row>
    <row r="42" spans="1:12">
      <c r="A42" s="3" t="s">
        <v>1534</v>
      </c>
      <c r="B42" s="61"/>
      <c r="C42" s="61"/>
      <c r="D42" s="61"/>
      <c r="E42" s="61"/>
      <c r="F42" s="61"/>
      <c r="J42" s="4"/>
      <c r="K42" s="4"/>
      <c r="L42" s="4"/>
    </row>
    <row r="43" spans="1:12">
      <c r="B43" s="61"/>
      <c r="C43" s="61"/>
      <c r="D43" s="61"/>
      <c r="E43" s="61"/>
      <c r="F43" s="61"/>
    </row>
    <row r="44" spans="1:12">
      <c r="B44" s="61"/>
      <c r="C44" s="61"/>
      <c r="D44" s="61"/>
      <c r="E44" s="61"/>
      <c r="F44" s="61"/>
    </row>
    <row r="45" spans="1:12">
      <c r="A45" s="3" t="s">
        <v>719</v>
      </c>
    </row>
  </sheetData>
  <pageMargins left="0.57999999999999996" right="0.62" top="0.78" bottom="0.47244094488188981" header="0.44" footer="0.51181102362204722"/>
  <pageSetup paperSize="9" scale="74" orientation="portrait"/>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FEA4-7C1B-1246-B923-009A690D6DD9}">
  <sheetPr>
    <pageSetUpPr fitToPage="1"/>
  </sheetPr>
  <dimension ref="A1:L45"/>
  <sheetViews>
    <sheetView zoomScaleNormal="100" workbookViewId="0">
      <selection activeCell="A40" sqref="A40"/>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121"/>
      <c r="B1" s="121"/>
      <c r="C1" s="121"/>
      <c r="D1" s="121"/>
      <c r="E1" s="121"/>
      <c r="F1" s="121"/>
    </row>
    <row r="2" spans="1:8" s="2" customFormat="1" ht="21" customHeight="1">
      <c r="A2" s="122" t="s">
        <v>1535</v>
      </c>
      <c r="B2" s="121"/>
      <c r="C2" s="121"/>
      <c r="D2" s="121"/>
      <c r="E2" s="121"/>
      <c r="F2" s="121"/>
    </row>
    <row r="3" spans="1:8" s="2" customFormat="1" ht="27" customHeight="1">
      <c r="A3" s="122" t="s">
        <v>1552</v>
      </c>
      <c r="B3" s="121"/>
      <c r="C3" s="121"/>
      <c r="D3" s="121"/>
      <c r="E3" s="121"/>
      <c r="F3" s="121"/>
    </row>
    <row r="4" spans="1:8" ht="24" customHeight="1">
      <c r="A4" s="92" t="s">
        <v>191</v>
      </c>
      <c r="B4" s="910" t="s">
        <v>1522</v>
      </c>
      <c r="C4" s="911" t="s">
        <v>1523</v>
      </c>
      <c r="D4" s="910" t="s">
        <v>1524</v>
      </c>
      <c r="E4" s="911" t="s">
        <v>1525</v>
      </c>
      <c r="F4" s="910" t="s">
        <v>1526</v>
      </c>
      <c r="G4" s="912" t="s">
        <v>279</v>
      </c>
      <c r="H4" s="913" t="s">
        <v>1527</v>
      </c>
    </row>
    <row r="5" spans="1:8" ht="22.25" customHeight="1">
      <c r="A5" s="184"/>
      <c r="B5" s="914"/>
      <c r="C5" s="915"/>
      <c r="D5" s="914"/>
      <c r="E5" s="915"/>
      <c r="F5" s="916" t="s">
        <v>1536</v>
      </c>
      <c r="G5" s="917" t="s">
        <v>282</v>
      </c>
      <c r="H5" s="918" t="s">
        <v>1529</v>
      </c>
    </row>
    <row r="6" spans="1:8" ht="21" customHeight="1">
      <c r="A6" s="184"/>
      <c r="B6" s="914"/>
      <c r="C6" s="915"/>
      <c r="D6" s="914"/>
      <c r="E6" s="915"/>
      <c r="F6" s="916" t="s">
        <v>1528</v>
      </c>
      <c r="G6" s="921" t="s">
        <v>283</v>
      </c>
      <c r="H6" s="922" t="s">
        <v>279</v>
      </c>
    </row>
    <row r="7" spans="1:8" ht="20.5" customHeight="1">
      <c r="A7" s="188"/>
      <c r="B7" s="189"/>
      <c r="C7" s="190"/>
      <c r="D7" s="189"/>
      <c r="E7" s="190"/>
      <c r="F7" s="98"/>
      <c r="G7" s="923"/>
      <c r="H7" s="924" t="s">
        <v>1554</v>
      </c>
    </row>
    <row r="8" spans="1:8" ht="30" customHeight="1" thickBot="1">
      <c r="A8" s="925" t="s">
        <v>362</v>
      </c>
      <c r="B8" s="311">
        <v>395.25603000000001</v>
      </c>
      <c r="C8" s="312">
        <v>352.03200399999997</v>
      </c>
      <c r="D8" s="311">
        <v>325.77509800000001</v>
      </c>
      <c r="E8" s="312" t="s">
        <v>1133</v>
      </c>
      <c r="F8" s="926">
        <v>352.34709241819485</v>
      </c>
      <c r="G8" s="101">
        <v>3.2881772814655985E-2</v>
      </c>
      <c r="H8" s="523">
        <v>7.1475739749687461E-2</v>
      </c>
    </row>
    <row r="9" spans="1:8" ht="20" customHeight="1" thickBot="1">
      <c r="A9" s="927" t="s">
        <v>363</v>
      </c>
      <c r="B9" s="313">
        <v>418.62839700000001</v>
      </c>
      <c r="C9" s="314">
        <v>362.57755500000002</v>
      </c>
      <c r="D9" s="313">
        <v>337.24422900000002</v>
      </c>
      <c r="E9" s="314" t="s">
        <v>1133</v>
      </c>
      <c r="F9" s="928">
        <v>371.49757939465366</v>
      </c>
      <c r="G9" s="197">
        <v>1.1551253422560359E-2</v>
      </c>
      <c r="H9" s="220">
        <v>7.5498681281392921E-2</v>
      </c>
    </row>
    <row r="10" spans="1:8" ht="20" customHeight="1" thickBot="1">
      <c r="A10" s="927" t="s">
        <v>364</v>
      </c>
      <c r="B10" s="313">
        <v>332.63732599999997</v>
      </c>
      <c r="C10" s="314">
        <v>310.71002700000003</v>
      </c>
      <c r="D10" s="313">
        <v>294.71387600000003</v>
      </c>
      <c r="E10" s="314" t="s">
        <v>1133</v>
      </c>
      <c r="F10" s="928">
        <v>312.84654293164533</v>
      </c>
      <c r="G10" s="197">
        <v>4.4862647246731946E-2</v>
      </c>
      <c r="H10" s="220">
        <v>7.0755320419173318E-2</v>
      </c>
    </row>
    <row r="11" spans="1:8" ht="20" customHeight="1" thickBot="1">
      <c r="A11" s="927" t="s">
        <v>365</v>
      </c>
      <c r="B11" s="313" t="s">
        <v>1133</v>
      </c>
      <c r="C11" s="314" t="s">
        <v>1133</v>
      </c>
      <c r="D11" s="313" t="s">
        <v>1133</v>
      </c>
      <c r="E11" s="314">
        <v>290.65538099999998</v>
      </c>
      <c r="F11" s="928">
        <v>290.65538044639635</v>
      </c>
      <c r="G11" s="197">
        <v>3.3998108718330089E-2</v>
      </c>
      <c r="H11" s="220">
        <v>6.4478509157328334E-2</v>
      </c>
    </row>
    <row r="12" spans="1:8" ht="20" customHeight="1" thickBot="1">
      <c r="A12" s="927" t="s">
        <v>366</v>
      </c>
      <c r="B12" s="313" t="s">
        <v>1133</v>
      </c>
      <c r="C12" s="314" t="s">
        <v>1133</v>
      </c>
      <c r="D12" s="313" t="s">
        <v>1133</v>
      </c>
      <c r="E12" s="314">
        <v>304.93007999999998</v>
      </c>
      <c r="F12" s="928">
        <v>304.93007965254725</v>
      </c>
      <c r="G12" s="197">
        <v>4.2251627213538256E-2</v>
      </c>
      <c r="H12" s="220">
        <v>6.816450397906948E-2</v>
      </c>
    </row>
    <row r="13" spans="1:8" ht="20" customHeight="1" thickBot="1">
      <c r="A13" s="927" t="s">
        <v>367</v>
      </c>
      <c r="B13" s="313" t="s">
        <v>1133</v>
      </c>
      <c r="C13" s="314" t="s">
        <v>1133</v>
      </c>
      <c r="D13" s="313" t="s">
        <v>1133</v>
      </c>
      <c r="E13" s="314">
        <v>285.371488</v>
      </c>
      <c r="F13" s="928">
        <v>285.3714881008525</v>
      </c>
      <c r="G13" s="197">
        <v>4.0894650275839606E-2</v>
      </c>
      <c r="H13" s="220">
        <v>6.3113112907850377E-2</v>
      </c>
    </row>
    <row r="14" spans="1:8" ht="20" customHeight="1" thickBot="1">
      <c r="A14" s="927" t="s">
        <v>368</v>
      </c>
      <c r="B14" s="313" t="s">
        <v>1133</v>
      </c>
      <c r="C14" s="314" t="s">
        <v>1133</v>
      </c>
      <c r="D14" s="313" t="s">
        <v>1133</v>
      </c>
      <c r="E14" s="314">
        <v>271.05303099999998</v>
      </c>
      <c r="F14" s="928">
        <v>271.05303063678934</v>
      </c>
      <c r="G14" s="197">
        <v>5.1910446287086076E-2</v>
      </c>
      <c r="H14" s="220">
        <v>6.3478378011948333E-2</v>
      </c>
    </row>
    <row r="15" spans="1:8" ht="20" customHeight="1" thickBot="1">
      <c r="A15" s="927" t="s">
        <v>369</v>
      </c>
      <c r="B15" s="313" t="s">
        <v>1133</v>
      </c>
      <c r="C15" s="314" t="s">
        <v>1133</v>
      </c>
      <c r="D15" s="313" t="s">
        <v>1133</v>
      </c>
      <c r="E15" s="314">
        <v>300.12826899999999</v>
      </c>
      <c r="F15" s="928">
        <v>300.12826876815575</v>
      </c>
      <c r="G15" s="197">
        <v>2.5090525926407592E-2</v>
      </c>
      <c r="H15" s="220">
        <v>7.322073034081078E-2</v>
      </c>
    </row>
    <row r="16" spans="1:8" ht="20" customHeight="1" thickBot="1">
      <c r="A16" s="927" t="s">
        <v>370</v>
      </c>
      <c r="B16" s="313" t="s">
        <v>1133</v>
      </c>
      <c r="C16" s="314" t="s">
        <v>1133</v>
      </c>
      <c r="D16" s="313" t="s">
        <v>1133</v>
      </c>
      <c r="E16" s="314">
        <v>300.61954900000001</v>
      </c>
      <c r="F16" s="928">
        <v>300.61954885113232</v>
      </c>
      <c r="G16" s="197">
        <v>3.3241325624269846E-2</v>
      </c>
      <c r="H16" s="220">
        <v>6.6601929916417557E-2</v>
      </c>
    </row>
    <row r="17" spans="1:8" ht="20" customHeight="1" thickBot="1">
      <c r="A17" s="927" t="s">
        <v>371</v>
      </c>
      <c r="B17" s="313">
        <v>360.01448900000003</v>
      </c>
      <c r="C17" s="314">
        <v>322.93344999999999</v>
      </c>
      <c r="D17" s="313" t="s">
        <v>1133</v>
      </c>
      <c r="E17" s="314" t="s">
        <v>1133</v>
      </c>
      <c r="F17" s="928">
        <v>336.06814962307635</v>
      </c>
      <c r="G17" s="197">
        <v>3.7133753388864266E-2</v>
      </c>
      <c r="H17" s="220">
        <v>6.0220707640178839E-2</v>
      </c>
    </row>
    <row r="18" spans="1:8" ht="20" customHeight="1" thickBot="1">
      <c r="A18" s="927" t="s">
        <v>372</v>
      </c>
      <c r="B18" s="313" t="s">
        <v>1133</v>
      </c>
      <c r="C18" s="314" t="s">
        <v>1133</v>
      </c>
      <c r="D18" s="313" t="s">
        <v>1133</v>
      </c>
      <c r="E18" s="314">
        <v>334.08469100000002</v>
      </c>
      <c r="F18" s="928">
        <v>334.08469120985274</v>
      </c>
      <c r="G18" s="197">
        <v>2.3612022791875908E-2</v>
      </c>
      <c r="H18" s="220">
        <v>6.9757308744838875E-2</v>
      </c>
    </row>
    <row r="19" spans="1:8" ht="20" customHeight="1" thickBot="1">
      <c r="A19" s="927" t="s">
        <v>373</v>
      </c>
      <c r="B19" s="313" t="s">
        <v>1133</v>
      </c>
      <c r="C19" s="314" t="s">
        <v>1133</v>
      </c>
      <c r="D19" s="313" t="s">
        <v>1133</v>
      </c>
      <c r="E19" s="314">
        <v>461.38210099999998</v>
      </c>
      <c r="F19" s="928">
        <v>461.382100994891</v>
      </c>
      <c r="G19" s="197">
        <v>2.4926808259821076E-2</v>
      </c>
      <c r="H19" s="220">
        <v>7.6963217157925756E-2</v>
      </c>
    </row>
    <row r="20" spans="1:8" ht="20" customHeight="1" thickBot="1">
      <c r="A20" s="927" t="s">
        <v>374</v>
      </c>
      <c r="B20" s="313">
        <v>383.29378600000001</v>
      </c>
      <c r="C20" s="314">
        <v>352.95531499999998</v>
      </c>
      <c r="D20" s="313" t="s">
        <v>1133</v>
      </c>
      <c r="E20" s="314" t="s">
        <v>1133</v>
      </c>
      <c r="F20" s="928">
        <v>374.25241031705059</v>
      </c>
      <c r="G20" s="197">
        <v>2.5483691646045914E-2</v>
      </c>
      <c r="H20" s="220">
        <v>7.2030843861401683E-2</v>
      </c>
    </row>
    <row r="21" spans="1:8" ht="20" customHeight="1" thickBot="1">
      <c r="A21" s="927" t="s">
        <v>375</v>
      </c>
      <c r="B21" s="313">
        <v>355.460666</v>
      </c>
      <c r="C21" s="314">
        <v>325.43407200000001</v>
      </c>
      <c r="D21" s="313" t="s">
        <v>1133</v>
      </c>
      <c r="E21" s="314" t="s">
        <v>1133</v>
      </c>
      <c r="F21" s="928">
        <v>343.39947860115581</v>
      </c>
      <c r="G21" s="197">
        <v>4.0021798835419231E-2</v>
      </c>
      <c r="H21" s="220">
        <v>7.676970505509817E-2</v>
      </c>
    </row>
    <row r="22" spans="1:8" ht="20" customHeight="1" thickBot="1">
      <c r="A22" s="927" t="s">
        <v>376</v>
      </c>
      <c r="B22" s="313" t="s">
        <v>1133</v>
      </c>
      <c r="C22" s="314" t="s">
        <v>1133</v>
      </c>
      <c r="D22" s="313" t="s">
        <v>1133</v>
      </c>
      <c r="E22" s="314">
        <v>296.57937199999998</v>
      </c>
      <c r="F22" s="928">
        <v>296.57937162172027</v>
      </c>
      <c r="G22" s="197">
        <v>5.1066955863438457E-2</v>
      </c>
      <c r="H22" s="220">
        <v>7.4954803619916577E-2</v>
      </c>
    </row>
    <row r="23" spans="1:8" ht="20" customHeight="1" thickBot="1">
      <c r="A23" s="927" t="s">
        <v>377</v>
      </c>
      <c r="B23" s="313" t="s">
        <v>1133</v>
      </c>
      <c r="C23" s="314" t="s">
        <v>1133</v>
      </c>
      <c r="D23" s="313" t="s">
        <v>1133</v>
      </c>
      <c r="E23" s="314">
        <v>274.10464300000001</v>
      </c>
      <c r="F23" s="928">
        <v>274.10464318916371</v>
      </c>
      <c r="G23" s="197">
        <v>3.0964436826003139E-2</v>
      </c>
      <c r="H23" s="220">
        <v>6.9750772956152618E-2</v>
      </c>
    </row>
    <row r="24" spans="1:8" ht="20" customHeight="1" thickBot="1">
      <c r="A24" s="927" t="s">
        <v>378</v>
      </c>
      <c r="B24" s="313">
        <v>346.61555199999998</v>
      </c>
      <c r="C24" s="314">
        <v>316.17106000000001</v>
      </c>
      <c r="D24" s="313">
        <v>304.41431399999999</v>
      </c>
      <c r="E24" s="314" t="s">
        <v>1133</v>
      </c>
      <c r="F24" s="928">
        <v>321.79412598983112</v>
      </c>
      <c r="G24" s="197">
        <v>3.4850908013827286E-2</v>
      </c>
      <c r="H24" s="220">
        <v>7.6937046001660514E-2</v>
      </c>
    </row>
    <row r="25" spans="1:8" ht="20" customHeight="1" thickBot="1">
      <c r="A25" s="927" t="s">
        <v>379</v>
      </c>
      <c r="B25" s="313">
        <v>322.71978000000001</v>
      </c>
      <c r="C25" s="314">
        <v>296.57335599999999</v>
      </c>
      <c r="D25" s="313">
        <v>285.63990899999999</v>
      </c>
      <c r="E25" s="314" t="s">
        <v>1133</v>
      </c>
      <c r="F25" s="928">
        <v>300.05157391624226</v>
      </c>
      <c r="G25" s="197">
        <v>3.4203568086987657E-2</v>
      </c>
      <c r="H25" s="220">
        <v>7.6617364267414834E-2</v>
      </c>
    </row>
    <row r="26" spans="1:8" ht="20" customHeight="1" thickBot="1">
      <c r="A26" s="927" t="s">
        <v>380</v>
      </c>
      <c r="B26" s="313" t="s">
        <v>1133</v>
      </c>
      <c r="C26" s="314" t="s">
        <v>1133</v>
      </c>
      <c r="D26" s="313" t="s">
        <v>1133</v>
      </c>
      <c r="E26" s="314">
        <v>329.57322599999998</v>
      </c>
      <c r="F26" s="928">
        <v>329.57322616045616</v>
      </c>
      <c r="G26" s="197">
        <v>3.0947072913725782E-2</v>
      </c>
      <c r="H26" s="220">
        <v>7.7567757806683568E-2</v>
      </c>
    </row>
    <row r="27" spans="1:8" ht="20" customHeight="1" thickBot="1">
      <c r="A27" s="927" t="s">
        <v>381</v>
      </c>
      <c r="B27" s="313" t="s">
        <v>1133</v>
      </c>
      <c r="C27" s="314" t="s">
        <v>1133</v>
      </c>
      <c r="D27" s="313" t="s">
        <v>1133</v>
      </c>
      <c r="E27" s="314">
        <v>320.23900600000002</v>
      </c>
      <c r="F27" s="928">
        <v>320.2390066439192</v>
      </c>
      <c r="G27" s="197">
        <v>2.6841230201681165E-2</v>
      </c>
      <c r="H27" s="220">
        <v>7.6440397672813631E-2</v>
      </c>
    </row>
    <row r="28" spans="1:8" ht="20" customHeight="1" thickBot="1">
      <c r="A28" s="927" t="s">
        <v>382</v>
      </c>
      <c r="B28" s="313">
        <v>383.62380300000001</v>
      </c>
      <c r="C28" s="314">
        <v>356.76754899999997</v>
      </c>
      <c r="D28" s="313" t="s">
        <v>1133</v>
      </c>
      <c r="E28" s="314" t="s">
        <v>1133</v>
      </c>
      <c r="F28" s="928">
        <v>379.57749079735896</v>
      </c>
      <c r="G28" s="197">
        <v>2.3930837871581012E-2</v>
      </c>
      <c r="H28" s="220">
        <v>6.735372855416788E-2</v>
      </c>
    </row>
    <row r="29" spans="1:8" ht="20" customHeight="1" thickBot="1">
      <c r="A29" s="927" t="s">
        <v>383</v>
      </c>
      <c r="B29" s="313">
        <v>418.44594499999999</v>
      </c>
      <c r="C29" s="314">
        <v>389.02430800000002</v>
      </c>
      <c r="D29" s="313" t="s">
        <v>1133</v>
      </c>
      <c r="E29" s="314" t="s">
        <v>1133</v>
      </c>
      <c r="F29" s="928">
        <v>408.33567757603129</v>
      </c>
      <c r="G29" s="197">
        <v>2.8804743104742681E-2</v>
      </c>
      <c r="H29" s="220">
        <v>5.5495774664629627E-2</v>
      </c>
    </row>
    <row r="30" spans="1:8" ht="20" customHeight="1" thickBot="1">
      <c r="A30" s="927" t="s">
        <v>384</v>
      </c>
      <c r="B30" s="313">
        <v>318.07269200000002</v>
      </c>
      <c r="C30" s="314">
        <v>283.31252899999998</v>
      </c>
      <c r="D30" s="313" t="s">
        <v>1133</v>
      </c>
      <c r="E30" s="314" t="s">
        <v>1133</v>
      </c>
      <c r="F30" s="928">
        <v>307.43342605830566</v>
      </c>
      <c r="G30" s="197">
        <v>2.8092141574813878E-2</v>
      </c>
      <c r="H30" s="220">
        <v>5.5644845884810223E-2</v>
      </c>
    </row>
    <row r="31" spans="1:8" ht="20" customHeight="1" thickBot="1">
      <c r="A31" s="927" t="s">
        <v>385</v>
      </c>
      <c r="B31" s="313" t="s">
        <v>1133</v>
      </c>
      <c r="C31" s="314" t="s">
        <v>1133</v>
      </c>
      <c r="D31" s="313" t="s">
        <v>1133</v>
      </c>
      <c r="E31" s="314">
        <v>380.86257000000001</v>
      </c>
      <c r="F31" s="928">
        <v>380.86257050405061</v>
      </c>
      <c r="G31" s="197">
        <v>1.7114369685605979E-2</v>
      </c>
      <c r="H31" s="220">
        <v>6.3559381999823694E-2</v>
      </c>
    </row>
    <row r="32" spans="1:8" ht="20" customHeight="1" thickBot="1">
      <c r="A32" s="927" t="s">
        <v>386</v>
      </c>
      <c r="B32" s="313" t="s">
        <v>1133</v>
      </c>
      <c r="C32" s="314" t="s">
        <v>1133</v>
      </c>
      <c r="D32" s="313" t="s">
        <v>1133</v>
      </c>
      <c r="E32" s="314">
        <v>435.98879599999998</v>
      </c>
      <c r="F32" s="928">
        <v>435.98879469913282</v>
      </c>
      <c r="G32" s="197">
        <v>2.9566659374329118E-2</v>
      </c>
      <c r="H32" s="220">
        <v>5.2200685382467915E-2</v>
      </c>
    </row>
    <row r="33" spans="1:12" ht="20" customHeight="1" thickBot="1">
      <c r="A33" s="927" t="s">
        <v>387</v>
      </c>
      <c r="B33" s="313" t="s">
        <v>1133</v>
      </c>
      <c r="C33" s="314" t="s">
        <v>1133</v>
      </c>
      <c r="D33" s="313" t="s">
        <v>1133</v>
      </c>
      <c r="E33" s="314">
        <v>385.10520400000001</v>
      </c>
      <c r="F33" s="928">
        <v>385.10520457793723</v>
      </c>
      <c r="G33" s="197">
        <v>4.773493017543573E-2</v>
      </c>
      <c r="H33" s="220">
        <v>6.4254498602701382E-2</v>
      </c>
    </row>
    <row r="34" spans="1:12" s="482" customFormat="1" ht="30" customHeight="1" thickBot="1">
      <c r="A34" s="107" t="s">
        <v>444</v>
      </c>
      <c r="B34" s="858" t="s">
        <v>1133</v>
      </c>
      <c r="C34" s="859" t="s">
        <v>1133</v>
      </c>
      <c r="D34" s="858" t="s">
        <v>1133</v>
      </c>
      <c r="E34" s="859" t="s">
        <v>1133</v>
      </c>
      <c r="F34" s="858">
        <v>353.07516647457373</v>
      </c>
      <c r="G34" s="929">
        <v>2.9198469049379394E-2</v>
      </c>
      <c r="H34" s="226">
        <v>6.8358417036259667E-2</v>
      </c>
    </row>
    <row r="35" spans="1:12" ht="20" customHeight="1">
      <c r="A35" s="112" t="s">
        <v>1550</v>
      </c>
      <c r="B35" s="930"/>
      <c r="C35" s="930"/>
      <c r="D35" s="930"/>
      <c r="E35" s="930"/>
      <c r="F35" s="930"/>
    </row>
    <row r="36" spans="1:12" ht="12.75" customHeight="1">
      <c r="A36" s="115"/>
      <c r="B36" s="931"/>
      <c r="C36" s="931"/>
      <c r="D36" s="931"/>
      <c r="E36" s="931"/>
      <c r="F36" s="931"/>
    </row>
    <row r="37" spans="1:12" ht="15.75" customHeight="1">
      <c r="A37" s="115" t="s">
        <v>1530</v>
      </c>
      <c r="B37" s="931"/>
      <c r="C37" s="931"/>
      <c r="D37" s="931"/>
      <c r="E37" s="931"/>
      <c r="F37" s="931"/>
    </row>
    <row r="38" spans="1:12" ht="13.5" customHeight="1">
      <c r="A38" s="115"/>
      <c r="B38" s="931"/>
      <c r="C38" s="931"/>
      <c r="D38" s="931"/>
      <c r="E38" s="931"/>
      <c r="F38" s="931"/>
    </row>
    <row r="39" spans="1:12" ht="12.75" customHeight="1">
      <c r="A39" s="115" t="s">
        <v>1531</v>
      </c>
      <c r="B39" s="931"/>
      <c r="C39" s="931"/>
      <c r="D39" s="931"/>
      <c r="E39" s="931"/>
      <c r="F39" s="931"/>
    </row>
    <row r="40" spans="1:12">
      <c r="A40" s="3" t="s">
        <v>1532</v>
      </c>
      <c r="B40" s="61"/>
      <c r="C40" s="61"/>
      <c r="D40" s="61"/>
      <c r="E40" s="61"/>
      <c r="F40" s="61"/>
    </row>
    <row r="41" spans="1:12">
      <c r="A41" s="3" t="s">
        <v>1533</v>
      </c>
      <c r="B41" s="61"/>
      <c r="C41" s="61"/>
      <c r="D41" s="61"/>
      <c r="E41" s="61"/>
      <c r="F41" s="61"/>
    </row>
    <row r="42" spans="1:12">
      <c r="A42" s="3" t="s">
        <v>1534</v>
      </c>
      <c r="B42" s="61"/>
      <c r="C42" s="61"/>
      <c r="D42" s="61"/>
      <c r="E42" s="61"/>
      <c r="F42" s="61"/>
      <c r="J42" s="4"/>
      <c r="K42" s="4"/>
      <c r="L42" s="4"/>
    </row>
    <row r="43" spans="1:12">
      <c r="B43" s="61"/>
      <c r="C43" s="61"/>
      <c r="D43" s="61"/>
      <c r="E43" s="61"/>
      <c r="F43" s="61"/>
    </row>
    <row r="44" spans="1:12">
      <c r="B44" s="61"/>
      <c r="C44" s="61"/>
      <c r="D44" s="61"/>
      <c r="E44" s="61"/>
      <c r="F44" s="61"/>
    </row>
    <row r="45" spans="1:12">
      <c r="A45" s="3" t="s">
        <v>719</v>
      </c>
    </row>
  </sheetData>
  <pageMargins left="0.56000000000000005" right="0.54" top="0.9" bottom="0.47244094488188981" header="0.63" footer="0.51181102362204722"/>
  <pageSetup paperSize="9" scale="74" orientation="portrait"/>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37D4-424F-984E-9875-653FC6437E23}">
  <sheetPr>
    <pageSetUpPr fitToPage="1"/>
  </sheetPr>
  <dimension ref="A1:L45"/>
  <sheetViews>
    <sheetView zoomScaleNormal="100" workbookViewId="0">
      <selection activeCell="B9" sqref="B9"/>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121"/>
      <c r="B1" s="121"/>
      <c r="C1" s="121"/>
      <c r="D1" s="121"/>
      <c r="E1" s="121"/>
      <c r="F1" s="121"/>
    </row>
    <row r="2" spans="1:8" s="2" customFormat="1" ht="20.5" customHeight="1">
      <c r="A2" s="122" t="s">
        <v>1537</v>
      </c>
      <c r="B2" s="121"/>
      <c r="C2" s="121"/>
      <c r="D2" s="121"/>
      <c r="E2" s="121"/>
      <c r="F2" s="121"/>
    </row>
    <row r="3" spans="1:8" s="2" customFormat="1" ht="24" customHeight="1">
      <c r="A3" s="122" t="s">
        <v>1553</v>
      </c>
      <c r="B3" s="121"/>
      <c r="C3" s="121"/>
      <c r="D3" s="121"/>
      <c r="E3" s="121"/>
      <c r="F3" s="121"/>
    </row>
    <row r="4" spans="1:8" ht="24" customHeight="1">
      <c r="A4" s="92" t="s">
        <v>191</v>
      </c>
      <c r="B4" s="910" t="s">
        <v>1522</v>
      </c>
      <c r="C4" s="911" t="s">
        <v>1523</v>
      </c>
      <c r="D4" s="910" t="s">
        <v>1524</v>
      </c>
      <c r="E4" s="911" t="s">
        <v>1525</v>
      </c>
      <c r="F4" s="910" t="s">
        <v>701</v>
      </c>
      <c r="G4" s="912" t="s">
        <v>279</v>
      </c>
      <c r="H4" s="913" t="s">
        <v>1527</v>
      </c>
    </row>
    <row r="5" spans="1:8" ht="24.75" customHeight="1">
      <c r="A5" s="184"/>
      <c r="B5" s="914"/>
      <c r="C5" s="915"/>
      <c r="D5" s="914"/>
      <c r="E5" s="915"/>
      <c r="F5" s="916" t="s">
        <v>1538</v>
      </c>
      <c r="G5" s="917" t="s">
        <v>282</v>
      </c>
      <c r="H5" s="918" t="s">
        <v>1529</v>
      </c>
    </row>
    <row r="6" spans="1:8" ht="24.75" customHeight="1">
      <c r="A6" s="184"/>
      <c r="B6" s="914"/>
      <c r="C6" s="915"/>
      <c r="D6" s="914"/>
      <c r="E6" s="915"/>
      <c r="F6" s="914"/>
      <c r="G6" s="921" t="s">
        <v>283</v>
      </c>
      <c r="H6" s="922" t="s">
        <v>279</v>
      </c>
    </row>
    <row r="7" spans="1:8" ht="21.5" customHeight="1">
      <c r="A7" s="188"/>
      <c r="B7" s="189"/>
      <c r="C7" s="190"/>
      <c r="D7" s="189"/>
      <c r="E7" s="190"/>
      <c r="F7" s="98"/>
      <c r="G7" s="923"/>
      <c r="H7" s="924" t="s">
        <v>1554</v>
      </c>
    </row>
    <row r="8" spans="1:8" ht="30" customHeight="1" thickBot="1">
      <c r="A8" s="925" t="s">
        <v>362</v>
      </c>
      <c r="B8" s="1241">
        <v>101.87089400000001</v>
      </c>
      <c r="C8" s="1242">
        <v>91.730492100000006</v>
      </c>
      <c r="D8" s="1241">
        <v>85.223078999999998</v>
      </c>
      <c r="E8" s="1242" t="s">
        <v>1133</v>
      </c>
      <c r="F8" s="926">
        <v>91.690187937805135</v>
      </c>
      <c r="G8" s="101">
        <v>5.2341842387761961E-3</v>
      </c>
      <c r="H8" s="523">
        <v>4.392287418130425E-2</v>
      </c>
    </row>
    <row r="9" spans="1:8" ht="20" customHeight="1" thickBot="1">
      <c r="A9" s="927" t="s">
        <v>363</v>
      </c>
      <c r="B9" s="1243">
        <v>104.15114699999999</v>
      </c>
      <c r="C9" s="1244">
        <v>92.415049699999997</v>
      </c>
      <c r="D9" s="1243">
        <v>87.4665435</v>
      </c>
      <c r="E9" s="1244" t="s">
        <v>1133</v>
      </c>
      <c r="F9" s="928">
        <v>94.425162958129476</v>
      </c>
      <c r="G9" s="197">
        <v>-1.9530531727731337E-2</v>
      </c>
      <c r="H9" s="220">
        <v>4.5765964250037872E-2</v>
      </c>
    </row>
    <row r="10" spans="1:8" ht="20" customHeight="1" thickBot="1">
      <c r="A10" s="927" t="s">
        <v>364</v>
      </c>
      <c r="B10" s="1243">
        <v>81.969852500000002</v>
      </c>
      <c r="C10" s="1244">
        <v>75.871726899999999</v>
      </c>
      <c r="D10" s="1243">
        <v>72.333636799999994</v>
      </c>
      <c r="E10" s="1244" t="s">
        <v>1133</v>
      </c>
      <c r="F10" s="928">
        <v>76.556888723315879</v>
      </c>
      <c r="G10" s="197">
        <v>-2.589619702036583E-2</v>
      </c>
      <c r="H10" s="220">
        <v>4.5989927051620194E-2</v>
      </c>
    </row>
    <row r="11" spans="1:8" ht="20" customHeight="1" thickBot="1">
      <c r="A11" s="927" t="s">
        <v>365</v>
      </c>
      <c r="B11" s="1243" t="s">
        <v>1133</v>
      </c>
      <c r="C11" s="1244" t="s">
        <v>1133</v>
      </c>
      <c r="D11" s="1243" t="s">
        <v>1133</v>
      </c>
      <c r="E11" s="1244">
        <v>74.863771999999997</v>
      </c>
      <c r="F11" s="928">
        <v>74.86377205321611</v>
      </c>
      <c r="G11" s="197">
        <v>-9.609321735787435E-3</v>
      </c>
      <c r="H11" s="220">
        <v>4.14602044649659E-2</v>
      </c>
    </row>
    <row r="12" spans="1:8" ht="20" customHeight="1" thickBot="1">
      <c r="A12" s="927" t="s">
        <v>366</v>
      </c>
      <c r="B12" s="1243" t="s">
        <v>1133</v>
      </c>
      <c r="C12" s="1244" t="s">
        <v>1133</v>
      </c>
      <c r="D12" s="1243" t="s">
        <v>1133</v>
      </c>
      <c r="E12" s="1244">
        <v>76.651644899999994</v>
      </c>
      <c r="F12" s="928">
        <v>76.651644702196961</v>
      </c>
      <c r="G12" s="197">
        <v>-2.1013962636237338E-2</v>
      </c>
      <c r="H12" s="220">
        <v>4.5187047407622805E-2</v>
      </c>
    </row>
    <row r="13" spans="1:8" ht="20" customHeight="1" thickBot="1">
      <c r="A13" s="927" t="s">
        <v>367</v>
      </c>
      <c r="B13" s="1243" t="s">
        <v>1133</v>
      </c>
      <c r="C13" s="1244" t="s">
        <v>1133</v>
      </c>
      <c r="D13" s="1243" t="s">
        <v>1133</v>
      </c>
      <c r="E13" s="1244">
        <v>72.383270199999998</v>
      </c>
      <c r="F13" s="928">
        <v>72.383270257691549</v>
      </c>
      <c r="G13" s="197">
        <v>-2.4239461615109259E-2</v>
      </c>
      <c r="H13" s="220">
        <v>4.0450937403024634E-2</v>
      </c>
    </row>
    <row r="14" spans="1:8" ht="20" customHeight="1" thickBot="1">
      <c r="A14" s="927" t="s">
        <v>368</v>
      </c>
      <c r="B14" s="1243" t="s">
        <v>1133</v>
      </c>
      <c r="C14" s="1244" t="s">
        <v>1133</v>
      </c>
      <c r="D14" s="1243" t="s">
        <v>1133</v>
      </c>
      <c r="E14" s="1244">
        <v>68.205955299999999</v>
      </c>
      <c r="F14" s="928">
        <v>68.205955230299097</v>
      </c>
      <c r="G14" s="197">
        <v>-1.5948991676996704E-2</v>
      </c>
      <c r="H14" s="220">
        <v>3.7593100193827889E-2</v>
      </c>
    </row>
    <row r="15" spans="1:8" ht="20" customHeight="1" thickBot="1">
      <c r="A15" s="927" t="s">
        <v>369</v>
      </c>
      <c r="B15" s="1243" t="s">
        <v>1133</v>
      </c>
      <c r="C15" s="1244" t="s">
        <v>1133</v>
      </c>
      <c r="D15" s="1243" t="s">
        <v>1133</v>
      </c>
      <c r="E15" s="1244">
        <v>75.839460099999997</v>
      </c>
      <c r="F15" s="928">
        <v>75.839460035124048</v>
      </c>
      <c r="G15" s="197">
        <v>-8.6546474408345508E-3</v>
      </c>
      <c r="H15" s="220">
        <v>4.690852640030041E-2</v>
      </c>
    </row>
    <row r="16" spans="1:8" ht="20" customHeight="1" thickBot="1">
      <c r="A16" s="927" t="s">
        <v>370</v>
      </c>
      <c r="B16" s="1243" t="s">
        <v>1133</v>
      </c>
      <c r="C16" s="1244" t="s">
        <v>1133</v>
      </c>
      <c r="D16" s="1243" t="s">
        <v>1133</v>
      </c>
      <c r="E16" s="1244">
        <v>75.839460099999997</v>
      </c>
      <c r="F16" s="928">
        <v>75.623903847346739</v>
      </c>
      <c r="G16" s="197">
        <v>-2.211806625920798E-2</v>
      </c>
      <c r="H16" s="220">
        <v>4.2406469790129409E-2</v>
      </c>
    </row>
    <row r="17" spans="1:8" ht="20" customHeight="1" thickBot="1">
      <c r="A17" s="927" t="s">
        <v>371</v>
      </c>
      <c r="B17" s="1243">
        <v>89.939913899999993</v>
      </c>
      <c r="C17" s="1244">
        <v>80.569010500000005</v>
      </c>
      <c r="D17" s="1243" t="s">
        <v>1133</v>
      </c>
      <c r="E17" s="1244" t="s">
        <v>1133</v>
      </c>
      <c r="F17" s="928">
        <v>83.736248867035968</v>
      </c>
      <c r="G17" s="197">
        <v>-2.9657609085335102E-2</v>
      </c>
      <c r="H17" s="220">
        <v>3.3266189299453908E-2</v>
      </c>
    </row>
    <row r="18" spans="1:8" ht="20" customHeight="1" thickBot="1">
      <c r="A18" s="927" t="s">
        <v>372</v>
      </c>
      <c r="B18" s="1243" t="s">
        <v>1133</v>
      </c>
      <c r="C18" s="1244" t="s">
        <v>1133</v>
      </c>
      <c r="D18" s="1243" t="s">
        <v>1133</v>
      </c>
      <c r="E18" s="1244">
        <v>84.972950299999994</v>
      </c>
      <c r="F18" s="928">
        <v>84.972950302306188</v>
      </c>
      <c r="G18" s="197">
        <v>-3.6049753768663262E-2</v>
      </c>
      <c r="H18" s="220">
        <v>4.7998731178696685E-2</v>
      </c>
    </row>
    <row r="19" spans="1:8" ht="20" customHeight="1" thickBot="1">
      <c r="A19" s="927" t="s">
        <v>373</v>
      </c>
      <c r="B19" s="1243" t="s">
        <v>1133</v>
      </c>
      <c r="C19" s="1244" t="s">
        <v>1133</v>
      </c>
      <c r="D19" s="1243" t="s">
        <v>1133</v>
      </c>
      <c r="E19" s="1244">
        <v>121.689218</v>
      </c>
      <c r="F19" s="928">
        <v>121.68921812501705</v>
      </c>
      <c r="G19" s="197">
        <v>-1.638996000576709E-3</v>
      </c>
      <c r="H19" s="220">
        <v>5.2139228184872932E-2</v>
      </c>
    </row>
    <row r="20" spans="1:8" ht="20" customHeight="1" thickBot="1">
      <c r="A20" s="927" t="s">
        <v>374</v>
      </c>
      <c r="B20" s="1243">
        <v>101.332151</v>
      </c>
      <c r="C20" s="1244">
        <v>92.645646999999997</v>
      </c>
      <c r="D20" s="1243" t="s">
        <v>1133</v>
      </c>
      <c r="E20" s="1244" t="s">
        <v>1133</v>
      </c>
      <c r="F20" s="928">
        <v>98.693641679518208</v>
      </c>
      <c r="G20" s="197">
        <v>-1.0791479464282383E-2</v>
      </c>
      <c r="H20" s="220">
        <v>4.8940768293423309E-2</v>
      </c>
    </row>
    <row r="21" spans="1:8" ht="20" customHeight="1" thickBot="1">
      <c r="A21" s="927" t="s">
        <v>375</v>
      </c>
      <c r="B21" s="1243">
        <v>88.403654500000002</v>
      </c>
      <c r="C21" s="1244">
        <v>82.343228699999997</v>
      </c>
      <c r="D21" s="1243" t="s">
        <v>1133</v>
      </c>
      <c r="E21" s="1244" t="s">
        <v>1133</v>
      </c>
      <c r="F21" s="928">
        <v>85.663185063597012</v>
      </c>
      <c r="G21" s="197">
        <v>-2.1725988179679412E-3</v>
      </c>
      <c r="H21" s="220">
        <v>4.9695597008163839E-2</v>
      </c>
    </row>
    <row r="22" spans="1:8" ht="20" customHeight="1" thickBot="1">
      <c r="A22" s="927" t="s">
        <v>376</v>
      </c>
      <c r="B22" s="1243" t="s">
        <v>1133</v>
      </c>
      <c r="C22" s="1244" t="s">
        <v>1133</v>
      </c>
      <c r="D22" s="1243" t="s">
        <v>1133</v>
      </c>
      <c r="E22" s="1244">
        <v>74.792403699999994</v>
      </c>
      <c r="F22" s="928">
        <v>74.792403718296427</v>
      </c>
      <c r="G22" s="197">
        <v>1.9171466363407497E-2</v>
      </c>
      <c r="H22" s="220">
        <v>4.5830656261914182E-2</v>
      </c>
    </row>
    <row r="23" spans="1:8" ht="20" customHeight="1" thickBot="1">
      <c r="A23" s="927" t="s">
        <v>377</v>
      </c>
      <c r="B23" s="1243" t="s">
        <v>1133</v>
      </c>
      <c r="C23" s="1244" t="s">
        <v>1133</v>
      </c>
      <c r="D23" s="1243" t="s">
        <v>1133</v>
      </c>
      <c r="E23" s="1244">
        <v>70.550791399999994</v>
      </c>
      <c r="F23" s="928">
        <v>70.550791492724869</v>
      </c>
      <c r="G23" s="197">
        <v>-5.3792139618860091E-3</v>
      </c>
      <c r="H23" s="220">
        <v>4.4583506037481735E-2</v>
      </c>
    </row>
    <row r="24" spans="1:8" ht="20" customHeight="1" thickBot="1">
      <c r="A24" s="927" t="s">
        <v>378</v>
      </c>
      <c r="B24" s="1243">
        <v>89.543960499999997</v>
      </c>
      <c r="C24" s="1244">
        <v>80.702264700000001</v>
      </c>
      <c r="D24" s="1243">
        <v>78.001864600000005</v>
      </c>
      <c r="E24" s="1244" t="s">
        <v>1133</v>
      </c>
      <c r="F24" s="928">
        <v>82.288251557447822</v>
      </c>
      <c r="G24" s="197">
        <v>-8.9116626462678594E-3</v>
      </c>
      <c r="H24" s="220">
        <v>5.0028629930676249E-2</v>
      </c>
    </row>
    <row r="25" spans="1:8" ht="20" customHeight="1" thickBot="1">
      <c r="A25" s="927" t="s">
        <v>379</v>
      </c>
      <c r="B25" s="1243">
        <v>83.331680899999995</v>
      </c>
      <c r="C25" s="1244">
        <v>77.956679899999997</v>
      </c>
      <c r="D25" s="1243">
        <v>73.721558599999994</v>
      </c>
      <c r="E25" s="1244" t="s">
        <v>1133</v>
      </c>
      <c r="F25" s="928">
        <v>78.205429229290445</v>
      </c>
      <c r="G25" s="197">
        <v>-2.0427690821770428E-3</v>
      </c>
      <c r="H25" s="220">
        <v>5.0866843426125907E-2</v>
      </c>
    </row>
    <row r="26" spans="1:8" ht="20" customHeight="1" thickBot="1">
      <c r="A26" s="927" t="s">
        <v>380</v>
      </c>
      <c r="B26" s="1243" t="s">
        <v>1133</v>
      </c>
      <c r="C26" s="1244" t="s">
        <v>1133</v>
      </c>
      <c r="D26" s="1243" t="s">
        <v>1133</v>
      </c>
      <c r="E26" s="1244">
        <v>82.922822100000005</v>
      </c>
      <c r="F26" s="928">
        <v>82.92282207831596</v>
      </c>
      <c r="G26" s="197">
        <v>-1.9609890173216682E-2</v>
      </c>
      <c r="H26" s="220">
        <v>5.2430589675285244E-2</v>
      </c>
    </row>
    <row r="27" spans="1:8" ht="20" customHeight="1" thickBot="1">
      <c r="A27" s="927" t="s">
        <v>381</v>
      </c>
      <c r="B27" s="1243" t="s">
        <v>1133</v>
      </c>
      <c r="C27" s="1244" t="s">
        <v>1133</v>
      </c>
      <c r="D27" s="1243" t="s">
        <v>1133</v>
      </c>
      <c r="E27" s="1244">
        <v>83.1322495</v>
      </c>
      <c r="F27" s="928">
        <v>83.132249568949007</v>
      </c>
      <c r="G27" s="197">
        <v>-6.9896678863783368E-3</v>
      </c>
      <c r="H27" s="220">
        <v>5.0497438570572539E-2</v>
      </c>
    </row>
    <row r="28" spans="1:8" ht="20" customHeight="1" thickBot="1">
      <c r="A28" s="927" t="s">
        <v>382</v>
      </c>
      <c r="B28" s="1243">
        <v>96.3898224</v>
      </c>
      <c r="C28" s="1244">
        <v>90.096788599999996</v>
      </c>
      <c r="D28" s="1243" t="s">
        <v>1133</v>
      </c>
      <c r="E28" s="1244" t="s">
        <v>1133</v>
      </c>
      <c r="F28" s="928">
        <v>95.414495484273814</v>
      </c>
      <c r="G28" s="197">
        <v>-5.7791088402545654E-3</v>
      </c>
      <c r="H28" s="220">
        <v>2.4957604312890735E-2</v>
      </c>
    </row>
    <row r="29" spans="1:8" ht="20" customHeight="1" thickBot="1">
      <c r="A29" s="927" t="s">
        <v>383</v>
      </c>
      <c r="B29" s="1243">
        <v>101.569502</v>
      </c>
      <c r="C29" s="1244">
        <v>95.117637000000002</v>
      </c>
      <c r="D29" s="1243" t="s">
        <v>1133</v>
      </c>
      <c r="E29" s="1244" t="s">
        <v>1133</v>
      </c>
      <c r="F29" s="928">
        <v>99.412210805543225</v>
      </c>
      <c r="G29" s="197">
        <v>-1.1708294271482012E-2</v>
      </c>
      <c r="H29" s="220">
        <v>1.5944643179036433E-2</v>
      </c>
    </row>
    <row r="30" spans="1:8" ht="20" customHeight="1" thickBot="1">
      <c r="A30" s="927" t="s">
        <v>384</v>
      </c>
      <c r="B30" s="1243">
        <v>77.437168700000001</v>
      </c>
      <c r="C30" s="1244">
        <v>74.464302799999999</v>
      </c>
      <c r="D30" s="1243" t="s">
        <v>1133</v>
      </c>
      <c r="E30" s="1244" t="s">
        <v>1133</v>
      </c>
      <c r="F30" s="928">
        <v>76.640641556758879</v>
      </c>
      <c r="G30" s="197">
        <v>-3.5841587840524602E-2</v>
      </c>
      <c r="H30" s="220">
        <v>2.7515444268894074E-2</v>
      </c>
    </row>
    <row r="31" spans="1:8" ht="20" customHeight="1" thickBot="1">
      <c r="A31" s="927" t="s">
        <v>385</v>
      </c>
      <c r="B31" s="1243" t="s">
        <v>1133</v>
      </c>
      <c r="C31" s="1244" t="s">
        <v>1133</v>
      </c>
      <c r="D31" s="1243" t="s">
        <v>1133</v>
      </c>
      <c r="E31" s="1244">
        <v>86.717659499999996</v>
      </c>
      <c r="F31" s="928">
        <v>86.717659614769303</v>
      </c>
      <c r="G31" s="197">
        <v>-2.3166264473372333E-2</v>
      </c>
      <c r="H31" s="220">
        <v>2.9083162097276682E-2</v>
      </c>
    </row>
    <row r="32" spans="1:8" ht="20" customHeight="1" thickBot="1">
      <c r="A32" s="927" t="s">
        <v>386</v>
      </c>
      <c r="B32" s="1243" t="s">
        <v>1133</v>
      </c>
      <c r="C32" s="1244" t="s">
        <v>1133</v>
      </c>
      <c r="D32" s="1243" t="s">
        <v>1133</v>
      </c>
      <c r="E32" s="1244">
        <v>104.492677</v>
      </c>
      <c r="F32" s="928">
        <v>104.49267716727803</v>
      </c>
      <c r="G32" s="197">
        <v>-2.7425368554454321E-2</v>
      </c>
      <c r="H32" s="220">
        <v>2.0052524444682085E-2</v>
      </c>
    </row>
    <row r="33" spans="1:12" ht="20" customHeight="1" thickBot="1">
      <c r="A33" s="927" t="s">
        <v>387</v>
      </c>
      <c r="B33" s="1243" t="s">
        <v>1133</v>
      </c>
      <c r="C33" s="1244" t="s">
        <v>1133</v>
      </c>
      <c r="D33" s="1243" t="s">
        <v>1133</v>
      </c>
      <c r="E33" s="1244">
        <v>84.977736800000002</v>
      </c>
      <c r="F33" s="928">
        <v>84.977737028121652</v>
      </c>
      <c r="G33" s="197">
        <v>-2.5755120086783045E-2</v>
      </c>
      <c r="H33" s="220">
        <v>3.1499247488762538E-2</v>
      </c>
    </row>
    <row r="34" spans="1:12" s="482" customFormat="1" ht="30" customHeight="1" thickBot="1">
      <c r="A34" s="107" t="s">
        <v>444</v>
      </c>
      <c r="B34" s="858" t="s">
        <v>1133</v>
      </c>
      <c r="C34" s="859" t="s">
        <v>1133</v>
      </c>
      <c r="D34" s="858" t="s">
        <v>1133</v>
      </c>
      <c r="E34" s="859" t="s">
        <v>1133</v>
      </c>
      <c r="F34" s="858">
        <v>89.345468695083099</v>
      </c>
      <c r="G34" s="929">
        <v>-1.3730968161938084E-2</v>
      </c>
      <c r="H34" s="226">
        <v>3.842039859116797E-2</v>
      </c>
    </row>
    <row r="35" spans="1:12" ht="20" customHeight="1">
      <c r="A35" s="112" t="s">
        <v>1550</v>
      </c>
      <c r="B35" s="930"/>
      <c r="C35" s="930"/>
      <c r="D35" s="930"/>
      <c r="E35" s="930"/>
      <c r="F35" s="930"/>
    </row>
    <row r="36" spans="1:12" ht="12.75" customHeight="1">
      <c r="A36" s="115"/>
      <c r="B36" s="931"/>
      <c r="C36" s="931"/>
      <c r="D36" s="931"/>
      <c r="E36" s="931"/>
      <c r="F36" s="931"/>
    </row>
    <row r="37" spans="1:12" ht="15.75" customHeight="1">
      <c r="A37" s="115" t="s">
        <v>1530</v>
      </c>
      <c r="B37" s="931"/>
      <c r="C37" s="931"/>
      <c r="D37" s="931"/>
      <c r="E37" s="931"/>
      <c r="F37" s="931"/>
    </row>
    <row r="38" spans="1:12" ht="13.5" customHeight="1">
      <c r="A38" s="115"/>
      <c r="B38" s="931"/>
      <c r="C38" s="931"/>
      <c r="D38" s="931"/>
      <c r="E38" s="931"/>
      <c r="F38" s="931"/>
    </row>
    <row r="39" spans="1:12" ht="12.75" customHeight="1">
      <c r="A39" s="115" t="s">
        <v>1531</v>
      </c>
      <c r="B39" s="931"/>
      <c r="C39" s="931"/>
      <c r="D39" s="931"/>
      <c r="E39" s="931"/>
      <c r="F39" s="931"/>
    </row>
    <row r="40" spans="1:12">
      <c r="A40" s="3" t="s">
        <v>1532</v>
      </c>
      <c r="B40" s="61"/>
      <c r="C40" s="61"/>
      <c r="D40" s="61"/>
      <c r="E40" s="61"/>
      <c r="F40" s="61"/>
    </row>
    <row r="41" spans="1:12">
      <c r="A41" s="3" t="s">
        <v>1533</v>
      </c>
      <c r="B41" s="61"/>
      <c r="C41" s="61"/>
      <c r="D41" s="61"/>
      <c r="E41" s="61"/>
      <c r="F41" s="61"/>
    </row>
    <row r="42" spans="1:12">
      <c r="A42" s="3" t="s">
        <v>1534</v>
      </c>
      <c r="B42" s="61"/>
      <c r="C42" s="61"/>
      <c r="D42" s="61"/>
      <c r="E42" s="61"/>
      <c r="F42" s="61"/>
      <c r="J42" s="4"/>
      <c r="K42" s="4"/>
      <c r="L42" s="4"/>
    </row>
    <row r="43" spans="1:12">
      <c r="B43" s="61"/>
      <c r="C43" s="61"/>
      <c r="D43" s="61"/>
      <c r="E43" s="61"/>
      <c r="F43" s="61"/>
    </row>
    <row r="44" spans="1:12">
      <c r="B44" s="61"/>
      <c r="C44" s="61"/>
      <c r="D44" s="61"/>
      <c r="E44" s="61"/>
      <c r="F44" s="61"/>
    </row>
    <row r="45" spans="1:12">
      <c r="A45" s="3" t="s">
        <v>719</v>
      </c>
    </row>
  </sheetData>
  <pageMargins left="0.62" right="0.54" top="0.9" bottom="0.47244094488188981" header="0.53" footer="0.51181102362204722"/>
  <pageSetup paperSize="9" scale="74" orientation="portrait"/>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9DB3-A06B-CA44-87DA-AB625AFFFE7E}">
  <sheetPr>
    <pageSetUpPr fitToPage="1"/>
  </sheetPr>
  <dimension ref="A1:F46"/>
  <sheetViews>
    <sheetView zoomScaleNormal="100" workbookViewId="0">
      <selection activeCell="G7" sqref="G7"/>
    </sheetView>
  </sheetViews>
  <sheetFormatPr baseColWidth="10" defaultColWidth="11.3984375" defaultRowHeight="13"/>
  <cols>
    <col min="1" max="1" width="17.19921875" style="3" customWidth="1"/>
    <col min="2" max="2" width="16.19921875" style="3" customWidth="1"/>
    <col min="3" max="3" width="15.3984375" style="3" customWidth="1"/>
    <col min="4" max="4" width="17.59765625" style="3" customWidth="1"/>
    <col min="5" max="5" width="16.19921875" style="3" customWidth="1"/>
    <col min="6" max="6" width="15.59765625" style="3" customWidth="1"/>
    <col min="7" max="7" width="17.59765625" style="3" customWidth="1"/>
    <col min="8" max="16384" width="11.3984375" style="3"/>
  </cols>
  <sheetData>
    <row r="1" spans="1:6" s="2" customFormat="1" ht="14" customHeight="1">
      <c r="A1" s="121"/>
      <c r="B1" s="121"/>
      <c r="C1" s="121"/>
      <c r="D1" s="121"/>
      <c r="E1" s="121"/>
      <c r="F1" s="121"/>
    </row>
    <row r="2" spans="1:6" s="2" customFormat="1" ht="18.75" customHeight="1">
      <c r="A2" s="122" t="s">
        <v>1539</v>
      </c>
      <c r="B2" s="121"/>
      <c r="C2" s="121"/>
      <c r="D2" s="121"/>
      <c r="E2" s="121"/>
      <c r="F2" s="121"/>
    </row>
    <row r="3" spans="1:6" s="2" customFormat="1" ht="24" customHeight="1">
      <c r="A3" s="122" t="s">
        <v>1551</v>
      </c>
      <c r="B3" s="121"/>
      <c r="C3" s="121"/>
      <c r="D3" s="121"/>
      <c r="E3" s="121"/>
      <c r="F3" s="121"/>
    </row>
    <row r="4" spans="1:6" ht="24" customHeight="1">
      <c r="A4" s="92" t="s">
        <v>191</v>
      </c>
      <c r="B4" s="910">
        <v>0.05</v>
      </c>
      <c r="C4" s="911">
        <v>0.25</v>
      </c>
      <c r="D4" s="910">
        <v>0.5</v>
      </c>
      <c r="E4" s="911">
        <v>0.25</v>
      </c>
      <c r="F4" s="910">
        <v>0.05</v>
      </c>
    </row>
    <row r="5" spans="1:6" ht="73.5" customHeight="1">
      <c r="A5" s="184"/>
      <c r="B5" s="914" t="s">
        <v>1540</v>
      </c>
      <c r="C5" s="915" t="s">
        <v>1540</v>
      </c>
      <c r="D5" s="914" t="s">
        <v>1541</v>
      </c>
      <c r="E5" s="915" t="s">
        <v>1542</v>
      </c>
      <c r="F5" s="914" t="s">
        <v>1542</v>
      </c>
    </row>
    <row r="6" spans="1:6" ht="16" customHeight="1">
      <c r="A6" s="188"/>
      <c r="B6" s="189"/>
      <c r="C6" s="190"/>
      <c r="D6" s="189"/>
      <c r="E6" s="190"/>
      <c r="F6" s="98"/>
    </row>
    <row r="7" spans="1:6" ht="30" customHeight="1" thickBot="1">
      <c r="A7" s="925" t="s">
        <v>362</v>
      </c>
      <c r="B7" s="410">
        <v>328.1</v>
      </c>
      <c r="C7" s="411">
        <v>361</v>
      </c>
      <c r="D7" s="410">
        <v>383.4</v>
      </c>
      <c r="E7" s="411">
        <v>398</v>
      </c>
      <c r="F7" s="410">
        <v>464</v>
      </c>
    </row>
    <row r="8" spans="1:6" ht="20" customHeight="1" thickBot="1">
      <c r="A8" s="927" t="s">
        <v>363</v>
      </c>
      <c r="B8" s="195">
        <v>354</v>
      </c>
      <c r="C8" s="196">
        <v>383</v>
      </c>
      <c r="D8" s="195">
        <v>420.1</v>
      </c>
      <c r="E8" s="196">
        <v>434.9</v>
      </c>
      <c r="F8" s="195">
        <v>500.4</v>
      </c>
    </row>
    <row r="9" spans="1:6" ht="20" customHeight="1" thickBot="1">
      <c r="A9" s="927" t="s">
        <v>364</v>
      </c>
      <c r="B9" s="195">
        <v>279.2</v>
      </c>
      <c r="C9" s="196">
        <v>326</v>
      </c>
      <c r="D9" s="195">
        <v>343.35</v>
      </c>
      <c r="E9" s="196">
        <v>375</v>
      </c>
      <c r="F9" s="195">
        <v>390</v>
      </c>
    </row>
    <row r="10" spans="1:6" ht="20" customHeight="1" thickBot="1">
      <c r="A10" s="927" t="s">
        <v>365</v>
      </c>
      <c r="B10" s="195">
        <v>285</v>
      </c>
      <c r="C10" s="196">
        <v>300</v>
      </c>
      <c r="D10" s="195">
        <v>327.7</v>
      </c>
      <c r="E10" s="196">
        <v>338.55</v>
      </c>
      <c r="F10" s="195">
        <v>396</v>
      </c>
    </row>
    <row r="11" spans="1:6" ht="20" customHeight="1" thickBot="1">
      <c r="A11" s="927" t="s">
        <v>366</v>
      </c>
      <c r="B11" s="195">
        <v>284</v>
      </c>
      <c r="C11" s="196">
        <v>323.7</v>
      </c>
      <c r="D11" s="195">
        <v>329</v>
      </c>
      <c r="E11" s="196">
        <v>344.35</v>
      </c>
      <c r="F11" s="195">
        <v>382.9</v>
      </c>
    </row>
    <row r="12" spans="1:6" ht="20" customHeight="1" thickBot="1">
      <c r="A12" s="927" t="s">
        <v>367</v>
      </c>
      <c r="B12" s="195">
        <v>275</v>
      </c>
      <c r="C12" s="196">
        <v>317</v>
      </c>
      <c r="D12" s="195">
        <v>323</v>
      </c>
      <c r="E12" s="196">
        <v>325.05</v>
      </c>
      <c r="F12" s="195">
        <v>341.2</v>
      </c>
    </row>
    <row r="13" spans="1:6" ht="20" customHeight="1" thickBot="1">
      <c r="A13" s="927" t="s">
        <v>368</v>
      </c>
      <c r="B13" s="195">
        <v>262</v>
      </c>
      <c r="C13" s="196">
        <v>290.7</v>
      </c>
      <c r="D13" s="195">
        <v>298</v>
      </c>
      <c r="E13" s="196">
        <v>300.64999999999998</v>
      </c>
      <c r="F13" s="195">
        <v>337.3</v>
      </c>
    </row>
    <row r="14" spans="1:6" ht="20" customHeight="1" thickBot="1">
      <c r="A14" s="927" t="s">
        <v>369</v>
      </c>
      <c r="B14" s="195">
        <v>288</v>
      </c>
      <c r="C14" s="196">
        <v>303</v>
      </c>
      <c r="D14" s="195">
        <v>319</v>
      </c>
      <c r="E14" s="196">
        <v>372</v>
      </c>
      <c r="F14" s="195">
        <v>385</v>
      </c>
    </row>
    <row r="15" spans="1:6" ht="20" customHeight="1" thickBot="1">
      <c r="A15" s="927" t="s">
        <v>370</v>
      </c>
      <c r="B15" s="195">
        <v>302</v>
      </c>
      <c r="C15" s="196">
        <v>318</v>
      </c>
      <c r="D15" s="195">
        <v>325</v>
      </c>
      <c r="E15" s="196">
        <v>338.65</v>
      </c>
      <c r="F15" s="195">
        <v>395</v>
      </c>
    </row>
    <row r="16" spans="1:6" ht="20" customHeight="1" thickBot="1">
      <c r="A16" s="927" t="s">
        <v>371</v>
      </c>
      <c r="B16" s="195">
        <v>307</v>
      </c>
      <c r="C16" s="196">
        <v>347.1</v>
      </c>
      <c r="D16" s="195">
        <v>358</v>
      </c>
      <c r="E16" s="196">
        <v>383.8</v>
      </c>
      <c r="F16" s="195">
        <v>408.15</v>
      </c>
    </row>
    <row r="17" spans="1:6" ht="20" customHeight="1" thickBot="1">
      <c r="A17" s="927" t="s">
        <v>372</v>
      </c>
      <c r="B17" s="195">
        <v>316</v>
      </c>
      <c r="C17" s="196">
        <v>352</v>
      </c>
      <c r="D17" s="195">
        <v>367.3</v>
      </c>
      <c r="E17" s="196">
        <v>389.8</v>
      </c>
      <c r="F17" s="195">
        <v>399</v>
      </c>
    </row>
    <row r="18" spans="1:6" ht="20" customHeight="1" thickBot="1">
      <c r="A18" s="927" t="s">
        <v>373</v>
      </c>
      <c r="B18" s="195">
        <v>421.3</v>
      </c>
      <c r="C18" s="196">
        <v>438</v>
      </c>
      <c r="D18" s="195">
        <v>529.9</v>
      </c>
      <c r="E18" s="196">
        <v>532</v>
      </c>
      <c r="F18" s="195">
        <v>579.4</v>
      </c>
    </row>
    <row r="19" spans="1:6" ht="20" customHeight="1" thickBot="1">
      <c r="A19" s="927" t="s">
        <v>374</v>
      </c>
      <c r="B19" s="195">
        <v>340</v>
      </c>
      <c r="C19" s="196">
        <v>377</v>
      </c>
      <c r="D19" s="195">
        <v>421.65</v>
      </c>
      <c r="E19" s="196">
        <v>453.65</v>
      </c>
      <c r="F19" s="195">
        <v>483</v>
      </c>
    </row>
    <row r="20" spans="1:6" ht="20" customHeight="1" thickBot="1">
      <c r="A20" s="927" t="s">
        <v>375</v>
      </c>
      <c r="B20" s="195">
        <v>299.60000000000002</v>
      </c>
      <c r="C20" s="196">
        <v>349</v>
      </c>
      <c r="D20" s="195">
        <v>370</v>
      </c>
      <c r="E20" s="196">
        <v>398.05</v>
      </c>
      <c r="F20" s="195">
        <v>422.2</v>
      </c>
    </row>
    <row r="21" spans="1:6" ht="20" customHeight="1" thickBot="1">
      <c r="A21" s="927" t="s">
        <v>376</v>
      </c>
      <c r="B21" s="195">
        <v>280</v>
      </c>
      <c r="C21" s="196">
        <v>300</v>
      </c>
      <c r="D21" s="195">
        <v>326</v>
      </c>
      <c r="E21" s="196">
        <v>331.9</v>
      </c>
      <c r="F21" s="195">
        <v>378</v>
      </c>
    </row>
    <row r="22" spans="1:6" ht="20" customHeight="1" thickBot="1">
      <c r="A22" s="927" t="s">
        <v>377</v>
      </c>
      <c r="B22" s="195">
        <v>272.10000000000002</v>
      </c>
      <c r="C22" s="196">
        <v>278.25</v>
      </c>
      <c r="D22" s="195">
        <v>304</v>
      </c>
      <c r="E22" s="196">
        <v>304.89999999999998</v>
      </c>
      <c r="F22" s="195">
        <v>374.7</v>
      </c>
    </row>
    <row r="23" spans="1:6" ht="20" customHeight="1" thickBot="1">
      <c r="A23" s="927" t="s">
        <v>378</v>
      </c>
      <c r="B23" s="195">
        <v>299</v>
      </c>
      <c r="C23" s="196">
        <v>327.60000000000002</v>
      </c>
      <c r="D23" s="195">
        <v>349.4</v>
      </c>
      <c r="E23" s="196">
        <v>361</v>
      </c>
      <c r="F23" s="195">
        <v>399.4</v>
      </c>
    </row>
    <row r="24" spans="1:6" ht="20" customHeight="1" thickBot="1">
      <c r="A24" s="927" t="s">
        <v>379</v>
      </c>
      <c r="B24" s="195">
        <v>281</v>
      </c>
      <c r="C24" s="196">
        <v>311</v>
      </c>
      <c r="D24" s="195">
        <v>312</v>
      </c>
      <c r="E24" s="196">
        <v>336</v>
      </c>
      <c r="F24" s="195">
        <v>397.9</v>
      </c>
    </row>
    <row r="25" spans="1:6" ht="20" customHeight="1" thickBot="1">
      <c r="A25" s="927" t="s">
        <v>380</v>
      </c>
      <c r="B25" s="195">
        <v>315</v>
      </c>
      <c r="C25" s="196">
        <v>339</v>
      </c>
      <c r="D25" s="195">
        <v>359</v>
      </c>
      <c r="E25" s="196">
        <v>388</v>
      </c>
      <c r="F25" s="195">
        <v>410</v>
      </c>
    </row>
    <row r="26" spans="1:6" ht="20" customHeight="1" thickBot="1">
      <c r="A26" s="927" t="s">
        <v>381</v>
      </c>
      <c r="B26" s="195">
        <v>305</v>
      </c>
      <c r="C26" s="196">
        <v>333</v>
      </c>
      <c r="D26" s="195">
        <v>366</v>
      </c>
      <c r="E26" s="196">
        <v>369.9</v>
      </c>
      <c r="F26" s="195">
        <v>376</v>
      </c>
    </row>
    <row r="27" spans="1:6" ht="20" customHeight="1" thickBot="1">
      <c r="A27" s="927" t="s">
        <v>382</v>
      </c>
      <c r="B27" s="195">
        <v>369.9</v>
      </c>
      <c r="C27" s="196">
        <v>379.6</v>
      </c>
      <c r="D27" s="195">
        <v>402</v>
      </c>
      <c r="E27" s="196">
        <v>441</v>
      </c>
      <c r="F27" s="195">
        <v>452.25</v>
      </c>
    </row>
    <row r="28" spans="1:6" ht="20" customHeight="1" thickBot="1">
      <c r="A28" s="927" t="s">
        <v>383</v>
      </c>
      <c r="B28" s="195">
        <v>364.7</v>
      </c>
      <c r="C28" s="196">
        <v>388.5</v>
      </c>
      <c r="D28" s="195">
        <v>431</v>
      </c>
      <c r="E28" s="196">
        <v>449</v>
      </c>
      <c r="F28" s="195">
        <v>502</v>
      </c>
    </row>
    <row r="29" spans="1:6" ht="20" customHeight="1" thickBot="1">
      <c r="A29" s="927" t="s">
        <v>384</v>
      </c>
      <c r="B29" s="195">
        <v>303.89999999999998</v>
      </c>
      <c r="C29" s="196">
        <v>310</v>
      </c>
      <c r="D29" s="195">
        <v>335</v>
      </c>
      <c r="E29" s="196">
        <v>352</v>
      </c>
      <c r="F29" s="195">
        <v>390</v>
      </c>
    </row>
    <row r="30" spans="1:6" ht="20" customHeight="1" thickBot="1">
      <c r="A30" s="927" t="s">
        <v>385</v>
      </c>
      <c r="B30" s="195">
        <v>346</v>
      </c>
      <c r="C30" s="196">
        <v>346</v>
      </c>
      <c r="D30" s="195">
        <v>411.9</v>
      </c>
      <c r="E30" s="196">
        <v>426.95</v>
      </c>
      <c r="F30" s="195">
        <v>456</v>
      </c>
    </row>
    <row r="31" spans="1:6" ht="20" customHeight="1" thickBot="1">
      <c r="A31" s="927" t="s">
        <v>386</v>
      </c>
      <c r="B31" s="195">
        <v>386</v>
      </c>
      <c r="C31" s="196">
        <v>471</v>
      </c>
      <c r="D31" s="195">
        <v>488</v>
      </c>
      <c r="E31" s="196">
        <v>488</v>
      </c>
      <c r="F31" s="195">
        <v>508.85</v>
      </c>
    </row>
    <row r="32" spans="1:6" ht="20" customHeight="1" thickBot="1">
      <c r="A32" s="927" t="s">
        <v>387</v>
      </c>
      <c r="B32" s="195">
        <v>352.8</v>
      </c>
      <c r="C32" s="196">
        <v>368</v>
      </c>
      <c r="D32" s="195">
        <v>391.3</v>
      </c>
      <c r="E32" s="196">
        <v>445</v>
      </c>
      <c r="F32" s="195">
        <v>470.4</v>
      </c>
    </row>
    <row r="33" spans="1:6" ht="30" customHeight="1" thickBot="1">
      <c r="A33" s="107" t="s">
        <v>444</v>
      </c>
      <c r="B33" s="199">
        <v>309</v>
      </c>
      <c r="C33" s="200">
        <v>346</v>
      </c>
      <c r="D33" s="199">
        <v>383</v>
      </c>
      <c r="E33" s="200">
        <v>425.55</v>
      </c>
      <c r="F33" s="199">
        <v>492.9</v>
      </c>
    </row>
    <row r="34" spans="1:6" ht="20" customHeight="1">
      <c r="A34" s="112" t="s">
        <v>1550</v>
      </c>
      <c r="B34" s="930"/>
      <c r="C34" s="930"/>
      <c r="D34" s="930"/>
      <c r="E34" s="930"/>
      <c r="F34" s="930"/>
    </row>
    <row r="35" spans="1:6" ht="12.75" customHeight="1">
      <c r="A35" s="115"/>
      <c r="B35" s="931"/>
      <c r="C35" s="931"/>
      <c r="D35" s="931"/>
      <c r="E35" s="931"/>
      <c r="F35" s="931"/>
    </row>
    <row r="36" spans="1:6" ht="15.75" customHeight="1">
      <c r="A36" s="115" t="s">
        <v>1530</v>
      </c>
      <c r="B36" s="931"/>
      <c r="C36" s="931"/>
      <c r="D36" s="931"/>
      <c r="E36" s="931"/>
      <c r="F36" s="931"/>
    </row>
    <row r="37" spans="1:6" ht="13.5" customHeight="1">
      <c r="A37" s="115"/>
      <c r="B37" s="931"/>
      <c r="C37" s="931"/>
      <c r="D37" s="931"/>
      <c r="E37" s="931"/>
      <c r="F37" s="931"/>
    </row>
    <row r="38" spans="1:6" ht="12.75" customHeight="1">
      <c r="A38" s="115" t="s">
        <v>1531</v>
      </c>
      <c r="B38" s="931"/>
      <c r="C38" s="931"/>
      <c r="D38" s="931"/>
      <c r="E38" s="931"/>
      <c r="F38" s="931"/>
    </row>
    <row r="39" spans="1:6">
      <c r="A39" s="3" t="s">
        <v>1543</v>
      </c>
      <c r="B39" s="61"/>
      <c r="C39" s="61"/>
      <c r="D39" s="61"/>
      <c r="E39" s="61"/>
      <c r="F39" s="61"/>
    </row>
    <row r="40" spans="1:6">
      <c r="A40" s="3" t="s">
        <v>1544</v>
      </c>
      <c r="B40" s="61"/>
      <c r="C40" s="61"/>
      <c r="D40" s="61"/>
      <c r="E40" s="61"/>
      <c r="F40" s="61"/>
    </row>
    <row r="41" spans="1:6">
      <c r="A41" s="3" t="s">
        <v>1545</v>
      </c>
      <c r="B41" s="61"/>
      <c r="C41" s="61"/>
      <c r="D41" s="61"/>
      <c r="E41" s="61"/>
      <c r="F41" s="61"/>
    </row>
    <row r="42" spans="1:6">
      <c r="A42" s="3" t="s">
        <v>1546</v>
      </c>
      <c r="B42" s="61"/>
      <c r="C42" s="61"/>
      <c r="D42" s="61"/>
      <c r="E42" s="61"/>
      <c r="F42" s="61"/>
    </row>
    <row r="43" spans="1:6">
      <c r="A43" s="3" t="s">
        <v>1547</v>
      </c>
      <c r="B43" s="61"/>
      <c r="C43" s="61"/>
      <c r="D43" s="61"/>
      <c r="E43" s="61"/>
      <c r="F43" s="61"/>
    </row>
    <row r="44" spans="1:6">
      <c r="B44" s="61"/>
      <c r="C44" s="61"/>
      <c r="D44" s="61"/>
      <c r="E44" s="61"/>
      <c r="F44" s="61"/>
    </row>
    <row r="45" spans="1:6">
      <c r="B45" s="61"/>
      <c r="C45" s="61"/>
      <c r="D45" s="61"/>
      <c r="E45" s="61"/>
      <c r="F45" s="61"/>
    </row>
    <row r="46" spans="1:6">
      <c r="A46" s="3" t="s">
        <v>719</v>
      </c>
      <c r="B46" s="61"/>
      <c r="C46" s="61"/>
      <c r="D46" s="61"/>
      <c r="E46" s="61"/>
      <c r="F46" s="61"/>
    </row>
  </sheetData>
  <pageMargins left="0.6692913385826772" right="0.59055118110236227" top="0.70866141732283472" bottom="0.47244094488188981" header="0.59055118110236227" footer="0.51181102362204722"/>
  <pageSetup paperSize="9" scale="78" orientation="portrait" horizontalDpi="1200" verticalDpi="1200"/>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D9D4-3557-784D-819C-C0230C7FC311}">
  <sheetPr>
    <pageSetUpPr fitToPage="1"/>
  </sheetPr>
  <dimension ref="A1:G46"/>
  <sheetViews>
    <sheetView zoomScaleNormal="100" workbookViewId="0">
      <selection activeCell="K6" sqref="K6"/>
    </sheetView>
  </sheetViews>
  <sheetFormatPr baseColWidth="10" defaultColWidth="11.3984375" defaultRowHeight="13"/>
  <cols>
    <col min="1" max="1" width="18.3984375" style="3" customWidth="1"/>
    <col min="2" max="3" width="16.3984375" style="3" customWidth="1"/>
    <col min="4" max="4" width="17.59765625" style="3" customWidth="1"/>
    <col min="5" max="6" width="16.19921875" style="3" customWidth="1"/>
    <col min="7" max="7" width="16.3984375" style="3" customWidth="1"/>
    <col min="8" max="8" width="11.3984375" style="3"/>
    <col min="9" max="9" width="6.59765625" style="3" customWidth="1"/>
    <col min="10" max="16384" width="11.3984375" style="3"/>
  </cols>
  <sheetData>
    <row r="1" spans="1:6" s="2" customFormat="1" ht="14" customHeight="1">
      <c r="A1" s="121"/>
      <c r="B1" s="121"/>
      <c r="C1" s="121"/>
      <c r="D1" s="121"/>
      <c r="E1" s="121"/>
      <c r="F1" s="121"/>
    </row>
    <row r="2" spans="1:6" s="2" customFormat="1" ht="18.75" customHeight="1">
      <c r="A2" s="122" t="s">
        <v>1548</v>
      </c>
      <c r="B2" s="121"/>
      <c r="C2" s="121"/>
      <c r="D2" s="121"/>
      <c r="E2" s="121"/>
      <c r="F2" s="121"/>
    </row>
    <row r="3" spans="1:6" s="2" customFormat="1" ht="24" customHeight="1">
      <c r="A3" s="122" t="s">
        <v>1552</v>
      </c>
      <c r="B3" s="121"/>
      <c r="C3" s="121"/>
      <c r="D3" s="121"/>
      <c r="E3" s="121"/>
      <c r="F3" s="121"/>
    </row>
    <row r="4" spans="1:6" ht="24" customHeight="1">
      <c r="A4" s="92" t="s">
        <v>191</v>
      </c>
      <c r="B4" s="910">
        <v>0.05</v>
      </c>
      <c r="C4" s="911">
        <v>0.25</v>
      </c>
      <c r="D4" s="910">
        <v>0.5</v>
      </c>
      <c r="E4" s="911">
        <v>0.25</v>
      </c>
      <c r="F4" s="910">
        <v>0.05</v>
      </c>
    </row>
    <row r="5" spans="1:6" ht="68.5" customHeight="1">
      <c r="A5" s="184"/>
      <c r="B5" s="914" t="s">
        <v>1540</v>
      </c>
      <c r="C5" s="915" t="s">
        <v>1540</v>
      </c>
      <c r="D5" s="914" t="s">
        <v>1541</v>
      </c>
      <c r="E5" s="915" t="s">
        <v>1542</v>
      </c>
      <c r="F5" s="914" t="s">
        <v>1542</v>
      </c>
    </row>
    <row r="6" spans="1:6" ht="17" customHeight="1">
      <c r="A6" s="188"/>
      <c r="B6" s="189"/>
      <c r="C6" s="190"/>
      <c r="D6" s="189"/>
      <c r="E6" s="190"/>
      <c r="F6" s="98"/>
    </row>
    <row r="7" spans="1:6" ht="30" customHeight="1" thickBot="1">
      <c r="A7" s="925" t="s">
        <v>362</v>
      </c>
      <c r="B7" s="410">
        <v>307.7</v>
      </c>
      <c r="C7" s="411">
        <v>330.3</v>
      </c>
      <c r="D7" s="410">
        <v>350</v>
      </c>
      <c r="E7" s="411">
        <v>372.8</v>
      </c>
      <c r="F7" s="410">
        <v>416.7</v>
      </c>
    </row>
    <row r="8" spans="1:6" ht="20" customHeight="1" thickBot="1">
      <c r="A8" s="927" t="s">
        <v>363</v>
      </c>
      <c r="B8" s="195">
        <v>319.7</v>
      </c>
      <c r="C8" s="196">
        <v>345.2</v>
      </c>
      <c r="D8" s="195">
        <v>356.2</v>
      </c>
      <c r="E8" s="196">
        <v>397.9</v>
      </c>
      <c r="F8" s="195">
        <v>450.8</v>
      </c>
    </row>
    <row r="9" spans="1:6" ht="20" customHeight="1" thickBot="1">
      <c r="A9" s="927" t="s">
        <v>364</v>
      </c>
      <c r="B9" s="195">
        <v>248.15</v>
      </c>
      <c r="C9" s="196">
        <v>303.60000000000002</v>
      </c>
      <c r="D9" s="195">
        <v>309.05</v>
      </c>
      <c r="E9" s="196">
        <v>331.5</v>
      </c>
      <c r="F9" s="195">
        <v>347.4</v>
      </c>
    </row>
    <row r="10" spans="1:6" ht="20" customHeight="1" thickBot="1">
      <c r="A10" s="927" t="s">
        <v>365</v>
      </c>
      <c r="B10" s="195">
        <v>232.6</v>
      </c>
      <c r="C10" s="196">
        <v>270</v>
      </c>
      <c r="D10" s="195">
        <v>301</v>
      </c>
      <c r="E10" s="196">
        <v>304.75</v>
      </c>
      <c r="F10" s="195">
        <v>327.7</v>
      </c>
    </row>
    <row r="11" spans="1:6" ht="20" customHeight="1" thickBot="1">
      <c r="A11" s="927" t="s">
        <v>366</v>
      </c>
      <c r="B11" s="195">
        <v>242.2</v>
      </c>
      <c r="C11" s="196">
        <v>302.7</v>
      </c>
      <c r="D11" s="195">
        <v>302.7</v>
      </c>
      <c r="E11" s="196">
        <v>309.95</v>
      </c>
      <c r="F11" s="195">
        <v>363.8</v>
      </c>
    </row>
    <row r="12" spans="1:6" ht="20" customHeight="1" thickBot="1">
      <c r="A12" s="927" t="s">
        <v>367</v>
      </c>
      <c r="B12" s="195">
        <v>251.1</v>
      </c>
      <c r="C12" s="196">
        <v>276.39999999999998</v>
      </c>
      <c r="D12" s="195">
        <v>291.60000000000002</v>
      </c>
      <c r="E12" s="196">
        <v>292.55</v>
      </c>
      <c r="F12" s="195">
        <v>322.5</v>
      </c>
    </row>
    <row r="13" spans="1:6" ht="20" customHeight="1" thickBot="1">
      <c r="A13" s="927" t="s">
        <v>368</v>
      </c>
      <c r="B13" s="195">
        <v>235.8</v>
      </c>
      <c r="C13" s="196">
        <v>261.7</v>
      </c>
      <c r="D13" s="195">
        <v>269.60000000000002</v>
      </c>
      <c r="E13" s="196">
        <v>270.64999999999998</v>
      </c>
      <c r="F13" s="195">
        <v>336</v>
      </c>
    </row>
    <row r="14" spans="1:6" ht="20" customHeight="1" thickBot="1">
      <c r="A14" s="927" t="s">
        <v>369</v>
      </c>
      <c r="B14" s="195">
        <v>254.5</v>
      </c>
      <c r="C14" s="196">
        <v>281.8</v>
      </c>
      <c r="D14" s="195">
        <v>306.89999999999998</v>
      </c>
      <c r="E14" s="196">
        <v>320.5</v>
      </c>
      <c r="F14" s="195">
        <v>342</v>
      </c>
    </row>
    <row r="15" spans="1:6" ht="20" customHeight="1" thickBot="1">
      <c r="A15" s="927" t="s">
        <v>370</v>
      </c>
      <c r="B15" s="195">
        <v>269.7</v>
      </c>
      <c r="C15" s="196">
        <v>292.60000000000002</v>
      </c>
      <c r="D15" s="195">
        <v>304</v>
      </c>
      <c r="E15" s="196">
        <v>312.39999999999998</v>
      </c>
      <c r="F15" s="195">
        <v>335.7</v>
      </c>
    </row>
    <row r="16" spans="1:6" ht="20" customHeight="1" thickBot="1">
      <c r="A16" s="927" t="s">
        <v>371</v>
      </c>
      <c r="B16" s="195">
        <v>312.39999999999998</v>
      </c>
      <c r="C16" s="196">
        <v>316.2</v>
      </c>
      <c r="D16" s="195">
        <v>324.8</v>
      </c>
      <c r="E16" s="196">
        <v>355</v>
      </c>
      <c r="F16" s="195">
        <v>369.3</v>
      </c>
    </row>
    <row r="17" spans="1:6" ht="20" customHeight="1" thickBot="1">
      <c r="A17" s="927" t="s">
        <v>372</v>
      </c>
      <c r="B17" s="195">
        <v>303.2</v>
      </c>
      <c r="C17" s="196">
        <v>307.7</v>
      </c>
      <c r="D17" s="195">
        <v>335.7</v>
      </c>
      <c r="E17" s="196">
        <v>352</v>
      </c>
      <c r="F17" s="195">
        <v>375.2</v>
      </c>
    </row>
    <row r="18" spans="1:6" ht="20" customHeight="1" thickBot="1">
      <c r="A18" s="927" t="s">
        <v>373</v>
      </c>
      <c r="B18" s="195">
        <v>405.5</v>
      </c>
      <c r="C18" s="196">
        <v>432.4</v>
      </c>
      <c r="D18" s="195">
        <v>465.5</v>
      </c>
      <c r="E18" s="196">
        <v>477.5</v>
      </c>
      <c r="F18" s="195">
        <v>503.5</v>
      </c>
    </row>
    <row r="19" spans="1:6" ht="20" customHeight="1" thickBot="1">
      <c r="A19" s="927" t="s">
        <v>374</v>
      </c>
      <c r="B19" s="195">
        <v>330.3</v>
      </c>
      <c r="C19" s="196">
        <v>355.7</v>
      </c>
      <c r="D19" s="195">
        <v>377.3</v>
      </c>
      <c r="E19" s="196">
        <v>395.6</v>
      </c>
      <c r="F19" s="195">
        <v>422.7</v>
      </c>
    </row>
    <row r="20" spans="1:6" ht="20" customHeight="1" thickBot="1">
      <c r="A20" s="927" t="s">
        <v>375</v>
      </c>
      <c r="B20" s="195">
        <v>297</v>
      </c>
      <c r="C20" s="196">
        <v>311.89999999999998</v>
      </c>
      <c r="D20" s="195">
        <v>342</v>
      </c>
      <c r="E20" s="196">
        <v>358.25</v>
      </c>
      <c r="F20" s="195">
        <v>410.1</v>
      </c>
    </row>
    <row r="21" spans="1:6" ht="20" customHeight="1" thickBot="1">
      <c r="A21" s="927" t="s">
        <v>376</v>
      </c>
      <c r="B21" s="195">
        <v>225.8</v>
      </c>
      <c r="C21" s="196">
        <v>277.10000000000002</v>
      </c>
      <c r="D21" s="195">
        <v>303.60000000000002</v>
      </c>
      <c r="E21" s="196">
        <v>315.39999999999998</v>
      </c>
      <c r="F21" s="195">
        <v>341.3</v>
      </c>
    </row>
    <row r="22" spans="1:6" ht="20" customHeight="1" thickBot="1">
      <c r="A22" s="927" t="s">
        <v>377</v>
      </c>
      <c r="B22" s="195">
        <v>239.4</v>
      </c>
      <c r="C22" s="196">
        <v>250.45</v>
      </c>
      <c r="D22" s="195">
        <v>279.7</v>
      </c>
      <c r="E22" s="196">
        <v>289.7</v>
      </c>
      <c r="F22" s="195">
        <v>304.2</v>
      </c>
    </row>
    <row r="23" spans="1:6" ht="20" customHeight="1" thickBot="1">
      <c r="A23" s="927" t="s">
        <v>378</v>
      </c>
      <c r="B23" s="195">
        <v>276.2</v>
      </c>
      <c r="C23" s="196">
        <v>303</v>
      </c>
      <c r="D23" s="195">
        <v>315.60000000000002</v>
      </c>
      <c r="E23" s="196">
        <v>341.5</v>
      </c>
      <c r="F23" s="195">
        <v>379.5</v>
      </c>
    </row>
    <row r="24" spans="1:6" ht="20" customHeight="1" thickBot="1">
      <c r="A24" s="927" t="s">
        <v>379</v>
      </c>
      <c r="B24" s="195">
        <v>269.89999999999998</v>
      </c>
      <c r="C24" s="196">
        <v>286.2</v>
      </c>
      <c r="D24" s="195">
        <v>286.2</v>
      </c>
      <c r="E24" s="196">
        <v>311.10000000000002</v>
      </c>
      <c r="F24" s="195">
        <v>351.5</v>
      </c>
    </row>
    <row r="25" spans="1:6" ht="20" customHeight="1" thickBot="1">
      <c r="A25" s="927" t="s">
        <v>380</v>
      </c>
      <c r="B25" s="195">
        <v>293</v>
      </c>
      <c r="C25" s="196">
        <v>310.7</v>
      </c>
      <c r="D25" s="195">
        <v>330.3</v>
      </c>
      <c r="E25" s="196">
        <v>342.9</v>
      </c>
      <c r="F25" s="195">
        <v>375.2</v>
      </c>
    </row>
    <row r="26" spans="1:6" ht="20" customHeight="1" thickBot="1">
      <c r="A26" s="927" t="s">
        <v>381</v>
      </c>
      <c r="B26" s="195">
        <v>283.7</v>
      </c>
      <c r="C26" s="196">
        <v>303.2</v>
      </c>
      <c r="D26" s="195">
        <v>320.2</v>
      </c>
      <c r="E26" s="196">
        <v>346.9</v>
      </c>
      <c r="F26" s="195">
        <v>351.5</v>
      </c>
    </row>
    <row r="27" spans="1:6" ht="20" customHeight="1" thickBot="1">
      <c r="A27" s="927" t="s">
        <v>382</v>
      </c>
      <c r="B27" s="195">
        <v>341.3</v>
      </c>
      <c r="C27" s="196">
        <v>352.4</v>
      </c>
      <c r="D27" s="195">
        <v>374.8</v>
      </c>
      <c r="E27" s="196">
        <v>407.05</v>
      </c>
      <c r="F27" s="195">
        <v>426.5</v>
      </c>
    </row>
    <row r="28" spans="1:6" ht="20" customHeight="1" thickBot="1">
      <c r="A28" s="927" t="s">
        <v>383</v>
      </c>
      <c r="B28" s="195">
        <v>371.1</v>
      </c>
      <c r="C28" s="196">
        <v>383</v>
      </c>
      <c r="D28" s="195">
        <v>403.9</v>
      </c>
      <c r="E28" s="196">
        <v>414.9</v>
      </c>
      <c r="F28" s="195">
        <v>468.3</v>
      </c>
    </row>
    <row r="29" spans="1:6" ht="20" customHeight="1" thickBot="1">
      <c r="A29" s="927" t="s">
        <v>384</v>
      </c>
      <c r="B29" s="195">
        <v>263.2</v>
      </c>
      <c r="C29" s="196">
        <v>282.60000000000002</v>
      </c>
      <c r="D29" s="195">
        <v>308.2</v>
      </c>
      <c r="E29" s="196">
        <v>335.05</v>
      </c>
      <c r="F29" s="195">
        <v>352</v>
      </c>
    </row>
    <row r="30" spans="1:6" ht="20" customHeight="1" thickBot="1">
      <c r="A30" s="927" t="s">
        <v>385</v>
      </c>
      <c r="B30" s="195">
        <v>346</v>
      </c>
      <c r="C30" s="196">
        <v>366.2</v>
      </c>
      <c r="D30" s="195">
        <v>384.35</v>
      </c>
      <c r="E30" s="196">
        <v>398.5</v>
      </c>
      <c r="F30" s="195">
        <v>424.9</v>
      </c>
    </row>
    <row r="31" spans="1:6" ht="20" customHeight="1" thickBot="1">
      <c r="A31" s="927" t="s">
        <v>386</v>
      </c>
      <c r="B31" s="195">
        <v>386</v>
      </c>
      <c r="C31" s="196">
        <v>414.8</v>
      </c>
      <c r="D31" s="195">
        <v>438.1</v>
      </c>
      <c r="E31" s="196">
        <v>451.1</v>
      </c>
      <c r="F31" s="195">
        <v>475</v>
      </c>
    </row>
    <row r="32" spans="1:6" ht="20" customHeight="1" thickBot="1">
      <c r="A32" s="927" t="s">
        <v>387</v>
      </c>
      <c r="B32" s="195">
        <v>328.7</v>
      </c>
      <c r="C32" s="196">
        <v>352.8</v>
      </c>
      <c r="D32" s="195">
        <v>374.5</v>
      </c>
      <c r="E32" s="196">
        <v>409.4</v>
      </c>
      <c r="F32" s="195">
        <v>470.4</v>
      </c>
    </row>
    <row r="33" spans="1:7" ht="30" customHeight="1" thickBot="1">
      <c r="A33" s="107" t="s">
        <v>444</v>
      </c>
      <c r="B33" s="199">
        <v>282.2</v>
      </c>
      <c r="C33" s="200">
        <v>316.5</v>
      </c>
      <c r="D33" s="199">
        <v>346</v>
      </c>
      <c r="E33" s="200">
        <v>383.9</v>
      </c>
      <c r="F33" s="199">
        <v>449</v>
      </c>
      <c r="G33" s="115"/>
    </row>
    <row r="34" spans="1:7" ht="20" customHeight="1">
      <c r="A34" s="112" t="s">
        <v>1550</v>
      </c>
      <c r="B34" s="930"/>
      <c r="C34" s="930"/>
      <c r="D34" s="930"/>
      <c r="E34" s="930"/>
      <c r="F34" s="930"/>
      <c r="G34" s="931"/>
    </row>
    <row r="35" spans="1:7" ht="12.75" customHeight="1">
      <c r="A35" s="115"/>
      <c r="B35" s="931"/>
      <c r="C35" s="931"/>
      <c r="D35" s="931"/>
      <c r="E35" s="931"/>
      <c r="F35" s="931"/>
      <c r="G35" s="931"/>
    </row>
    <row r="36" spans="1:7" ht="20" customHeight="1">
      <c r="A36" s="115" t="s">
        <v>1530</v>
      </c>
      <c r="B36" s="931"/>
      <c r="C36" s="931"/>
      <c r="D36" s="931"/>
      <c r="E36" s="931"/>
      <c r="F36" s="931"/>
      <c r="G36" s="931"/>
    </row>
    <row r="37" spans="1:7" ht="14.25" customHeight="1">
      <c r="A37" s="115"/>
      <c r="B37" s="931"/>
      <c r="C37" s="931"/>
      <c r="D37" s="931"/>
      <c r="E37" s="931"/>
      <c r="F37" s="931"/>
      <c r="G37" s="931"/>
    </row>
    <row r="38" spans="1:7" ht="12.75" customHeight="1">
      <c r="A38" s="115" t="s">
        <v>1531</v>
      </c>
      <c r="B38" s="931"/>
      <c r="C38" s="931"/>
      <c r="D38" s="931"/>
      <c r="E38" s="931"/>
      <c r="F38" s="931"/>
      <c r="G38" s="931"/>
    </row>
    <row r="39" spans="1:7">
      <c r="A39" s="3" t="s">
        <v>1543</v>
      </c>
      <c r="B39" s="61"/>
      <c r="C39" s="61"/>
      <c r="D39" s="61"/>
      <c r="E39" s="61"/>
      <c r="F39" s="61"/>
      <c r="G39" s="61"/>
    </row>
    <row r="40" spans="1:7">
      <c r="A40" s="3" t="s">
        <v>1544</v>
      </c>
      <c r="B40" s="61"/>
      <c r="C40" s="61"/>
      <c r="D40" s="61"/>
      <c r="E40" s="61"/>
      <c r="F40" s="61"/>
      <c r="G40" s="61"/>
    </row>
    <row r="41" spans="1:7">
      <c r="A41" s="3" t="s">
        <v>1545</v>
      </c>
      <c r="B41" s="61"/>
      <c r="C41" s="61"/>
      <c r="D41" s="61"/>
      <c r="E41" s="61"/>
      <c r="F41" s="61"/>
      <c r="G41" s="61"/>
    </row>
    <row r="42" spans="1:7">
      <c r="A42" s="3" t="s">
        <v>1546</v>
      </c>
      <c r="B42" s="61"/>
      <c r="C42" s="61"/>
      <c r="D42" s="61"/>
      <c r="E42" s="61"/>
      <c r="F42" s="61"/>
      <c r="G42" s="61"/>
    </row>
    <row r="43" spans="1:7">
      <c r="A43" s="3" t="s">
        <v>1547</v>
      </c>
      <c r="B43" s="61"/>
      <c r="C43" s="61"/>
      <c r="D43" s="61"/>
      <c r="E43" s="61"/>
      <c r="F43" s="61"/>
      <c r="G43" s="61"/>
    </row>
    <row r="44" spans="1:7">
      <c r="B44" s="61"/>
      <c r="C44" s="61"/>
      <c r="D44" s="61"/>
      <c r="E44" s="61"/>
      <c r="F44" s="61"/>
      <c r="G44" s="61"/>
    </row>
    <row r="45" spans="1:7">
      <c r="B45" s="61"/>
      <c r="C45" s="61"/>
      <c r="D45" s="61"/>
      <c r="E45" s="61"/>
      <c r="F45" s="61"/>
      <c r="G45" s="61"/>
    </row>
    <row r="46" spans="1:7">
      <c r="A46" s="3" t="s">
        <v>719</v>
      </c>
      <c r="B46" s="61"/>
      <c r="C46" s="61"/>
      <c r="D46" s="61"/>
      <c r="E46" s="61"/>
      <c r="F46" s="61"/>
      <c r="G46" s="61"/>
    </row>
  </sheetData>
  <pageMargins left="0.6692913385826772" right="0.55118110236220474" top="0.6692913385826772" bottom="0.47244094488188981" header="0.47244094488188981" footer="0.51181102362204722"/>
  <pageSetup paperSize="9" scale="78" orientation="portrait"/>
  <headerFooter alignWithMargins="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E2A6-D447-C74E-B874-EC6047139A44}">
  <sheetPr>
    <pageSetUpPr fitToPage="1"/>
  </sheetPr>
  <dimension ref="A1:F46"/>
  <sheetViews>
    <sheetView zoomScaleNormal="100" workbookViewId="0">
      <selection activeCell="J35" sqref="J35"/>
    </sheetView>
  </sheetViews>
  <sheetFormatPr baseColWidth="10" defaultColWidth="11.3984375" defaultRowHeight="13"/>
  <cols>
    <col min="1" max="1" width="21.19921875" style="3" customWidth="1"/>
    <col min="2" max="3" width="15.59765625" style="3" customWidth="1"/>
    <col min="4" max="4" width="17.3984375" style="3" customWidth="1"/>
    <col min="5" max="5" width="15.59765625" style="3" customWidth="1"/>
    <col min="6" max="6" width="15.796875" style="3" customWidth="1"/>
    <col min="7" max="7" width="19.3984375" style="3" customWidth="1"/>
    <col min="8" max="16384" width="11.3984375" style="3"/>
  </cols>
  <sheetData>
    <row r="1" spans="1:6" s="2" customFormat="1" ht="14" customHeight="1">
      <c r="A1" s="121"/>
      <c r="B1" s="121"/>
      <c r="C1" s="121"/>
      <c r="D1" s="121"/>
      <c r="E1" s="121"/>
      <c r="F1" s="121"/>
    </row>
    <row r="2" spans="1:6" s="2" customFormat="1" ht="18.75" customHeight="1">
      <c r="A2" s="122" t="s">
        <v>1549</v>
      </c>
      <c r="B2" s="121"/>
      <c r="C2" s="121"/>
      <c r="D2" s="121"/>
      <c r="E2" s="121"/>
      <c r="F2" s="121"/>
    </row>
    <row r="3" spans="1:6" s="2" customFormat="1" ht="22.5" customHeight="1">
      <c r="A3" s="122" t="s">
        <v>1553</v>
      </c>
      <c r="B3" s="121"/>
      <c r="C3" s="121"/>
      <c r="D3" s="121"/>
      <c r="E3" s="121"/>
      <c r="F3" s="121"/>
    </row>
    <row r="4" spans="1:6" ht="24" customHeight="1">
      <c r="A4" s="92" t="s">
        <v>191</v>
      </c>
      <c r="B4" s="910">
        <v>0.05</v>
      </c>
      <c r="C4" s="911">
        <v>0.25</v>
      </c>
      <c r="D4" s="910">
        <v>0.5</v>
      </c>
      <c r="E4" s="911">
        <v>0.25</v>
      </c>
      <c r="F4" s="910">
        <v>0.05</v>
      </c>
    </row>
    <row r="5" spans="1:6" ht="68" customHeight="1">
      <c r="A5" s="184"/>
      <c r="B5" s="914" t="s">
        <v>1540</v>
      </c>
      <c r="C5" s="915" t="s">
        <v>1540</v>
      </c>
      <c r="D5" s="914" t="s">
        <v>1541</v>
      </c>
      <c r="E5" s="915" t="s">
        <v>1542</v>
      </c>
      <c r="F5" s="914" t="s">
        <v>1542</v>
      </c>
    </row>
    <row r="6" spans="1:6" ht="18" customHeight="1">
      <c r="A6" s="188"/>
      <c r="B6" s="189"/>
      <c r="C6" s="190"/>
      <c r="D6" s="189"/>
      <c r="E6" s="190"/>
      <c r="F6" s="98"/>
    </row>
    <row r="7" spans="1:6" ht="30" customHeight="1" thickBot="1">
      <c r="A7" s="925" t="s">
        <v>362</v>
      </c>
      <c r="B7" s="410">
        <v>74</v>
      </c>
      <c r="C7" s="411">
        <v>85.1</v>
      </c>
      <c r="D7" s="410">
        <v>91.6</v>
      </c>
      <c r="E7" s="411">
        <v>98.8</v>
      </c>
      <c r="F7" s="410">
        <v>111.9</v>
      </c>
    </row>
    <row r="8" spans="1:6" ht="20" customHeight="1" thickBot="1">
      <c r="A8" s="927" t="s">
        <v>363</v>
      </c>
      <c r="B8" s="195">
        <v>76.5</v>
      </c>
      <c r="C8" s="196">
        <v>85.9</v>
      </c>
      <c r="D8" s="195">
        <v>93.3</v>
      </c>
      <c r="E8" s="196">
        <v>101.7</v>
      </c>
      <c r="F8" s="195">
        <v>116.2</v>
      </c>
    </row>
    <row r="9" spans="1:6" ht="20" customHeight="1" thickBot="1">
      <c r="A9" s="927" t="s">
        <v>364</v>
      </c>
      <c r="B9" s="195">
        <v>61.7</v>
      </c>
      <c r="C9" s="196">
        <v>72.599999999999994</v>
      </c>
      <c r="D9" s="195">
        <v>75.7</v>
      </c>
      <c r="E9" s="196">
        <v>82.5</v>
      </c>
      <c r="F9" s="195">
        <v>90.5</v>
      </c>
    </row>
    <row r="10" spans="1:6" ht="20" customHeight="1" thickBot="1">
      <c r="A10" s="927" t="s">
        <v>365</v>
      </c>
      <c r="B10" s="195">
        <v>58.1</v>
      </c>
      <c r="C10" s="196">
        <v>68</v>
      </c>
      <c r="D10" s="195">
        <v>76.25</v>
      </c>
      <c r="E10" s="196">
        <v>81</v>
      </c>
      <c r="F10" s="195">
        <v>86.3</v>
      </c>
    </row>
    <row r="11" spans="1:6" ht="20" customHeight="1" thickBot="1">
      <c r="A11" s="927" t="s">
        <v>366</v>
      </c>
      <c r="B11" s="195">
        <v>60.5</v>
      </c>
      <c r="C11" s="196">
        <v>72.400000000000006</v>
      </c>
      <c r="D11" s="195">
        <v>77.2</v>
      </c>
      <c r="E11" s="196">
        <v>77.349999999999994</v>
      </c>
      <c r="F11" s="195">
        <v>95.8</v>
      </c>
    </row>
    <row r="12" spans="1:6" ht="20" customHeight="1" thickBot="1">
      <c r="A12" s="927" t="s">
        <v>367</v>
      </c>
      <c r="B12" s="195">
        <v>64.2</v>
      </c>
      <c r="C12" s="196">
        <v>69.7</v>
      </c>
      <c r="D12" s="195">
        <v>73.349999999999994</v>
      </c>
      <c r="E12" s="196">
        <v>73.349999999999994</v>
      </c>
      <c r="F12" s="195">
        <v>81.400000000000006</v>
      </c>
    </row>
    <row r="13" spans="1:6" ht="20" customHeight="1" thickBot="1">
      <c r="A13" s="927" t="s">
        <v>368</v>
      </c>
      <c r="B13" s="195">
        <v>56</v>
      </c>
      <c r="C13" s="196">
        <v>64.5</v>
      </c>
      <c r="D13" s="195">
        <v>69.45</v>
      </c>
      <c r="E13" s="196">
        <v>69.45</v>
      </c>
      <c r="F13" s="195">
        <v>79.5</v>
      </c>
    </row>
    <row r="14" spans="1:6" ht="20" customHeight="1" thickBot="1">
      <c r="A14" s="927" t="s">
        <v>369</v>
      </c>
      <c r="B14" s="195">
        <v>58</v>
      </c>
      <c r="C14" s="196">
        <v>70.2</v>
      </c>
      <c r="D14" s="195">
        <v>74.2</v>
      </c>
      <c r="E14" s="196">
        <v>86.1</v>
      </c>
      <c r="F14" s="195">
        <v>90</v>
      </c>
    </row>
    <row r="15" spans="1:6" ht="20" customHeight="1" thickBot="1">
      <c r="A15" s="927" t="s">
        <v>370</v>
      </c>
      <c r="B15" s="195">
        <v>59.5</v>
      </c>
      <c r="C15" s="196">
        <v>70</v>
      </c>
      <c r="D15" s="195">
        <v>76</v>
      </c>
      <c r="E15" s="196">
        <v>81.3</v>
      </c>
      <c r="F15" s="195">
        <v>84.5</v>
      </c>
    </row>
    <row r="16" spans="1:6" ht="20" customHeight="1" thickBot="1">
      <c r="A16" s="927" t="s">
        <v>371</v>
      </c>
      <c r="B16" s="195">
        <v>75.099999999999994</v>
      </c>
      <c r="C16" s="196">
        <v>77.7</v>
      </c>
      <c r="D16" s="195">
        <v>82.8</v>
      </c>
      <c r="E16" s="196">
        <v>87.6</v>
      </c>
      <c r="F16" s="195">
        <v>97.9</v>
      </c>
    </row>
    <row r="17" spans="1:6" ht="20" customHeight="1" thickBot="1">
      <c r="A17" s="927" t="s">
        <v>372</v>
      </c>
      <c r="B17" s="195">
        <v>73.8</v>
      </c>
      <c r="C17" s="196">
        <v>79</v>
      </c>
      <c r="D17" s="195">
        <v>83.2</v>
      </c>
      <c r="E17" s="196">
        <v>87.8</v>
      </c>
      <c r="F17" s="195">
        <v>104.5</v>
      </c>
    </row>
    <row r="18" spans="1:6" ht="20" customHeight="1" thickBot="1">
      <c r="A18" s="927" t="s">
        <v>373</v>
      </c>
      <c r="B18" s="195">
        <v>96.9</v>
      </c>
      <c r="C18" s="196">
        <v>102</v>
      </c>
      <c r="D18" s="195">
        <v>132.5</v>
      </c>
      <c r="E18" s="196">
        <v>133</v>
      </c>
      <c r="F18" s="195">
        <v>140.19999999999999</v>
      </c>
    </row>
    <row r="19" spans="1:6" ht="20" customHeight="1" thickBot="1">
      <c r="A19" s="927" t="s">
        <v>374</v>
      </c>
      <c r="B19" s="195">
        <v>86.5</v>
      </c>
      <c r="C19" s="196">
        <v>91</v>
      </c>
      <c r="D19" s="195">
        <v>96.9</v>
      </c>
      <c r="E19" s="196">
        <v>107.5</v>
      </c>
      <c r="F19" s="195">
        <v>120.8</v>
      </c>
    </row>
    <row r="20" spans="1:6" ht="20" customHeight="1" thickBot="1">
      <c r="A20" s="927" t="s">
        <v>375</v>
      </c>
      <c r="B20" s="195">
        <v>64.5</v>
      </c>
      <c r="C20" s="196">
        <v>78</v>
      </c>
      <c r="D20" s="195">
        <v>87.8</v>
      </c>
      <c r="E20" s="196">
        <v>92.65</v>
      </c>
      <c r="F20" s="195">
        <v>100.3</v>
      </c>
    </row>
    <row r="21" spans="1:6" ht="20" customHeight="1" thickBot="1">
      <c r="A21" s="927" t="s">
        <v>376</v>
      </c>
      <c r="B21" s="195">
        <v>56.5</v>
      </c>
      <c r="C21" s="196">
        <v>66</v>
      </c>
      <c r="D21" s="195">
        <v>74.8</v>
      </c>
      <c r="E21" s="196">
        <v>83</v>
      </c>
      <c r="F21" s="195">
        <v>83.2</v>
      </c>
    </row>
    <row r="22" spans="1:6" ht="20" customHeight="1" thickBot="1">
      <c r="A22" s="927" t="s">
        <v>377</v>
      </c>
      <c r="B22" s="195">
        <v>59.9</v>
      </c>
      <c r="C22" s="196">
        <v>66.900000000000006</v>
      </c>
      <c r="D22" s="195">
        <v>69.45</v>
      </c>
      <c r="E22" s="196">
        <v>76.3</v>
      </c>
      <c r="F22" s="195">
        <v>79</v>
      </c>
    </row>
    <row r="23" spans="1:6" ht="20" customHeight="1" thickBot="1">
      <c r="A23" s="927" t="s">
        <v>378</v>
      </c>
      <c r="B23" s="195">
        <v>65.7</v>
      </c>
      <c r="C23" s="196">
        <v>75.5</v>
      </c>
      <c r="D23" s="195">
        <v>81.900000000000006</v>
      </c>
      <c r="E23" s="196">
        <v>89.9</v>
      </c>
      <c r="F23" s="195">
        <v>99.9</v>
      </c>
    </row>
    <row r="24" spans="1:6" ht="20" customHeight="1" thickBot="1">
      <c r="A24" s="927" t="s">
        <v>379</v>
      </c>
      <c r="B24" s="195">
        <v>63.8</v>
      </c>
      <c r="C24" s="196">
        <v>74.900000000000006</v>
      </c>
      <c r="D24" s="195">
        <v>77.8</v>
      </c>
      <c r="E24" s="196">
        <v>83.85</v>
      </c>
      <c r="F24" s="195">
        <v>92.5</v>
      </c>
    </row>
    <row r="25" spans="1:6" ht="20" customHeight="1" thickBot="1">
      <c r="A25" s="927" t="s">
        <v>380</v>
      </c>
      <c r="B25" s="195">
        <v>68</v>
      </c>
      <c r="C25" s="196">
        <v>79</v>
      </c>
      <c r="D25" s="195">
        <v>80.75</v>
      </c>
      <c r="E25" s="196">
        <v>89.7</v>
      </c>
      <c r="F25" s="195">
        <v>98.8</v>
      </c>
    </row>
    <row r="26" spans="1:6" ht="20" customHeight="1" thickBot="1">
      <c r="A26" s="927" t="s">
        <v>381</v>
      </c>
      <c r="B26" s="195">
        <v>69.099999999999994</v>
      </c>
      <c r="C26" s="196">
        <v>75.599999999999994</v>
      </c>
      <c r="D26" s="195">
        <v>82.8</v>
      </c>
      <c r="E26" s="196">
        <v>92.3</v>
      </c>
      <c r="F26" s="195">
        <v>92.5</v>
      </c>
    </row>
    <row r="27" spans="1:6" ht="20" customHeight="1" thickBot="1">
      <c r="A27" s="927" t="s">
        <v>382</v>
      </c>
      <c r="B27" s="195">
        <v>72.2</v>
      </c>
      <c r="C27" s="196">
        <v>87</v>
      </c>
      <c r="D27" s="195">
        <v>97</v>
      </c>
      <c r="E27" s="196">
        <v>105.55</v>
      </c>
      <c r="F27" s="195">
        <v>112.3</v>
      </c>
    </row>
    <row r="28" spans="1:6" ht="20" customHeight="1" thickBot="1">
      <c r="A28" s="927" t="s">
        <v>383</v>
      </c>
      <c r="B28" s="195">
        <v>80.3</v>
      </c>
      <c r="C28" s="196">
        <v>92.7</v>
      </c>
      <c r="D28" s="195">
        <v>97.9</v>
      </c>
      <c r="E28" s="196">
        <v>105</v>
      </c>
      <c r="F28" s="195">
        <v>123</v>
      </c>
    </row>
    <row r="29" spans="1:6" ht="20" customHeight="1" thickBot="1">
      <c r="A29" s="927" t="s">
        <v>384</v>
      </c>
      <c r="B29" s="195">
        <v>66.900000000000006</v>
      </c>
      <c r="C29" s="196">
        <v>73.150000000000006</v>
      </c>
      <c r="D29" s="195">
        <v>76</v>
      </c>
      <c r="E29" s="196">
        <v>79.650000000000006</v>
      </c>
      <c r="F29" s="195">
        <v>89.9</v>
      </c>
    </row>
    <row r="30" spans="1:6" ht="20" customHeight="1" thickBot="1">
      <c r="A30" s="927" t="s">
        <v>385</v>
      </c>
      <c r="B30" s="195">
        <v>65.8</v>
      </c>
      <c r="C30" s="196">
        <v>65.8</v>
      </c>
      <c r="D30" s="195">
        <v>92</v>
      </c>
      <c r="E30" s="196">
        <v>102.25</v>
      </c>
      <c r="F30" s="195">
        <v>112.2</v>
      </c>
    </row>
    <row r="31" spans="1:6" ht="20" customHeight="1" thickBot="1">
      <c r="A31" s="927" t="s">
        <v>386</v>
      </c>
      <c r="B31" s="195">
        <v>69.5</v>
      </c>
      <c r="C31" s="196">
        <v>107.3</v>
      </c>
      <c r="D31" s="195">
        <v>107.4</v>
      </c>
      <c r="E31" s="196">
        <v>109</v>
      </c>
      <c r="F31" s="195">
        <v>126.25</v>
      </c>
    </row>
    <row r="32" spans="1:6" ht="20" customHeight="1" thickBot="1">
      <c r="A32" s="927" t="s">
        <v>387</v>
      </c>
      <c r="B32" s="195">
        <v>67.099999999999994</v>
      </c>
      <c r="C32" s="196">
        <v>67.099999999999994</v>
      </c>
      <c r="D32" s="195">
        <v>86</v>
      </c>
      <c r="E32" s="196">
        <v>97.9</v>
      </c>
      <c r="F32" s="195">
        <v>108.65</v>
      </c>
    </row>
    <row r="33" spans="1:6" ht="30" customHeight="1" thickBot="1">
      <c r="A33" s="107" t="s">
        <v>444</v>
      </c>
      <c r="B33" s="199">
        <v>68</v>
      </c>
      <c r="C33" s="200">
        <v>78.5</v>
      </c>
      <c r="D33" s="199">
        <v>87.2</v>
      </c>
      <c r="E33" s="200">
        <v>98.8</v>
      </c>
      <c r="F33" s="199">
        <v>114.8</v>
      </c>
    </row>
    <row r="34" spans="1:6" ht="20" customHeight="1">
      <c r="A34" s="112" t="s">
        <v>1550</v>
      </c>
      <c r="B34" s="930"/>
      <c r="C34" s="930"/>
      <c r="D34" s="930"/>
      <c r="E34" s="930"/>
      <c r="F34" s="930"/>
    </row>
    <row r="35" spans="1:6" ht="15.75" customHeight="1">
      <c r="A35" s="115"/>
      <c r="B35" s="931"/>
      <c r="C35" s="931"/>
      <c r="D35" s="931"/>
      <c r="E35" s="931"/>
      <c r="F35" s="931"/>
    </row>
    <row r="36" spans="1:6" ht="20.25" customHeight="1">
      <c r="A36" s="115" t="s">
        <v>1530</v>
      </c>
      <c r="B36" s="931"/>
      <c r="C36" s="931"/>
      <c r="D36" s="931"/>
      <c r="E36" s="931"/>
      <c r="F36" s="931"/>
    </row>
    <row r="37" spans="1:6" ht="13.5" customHeight="1">
      <c r="A37" s="115"/>
      <c r="B37" s="931"/>
      <c r="C37" s="931"/>
      <c r="D37" s="931"/>
      <c r="E37" s="931"/>
      <c r="F37" s="931"/>
    </row>
    <row r="38" spans="1:6" ht="12.75" customHeight="1">
      <c r="A38" s="115" t="s">
        <v>1531</v>
      </c>
      <c r="B38" s="931"/>
      <c r="C38" s="931"/>
      <c r="D38" s="931"/>
      <c r="E38" s="931"/>
      <c r="F38" s="931"/>
    </row>
    <row r="39" spans="1:6">
      <c r="A39" s="3" t="s">
        <v>1543</v>
      </c>
      <c r="B39" s="61"/>
      <c r="C39" s="61"/>
      <c r="D39" s="61"/>
      <c r="E39" s="61"/>
      <c r="F39" s="61"/>
    </row>
    <row r="40" spans="1:6">
      <c r="A40" s="3" t="s">
        <v>1544</v>
      </c>
      <c r="B40" s="61"/>
      <c r="C40" s="61"/>
      <c r="D40" s="61"/>
      <c r="E40" s="61"/>
      <c r="F40" s="61"/>
    </row>
    <row r="41" spans="1:6">
      <c r="A41" s="3" t="s">
        <v>1545</v>
      </c>
      <c r="B41" s="61"/>
      <c r="C41" s="61"/>
      <c r="D41" s="61"/>
      <c r="E41" s="61"/>
      <c r="F41" s="61"/>
    </row>
    <row r="42" spans="1:6">
      <c r="A42" s="3" t="s">
        <v>1546</v>
      </c>
      <c r="B42" s="61"/>
      <c r="C42" s="61"/>
      <c r="D42" s="61"/>
      <c r="E42" s="61"/>
      <c r="F42" s="61"/>
    </row>
    <row r="43" spans="1:6">
      <c r="A43" s="3" t="s">
        <v>1547</v>
      </c>
      <c r="B43" s="61"/>
      <c r="C43" s="61"/>
      <c r="D43" s="61"/>
      <c r="E43" s="61"/>
      <c r="F43" s="61"/>
    </row>
    <row r="44" spans="1:6">
      <c r="B44" s="61"/>
      <c r="C44" s="61"/>
      <c r="D44" s="61"/>
      <c r="E44" s="61"/>
      <c r="F44" s="61"/>
    </row>
    <row r="45" spans="1:6">
      <c r="B45" s="61"/>
      <c r="C45" s="61"/>
      <c r="D45" s="61"/>
      <c r="E45" s="61"/>
      <c r="F45" s="61"/>
    </row>
    <row r="46" spans="1:6">
      <c r="A46" s="3" t="s">
        <v>719</v>
      </c>
      <c r="B46" s="61"/>
      <c r="C46" s="61"/>
      <c r="D46" s="61"/>
      <c r="E46" s="61"/>
      <c r="F46" s="61"/>
    </row>
  </sheetData>
  <pageMargins left="0.6692913385826772" right="0.59055118110236227" top="0.70866141732283472" bottom="0.47244094488188981" header="0.59055118110236227" footer="0.51181102362204722"/>
  <pageSetup paperSize="9" scale="74"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151</vt:i4>
      </vt:variant>
      <vt:variant>
        <vt:lpstr>Benannte Bereiche</vt:lpstr>
      </vt:variant>
      <vt:variant>
        <vt:i4>150</vt:i4>
      </vt:variant>
    </vt:vector>
  </HeadingPairs>
  <TitlesOfParts>
    <vt:vector size="301" baseType="lpstr">
      <vt:lpstr>Info</vt:lpstr>
      <vt:lpstr>Ad</vt:lpstr>
      <vt:lpstr>Bd</vt:lpstr>
      <vt:lpstr>B1d</vt:lpstr>
      <vt:lpstr>F1d</vt:lpstr>
      <vt:lpstr>F2d</vt:lpstr>
      <vt:lpstr>F3d</vt:lpstr>
      <vt:lpstr>Jd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224d</vt:lpstr>
      <vt:lpstr>225d</vt:lpstr>
      <vt:lpstr>226d</vt:lpstr>
      <vt:lpstr>T3d</vt:lpstr>
      <vt:lpstr>301d</vt:lpstr>
      <vt:lpstr>302d</vt:lpstr>
      <vt:lpstr>303d</vt:lpstr>
      <vt:lpstr>304d</vt:lpstr>
      <vt:lpstr>305d</vt:lpstr>
      <vt:lpstr>306d</vt:lpstr>
      <vt:lpstr>307d</vt:lpstr>
      <vt:lpstr>308d</vt:lpstr>
      <vt:lpstr>T4d</vt:lpstr>
      <vt:lpstr>401d</vt:lpstr>
      <vt:lpstr>402d</vt:lpstr>
      <vt:lpstr>403d</vt:lpstr>
      <vt:lpstr>404d</vt:lpstr>
      <vt:lpstr>405d</vt:lpstr>
      <vt:lpstr>406d</vt:lpstr>
      <vt:lpstr>407d</vt:lpstr>
      <vt:lpstr>408d</vt:lpstr>
      <vt:lpstr>409d</vt:lpstr>
      <vt:lpstr>410d</vt:lpstr>
      <vt:lpstr>411d</vt:lpstr>
      <vt:lpstr>T5d</vt:lpstr>
      <vt:lpstr>501d</vt:lpstr>
      <vt:lpstr>502d</vt:lpstr>
      <vt:lpstr>503d</vt:lpstr>
      <vt:lpstr>504d</vt:lpstr>
      <vt:lpstr>505d</vt:lpstr>
      <vt:lpstr>T6d</vt:lpstr>
      <vt:lpstr>601d</vt:lpstr>
      <vt:lpstr>602d</vt:lpstr>
      <vt:lpstr>603d</vt:lpstr>
      <vt:lpstr>604d</vt:lpstr>
      <vt:lpstr>605d</vt:lpstr>
      <vt:lpstr>606d</vt:lpstr>
      <vt:lpstr>T7d</vt:lpstr>
      <vt:lpstr>701d</vt:lpstr>
      <vt:lpstr>702d</vt:lpstr>
      <vt:lpstr>703d</vt:lpstr>
      <vt:lpstr>704d</vt:lpstr>
      <vt:lpstr>705d</vt:lpstr>
      <vt:lpstr>T8d</vt:lpstr>
      <vt:lpstr>801d</vt:lpstr>
      <vt:lpstr>802d</vt:lpstr>
      <vt:lpstr>803d</vt:lpstr>
      <vt:lpstr>804d</vt:lpstr>
      <vt:lpstr>805d</vt:lpstr>
      <vt:lpstr>806d</vt:lpstr>
      <vt:lpstr>807d</vt:lpstr>
      <vt:lpstr>808d</vt:lpstr>
      <vt:lpstr>809d</vt:lpstr>
      <vt:lpstr>810d</vt:lpstr>
      <vt:lpstr>811d</vt:lpstr>
      <vt:lpstr>812d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T10d</vt:lpstr>
      <vt:lpstr>1001d</vt:lpstr>
      <vt:lpstr>1002d</vt:lpstr>
      <vt:lpstr>1003d</vt:lpstr>
      <vt:lpstr>1004d</vt:lpstr>
      <vt:lpstr>1005d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1118d</vt:lpstr>
      <vt:lpstr>T12d</vt:lpstr>
      <vt:lpstr>1201d</vt:lpstr>
      <vt:lpstr>1202d</vt:lpstr>
      <vt:lpstr>1203d</vt:lpstr>
      <vt:lpstr>1204d</vt:lpstr>
      <vt:lpstr>1205d</vt:lpstr>
      <vt:lpstr>1206d</vt:lpstr>
      <vt:lpstr>1207d</vt:lpstr>
      <vt:lpstr>'1001d'!Druckbereich</vt:lpstr>
      <vt:lpstr>'1002d'!Druckbereich</vt:lpstr>
      <vt:lpstr>'1003d'!Druckbereich</vt:lpstr>
      <vt:lpstr>'1004d'!Druckbereich</vt:lpstr>
      <vt:lpstr>'1005d'!Druckbereich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'1118d'!Druckbereich</vt:lpstr>
      <vt:lpstr>'111d'!Druckbereich</vt:lpstr>
      <vt:lpstr>'112d'!Druckbereich</vt:lpstr>
      <vt:lpstr>'113d'!Druckbereich</vt:lpstr>
      <vt:lpstr>'1201d'!Druckbereich</vt:lpstr>
      <vt:lpstr>'1202d'!Druckbereich</vt:lpstr>
      <vt:lpstr>'1203d'!Druckbereich</vt:lpstr>
      <vt:lpstr>'1204d'!Druckbereich</vt:lpstr>
      <vt:lpstr>'1205d'!Druckbereich</vt:lpstr>
      <vt:lpstr>'1206d'!Druckbereich</vt:lpstr>
      <vt:lpstr>'1207d'!Druckbereich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'224d'!Druckbereich</vt:lpstr>
      <vt:lpstr>'225d'!Druckbereich</vt:lpstr>
      <vt:lpstr>'226d'!Druckbereich</vt:lpstr>
      <vt:lpstr>'301d'!Druckbereich</vt:lpstr>
      <vt:lpstr>'302d'!Druckbereich</vt:lpstr>
      <vt:lpstr>'303d'!Druckbereich</vt:lpstr>
      <vt:lpstr>'304d'!Druckbereich</vt:lpstr>
      <vt:lpstr>'305d'!Druckbereich</vt:lpstr>
      <vt:lpstr>'306d'!Druckbereich</vt:lpstr>
      <vt:lpstr>'307d'!Druckbereich</vt:lpstr>
      <vt:lpstr>'308d'!Druckbereich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'501d'!Druckbereich</vt:lpstr>
      <vt:lpstr>'502d'!Druckbereich</vt:lpstr>
      <vt:lpstr>'503d'!Druckbereich</vt:lpstr>
      <vt:lpstr>'504d'!Druckbereich</vt:lpstr>
      <vt:lpstr>'505d'!Druckbereich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Ad!Druckbereich</vt:lpstr>
      <vt:lpstr>B1d!Druckbereich</vt:lpstr>
      <vt:lpstr>F1d!Druckbereich</vt:lpstr>
      <vt:lpstr>F2d!Druckbereich</vt:lpstr>
      <vt:lpstr>F3d!Druckbereich</vt:lpstr>
      <vt:lpstr>Info!Druckbereich</vt:lpstr>
      <vt:lpstr>Jd!Druckbereich</vt:lpstr>
      <vt:lpstr>T10d!Druckbereich</vt:lpstr>
      <vt:lpstr>T11d!Druckbereich</vt:lpstr>
      <vt:lpstr>T12d!Druckbereich</vt:lpstr>
      <vt:lpstr>T1d!Druckbereich</vt:lpstr>
      <vt:lpstr>T2d!Druckbereich</vt:lpstr>
      <vt:lpstr>T3d!Druckbereich</vt:lpstr>
      <vt:lpstr>T4d!Druckbereich</vt:lpstr>
      <vt:lpstr>T5d!Druckbereich</vt:lpstr>
      <vt:lpstr>T8d!Druckbereich</vt:lpstr>
      <vt:lpstr>'501d'!Drucktitel</vt:lpstr>
      <vt:lpstr>'503d'!Drucktitel</vt:lpstr>
      <vt:lpstr>'504d'!Drucktitel</vt:lpstr>
      <vt:lpstr>'505d'!Drucktitel</vt:lpstr>
      <vt:lpstr>B1d!Drucktitel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2013-03-25T15:02:07Z</cp:lastPrinted>
  <dcterms:created xsi:type="dcterms:W3CDTF">1999-10-15T08:29:27Z</dcterms:created>
  <dcterms:modified xsi:type="dcterms:W3CDTF">2026-05-02T10:04:20Z</dcterms:modified>
</cp:coreProperties>
</file>